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1. PDS/"/>
    </mc:Choice>
  </mc:AlternateContent>
  <xr:revisionPtr revIDLastSave="9667" documentId="8_{E5CB3F0B-AC18-4F3B-B66E-A27715A44338}" xr6:coauthVersionLast="47" xr6:coauthVersionMax="47" xr10:uidLastSave="{A0010A05-1424-47E3-9B2C-1EF0470B2556}"/>
  <bookViews>
    <workbookView xWindow="-108" yWindow="-108" windowWidth="23256" windowHeight="12456" tabRatio="863" activeTab="4" xr2:uid="{00000000-000D-0000-FFFF-FFFF00000000}"/>
  </bookViews>
  <sheets>
    <sheet name="Status" sheetId="4" r:id="rId1"/>
    <sheet name="PDS (old)" sheetId="6" state="hidden" r:id="rId2"/>
    <sheet name="Aux." sheetId="10" state="hidden" r:id="rId3"/>
    <sheet name="PDS" sheetId="11" r:id="rId4"/>
    <sheet name="Detalhe" sheetId="1" r:id="rId5"/>
    <sheet name="Caderno Testes" sheetId="5" r:id="rId6"/>
    <sheet name="Campos IMP vs CNT" sheetId="7" r:id="rId7"/>
    <sheet name="Planeamento" sheetId="15" r:id="rId8"/>
    <sheet name="Status PM (Campos)" sheetId="18" r:id="rId9"/>
    <sheet name="Controlos Corporativos" sheetId="19" r:id="rId10"/>
  </sheets>
  <externalReferences>
    <externalReference r:id="rId11"/>
    <externalReference r:id="rId12"/>
  </externalReferences>
  <definedNames>
    <definedName name="_xlnm._FilterDatabase" localSheetId="5" hidden="1">'Caderno Testes'!$A$1:$I$276</definedName>
    <definedName name="_xlnm._FilterDatabase" localSheetId="6" hidden="1">'Campos IMP vs CNT'!$A$1:$J$69</definedName>
    <definedName name="_xlnm._FilterDatabase" localSheetId="9" hidden="1">'Controlos Corporativos'!$B$3:$L$22</definedName>
    <definedName name="_xlnm._FilterDatabase" localSheetId="4" hidden="1">Detalhe!$B$5:$Y$408</definedName>
    <definedName name="_xlnm._FilterDatabase" localSheetId="3" hidden="1">Aux.!$B$2:$H$2</definedName>
    <definedName name="_xlnm._FilterDatabase" localSheetId="1" hidden="1">Aux.!$B$2:$H$2</definedName>
    <definedName name="_xlnm._FilterDatabase" localSheetId="8" hidden="1">'Status PM (Campos)'!$B$18:$I$53</definedName>
    <definedName name="_Hlk71900621" localSheetId="6">'Campos IMP vs CNT'!$C$61</definedName>
    <definedName name="_Toc164082157" localSheetId="6">'Campos IMP vs CNT'!#REF!</definedName>
    <definedName name="_Toc164082158" localSheetId="6">'Campos IMP vs CNT'!$C$52</definedName>
    <definedName name="_Toc164082286" localSheetId="6">'Campos IMP vs CNT'!$C$62</definedName>
    <definedName name="_Toc164082298" localSheetId="6">'Campos IMP vs CNT'!$C$64</definedName>
    <definedName name="_Toc164082299" localSheetId="6">'Campos IMP vs CNT'!$C$65</definedName>
    <definedName name="_Toc164082302" localSheetId="6">'Campos IMP vs CNT'!$C$12</definedName>
    <definedName name="_Toc164082303" localSheetId="6">'Campos IMP vs CNT'!$C$13</definedName>
    <definedName name="_Toc164082304" localSheetId="6">'Campos IMP vs CNT'!$C$49</definedName>
    <definedName name="_Toc164082314" localSheetId="6">'Campos IMP vs CNT'!$C$5</definedName>
    <definedName name="_Toc164082315" localSheetId="6">'Campos IMP vs CNT'!$C$3</definedName>
    <definedName name="_Toc164082316" localSheetId="6">'Campos IMP vs CNT'!$C$4</definedName>
    <definedName name="_Toc164082319" localSheetId="6">'Campos IMP vs CNT'!$C$60</definedName>
    <definedName name="_Toc164082330" localSheetId="6">'Campos IMP vs CNT'!$C$48</definedName>
    <definedName name="_Toc164082331" localSheetId="6">'Campos IMP vs CNT'!$C$68</definedName>
    <definedName name="_Toc164082332" localSheetId="6">'Campos IMP vs CNT'!$C$22</definedName>
    <definedName name="_Toc164082333" localSheetId="6">'Campos IMP vs CNT'!$C$36</definedName>
    <definedName name="_Toc164082334" localSheetId="6">'Campos IMP vs CNT'!$C$37</definedName>
    <definedName name="_Toc164082339" localSheetId="6">'Campos IMP vs CNT'!$C$42</definedName>
    <definedName name="_Toc164082348" localSheetId="6">'Campos IMP vs CNT'!$C$51</definedName>
    <definedName name="_Toc164082349" localSheetId="6">'Campos IMP vs CNT'!$C$69</definedName>
    <definedName name="_Toc164082351" localSheetId="6">'Campos IMP vs CNT'!$C$57</definedName>
    <definedName name="_Toc164082352" localSheetId="6">'Campos IMP vs CNT'!$C$58</definedName>
    <definedName name="_Toc164082353" localSheetId="6">'Campos IMP vs CNT'!$C$59</definedName>
    <definedName name="_Toc164082359" localSheetId="6">'Campos IMP vs CNT'!$C$33</definedName>
    <definedName name="_Toc164082360" localSheetId="6">'Campos IMP vs CNT'!$C$34</definedName>
    <definedName name="_Toc164082361" localSheetId="6">'Campos IMP vs CNT'!$C$35</definedName>
    <definedName name="_Toc164082362" localSheetId="6">'Campos IMP vs CNT'!$C$38</definedName>
    <definedName name="_Toc164082363" localSheetId="6">'Campos IMP vs CNT'!$C$39</definedName>
    <definedName name="_Toc164082366" localSheetId="6">'Campos IMP vs CNT'!$C$43</definedName>
    <definedName name="_Toc164082367" localSheetId="6">'Campos IMP vs CNT'!$C$44</definedName>
    <definedName name="_Toc164082368" localSheetId="6">'Campos IMP vs CNT'!$C$7</definedName>
    <definedName name="_Toc164082369" localSheetId="6">'Campos IMP vs CNT'!$C$45</definedName>
    <definedName name="_Toc164082370" localSheetId="6">'Campos IMP vs CNT'!$C$8</definedName>
    <definedName name="_Toc164082371" localSheetId="6">'Campos IMP vs CNT'!$C$46</definedName>
    <definedName name="_Toc164082372" localSheetId="6">'Campos IMP vs CNT'!$C$9</definedName>
    <definedName name="_Toc164082373" localSheetId="6">'Campos IMP vs CNT'!$C$10</definedName>
    <definedName name="_Toc164082374" localSheetId="6">'Campos IMP vs CNT'!$C$11</definedName>
    <definedName name="_Toc164082375" localSheetId="6">'Campos IMP vs CNT'!$C$66</definedName>
    <definedName name="_Toc164082381" localSheetId="6">'Campos IMP vs CNT'!#REF!</definedName>
    <definedName name="_Toc164082382" localSheetId="6">'Campos IMP vs CNT'!$C$53</definedName>
    <definedName name="_Toc164082383" localSheetId="6">'Campos IMP vs CNT'!$C$54</definedName>
    <definedName name="_Toc164082394" localSheetId="6">'Campos IMP vs CNT'!#REF!</definedName>
    <definedName name="_Toc164082395" localSheetId="6">'Campos IMP vs CNT'!#REF!</definedName>
    <definedName name="_Toc164082396" localSheetId="6">'Campos IMP vs CNT'!#REF!</definedName>
    <definedName name="_Toc164082397" localSheetId="6">'Campos IMP vs CNT'!#REF!</definedName>
  </definedNames>
  <calcPr calcId="191028"/>
  <pivotCaches>
    <pivotCache cacheId="0" r:id="rId13"/>
    <pivotCache cacheId="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5" i="1" l="1"/>
  <c r="Q388" i="1" l="1"/>
  <c r="R388" i="1"/>
  <c r="S388" i="1"/>
  <c r="T388" i="1"/>
  <c r="U388" i="1"/>
  <c r="V388" i="1"/>
  <c r="Q389" i="1"/>
  <c r="R389" i="1"/>
  <c r="S389" i="1"/>
  <c r="T389" i="1"/>
  <c r="U389" i="1"/>
  <c r="V389" i="1"/>
  <c r="Q390" i="1"/>
  <c r="R390" i="1"/>
  <c r="S390" i="1"/>
  <c r="T390" i="1"/>
  <c r="U390" i="1"/>
  <c r="V390" i="1"/>
  <c r="Q391" i="1"/>
  <c r="R391" i="1"/>
  <c r="S391" i="1"/>
  <c r="T391" i="1"/>
  <c r="U391" i="1"/>
  <c r="V391" i="1"/>
  <c r="Q392" i="1"/>
  <c r="R392" i="1"/>
  <c r="S392" i="1"/>
  <c r="T392" i="1"/>
  <c r="U392" i="1"/>
  <c r="V392" i="1"/>
  <c r="Q393" i="1"/>
  <c r="R393" i="1"/>
  <c r="S393" i="1"/>
  <c r="T393" i="1"/>
  <c r="U393" i="1"/>
  <c r="V393" i="1"/>
  <c r="Q394" i="1"/>
  <c r="R394" i="1"/>
  <c r="S394" i="1"/>
  <c r="T394" i="1"/>
  <c r="U394" i="1"/>
  <c r="V394" i="1"/>
  <c r="Q395" i="1"/>
  <c r="R395" i="1"/>
  <c r="S395" i="1"/>
  <c r="T395" i="1"/>
  <c r="U395" i="1"/>
  <c r="V395" i="1"/>
  <c r="Q396" i="1"/>
  <c r="R396" i="1"/>
  <c r="S396" i="1"/>
  <c r="T396" i="1"/>
  <c r="U396" i="1"/>
  <c r="V396" i="1"/>
  <c r="Q397" i="1"/>
  <c r="R397" i="1"/>
  <c r="S397" i="1"/>
  <c r="T397" i="1"/>
  <c r="U397" i="1"/>
  <c r="V397" i="1"/>
  <c r="Q398" i="1"/>
  <c r="R398" i="1"/>
  <c r="S398" i="1"/>
  <c r="T398" i="1"/>
  <c r="U398" i="1"/>
  <c r="V398" i="1"/>
  <c r="Q399" i="1"/>
  <c r="R399" i="1"/>
  <c r="S399" i="1"/>
  <c r="T399" i="1"/>
  <c r="U399" i="1"/>
  <c r="V399" i="1"/>
  <c r="Q400" i="1"/>
  <c r="R400" i="1"/>
  <c r="S400" i="1"/>
  <c r="T400" i="1"/>
  <c r="U400" i="1"/>
  <c r="V400" i="1"/>
  <c r="Q401" i="1"/>
  <c r="R401" i="1"/>
  <c r="S401" i="1"/>
  <c r="T401" i="1"/>
  <c r="U401" i="1"/>
  <c r="V401" i="1"/>
  <c r="Q402" i="1"/>
  <c r="R402" i="1"/>
  <c r="S402" i="1"/>
  <c r="T402" i="1"/>
  <c r="U402" i="1"/>
  <c r="V402" i="1"/>
  <c r="Q403" i="1"/>
  <c r="R403" i="1"/>
  <c r="S403" i="1"/>
  <c r="T403" i="1"/>
  <c r="U403" i="1"/>
  <c r="V403" i="1"/>
  <c r="Q404" i="1"/>
  <c r="R404" i="1"/>
  <c r="S404" i="1"/>
  <c r="T404" i="1"/>
  <c r="U404" i="1"/>
  <c r="V404" i="1"/>
  <c r="Q405" i="1"/>
  <c r="R405" i="1"/>
  <c r="S405" i="1"/>
  <c r="T405" i="1"/>
  <c r="U405" i="1"/>
  <c r="V405" i="1"/>
  <c r="Q406" i="1"/>
  <c r="R406" i="1"/>
  <c r="S406" i="1"/>
  <c r="T406" i="1"/>
  <c r="U406" i="1"/>
  <c r="V406" i="1"/>
  <c r="Q407" i="1"/>
  <c r="R407" i="1"/>
  <c r="S407" i="1"/>
  <c r="T407" i="1"/>
  <c r="U407" i="1"/>
  <c r="V407" i="1"/>
  <c r="Q408" i="1"/>
  <c r="R408" i="1"/>
  <c r="S408" i="1"/>
  <c r="T408" i="1"/>
  <c r="U408" i="1"/>
  <c r="V408" i="1"/>
  <c r="Y408" i="1"/>
  <c r="Y407" i="1"/>
  <c r="Y406" i="1"/>
  <c r="Y405" i="1"/>
  <c r="Y404" i="1"/>
  <c r="Y403" i="1"/>
  <c r="Y402" i="1"/>
  <c r="Y401" i="1"/>
  <c r="Y400" i="1"/>
  <c r="Y399" i="1"/>
  <c r="Y398" i="1"/>
  <c r="Y397" i="1"/>
  <c r="Y396" i="1"/>
  <c r="Y395" i="1"/>
  <c r="Y394" i="1"/>
  <c r="Y393" i="1"/>
  <c r="Y392" i="1"/>
  <c r="Y391" i="1"/>
  <c r="Y390" i="1"/>
  <c r="Y389" i="1"/>
  <c r="Y388" i="1"/>
  <c r="Y387" i="1"/>
  <c r="V387" i="1"/>
  <c r="U387" i="1"/>
  <c r="T387" i="1"/>
  <c r="S387" i="1"/>
  <c r="R387" i="1"/>
  <c r="Q387" i="1"/>
  <c r="A408" i="1"/>
  <c r="A407" i="1"/>
  <c r="A406" i="1"/>
  <c r="A405" i="1"/>
  <c r="A404" i="1"/>
  <c r="A403" i="1"/>
  <c r="A402" i="1"/>
  <c r="A401" i="1"/>
  <c r="A400" i="1"/>
  <c r="A399" i="1"/>
  <c r="A398" i="1"/>
  <c r="A397" i="1"/>
  <c r="A396" i="1"/>
  <c r="A395" i="1"/>
  <c r="A394" i="1"/>
  <c r="A393" i="1"/>
  <c r="A392" i="1"/>
  <c r="A391" i="1"/>
  <c r="A390" i="1"/>
  <c r="A389" i="1"/>
  <c r="A388" i="1"/>
  <c r="A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A386" i="1" l="1"/>
  <c r="A385" i="1" l="1"/>
  <c r="D7" i="18" l="1"/>
  <c r="F7" i="18" l="1"/>
  <c r="D11" i="18" l="1"/>
  <c r="F11" i="18" s="1"/>
  <c r="D10" i="18"/>
  <c r="F10" i="18" s="1"/>
  <c r="D9" i="18"/>
  <c r="F9" i="18" s="1"/>
  <c r="D8" i="18"/>
  <c r="F8" i="18" s="1"/>
  <c r="D12" i="18"/>
  <c r="E7" i="18" s="1"/>
  <c r="E10" i="18" l="1"/>
  <c r="E9" i="18"/>
  <c r="E11" i="18"/>
  <c r="E12" i="18" l="1"/>
  <c r="E8" i="18"/>
  <c r="D3" i="18" l="1"/>
  <c r="T29" i="11" l="1"/>
  <c r="S29" i="11"/>
  <c r="R29" i="11"/>
  <c r="Q29" i="11"/>
  <c r="P29" i="11"/>
  <c r="O29" i="11"/>
  <c r="N29" i="11"/>
  <c r="M29" i="11"/>
  <c r="L29" i="11"/>
  <c r="K29" i="11"/>
  <c r="J29" i="11"/>
  <c r="T28" i="11"/>
  <c r="S28" i="11"/>
  <c r="R28" i="11"/>
  <c r="Q28" i="11"/>
  <c r="P28" i="11"/>
  <c r="O28" i="11"/>
  <c r="N28" i="11"/>
  <c r="M28" i="11"/>
  <c r="L28" i="11"/>
  <c r="K28" i="11"/>
  <c r="J28" i="11"/>
  <c r="E4" i="10"/>
  <c r="E5" i="10"/>
  <c r="E6" i="10"/>
  <c r="E7" i="10"/>
  <c r="E8" i="10"/>
  <c r="E9" i="10"/>
  <c r="E10" i="10"/>
  <c r="E11" i="10"/>
  <c r="E12" i="10"/>
  <c r="E13" i="10"/>
  <c r="E3" i="10"/>
  <c r="C13" i="10"/>
  <c r="C4" i="10"/>
  <c r="C5" i="10"/>
  <c r="C6" i="10"/>
  <c r="C7" i="10"/>
  <c r="C8" i="10"/>
  <c r="C9" i="10"/>
  <c r="C10" i="10"/>
  <c r="C11" i="10"/>
  <c r="C12" i="10"/>
  <c r="C3" i="10"/>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C14" i="10" l="1"/>
  <c r="M30" i="11" a="1"/>
  <c r="M30" i="11" s="1"/>
  <c r="T31" i="11"/>
  <c r="L31" i="11"/>
  <c r="J30" i="11" a="1"/>
  <c r="J30" i="11" s="1"/>
  <c r="R30" i="11" a="1"/>
  <c r="R30" i="11" s="1"/>
  <c r="K30" i="11" a="1"/>
  <c r="K30" i="11" s="1"/>
  <c r="S31" i="11"/>
  <c r="Q30" i="11" a="1"/>
  <c r="Q30" i="11" s="1"/>
  <c r="N30" i="11" a="1"/>
  <c r="N30" i="11" s="1"/>
  <c r="O30" i="11" a="1"/>
  <c r="O30" i="11" s="1"/>
  <c r="P31" i="11"/>
  <c r="S30" i="11" a="1"/>
  <c r="S30" i="11" s="1"/>
  <c r="M31" i="11"/>
  <c r="N31" i="11"/>
  <c r="O31" i="11"/>
  <c r="L30" i="11" a="1"/>
  <c r="L30" i="11" s="1"/>
  <c r="P30" i="11" a="1"/>
  <c r="P30" i="11" s="1"/>
  <c r="T30" i="11" a="1"/>
  <c r="T30" i="11" s="1"/>
  <c r="Q31" i="11"/>
  <c r="J31" i="11"/>
  <c r="R31" i="11"/>
  <c r="K31" i="11"/>
  <c r="A274" i="1"/>
  <c r="A351" i="1" l="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Q29" i="6"/>
  <c r="Q28" i="6"/>
  <c r="K29" i="6"/>
  <c r="J29" i="6"/>
  <c r="L29" i="6"/>
  <c r="M29" i="6"/>
  <c r="O29" i="6"/>
  <c r="P29" i="6"/>
  <c r="R29" i="6"/>
  <c r="S29" i="6"/>
  <c r="T29" i="6"/>
  <c r="N29" i="6"/>
  <c r="Q30" i="6" l="1" a="1"/>
  <c r="Q30" i="6" s="1"/>
  <c r="G10" i="10"/>
  <c r="Q31" i="6"/>
  <c r="D13" i="10"/>
  <c r="D10" i="10" l="1"/>
  <c r="D4" i="10"/>
  <c r="D8" i="10"/>
  <c r="D7" i="10"/>
  <c r="D6" i="10"/>
  <c r="D5" i="10"/>
  <c r="D11" i="10"/>
  <c r="D12" i="10"/>
  <c r="D3" i="10"/>
  <c r="D9" i="10"/>
  <c r="L351" i="1" l="1"/>
  <c r="L350" i="1"/>
  <c r="L349" i="1"/>
  <c r="L348" i="1"/>
  <c r="L347" i="1"/>
  <c r="L346" i="1"/>
  <c r="L345" i="1"/>
  <c r="L342" i="1"/>
  <c r="L340" i="1"/>
  <c r="L339" i="1"/>
  <c r="L338" i="1"/>
  <c r="L337" i="1"/>
  <c r="L336" i="1"/>
  <c r="L334" i="1"/>
  <c r="L333" i="1"/>
  <c r="L332" i="1"/>
  <c r="L331" i="1"/>
  <c r="L330" i="1"/>
  <c r="L329" i="1"/>
  <c r="L328" i="1"/>
  <c r="L327" i="1"/>
  <c r="L326" i="1"/>
  <c r="L325" i="1"/>
  <c r="L324" i="1"/>
  <c r="L323" i="1"/>
  <c r="L322" i="1"/>
  <c r="L321" i="1"/>
  <c r="L320" i="1"/>
  <c r="L319" i="1"/>
  <c r="L318" i="1"/>
  <c r="L317" i="1"/>
  <c r="L316" i="1"/>
  <c r="L314" i="1"/>
  <c r="L313" i="1"/>
  <c r="L312" i="1"/>
  <c r="L310" i="1"/>
  <c r="L307" i="1"/>
  <c r="L306" i="1"/>
  <c r="L304" i="1"/>
  <c r="L303" i="1"/>
  <c r="L302" i="1"/>
  <c r="L32" i="1"/>
  <c r="L300" i="1"/>
  <c r="L299" i="1"/>
  <c r="L67" i="1"/>
  <c r="L295" i="1"/>
  <c r="L293" i="1"/>
  <c r="L292" i="1"/>
  <c r="L291" i="1"/>
  <c r="L290" i="1"/>
  <c r="L289" i="1"/>
  <c r="L288" i="1"/>
  <c r="L344" i="1"/>
  <c r="L285" i="1"/>
  <c r="L284" i="1"/>
  <c r="L283" i="1"/>
  <c r="L282" i="1"/>
  <c r="L281" i="1"/>
  <c r="L280" i="1"/>
  <c r="L279" i="1"/>
  <c r="L278" i="1"/>
  <c r="L277" i="1"/>
  <c r="L276" i="1"/>
  <c r="L275" i="1"/>
  <c r="L273" i="1"/>
  <c r="L269" i="1"/>
  <c r="L268" i="1"/>
  <c r="L267" i="1"/>
  <c r="L265" i="1"/>
  <c r="L264" i="1"/>
  <c r="L263" i="1"/>
  <c r="L262" i="1"/>
  <c r="L261" i="1"/>
  <c r="L260" i="1"/>
  <c r="L257" i="1"/>
  <c r="L256" i="1"/>
  <c r="L255" i="1"/>
  <c r="L252" i="1"/>
  <c r="L251" i="1"/>
  <c r="L250" i="1"/>
  <c r="L247" i="1"/>
  <c r="L243" i="1"/>
  <c r="L242" i="1"/>
  <c r="L241" i="1"/>
  <c r="L240" i="1"/>
  <c r="L239" i="1"/>
  <c r="L238" i="1"/>
  <c r="L237" i="1"/>
  <c r="L236" i="1"/>
  <c r="L234" i="1"/>
  <c r="L233" i="1"/>
  <c r="L232" i="1"/>
  <c r="L231" i="1"/>
  <c r="L230" i="1"/>
  <c r="L228" i="1"/>
  <c r="L227" i="1"/>
  <c r="L226" i="1"/>
  <c r="L225" i="1"/>
  <c r="L224" i="1"/>
  <c r="L222" i="1"/>
  <c r="L221"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25" i="1"/>
  <c r="L184" i="1"/>
  <c r="L181" i="1"/>
  <c r="L180" i="1"/>
  <c r="L179" i="1"/>
  <c r="L178" i="1"/>
  <c r="L177" i="1"/>
  <c r="L175" i="1"/>
  <c r="L174" i="1"/>
  <c r="L173" i="1"/>
  <c r="L172" i="1"/>
  <c r="L171" i="1"/>
  <c r="L170" i="1"/>
  <c r="L169" i="1"/>
  <c r="L168" i="1"/>
  <c r="L167" i="1"/>
  <c r="L166" i="1"/>
  <c r="L165" i="1"/>
  <c r="L164" i="1"/>
  <c r="L163" i="1"/>
  <c r="L162" i="1"/>
  <c r="L161" i="1"/>
  <c r="L159" i="1"/>
  <c r="L154" i="1"/>
  <c r="L153" i="1"/>
  <c r="L152" i="1"/>
  <c r="L151" i="1"/>
  <c r="L150" i="1"/>
  <c r="L148" i="1"/>
  <c r="L147" i="1"/>
  <c r="L146" i="1"/>
  <c r="L145" i="1"/>
  <c r="L141" i="1"/>
  <c r="L140" i="1"/>
  <c r="L139" i="1"/>
  <c r="L138" i="1"/>
  <c r="L137" i="1"/>
  <c r="L133" i="1"/>
  <c r="L132" i="1"/>
  <c r="L131" i="1"/>
  <c r="L130" i="1"/>
  <c r="L176" i="1"/>
  <c r="L185" i="1"/>
  <c r="L123" i="1"/>
  <c r="L120" i="1"/>
  <c r="L119" i="1"/>
  <c r="L118" i="1"/>
  <c r="L117" i="1"/>
  <c r="L116" i="1"/>
  <c r="L115" i="1"/>
  <c r="L114" i="1"/>
  <c r="L113" i="1"/>
  <c r="L12" i="1"/>
  <c r="L109" i="1"/>
  <c r="L105" i="1"/>
  <c r="L104" i="1"/>
  <c r="L101" i="1"/>
  <c r="L100" i="1"/>
  <c r="L99" i="1"/>
  <c r="L95" i="1"/>
  <c r="L94" i="1"/>
  <c r="L249" i="1"/>
  <c r="L92" i="1"/>
  <c r="L90" i="1"/>
  <c r="L89" i="1"/>
  <c r="L87" i="1"/>
  <c r="L86" i="1"/>
  <c r="L85" i="1"/>
  <c r="L84" i="1"/>
  <c r="L83" i="1"/>
  <c r="L82" i="1"/>
  <c r="L296" i="1"/>
  <c r="L80" i="1"/>
  <c r="L79" i="1"/>
  <c r="L78" i="1"/>
  <c r="L76" i="1"/>
  <c r="L74" i="1"/>
  <c r="L72" i="1"/>
  <c r="L70" i="1"/>
  <c r="L69" i="1"/>
  <c r="L66" i="1"/>
  <c r="L65" i="1"/>
  <c r="L64" i="1"/>
  <c r="L63" i="1"/>
  <c r="L62" i="1"/>
  <c r="L59" i="1"/>
  <c r="L58" i="1"/>
  <c r="L57" i="1"/>
  <c r="L56" i="1"/>
  <c r="L55" i="1"/>
  <c r="L54" i="1"/>
  <c r="L53" i="1"/>
  <c r="L52" i="1"/>
  <c r="L51" i="1"/>
  <c r="L50" i="1"/>
  <c r="L49" i="1"/>
  <c r="L46" i="1"/>
  <c r="L45" i="1"/>
  <c r="L44" i="1"/>
  <c r="L43" i="1"/>
  <c r="L42" i="1"/>
  <c r="L41" i="1"/>
  <c r="L40" i="1"/>
  <c r="L39" i="1"/>
  <c r="L37" i="1"/>
  <c r="L36" i="1"/>
  <c r="L34" i="1"/>
  <c r="L33" i="1"/>
  <c r="L298" i="1"/>
  <c r="L31" i="1"/>
  <c r="L301" i="1"/>
  <c r="L29" i="1"/>
  <c r="L28" i="1"/>
  <c r="L27" i="1"/>
  <c r="L26" i="1"/>
  <c r="L25" i="1"/>
  <c r="L24" i="1"/>
  <c r="L23" i="1"/>
  <c r="L22" i="1"/>
  <c r="L20" i="1"/>
  <c r="L19" i="1"/>
  <c r="L18" i="1"/>
  <c r="L17" i="1"/>
  <c r="L16" i="1"/>
  <c r="L15" i="1"/>
  <c r="L14" i="1"/>
  <c r="L11" i="1"/>
  <c r="L10" i="1"/>
  <c r="L9" i="1"/>
  <c r="L7" i="1"/>
  <c r="L6" i="1"/>
  <c r="N28" i="6" l="1"/>
  <c r="N30" i="6" s="1" a="1"/>
  <c r="N30" i="6" s="1"/>
  <c r="M28" i="6"/>
  <c r="M30" i="6" s="1" a="1"/>
  <c r="M30" i="6" s="1"/>
  <c r="J28" i="6"/>
  <c r="L28" i="6"/>
  <c r="L30" i="6" s="1" a="1"/>
  <c r="L30" i="6" s="1"/>
  <c r="O28" i="6"/>
  <c r="O30" i="6" s="1" a="1"/>
  <c r="O30" i="6" s="1"/>
  <c r="P28" i="6"/>
  <c r="P30" i="6" s="1" a="1"/>
  <c r="P30" i="6" s="1"/>
  <c r="S28" i="6"/>
  <c r="S30" i="6" s="1" a="1"/>
  <c r="S30" i="6" s="1"/>
  <c r="T28" i="6"/>
  <c r="T30" i="6" s="1" a="1"/>
  <c r="T30" i="6" s="1"/>
  <c r="K28" i="6"/>
  <c r="K30" i="6" s="1" a="1"/>
  <c r="K30" i="6" s="1"/>
  <c r="R28" i="6"/>
  <c r="R30" i="6" s="1" a="1"/>
  <c r="R30" i="6" s="1"/>
  <c r="J31" i="6" l="1"/>
  <c r="J30" i="6" a="1"/>
  <c r="J30" i="6" s="1"/>
  <c r="G9" i="10"/>
  <c r="G11" i="10"/>
  <c r="G4" i="10"/>
  <c r="E14" i="10"/>
  <c r="G3" i="10"/>
  <c r="G7" i="10"/>
  <c r="G12" i="10"/>
  <c r="G6" i="10"/>
  <c r="G5" i="10"/>
  <c r="G8" i="10"/>
  <c r="G13" i="10"/>
  <c r="O31" i="6"/>
  <c r="T31" i="6"/>
  <c r="R31" i="6"/>
  <c r="K31" i="6"/>
  <c r="P31" i="6"/>
  <c r="N31" i="6"/>
  <c r="L31" i="6"/>
  <c r="M31" i="6"/>
  <c r="S31" i="6"/>
  <c r="F9" i="10" l="1"/>
  <c r="F10" i="10"/>
  <c r="F13" i="10"/>
  <c r="F12" i="10"/>
  <c r="F11" i="10"/>
  <c r="F8" i="10"/>
  <c r="F7" i="10"/>
  <c r="F4" i="10"/>
  <c r="F3" i="10"/>
  <c r="F6" i="10"/>
  <c r="F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<sst xmlns="http://schemas.openxmlformats.org/spreadsheetml/2006/main" count="9531" uniqueCount="1345">
  <si>
    <t>Status Atual</t>
  </si>
  <si>
    <t>(All)</t>
  </si>
  <si>
    <t>Row Labels</t>
  </si>
  <si>
    <t>Count of Categorização</t>
  </si>
  <si>
    <t xml:space="preserve">Âmbito (Projeto) </t>
  </si>
  <si>
    <t>PM</t>
  </si>
  <si>
    <t>Fora OSI</t>
  </si>
  <si>
    <r>
      <rPr>
        <b/>
        <sz val="11"/>
        <color theme="1"/>
        <rFont val="Aptos Narrow"/>
        <family val="2"/>
        <scheme val="minor"/>
      </rPr>
      <t xml:space="preserve">Potencial de proposta </t>
    </r>
    <r>
      <rPr>
        <sz val="11"/>
        <color theme="1"/>
        <rFont val="Aptos Narrow"/>
        <family val="2"/>
        <scheme val="minor"/>
      </rPr>
      <t>- Campos concluídos, sem melhorias identidicadas, mas com necessidade de documentação</t>
    </r>
  </si>
  <si>
    <t>Analisar controlos NOK</t>
  </si>
  <si>
    <t>Count of Status Atual</t>
  </si>
  <si>
    <t/>
  </si>
  <si>
    <t>OSI VS FORA OSI</t>
  </si>
  <si>
    <r>
      <rPr>
        <b/>
        <sz val="11"/>
        <color theme="1"/>
        <rFont val="Aptos Narrow"/>
        <family val="2"/>
        <scheme val="minor"/>
      </rPr>
      <t>Potencial de proposta</t>
    </r>
    <r>
      <rPr>
        <sz val="11"/>
        <color theme="1"/>
        <rFont val="Aptos Narrow"/>
        <family val="2"/>
        <scheme val="minor"/>
      </rPr>
      <t xml:space="preserve"> - Campos com melhorias mais complexas identificadas na OSI ou fora da mesma.</t>
    </r>
  </si>
  <si>
    <t>Melhorias estruturais (garantir coerência entre campos)</t>
  </si>
  <si>
    <t>OSI</t>
  </si>
  <si>
    <t>Grand Total</t>
  </si>
  <si>
    <t>Total #</t>
  </si>
  <si>
    <t>Total %</t>
  </si>
  <si>
    <t>Quick-win âmbito do projeto em curso</t>
  </si>
  <si>
    <t>Novo campo</t>
  </si>
  <si>
    <t>1. Especificar</t>
  </si>
  <si>
    <t>Quick Win</t>
  </si>
  <si>
    <t>#</t>
  </si>
  <si>
    <t>%</t>
  </si>
  <si>
    <t>Necessidade de correção de erros</t>
  </si>
  <si>
    <t>2. Alterar especificação</t>
  </si>
  <si>
    <t>Campo Fechado</t>
  </si>
  <si>
    <t>Campo concluído, mas sem ou pouca informação na fonte</t>
  </si>
  <si>
    <t>3. Pendente de decisão</t>
  </si>
  <si>
    <t>Não</t>
  </si>
  <si>
    <t>Campo concluido</t>
  </si>
  <si>
    <t>4.1 Em implementação - Re-especificação</t>
  </si>
  <si>
    <t>Sim</t>
  </si>
  <si>
    <t>5.1 Em testes - Re-especificação</t>
  </si>
  <si>
    <t>Alteração de especificação por parte do BCE</t>
  </si>
  <si>
    <t>5.2 Em testes - Incidência</t>
  </si>
  <si>
    <t>7. Analisar controlos e completude</t>
  </si>
  <si>
    <t>8. Concluído - sem dados</t>
  </si>
  <si>
    <t>9. Concluído</t>
  </si>
  <si>
    <t>Pendente de decisão</t>
  </si>
  <si>
    <t>Especificação</t>
  </si>
  <si>
    <t>ORGNL_PRTCTN_VL</t>
  </si>
  <si>
    <t xml:space="preserve">Campos Contabilidade </t>
  </si>
  <si>
    <t>DT_ORGNL_PRTCTN_VL</t>
  </si>
  <si>
    <t>IMPRMNT_STTS</t>
  </si>
  <si>
    <t>PRFRMNG_STTS</t>
  </si>
  <si>
    <t>IMPRMNT_STTS_PRVS</t>
  </si>
  <si>
    <t>PRFRMNG_STTS_PRVS</t>
  </si>
  <si>
    <t>DPD_12M_PRFRMNG_STTS</t>
  </si>
  <si>
    <t>DPD_24M_PRFRMNG_STTS</t>
  </si>
  <si>
    <t>DPD_PRFRMNG_STTS</t>
  </si>
  <si>
    <t>DT_IMPRMNT_STTS</t>
  </si>
  <si>
    <t>DT_IMPRMNT_STTS_PRVS</t>
  </si>
  <si>
    <t>DT_PRFRMNG_STTS</t>
  </si>
  <si>
    <t>DT_PRFRMNG_STTS_PRVS</t>
  </si>
  <si>
    <t>4.2 Em implementação - Incidência</t>
  </si>
  <si>
    <t>6. Outros Desenvolvimentos</t>
  </si>
  <si>
    <t>Status Inicial (pós OSI)</t>
  </si>
  <si>
    <t>Variação</t>
  </si>
  <si>
    <t>Progressão</t>
  </si>
  <si>
    <t xml:space="preserve">3. Pendente de decisão - Identificados temas em OSI nos campos e é necessário identificar cauisticas (pode ficar como está ou ser alterado). Quem toma as decisões são as areas de negócio, porém o Luis poderá dar a decisão final </t>
  </si>
  <si>
    <t>Tema</t>
  </si>
  <si>
    <t>Questão</t>
  </si>
  <si>
    <t>Decisão</t>
  </si>
  <si>
    <t>O campo 'dtvalia_resp_bem' só possuI informação para datas de referências posteriores a 2024-07-31. Como devemos proceder caso seja necessário reportar dados anteriores a Jul.2024? </t>
  </si>
  <si>
    <t>Manter a especificação com mapeamento após jul.24</t>
  </si>
  <si>
    <t xml:space="preserve">O campo 'mavaliai_resp_bem' só possuI informação para datas de referências posteriores a 2024-07-31. Como devemos proceder caso seja necessário reportar dados anteriores a Jul.2024? </t>
  </si>
  <si>
    <t>DT_CNSTRCTN_STTS</t>
  </si>
  <si>
    <t xml:space="preserve">Teremos de criar uma tabela auxiliar com o histórico dos estados de construção e mapear para a data mais antiga do estado de construção atual. Uma vez que o MUG tem uma ótica de atualização diária, para o mapeamento e criação desta tabela auxiliar devemos olhar para uma ótica ou mensal?  </t>
  </si>
  <si>
    <t>Criar tabela auxiliar e ir buscar a ref_date. Devemos utilizar uma ótica diária. Analisar controlos por amostragem.</t>
  </si>
  <si>
    <t>Caso o bem só tenha um estado desde sempre/ desde que foi recebido como garantia devemos reportar a DT_INCPTN? E caso tenha mais do que um instrumento associado, qual a dt_incptn que devemos utilizar? A mais antiga?</t>
  </si>
  <si>
    <t>Questionar Corporação: 1) Caso o bem só tenha um estado desde sempre/ desde que foi recebido como garantia qual a data que devemos reportar? 2) A DR_CNSTRCTN_STTS pode ser anterior à DT_INCPTN? Estes casos poderão acontecer caso uma garantia esteja associada a mais do que um contrato.</t>
  </si>
  <si>
    <t>Campos Contabilidade vs Imparidade</t>
  </si>
  <si>
    <t xml:space="preserve">12 campos com informação de Imparidade, em que a Contabilidade assumiu a ownership uma vez que reporta este dado. Avançamos na re-especificação dos campos utilizando o mapeamento das tabelas de Contabilidade para datas de referência após Dez.22 e a tabela 7_8 de Imparidade para datas anteriores a Dez.22?
IMPRMNT_STTS	
PRFRMNG_STTS	
IMPRMNT_STTS_PRVS	
POCI	
PRFRMNG_STTS_PRVS	
DPD_12M_PRFRMNG_STTS	
DPD_24M_PRFRMNG_STTS	
DPD_PRFRMNG_STTS	
DT_IMPRMNT_STTS	
DT_IMPRMNT_STTS_PRVS	
DT_PRFRMNG_STTS	
DT_PRFRMNG_STTS_PRVS	</t>
  </si>
  <si>
    <t>Atualmente o campo de stage está a ser populado com informação de Imparidade até Dez.19 e a partir de Jan.20 com informação da FR004. Deste modo, a alteração de especificação prende-se apenas com a alteração da data para Dez.22.
Solicitar a Alexandre Gonçalvez que validem os campos após implementação de IT, sem prejuizo dos testes por parte da equipa LT.</t>
  </si>
  <si>
    <t>Campos Imparidade - Fonte da Verdade</t>
  </si>
  <si>
    <t xml:space="preserve">12 campos de Imparidade. Devemos sugerir mapeamento dos campos tendo em conta a tabela de o David Texugo indicou e enviar para validação? Enviamos um e-mail a solicitar esse mapeamento, mas sem resposta até ao momento. 
EIR	
EIR_INCPTN	
IFRS9_CCF	
IFRS9_EAD	
IFRS9_LGD	
INTRNL_SGMNT_IFRS9	
PD_IFRS9_12M_INCPTN	
PD_IFRS9_12M_RD	
PD_IFRS9_12M_RD_T1	
PD_IFRS9_LFTM_INCPTN	
PD_IFRS9_RMNNG_LFTM_INCPTN	
PD_IFRS9_RMNNG_LFTM_RD	</t>
  </si>
  <si>
    <t>Fazer proposta. Segmentar por campos OK e NOK.</t>
  </si>
  <si>
    <t>PRTCTN_VL</t>
  </si>
  <si>
    <t xml:space="preserve">40 garantias imóveis com valor de proteção a zero, cuja origem são a G39 ou G26. Analisados por Henrique e Susana:
    35 casos encontram-se no nosso ficheiro de Erros dos Métodos Indiciários com falta de informação: 
           33 – Apenas com informação na GP26 
             1 – Valor de avaliação a zero 
             1 - % de CI não encontrado para o critério 
    2 casos são do cliente Vilamoura World – imóvel não identificado 
    3 casos são do cliente IAD da Madeira e já foram distratados </t>
  </si>
  <si>
    <t xml:space="preserve">11 Garantias Imóveis cuja origem provêm das CSs, com valor da proteção igual a zero  (não são clones). Para quem devemos enviar estes casos para análise? </t>
  </si>
  <si>
    <t xml:space="preserve">121 Garantias Imóveis com contratos de Leasing associados, cujo valor da proteção é zero  (não são clones). Para quem devemos enviar estes casos para análise? </t>
  </si>
  <si>
    <t xml:space="preserve">1 garantia Financeira, cujo valor da proteção é zero – Caso não está na GT018 para datas posteriores a 2024-05-31. Devíamos retirar da LT os casos com o msldreal a zero (temos 25 casos)? </t>
  </si>
  <si>
    <t>46 casos com data inválidas 0001-01-01 para análise da equipa de leasing.</t>
  </si>
  <si>
    <t>4.1 respecificado</t>
  </si>
  <si>
    <t>4.2 IT não implementou corretamente</t>
  </si>
  <si>
    <t>6. Outros desenvolvimentos - Não podemos avançar no campo por haver necessidade de alguma alteração no campo fonte</t>
  </si>
  <si>
    <t xml:space="preserve">7. Controlos corporativos NOK que necessitam de ser analizados </t>
  </si>
  <si>
    <t>8. Campos que não são para mexer</t>
  </si>
  <si>
    <t>9. A partir do momento que sobe a CD</t>
  </si>
  <si>
    <t>Estado</t>
  </si>
  <si>
    <t>Status Inicial</t>
  </si>
  <si>
    <t>Status Atual (%)</t>
  </si>
  <si>
    <t>Legenda</t>
  </si>
  <si>
    <t xml:space="preserve">O campo será especificado pela primeira vez </t>
  </si>
  <si>
    <t>O campo já foi especificado, no entanto foi necessário alterar</t>
  </si>
  <si>
    <t xml:space="preserve">Houve algum tema identificado em OSI nos campos e é necessário identificar casuísticas (podendo ficar como está ou ser alterado). Quem toma as decisões são as áreas de negócio, porém o Luis poderá dar a decisão final </t>
  </si>
  <si>
    <t>O campo já foi re-especificado e está do lado de IT</t>
  </si>
  <si>
    <t>O campo já foi re-especificado e entregue, no entanto veio com erros de implementação por parte de IT</t>
  </si>
  <si>
    <t>O campo foi re-especificado e implementado por IT e está em fase de testes</t>
  </si>
  <si>
    <t>O campo foi re-especificado e implementado por IT, porém foram encontradas incidências que levaram a uma nova fase de testes</t>
  </si>
  <si>
    <t>Não podemos avançar no campo por haver necessidade de alguma alteração no campo fonte pendente da área responsável</t>
  </si>
  <si>
    <t xml:space="preserve">Controlos corporativos NOK que necessitam de ser analizados </t>
  </si>
  <si>
    <t>Campos que não são para alterar</t>
  </si>
  <si>
    <t>O campo já subiu a CD</t>
  </si>
  <si>
    <t>Quick-win de alta prioridade</t>
  </si>
  <si>
    <t>Quick-win de média prioridade</t>
  </si>
  <si>
    <t>TABLE_NAME</t>
  </si>
  <si>
    <t>COLUMN_NAME</t>
  </si>
  <si>
    <t>ÂMBITO</t>
  </si>
  <si>
    <t>Status</t>
  </si>
  <si>
    <t>Controlos e Completude</t>
  </si>
  <si>
    <t>Descrição</t>
  </si>
  <si>
    <t>Detalhe</t>
  </si>
  <si>
    <t>Quick-win</t>
  </si>
  <si>
    <t>Data alteração status</t>
  </si>
  <si>
    <t>Controlos e Completuade atual</t>
  </si>
  <si>
    <t>Comentários</t>
  </si>
  <si>
    <t>Data envio para IT</t>
  </si>
  <si>
    <t>Data Implementação</t>
  </si>
  <si>
    <t>Categorização</t>
  </si>
  <si>
    <t>Structural 
ECB Loan Tape</t>
  </si>
  <si>
    <t>Green 
Dashboard</t>
  </si>
  <si>
    <t>Pillar III ESG</t>
  </si>
  <si>
    <t>Green Finance</t>
  </si>
  <si>
    <t>ESG Risks</t>
  </si>
  <si>
    <t>Leveraged Finance</t>
  </si>
  <si>
    <t>STREAM</t>
  </si>
  <si>
    <t>INSTRUMENT</t>
  </si>
  <si>
    <t>ACCMLTD_CHNGS_FV_CR_INSTRMNT</t>
  </si>
  <si>
    <t>OK</t>
  </si>
  <si>
    <t>Concluido, controlos OK</t>
  </si>
  <si>
    <t>Y</t>
  </si>
  <si>
    <t>N</t>
  </si>
  <si>
    <t>ACCMLTD_IMPRMNT_INSTRMNT</t>
  </si>
  <si>
    <t>6.1. Fora âmbito | Campos concluídos - Sem necessidade de espec.</t>
  </si>
  <si>
    <t>ACCMLTD_IMPRMNT_INSTRMNT_PRVS</t>
  </si>
  <si>
    <t>Campo com incidência. Verificar fonte LT</t>
  </si>
  <si>
    <t>LF</t>
  </si>
  <si>
    <t>3. Campos em testes ou c/ incidências</t>
  </si>
  <si>
    <t>ACCMLTD_WRTFFS_INSTRMNT</t>
  </si>
  <si>
    <t>ACCNTNG_CLSSFCTN</t>
  </si>
  <si>
    <t>ENTITY</t>
  </si>
  <si>
    <t>ACCNTNG_FRMWRK_SL</t>
  </si>
  <si>
    <t>Em especificação (Financial Statments CIB)</t>
  </si>
  <si>
    <t>Campo implementação, mas com falta de informação para o segmento de clientes CIB</t>
  </si>
  <si>
    <t>PM &amp; LF</t>
  </si>
  <si>
    <t>6.4. Fora âmbito | Re-especificação de campos complexos - Dem. Fin. CIB</t>
  </si>
  <si>
    <t>TYP_MRTGG</t>
  </si>
  <si>
    <t>NOK</t>
  </si>
  <si>
    <t>Alteração da Code list por parte do BCE</t>
  </si>
  <si>
    <t>Alterar especificação de acordo com codelist atual. No MUG existem apenas garantias elegiveis para cálculo de capital? Se sim, TYP_MRTGG irá assumir os valores 1, 5 e N/A. Caso contrário assumirá os valores  1, 5, 6 e N/A.</t>
  </si>
  <si>
    <t>AMNT_D_AT_MTRTY</t>
  </si>
  <si>
    <t>2.2 Re-especificação de campos complexos - Resto</t>
  </si>
  <si>
    <t>ANNL_TRNVR_LE</t>
  </si>
  <si>
    <t>ANNL_TRNVR_LE_BDR</t>
  </si>
  <si>
    <t>ANNL_TRNVR_PRVS</t>
  </si>
  <si>
    <t>ANNL_TRNVR_PRVS_BDR</t>
  </si>
  <si>
    <t>ANNLSD_AGRD_RT</t>
  </si>
  <si>
    <t>Verificar necessidade de alteração da fonte para fins de reconciliação. Rever Fonte</t>
  </si>
  <si>
    <t>Rever se devemos utilizar a informação de IFRS9 ou manter a de alm</t>
  </si>
  <si>
    <t>PROTECTION</t>
  </si>
  <si>
    <t>APPRSL_CRRNCY</t>
  </si>
  <si>
    <t>Controlos NOK</t>
  </si>
  <si>
    <t>APPRSR</t>
  </si>
  <si>
    <t>ARRRS_INSTRMNT</t>
  </si>
  <si>
    <t>4. Campos com NOK controlos Corporativos</t>
  </si>
  <si>
    <t>ARRRS_INSTRMNT_12M</t>
  </si>
  <si>
    <t>ASST_SCRT_CLSS</t>
  </si>
  <si>
    <t>BRCHD_CVNNTS</t>
  </si>
  <si>
    <t>Campo especificado, mas sem dados. Campo marcado com MISS ou NA</t>
  </si>
  <si>
    <t>CAPEX</t>
  </si>
  <si>
    <t>CAPEX_PRVS</t>
  </si>
  <si>
    <t>CCF</t>
  </si>
  <si>
    <t>CHNNL_ORGNTN</t>
  </si>
  <si>
    <t>Aguarda implementação de IT</t>
  </si>
  <si>
    <t>CLLCTN_MD</t>
  </si>
  <si>
    <t>TTL_INTRST_PD</t>
  </si>
  <si>
    <t>Em especificação (Amortizações Capital/ Juros)</t>
  </si>
  <si>
    <t>CMMTMNT_INCPTN_INSTRMNT</t>
  </si>
  <si>
    <t>Analisar controlos e completude</t>
  </si>
  <si>
    <t>RL_ESTT_CLLTRL_LCTN</t>
  </si>
  <si>
    <t>Alterados 3 casos. Campo está a devolver PT para todas as proteções, no entanto estas não estão localizadas em PT e alterou-se a localização para os respetivos paises.</t>
  </si>
  <si>
    <t>CMPLNT_MRTR_C19_NM</t>
  </si>
  <si>
    <t>CNSMPTN_FNRP18</t>
  </si>
  <si>
    <t>DT_APPRSL_PRVS</t>
  </si>
  <si>
    <t>Campo com incidência e controlos NOK</t>
  </si>
  <si>
    <t>1) Campo com incidência, data igual à data da protection_vl 2) Alteração de formatos MISS</t>
  </si>
  <si>
    <t xml:space="preserve">Alteraração da definição do campo no Guia da Corporação. Campo passou a reportar a data da avaliação completa anterior à data da última avaliação  completa.
</t>
  </si>
  <si>
    <t>CNTRCT_ID</t>
  </si>
  <si>
    <t>CNTRCT_ID_BDR</t>
  </si>
  <si>
    <t>CNTRY</t>
  </si>
  <si>
    <t>COD_SOC</t>
  </si>
  <si>
    <t>INSTR_ENTITY</t>
  </si>
  <si>
    <t>INSTR_PROTECTION</t>
  </si>
  <si>
    <t>COD_SOC_INTRGRP</t>
  </si>
  <si>
    <t>CPN_CRRNCY</t>
  </si>
  <si>
    <t>CPN_RT_FXD</t>
  </si>
  <si>
    <t>CR_FLG</t>
  </si>
  <si>
    <t>CRE_FNRP18</t>
  </si>
  <si>
    <t>CRE_INCM_CRRNCY</t>
  </si>
  <si>
    <t>Campo sem mapeamento, para análise da área  de Riscos</t>
  </si>
  <si>
    <t>CRE_YRLY_EXPNSS</t>
  </si>
  <si>
    <t>CRE_YRLY_INCM</t>
  </si>
  <si>
    <t>CRRLTN_CFFCNT</t>
  </si>
  <si>
    <t>CRRNCY_DNMNTN</t>
  </si>
  <si>
    <t>CRRYNG_AMNT_INSTRMNT</t>
  </si>
  <si>
    <t>CSH</t>
  </si>
  <si>
    <t>CSH_PRVS</t>
  </si>
  <si>
    <t>CSH_SWP_TRP</t>
  </si>
  <si>
    <t>CVNNT_STTS</t>
  </si>
  <si>
    <t>6.3. Fora âmbito | Fonte Manual LF</t>
  </si>
  <si>
    <t>CVNNT_TYP</t>
  </si>
  <si>
    <t>DBT_RPYMNT_CPCTY_SNR_DBT</t>
  </si>
  <si>
    <t>DBT_RPYMNT_CPCTY_TTL</t>
  </si>
  <si>
    <t>DBT_SRVC_RT</t>
  </si>
  <si>
    <t>DBT_SRVC_RT_12M</t>
  </si>
  <si>
    <t>DBT_YLD</t>
  </si>
  <si>
    <t>DCSD</t>
  </si>
  <si>
    <t>DFLT_STTS</t>
  </si>
  <si>
    <t>Alterar especificação  caso a LT passe a reportar os 1os titulares da Contabilidade.</t>
  </si>
  <si>
    <t>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t>
  </si>
  <si>
    <t xml:space="preserve">5. Campos com outras possíveis alterações - Dependente de decisões OSI </t>
  </si>
  <si>
    <t>RFNNC_PRPS</t>
  </si>
  <si>
    <t>Alterar especificação. Campo depende do FRBRNC_STTS_INSTRMNT</t>
  </si>
  <si>
    <t>Sempre que o campo FRBRNC_STTS_INSTRMNT =3 o campo RFNNC_PRPS deve estar marcado como Y. Reespecificar, implementar e testar.</t>
  </si>
  <si>
    <t>DPD</t>
  </si>
  <si>
    <t>DPD_12M</t>
  </si>
  <si>
    <t>DPD_12M_FRBRNC_STTS</t>
  </si>
  <si>
    <t>Em testes. Campo depende do FRBRNC_STTS que está com incidência nos formatos. Não é necessário alterar a especificação do mesmo, apenas testar quando o campo FRBRNC_STTS estiver corrigido.</t>
  </si>
  <si>
    <t>Campo depende do histórico do PRFRMNG_STTS. Não é necessário alterar a especificação do mesmo, apenas testar se a metodologia do campo PRFRMNG_STTS for alterada.</t>
  </si>
  <si>
    <t>DPD_24M_FRBRNC_STTS</t>
  </si>
  <si>
    <t>Em testes. Campo depende do campo PRFRMNG_STTS. Não é necessário alterar a especificação do mesmo, apenas testar  se o campo PRFRMNG_STTS for alterado.</t>
  </si>
  <si>
    <t>DPD_FRBRNC_STTS</t>
  </si>
  <si>
    <t>DSTI</t>
  </si>
  <si>
    <t>Em especificação (Campos Novos)</t>
  </si>
  <si>
    <t>TYP_PRTCTN</t>
  </si>
  <si>
    <t>Alterar especificação (alteração da fonte para MUG)</t>
  </si>
  <si>
    <t>Campo depende do campo 'cgarant' do MUG</t>
  </si>
  <si>
    <t xml:space="preserve">Alteração de especificação com base no campo cgarant_bem e cgarant_rpt do MUG. Controlo NOK - A Corporação ajustou o controlo e estes casos passarão a estar OK
</t>
  </si>
  <si>
    <t>DT_BRTH</t>
  </si>
  <si>
    <t>DT_CMPLNT_MRTR_STTS_C19</t>
  </si>
  <si>
    <t>DT_CMPLNT_MRTR_STTS_PRVS_C19</t>
  </si>
  <si>
    <t>DT_PRTCTN_VL</t>
  </si>
  <si>
    <t xml:space="preserve">Campo com incidência e controlos NOK. </t>
  </si>
  <si>
    <t>Alteração formato de 0001-01-01 para 0000-00-00</t>
  </si>
  <si>
    <t>Incidência corrigida. Especificação alterada para campo da GT018, de modo a estar coerente com a especificação do campo PRTCTN_VL
Controlo NOK (ver caderno de testes a 03/12/2023)</t>
  </si>
  <si>
    <t>DT_DFLT_STTS</t>
  </si>
  <si>
    <t>Na OSI foram reportados os 1os titulares da Contabilidade, o que para alguns casos, são diferentes do que está na CL01. Apenas será necessário ajustar este campo caso a LT passe a reportar os 1os titulares da Contabilidade.</t>
  </si>
  <si>
    <t>DT_DFLT_STTS_INSTRMNT</t>
  </si>
  <si>
    <t>Campo com incidência. É necessário adicionar a data de inception sempre que os contratos não estejam em default
Campo entregue por IT durante a OSI, no entanto foi detatada a incidência identificada supra</t>
  </si>
  <si>
    <t>DT_END_GP_PPAL</t>
  </si>
  <si>
    <t>DT_END_GP_PPAL_C19</t>
  </si>
  <si>
    <t>DT_END_INTRST_ONLY</t>
  </si>
  <si>
    <t>DT_END_INTRST_ONLY_C19</t>
  </si>
  <si>
    <t>CNSTRCTN_STTS</t>
  </si>
  <si>
    <t>Campo dependente do MUG</t>
  </si>
  <si>
    <t>DT_FNNCL_STTMTS</t>
  </si>
  <si>
    <t>DT_FNNCL_STTMTS_PRVS</t>
  </si>
  <si>
    <t>RCVD_INTRST_24M</t>
  </si>
  <si>
    <t>Em especificação (Amortizações Capital/ Juros). Campo com dados mas pouca qualidade</t>
  </si>
  <si>
    <t>DT_FRBRNC_STTS_C19</t>
  </si>
  <si>
    <t>RCVD_INTRST_12M</t>
  </si>
  <si>
    <t>DT_FRBRNC_STTS_PRVS_C19</t>
  </si>
  <si>
    <t>DT_FRST_USG</t>
  </si>
  <si>
    <t>Controlos NOK por parte de Riscos</t>
  </si>
  <si>
    <t>Rever fonte. Confirmar com LCM que a informação deverá estar de acordo com IFRS9/Imparidade, mantendo a metodologia da OSI (ir apenas à tabela FR004 na data de referência, as restantes datas ir à tabela de IFRS9)</t>
  </si>
  <si>
    <t>6.2.  Fora âmbito | Campos em testes ou c/ incidências (LT - PM)</t>
  </si>
  <si>
    <t>DT_INCPTN</t>
  </si>
  <si>
    <t>DT_INTRNL_RTNG</t>
  </si>
  <si>
    <t>Em testes, campo entregue por IT durante a OSI. Incidência nos formatos. Testar e validar controlos NOK</t>
  </si>
  <si>
    <t>Em testes, campo entregue por IT durante a OSI. Testar e validar controlos</t>
  </si>
  <si>
    <t>DT_INTTN_LGL_PRCDNGS_LE</t>
  </si>
  <si>
    <t>DVLPMNT_STTS</t>
  </si>
  <si>
    <t>Alterar especificação. Campo dependente do MUG</t>
  </si>
  <si>
    <t>Mapeamento de acordo com o CNSTRCTN_STTS</t>
  </si>
  <si>
    <t>DT_LST_FLL_APPRSL</t>
  </si>
  <si>
    <t>Campo está a reportar a data da última avaliação e não a data da última avaliação in person. Implementação não está a aplicar a metodologia de cálculo de acordo com a especificação</t>
  </si>
  <si>
    <t>DT_MTRTY_PRTCTN</t>
  </si>
  <si>
    <t>SICR_ASSSSMNT_MTHD</t>
  </si>
  <si>
    <t>Rever com Corporação se a codelist do IMPRMNT_STTS alterou, caso não tenha alterado não é necessário alterar o campo.</t>
  </si>
  <si>
    <t>E-mail enviado para Corporação. Codelist IMPRMNT_STTS não alterou</t>
  </si>
  <si>
    <t>-</t>
  </si>
  <si>
    <t>DT_ORGNL_MTRTY</t>
  </si>
  <si>
    <t>NTNL_ID</t>
  </si>
  <si>
    <t>Campo com incidência (Formatos). Remover aspas</t>
  </si>
  <si>
    <t>DT_PRFRMNG_STTS_LE</t>
  </si>
  <si>
    <t>IFRS9_BHVRL_MTRTY</t>
  </si>
  <si>
    <t>Alterar especificação. Necessidade de alteração da fonte para fins de reconciliação</t>
  </si>
  <si>
    <t>Em curso. Aguardamos resposta da equipa de Imparidade. Sempre que o campo for nulo colocar 111111111 valor de NA</t>
  </si>
  <si>
    <t xml:space="preserve">Alteração de fonte e tabelas reporting para tabelas terminadas em 7_8
</t>
  </si>
  <si>
    <t>DT_PST_D</t>
  </si>
  <si>
    <t>DT_RFRNC</t>
  </si>
  <si>
    <t>DT_STRT_GP_PPAL</t>
  </si>
  <si>
    <t>DT_STRT_INTRST_ONLY</t>
  </si>
  <si>
    <t>DT_VLTN</t>
  </si>
  <si>
    <t>POCI</t>
  </si>
  <si>
    <t>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t>
  </si>
  <si>
    <t>EAD</t>
  </si>
  <si>
    <t>Em testes. Campo com incidências, mas corrigida na LT no âmbito da OSI.</t>
  </si>
  <si>
    <t>EBA_CMPLNT_MRTR_ST_C19</t>
  </si>
  <si>
    <t>OTSTNDNG_NMNL_AMNT_INSTRMNT_PRVS</t>
  </si>
  <si>
    <t>Campo com incidência</t>
  </si>
  <si>
    <t>Diferenças na fonte
Regra utilizada na OSI:
cast(NVL((LT02_PRVS.GRSS_CRRYNG_AMNT_INSTRMNT_PRVS - NVL(ACCRD_T1.ACCRD_INTRST_INSTRMNT_PRVS,0)) ,11111111111.00) as decimal(21,2)) as  OTSTNDNG_NMNL_AMNT_INSTRMNT_PRVS</t>
  </si>
  <si>
    <t>INSTLMNT_PAY</t>
  </si>
  <si>
    <t>Campo especificado, mas com pouca qualidade de dados</t>
  </si>
  <si>
    <t>EC_GRP_ID</t>
  </si>
  <si>
    <t>EC_GRP_NM</t>
  </si>
  <si>
    <t>ECNMC_ACTVTY</t>
  </si>
  <si>
    <t>EIR</t>
  </si>
  <si>
    <t>EIR_INCPTN</t>
  </si>
  <si>
    <t>ELGBLTY_ECB</t>
  </si>
  <si>
    <t>EMPLYMNT_STTS</t>
  </si>
  <si>
    <t>EMPLYMNT_STTS_INTRNL</t>
  </si>
  <si>
    <t>ENTRPRS_SZ_LE</t>
  </si>
  <si>
    <t>ENTTY_ID</t>
  </si>
  <si>
    <t>ENTTY_NM</t>
  </si>
  <si>
    <t>EQTY</t>
  </si>
  <si>
    <t>EQTY_PRVS</t>
  </si>
  <si>
    <t>EXPCTD_LSS_CRR</t>
  </si>
  <si>
    <t>EXPSR_IN_SCP</t>
  </si>
  <si>
    <t>FRBRNC_STTS_INSTRMNT</t>
  </si>
  <si>
    <t>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t>
  </si>
  <si>
    <t>EXTRNL_RTNG_PRVS</t>
  </si>
  <si>
    <t>Alterar especificação para casos em informação na fonte.</t>
  </si>
  <si>
    <t>Quando não existe informação na fonte em vez de MISS substituir por NA</t>
  </si>
  <si>
    <t>EXTRNL_RTNG_NM</t>
  </si>
  <si>
    <t>FLD_SYNDCTN</t>
  </si>
  <si>
    <t>Em implementação IT BST (Sindicados)</t>
  </si>
  <si>
    <t>Aguarda desenvolvimentos nas plataformas Loan IQ e Mercurio</t>
  </si>
  <si>
    <t>2.1. Re-especificação de campos complexos | Sindicados</t>
  </si>
  <si>
    <t>FLG_BNKRPTCY_IN_GRP</t>
  </si>
  <si>
    <t>FLG_HGH_CDS</t>
  </si>
  <si>
    <t>FLG_ISDA_CRDT_EVNT</t>
  </si>
  <si>
    <t>FLG_LBO</t>
  </si>
  <si>
    <t>FLG_NN_ACCRL</t>
  </si>
  <si>
    <t>FLG_RQST_BNKRPTCY</t>
  </si>
  <si>
    <t>FLG_RQST_DSTRSSD_RSTRCTRNG</t>
  </si>
  <si>
    <t>Em especificação, rever fonte</t>
  </si>
  <si>
    <t>FLG_RQST_EMRGNCY_FNDNG</t>
  </si>
  <si>
    <t>FLG_SLL_WTH_LSS</t>
  </si>
  <si>
    <t>FR_CSH_FLW</t>
  </si>
  <si>
    <t>FR_CSH_FLW_T1</t>
  </si>
  <si>
    <t>FR_CSH_FLW_T2</t>
  </si>
  <si>
    <t>FR_CSH_FLW_T3</t>
  </si>
  <si>
    <t>FRBRNC_STTS_C19</t>
  </si>
  <si>
    <t>EXTRNL_RTNG</t>
  </si>
  <si>
    <t>GCC_PRNT_ID</t>
  </si>
  <si>
    <t>GCC_PRNT_NM</t>
  </si>
  <si>
    <t>GDWILL</t>
  </si>
  <si>
    <t>GDWILL_PRVS</t>
  </si>
  <si>
    <t>GRC_PRD_CPTL_INTRST_C19</t>
  </si>
  <si>
    <t>GRNTR_ID</t>
  </si>
  <si>
    <t>GRNTR_ID_TYP</t>
  </si>
  <si>
    <t>GRP_EBITDA</t>
  </si>
  <si>
    <t>GRP_EQTY</t>
  </si>
  <si>
    <t>GRP_NT_DBT</t>
  </si>
  <si>
    <t>GRP_TTL_DBT</t>
  </si>
  <si>
    <t>GRSS_CRRYNG_AMNT_INSTRMNT</t>
  </si>
  <si>
    <t>HEDGE_ID</t>
  </si>
  <si>
    <t>HRCT_MV</t>
  </si>
  <si>
    <t>IDCMB</t>
  </si>
  <si>
    <t>Em testes pela equipa de CDO</t>
  </si>
  <si>
    <t>EBITDA_PRVS</t>
  </si>
  <si>
    <t>Alterar especificação (Luis Bastos enviou nova metodologia do campo)</t>
  </si>
  <si>
    <t>IFRS9_CCF</t>
  </si>
  <si>
    <t>Campo Imparidade</t>
  </si>
  <si>
    <t>IFRS9_EAD</t>
  </si>
  <si>
    <t>IFRS9_LGD</t>
  </si>
  <si>
    <t>IMPRMNT_ASSSSMNT_MTHD</t>
  </si>
  <si>
    <t>IMPRMNT_CLCLTN_MTHD</t>
  </si>
  <si>
    <t>Rever com a Corporação se a nova code list foi apenas para a OSI (relativamente ao tema dos POCI).</t>
  </si>
  <si>
    <t>INCM_SC</t>
  </si>
  <si>
    <t>Em especificação (Salários)</t>
  </si>
  <si>
    <t>EBITDA</t>
  </si>
  <si>
    <t>INSTR_SNRTY_CLSS</t>
  </si>
  <si>
    <t>INSTRMNT_CLSS</t>
  </si>
  <si>
    <t>INSTRMNT_ID</t>
  </si>
  <si>
    <t>INTRNL_RTNG</t>
  </si>
  <si>
    <t>Em testes</t>
  </si>
  <si>
    <t>INTRNL_RTNG_INCPTN</t>
  </si>
  <si>
    <t>Alterar especificação, campo com incidência. Controlos NOK</t>
  </si>
  <si>
    <t>Na LT apenas foi especifido os restantes internal ratings, estando em falta o internal rating à data de inception.</t>
  </si>
  <si>
    <t>INTRNL_RTNG_PRVS</t>
  </si>
  <si>
    <t>INTRNL_SGMNT</t>
  </si>
  <si>
    <t>INTRNL_SGMNT_CAT_MSTA</t>
  </si>
  <si>
    <t>INTRNL_SGMNT_CATGSUB</t>
  </si>
  <si>
    <t>INTRNL_SGMNT_IFRS9</t>
  </si>
  <si>
    <t>INTRNL_UNT</t>
  </si>
  <si>
    <t>INTRST_RT_RST_FRQNCY</t>
  </si>
  <si>
    <t>ISIN</t>
  </si>
  <si>
    <t>ISIN_SCRTSTN</t>
  </si>
  <si>
    <t>ISSR_CNTRY</t>
  </si>
  <si>
    <t>ISSR_ESA_2010</t>
  </si>
  <si>
    <t>ISSR_ID</t>
  </si>
  <si>
    <t>ISSR_ID_TYP</t>
  </si>
  <si>
    <t>ISSR_NACE_SCTR</t>
  </si>
  <si>
    <t>ISSR_RTNG</t>
  </si>
  <si>
    <t>ISSR_RTNG_SRC</t>
  </si>
  <si>
    <t>ISSR_TYP</t>
  </si>
  <si>
    <t>JNT_LBLTY_AMNT</t>
  </si>
  <si>
    <t>LCL_INSTMRNT_ID</t>
  </si>
  <si>
    <t>LCR_BFFR_CTGRY</t>
  </si>
  <si>
    <t>LCRE</t>
  </si>
  <si>
    <t>Ficheiro enviado pela área. Rever se é necessário alterar a especificação de modo a estar de acordo com imparidade. Foi decisão que a informação a reportar deveria reconciliar com a informação de imparidade e por essa mesma razão não se utilizou os dados da LT</t>
  </si>
  <si>
    <t>LEI</t>
  </si>
  <si>
    <t>LGD</t>
  </si>
  <si>
    <t>LGL_PRCDNG_STTS</t>
  </si>
  <si>
    <t>LGL_PRCDNG_STTS_LE</t>
  </si>
  <si>
    <t>LND_DRGTN</t>
  </si>
  <si>
    <t>LSTI</t>
  </si>
  <si>
    <t>LTI</t>
  </si>
  <si>
    <t>LTI_INSTRMNT</t>
  </si>
  <si>
    <t>LTV</t>
  </si>
  <si>
    <t>LTV_INCPTN</t>
  </si>
  <si>
    <t>LTV_NPE</t>
  </si>
  <si>
    <t>LVRG</t>
  </si>
  <si>
    <t>LVRG_FNNC_FLG</t>
  </si>
  <si>
    <t>LVRG_PRVS</t>
  </si>
  <si>
    <t>MN_ENTTY_ID</t>
  </si>
  <si>
    <t>Campo com incidências. Verificar necessidade de alteração da fonte para fins de reconciliação.
Campo novo, enviado para especificação em Fevereiro e entregue por IT em Março (durante a OSI), no entanto campo está com incidências nas garantias prestadas (detetadas no decurso da OSI)</t>
  </si>
  <si>
    <t>Rever se os 1os titulares devem ser os da FR ou os da CL001 (clientes)</t>
  </si>
  <si>
    <t>MN_PRPS</t>
  </si>
  <si>
    <t>MNTHL_INCM</t>
  </si>
  <si>
    <t>MNTHL_INCM_SLR</t>
  </si>
  <si>
    <t>MNTHL_TRNVR</t>
  </si>
  <si>
    <t>MTRTY_LTST_FRBRNC_MSR_C19</t>
  </si>
  <si>
    <t>MTRTY_LTST_MRTR_C19</t>
  </si>
  <si>
    <t>NMBR_FRBRNC_MSRS</t>
  </si>
  <si>
    <t>NT_INCM</t>
  </si>
  <si>
    <t>NT_INCM_PRVS</t>
  </si>
  <si>
    <t>RWA_MTHD</t>
  </si>
  <si>
    <t>Alteração de formato de 11111111.00 para 11111111</t>
  </si>
  <si>
    <t>Incidência relativamente ao formatos corrigida. Controlos testados e OK</t>
  </si>
  <si>
    <t>OBSRVD_AGNT_ID</t>
  </si>
  <si>
    <t>OBSRVD_AGNT_NM</t>
  </si>
  <si>
    <t>OFF_BLNC_SHT_AMNT_INSTRMNT</t>
  </si>
  <si>
    <t>OFF_BLNC_SHT_AMNT_INSTRMNT_PRVS</t>
  </si>
  <si>
    <t>MISS deviam estar a ser reportados como NA ou zero</t>
  </si>
  <si>
    <t>OSI_ID</t>
  </si>
  <si>
    <t>OTSTNDNG_NMNL_AMNT_INSTRMNT</t>
  </si>
  <si>
    <t>DT_FRBRNC_STTS_PRVS</t>
  </si>
  <si>
    <t>Alterar especificação (alteração da fonte para a FR004)</t>
  </si>
  <si>
    <t>OWND_BY_SPNSR</t>
  </si>
  <si>
    <t>PBLC_GRNT_SCHM_C19_NM</t>
  </si>
  <si>
    <t>PD_CRR_INCPTN</t>
  </si>
  <si>
    <t>Campo com incidência. Confirmar com Tecnologia que o campo está alterado com base no que foi identificado na OSI</t>
  </si>
  <si>
    <t>PD_CRR_RD</t>
  </si>
  <si>
    <t>PD_CRR_RD_T1</t>
  </si>
  <si>
    <t>PD_IFRS9_12M_INCPTN</t>
  </si>
  <si>
    <t>PD_IFRS9_12M_RD</t>
  </si>
  <si>
    <t>Controlos NOK justificados no âmbito da OSI. 
1) Contratos fora do universo de IFRS9 2) Clientes que não são primeiros titulares de nenhum contrato
Alterar especificação  caso a LT passe a reportar os 1os titulares da Contabilidade.</t>
  </si>
  <si>
    <t>PD_IFRS9_12M_RD_T1</t>
  </si>
  <si>
    <t>PD_IFRS9_LFTM_INCPTN</t>
  </si>
  <si>
    <t>PD_IFRS9_RMNNG_LFTM_INCPTN</t>
  </si>
  <si>
    <t>PD_IFRS9_RMNNG_LFTM_RD</t>
  </si>
  <si>
    <t>PMNT_PBLC_GRNT_SCHM_C19</t>
  </si>
  <si>
    <t>DT_FRBRNC_STTS</t>
  </si>
  <si>
    <t>PRCH_UNDR_RSL_AGR</t>
  </si>
  <si>
    <t>PRDCT</t>
  </si>
  <si>
    <t>PRDNTL_PRTFL</t>
  </si>
  <si>
    <t>PRFRMNG_STTS_LE</t>
  </si>
  <si>
    <t>PRJCT_FNNC_LN</t>
  </si>
  <si>
    <t>PRM_LCTN</t>
  </si>
  <si>
    <t>100220 Casos que deviam ser N e estão a ser reportados MISS</t>
  </si>
  <si>
    <t>PRMRY_ASST_CLSSF</t>
  </si>
  <si>
    <t>PRPS</t>
  </si>
  <si>
    <t>PRSN_TYP</t>
  </si>
  <si>
    <t>PRT_LCR_BFFR</t>
  </si>
  <si>
    <t>PRTCTN_ALLCTD_VL</t>
  </si>
  <si>
    <t>PRTCTN_CLLD</t>
  </si>
  <si>
    <t>PRTCTN_FRCD_SL_VL</t>
  </si>
  <si>
    <t>PRTCTN_ID</t>
  </si>
  <si>
    <t>PRTCTN_PRVDR_ID</t>
  </si>
  <si>
    <t>PRTCTN_TYP_PBLC_GRNT_SCHM_C19</t>
  </si>
  <si>
    <t>DT_EXTRNL_RTNG</t>
  </si>
  <si>
    <t>1) Campo com incidência, está a reportar apenas valores de MISS e N/A</t>
  </si>
  <si>
    <t>14 casos com valor original da proteção a zero</t>
  </si>
  <si>
    <t>PRTCTN_VL_PRVS</t>
  </si>
  <si>
    <t>PRTCTN_VLTN_APPRCH</t>
  </si>
  <si>
    <t>PRVSNS_OFF_BLNC_SHT</t>
  </si>
  <si>
    <t>PYMNT_FRQNCY</t>
  </si>
  <si>
    <t>Campo com incidência. Verificar necessidade de alteração da fonte para fins de reconciliação</t>
  </si>
  <si>
    <t>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t>
  </si>
  <si>
    <t>PYMNT_INTRST_ONLY</t>
  </si>
  <si>
    <t>Foi decisão que a informação a reportar deveria reconciliar com a informação de imparidade e por essa mesma razão não se utilizou os dados da LT. Rever se devemos utilizar a informação de IFRS9 ou manter a de alm</t>
  </si>
  <si>
    <t>RCRS</t>
  </si>
  <si>
    <t>RCVD_AMRTSTN_12M</t>
  </si>
  <si>
    <t>RCVD_AMRTSTN_24M</t>
  </si>
  <si>
    <t>Criação de uma tabela auxiliar de histórico dos estados de construção numa ótica diária</t>
  </si>
  <si>
    <t>DFLT_STTS_INSTRMNT</t>
  </si>
  <si>
    <t>É necessário adicionar este campo como obrigatório  para as linhas manuais (CMAH) e rever com a Leonor a tabela de parametrização (a área identificou incidências de acordo com o GUIA). Na OSI apenas foi adicionado a informação para ajustes manuais.</t>
  </si>
  <si>
    <t>CMMTMNT_INSTRMNT</t>
  </si>
  <si>
    <t>Alterar especificação (Área enviou nova metodologia do campo)</t>
  </si>
  <si>
    <t>Nova metodologia identificada pelo Rafael Pessoa durante OSI IFRS9, é necessário alterar a especificação para GRSS_CRRYNG_AMNT_INSTRMNT - OFF_BLNC_SHT_AMNT_INSTRMNT</t>
  </si>
  <si>
    <t>RFRNC_RT</t>
  </si>
  <si>
    <t>RL_ESTT_ADDRSS</t>
  </si>
  <si>
    <t>CMLTV_RCVRS_SNC_DFLT_INSTRMNT</t>
  </si>
  <si>
    <t>RL_ESTT_CLLTRL_LCTN_INT</t>
  </si>
  <si>
    <t>RL_ESTT_CTY</t>
  </si>
  <si>
    <t>RL_ESTT_PST_CD</t>
  </si>
  <si>
    <t>RRE_FNRP18</t>
  </si>
  <si>
    <t>RTNG_MTHD</t>
  </si>
  <si>
    <t>RTNG_SCL</t>
  </si>
  <si>
    <t>RTNTN_SHR</t>
  </si>
  <si>
    <t>RWA</t>
  </si>
  <si>
    <t>DT_LGL_FNL_MTRTY</t>
  </si>
  <si>
    <t xml:space="preserve">Controlos NOK e com Incidência nos formatos. </t>
  </si>
  <si>
    <t>Alterarção formato de 99999999 para 1111-11-11.</t>
  </si>
  <si>
    <t>SBJCT_PBLC_GRNT_SCHM_C19</t>
  </si>
  <si>
    <t>DT_NXT_INTRST_RT_RST</t>
  </si>
  <si>
    <t>Controlos NOK e com Incidência nos formatos.</t>
  </si>
  <si>
    <t xml:space="preserve"> Alteração formato de 0001-01-01 para 0000-00-00.</t>
  </si>
  <si>
    <t>SME_FNRP18</t>
  </si>
  <si>
    <t>SNGL_PRPS_VHCL</t>
  </si>
  <si>
    <t>SPCLTV_LNDNG</t>
  </si>
  <si>
    <t>SPNSR_NM</t>
  </si>
  <si>
    <t>SPRD</t>
  </si>
  <si>
    <t>SRCS_ENCMBRNC</t>
  </si>
  <si>
    <t>STTS_UNDRWRTTN_TRNSCTN</t>
  </si>
  <si>
    <t>SUBPORTFOLIO_ID</t>
  </si>
  <si>
    <t>SYNDCT_RL</t>
  </si>
  <si>
    <t>SYNDCTD_AGNT</t>
  </si>
  <si>
    <t>SYNDCTD_CNTRCT_ID</t>
  </si>
  <si>
    <t>SYNDCTD_LNDRS</t>
  </si>
  <si>
    <t>SYNDCTD_SHR</t>
  </si>
  <si>
    <t>SYNDCTN_TYP</t>
  </si>
  <si>
    <t>TAX_ID</t>
  </si>
  <si>
    <t>Campo especificado, mas com problemas a montante</t>
  </si>
  <si>
    <t>Concluido, controlos por parte de Riscos</t>
  </si>
  <si>
    <t>THRD_PRTY_PRRTY_CLMS</t>
  </si>
  <si>
    <t>TRNCH</t>
  </si>
  <si>
    <t>TTL_DBT</t>
  </si>
  <si>
    <t>TTL_DBT_PRVS</t>
  </si>
  <si>
    <t>ACCRD_INTRST_INSTRMNT</t>
  </si>
  <si>
    <t>TTL_LVRG_RT</t>
  </si>
  <si>
    <t>TTL_LVRG_RT_PRVS</t>
  </si>
  <si>
    <t>TYP_AMRTSTN</t>
  </si>
  <si>
    <t>TYP_CMPLNT_MRTR_C19</t>
  </si>
  <si>
    <t>TYP_CRE_OPRTN</t>
  </si>
  <si>
    <t>TYP_INSTRMNT</t>
  </si>
  <si>
    <t>TYP_INTRST_RT</t>
  </si>
  <si>
    <t>Incidências: Casos em que valor é 0</t>
  </si>
  <si>
    <t>44 garantias com valor zero.</t>
  </si>
  <si>
    <t>PRTCTN_VL_NPE</t>
  </si>
  <si>
    <t xml:space="preserve">Campo depende do histórico do PRFRMNG_STTS. Não é necessário alterar a especificação do mesmo, apenas testar se a metodologia do campo PRFRMNG_STTS for alterada. </t>
  </si>
  <si>
    <t>TYP_PRTCTN_INTRNL</t>
  </si>
  <si>
    <t>TYP_PRTCTN_VL</t>
  </si>
  <si>
    <t>TYPE_OF_PLCMNT</t>
  </si>
  <si>
    <t>VLTN_CRRNCY</t>
  </si>
  <si>
    <t>VLTN_TYP</t>
  </si>
  <si>
    <t>WTCH_LST</t>
  </si>
  <si>
    <t>YR_CNSTRCTN</t>
  </si>
  <si>
    <t>ADDRSS_CTY</t>
  </si>
  <si>
    <t>PM - Novos Campos</t>
  </si>
  <si>
    <t>ADDRSS_STRT</t>
  </si>
  <si>
    <t>DT_ENTRPRS_SZ</t>
  </si>
  <si>
    <t>NMBR_EMPLYS</t>
  </si>
  <si>
    <t>LGL_FRM</t>
  </si>
  <si>
    <t>HD_OFFC_UNDRTKNG_ID</t>
  </si>
  <si>
    <t>IMMDT_PRNT_UNDRTKNG_ID</t>
  </si>
  <si>
    <t>ULTMT_PRNT_UNDRTKNG_ID</t>
  </si>
  <si>
    <t>TTL_ASSTS</t>
  </si>
  <si>
    <t>ENTTY_ID_BDR</t>
  </si>
  <si>
    <t>CPN_RT_FLTNG</t>
  </si>
  <si>
    <t>INTRST_RT_CP</t>
  </si>
  <si>
    <t>INTRST_RT_FLR</t>
  </si>
  <si>
    <t>NMNL_INTRST_RT_FEE</t>
  </si>
  <si>
    <t>DT_STTLMNT</t>
  </si>
  <si>
    <t>TRNSFRRD_AMNT</t>
  </si>
  <si>
    <t>TYP_SCRTZTN</t>
  </si>
  <si>
    <t>TYP_OFF_BLNC_PRDCT</t>
  </si>
  <si>
    <t>1. Novos Campos</t>
  </si>
  <si>
    <t>BLNC_SHT_RCGNTN</t>
  </si>
  <si>
    <t>FLG_DFLT</t>
  </si>
  <si>
    <t>FLG_HGH_RSK</t>
  </si>
  <si>
    <t>PRTNR</t>
  </si>
  <si>
    <t>INCNTVS</t>
  </si>
  <si>
    <t>OTHR_OPRTNG_INCM</t>
  </si>
  <si>
    <t>RFRRL_FS</t>
  </si>
  <si>
    <t>INSRNC_CMSSNS</t>
  </si>
  <si>
    <t>OTHR_INCM_AND_CHRGS</t>
  </si>
  <si>
    <t>TX_ON_PRFT</t>
  </si>
  <si>
    <t>LND_AR</t>
  </si>
  <si>
    <t>LN_PSTN</t>
  </si>
  <si>
    <t>RL_ESTT_LNGTD</t>
  </si>
  <si>
    <t>RL_ESTT_LTTD</t>
  </si>
  <si>
    <t>INSTR_ACTIVITY</t>
  </si>
  <si>
    <t>PRCNTG_ACTVTY</t>
  </si>
  <si>
    <t>Tabela</t>
  </si>
  <si>
    <t>Campo</t>
  </si>
  <si>
    <t>Tipo de teste</t>
  </si>
  <si>
    <t>Descritivo</t>
  </si>
  <si>
    <t>Data atualização</t>
  </si>
  <si>
    <t>Data de referência</t>
  </si>
  <si>
    <t>Duvidas/comentários</t>
  </si>
  <si>
    <t>Query</t>
  </si>
  <si>
    <t>INSTRMNT</t>
  </si>
  <si>
    <t>Completude</t>
  </si>
  <si>
    <t>Validar se o número de MISS e N/A</t>
  </si>
  <si>
    <t xml:space="preserve">
SELECT rwa_mthd, a.NUM_REGISTOS, a.NUM_REGISTOS/b.NUM_REGISTOS*100 as Perc
from
(SELECT rwa_mthd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rwa_mthd in ('99999999999', '11111111111')</t>
  </si>
  <si>
    <t>Desenvolvimento</t>
  </si>
  <si>
    <t>Validar alteração de formato de 11111111.00 para 11111111</t>
  </si>
  <si>
    <t>SELECT count(*), rwa_mthd
FROM cd_loan_tapes_bce.lt002_instrument
WHERE 1=1 
  AND REF_DATE='${date}'
  AND NOME_PERIMETRO='Individual Corporativo'
  AND AMBITO = 'PM'
  AND SEGMENTO = 'ESTR'
GROUP BY 2 ORDER BY 1</t>
  </si>
  <si>
    <t xml:space="preserve">Validar condição de N/A sempre que não existe de consumo de capital </t>
  </si>
  <si>
    <t>SELECT DISTINCT 
                EAD,
                RWA,
                rwa_mthd,
                VAL
FROM  
(SELECT DISTINCT INSTRMNT_ID,
                EAD,
                RWA,
                rwa_mthd
FROM cd_loan_tapes_bce.LT002_INSTRUMENT
WHERE REF_DATE='${date}'
  AND NOME_PERIMETRO='Individual Corporativo'
  AND AMBITO = 'PM')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VAL=0</t>
  </si>
  <si>
    <t>Controlos</t>
  </si>
  <si>
    <t>If "RWA" is populated other than default values, then "RWA calculation method" cannot be 'Not applicable'</t>
  </si>
  <si>
    <t>SELECT instrmnt_id, ead, rwa, rwa_mthd
FROM cd_loan_tapes_bce.lt002_instrument
WHERE 1=1 
  AND REF_DATE='${date}'
  AND NOME_PERIMETRO='Individual Corporativo'
  AND AMBITO = 'PM'
  AND SEGMENTO = 'ESTR'
 AND rwa NOT IN (99999999999.00, 11111111111.00)
  and rwa_mthd = 11111111111</t>
  </si>
  <si>
    <t>If "RWA" is populated with 'Not applicable', then "RWA calculation method" must be a default value</t>
  </si>
  <si>
    <t>SELECT instrmnt_id, ead, rwa, rwa_mthd
FROM cd_loan_tapes_bce.lt002_instrument
WHERE 1=1 
  AND REF_DATE='${date}'
  AND NOME_PERIMETRO='Individual Corporativo'
  AND AMBITO = 'PM'
  AND SEGMENTO = 'ESTR'
 AND rwa = 11111111111.00
  and rwa_mthd &lt;&gt; 11111111111</t>
  </si>
  <si>
    <t>Validar se o campo está de acordo com a Codelist</t>
  </si>
  <si>
    <t>SELECT rwa, a.NUM_REGISTOS, a.NUM_REGISTOS/b.NUM_REGISTOS*100 as Perc
from
(SELECT rwa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 in (99999999999, 11111111111)</t>
  </si>
  <si>
    <t>Validar formatos</t>
  </si>
  <si>
    <t>SELECT count(*), rwa 
FROM cd_loan_tapes_bce.lt002_instrument
WHERE 1=1 
  AND REF_DATE='${date}'
  AND NOME_PERIMETRO='Individual Corporativo'
  AND AMBITO = 'PM'
  AND SEGMENTO = 'ESTR'
GROUP BY 2 ORDER BY 1</t>
  </si>
  <si>
    <t>Validar se não existem valores negativos</t>
  </si>
  <si>
    <t>1 Contrato com valores negativos</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</si>
  <si>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RWA &lt; 0</t>
  </si>
  <si>
    <t>Teste contra a fonte</t>
  </si>
  <si>
    <t>A fonte (CT013) tem um valor muito superior, porque existem várias chaves FR para uma chave BDR</t>
  </si>
  <si>
    <t>SELECT DISTINCT
                INSTRMNT_ID,
                S1EMP,
                CONTRA1,
                EAD,
                RWA,
                rwa_final,
                ead_final_bruta
FROM  
(SELECT DISTINCT INSTRMNT_ID,
                CCF,
                dflt_stts_instrmnt,
                DPD,
                EAD,
                LGD,
                pd_crr_incptn,
                pd_crr_rd,
                pd_crr_rd_t1,
                RWA,
                rwa_mthd,
                spcltv_lndng,
                crrltn_cffcnt
FROM cd_loan_tapes_bce.LT002_INSTRUMENT
WHERE REF_DATE='${date}'
  AND NOME_PERIMETRO='Individual Corporativo'
  AND AMBITO = 'PM'  
--   AND instrmnt_id = '31000347000690020000000000000000'
) LT002
INNER JOIN
(SELECT CHAVE_FR, KT.S1EMP, KT.CONTRA1, SUM(flag_cons_cap) AS VAL, SUM(RWA_FINAL) AS RWA_FINAL, SUM(ead_final_bruta) AS ead_final_bruta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WHERE CHAVE_FR = '31005122428280011667450200000001' OR concat(S1EMP,CONTRA1) = '1814008684'
) KT
INNER JOIN
(SELECT CT013.* FROM
(SELECT          REF_DATE,
                 id_capital_perimetros,
                 s1emp,
                 contra1,
                 flag_cons_cap,
                 rwa_final,
                 ead_final_bruta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1,2,3
) X
on CHAVE_FR = INSTRMNT_ID</t>
  </si>
  <si>
    <t>Verificar saldo de capital</t>
  </si>
  <si>
    <t>SELECT LT002.instrmnt_id, RWA, EAD, CONCAT(LT001.cempresa,LT001.cbalcao,LT001.cnumecta,LT001.zdeposit) AS CHAVE_FR, NVL(SUM(LT001.msaldo_final),0) AS Saldo_Capital
FROM
(SELECT cempresa, cbalcao, cnumecta, zdeposit, ccontab_final_cargabal, msaldo_final
FROM cd_loan_tapes_bce.lt001_univ_oper
WHERE  REF_DATE = '${date}'
AND NOME_PERIMETRO='Individual Corporativo'
AND AMBITO = 'PM'
) LT001
INNER JOIN
(SELECT *
FROM cd_loan_tapes_bce.kt_chaves_lt
WHERE  REF_DATE = '${date}'
AND NOME_PERIMETRO='Individual Corporativo'
AND AMBITO = 'PM'
AND segmento = 'ESTR') KT_LT
ON CONCAT(LT001.cempresa,LT001.cbalcao,LT001.cnumecta,LT001.zdeposit) = CONCAT(KT_LT.cempresa,KT_LT.cbalcao,KT_LT.cnumecta,KT_LT.zdeposit)
INNER JOIN
(SELECT instrmnt_id, rwa, ead
FROM cd_loan_tapes_bce.lt002_instrument
WHERE  REF_DATE = '${date}'
AND NOME_PERIMETRO='Individual Corporativo'
AND AMBITO = 'PM'
AND segmento ='ESTR'
AND instrmnt_id in (
'310051224282800116674502P0080001',
'310051224282800116674502P0070001',
'310051224282800116674502P0060001',
'31005122428280011667450200000001',
'310051224282800116674502P0100001',
'310051224282800116674502P0110001',
'310051224282800116674502P0020001',
'310051224282800116674502P0010001',
'310051224282800116674502P0030001',
'310051224282800116674502P0090001'
)
) LT002
ON KT_LT.INSTRMNT_ID = LT002.INSTRMNT_ID
LEFT JOIN
(SELECT *
FROM cd_captools.fr802_pl_contas
WHERE 1=1 
    AND REF_DATE = '${date}'
    AND cod_plano = 'CARGABAL'
    AND ((tipo_conta IN ('A','P') AND carteira_contabilistica not in('provisoes para compromissos e garantias concedidas', 'outras provisoes') AND composicao_valor &lt;&gt; 'imparidade acumulada' AND bruto_imparidade &lt;&gt; 'imparidade')
OR (tipo_conta IN ('EA','EP','M')))
) FR802
ON FR802.CONTA = LT001.ccontab_final_cargabal
LEFT JOIN
(SELECT *
FROM cd_captools.ct805_matriz_cnt
WHERE 1=1 
    AND REF_DATE = '${date}'
    AND DOMINIO = 'Capital'
    AND NOME_PERIMETRO = 'Individual Corporativo'
) CT805
ON FR802.CONTA = CT805.CONTA
GROUP BY 1,2,3,4</t>
  </si>
  <si>
    <t xml:space="preserve">
SELECT ead, a.NUM_REGISTOS, a.NUM_REGISTOS/b.NUM_REGISTOS*100 as Perc
from
(SELECT ead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ead in (99999999999, 11111111111)</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</si>
  <si>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EAD &lt; 0</t>
  </si>
  <si>
    <t>PRTCTN</t>
  </si>
  <si>
    <t>Default values</t>
  </si>
  <si>
    <t>Validar que os MISS e NA estão de acordo com a especificação</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</si>
  <si>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</si>
  <si>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Validar se campo está de acordo com o especificado</t>
  </si>
  <si>
    <t>SELECT count(*)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valor_it &lt;&gt; valor_simulado</t>
  </si>
  <si>
    <t>Verificar se o campo está de acordo com a Codelist</t>
  </si>
  <si>
    <t>SELECT prm_lctn,
    COUNT(*)
FROM cd_loan_tapes_bce.lt004_protection
WHERE ref_date='${date}'
    AND nome_perimetro='Individual Corporativo'
    AND segmento='ESTR'
    AND ambito='PM'
GROUP BY prm_lctn</t>
  </si>
  <si>
    <t>If "Protection type" does not equal '8 - Residential real estate collateral' nor '9 - Offices and commercial premises' nor '10 - Commercial real estate collateral' then "Prime location according to bank-internal definition  (Y/N)" must be populated with default values</t>
  </si>
  <si>
    <t>Existem 13 casos com TYP_PRTCTN a MISS. Voltar a testar quando TYP_PRTCTN estiver concluído</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</si>
  <si>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NOT IN ('8','9','10')
    AND VALOR_SIMULADO &lt;&gt; 'N/A'</t>
  </si>
  <si>
    <t>If "Protection type" equals '8 - Residential real estate collateral' or '9 - Offices and commercial premises' or '10 - Commercial real estate collateral' then "Prime location according to bank-internal definition  (Y/N)" cannot be 'Not applicable'</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</si>
  <si>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IN ('8','9','10')
    AND VALOR_SIMULADO ='N/A'</t>
  </si>
  <si>
    <t>Campo com valor 0 para os restantes contratos que não estão marcados com valores default</t>
  </si>
  <si>
    <t>SELECT off_blnc_sht_amnt_instrmnt_prvs, count(*)
FROM cd_loan_tapes_bce.lt002_instrument
WHERE 1=1 
  AND REF_DATE='${date}'
  AND NOME_PERIMETRO='Individual Corporativo'
  AND AMBITO = 'PM'
  AND SEGMENTO = 'ESTR'
  AND off_blnc_sht_amnt_instrmnt_prvs NOT IN(11111111111.00,99999999999.00)
GROUP BY 1</t>
  </si>
  <si>
    <t>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AND valor_simulado &lt;&gt; valor_lt</t>
  </si>
  <si>
    <t>SELECT prtctn_id, dt_lst_fll_apprsl
FROM cd_loan_tapes_bce.lt004_protection 
WHERE ref_date='${date}' 
    AND nome_perimetro='Individual Corporativo' 
    AND segmento='ESTR' 
    AND ambito='PM'
    AND prtctn_id LIKE 'P%' 
    -- AND prtctn_id LIKE 'F%' 
    AND dt_lst_fll_apprsl &lt;&gt; '1111-11-11'</t>
  </si>
  <si>
    <t>Date of last full appraisal must be later than 01 January 1970</t>
  </si>
  <si>
    <t>SELECT DISTINCT dt_lst_fll_apprsl
FROM cd_loan_tapes_bce.lt004_protection 
WHERE ref_date='${date}' 
    AND nome_perimetro='Individual Corporativo' 
    AND segmento='ESTR' 
    AND ambito='PM'
    AND dt_lst_fll_apprsl &lt; '1970-01-01'</t>
  </si>
  <si>
    <t>Date of last full appraisal must have a Date format (yyyy-mm-dd)</t>
  </si>
  <si>
    <t xml:space="preserve">SELECT DISTINCT dt_lst_fll_apprsl
FROM cd_loan_tapes_bce.lt004_protection 
WHERE ref_date='${date}' 
    AND nome_perimetro='Individual Corporativo' 
    AND segmento='ESTR' 
    AND ambito='PM'
    AND length(dt_lst_fll_apprsl) &lt;&gt; 10 </t>
  </si>
  <si>
    <t>"Date of last full appraisal" cannot be later than "Reference date"</t>
  </si>
  <si>
    <t xml:space="preserve">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 AND valor_simulado &lt;&gt; valor_lt
    -- AND valor_simulado &gt;= dt_orgnl_prtctn_vl
    AND valor_simulado &gt; '${date}'
-- GROUP BY 1,2,3,4
</t>
  </si>
  <si>
    <t>"Date of last full appraisal" must be greater or equal to the "Date of the appraisal previous to the most recent one available, i.e. previous to the last full appraisal (field DT_LST_FLL_APPRSL)."
If DT_LST_FLL_APPRSL and DT_APPRSL_PRVS are populated other than default values, then DT_LST_FLL_APPRSL &gt;= DT_APPRSL_PRVS</t>
  </si>
  <si>
    <t>Simular especificação</t>
  </si>
  <si>
    <t>SELECT 
CASE WHEN TYP_INSTRMNT NOT IN ('71','80','1001','1002','1004','2001') THEN '11111111111' 
     WHEN LT06.INSTRMNT_ID IS NULL THEN '11111111111' 
     WHEN LT06.INSTRMNT_ID IS NOT NULL AND imov&gt;0 THEN '1' 
     WHEN LT06.INSTRMNT_ID IS NOT NULL AND imov=0 THEN '5' 
     END AS TYP_MRTGG_Simulado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t>
  </si>
  <si>
    <t>If "Type of instrument" is different from '71 - Trade receivables', '80- Finance leases',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or '2001 - Guarantees' then "Type of mortgage" has to be populated with default values</t>
  </si>
  <si>
    <t xml:space="preserve">1027 contratos que possuem uma garantia </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</si>
  <si>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t>
  </si>
  <si>
    <t>If "Protection type" equals '8 - Residential real estate collateral' or '9 - Offices and commercial premises' or '10 - Commercial real estate collateral', then "Type of mortgage" cannot be 'Not applicable'</t>
  </si>
  <si>
    <t>46 Contratos descobertos com proteções imóveis associadas</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</si>
  <si>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TYP_PRTCTN IN ('8','9','10')</t>
  </si>
  <si>
    <t>Número de casos com incidência</t>
  </si>
  <si>
    <t>SELECT count(*) FROM 
(SELECT DISTINCT LT02.instrmnt_id AS instrmnt_id_LT02,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 AND TYP_INSTRMNT NOT IN ('71','80','1001','1002','1004','2001')
    AND TYP_PRTCTN IN ('8','9','10')
)X
WHERE 1=1  
    AND TYP_MRTGG_Simulado = '11111111111'
    AND TYP_INSTRMNT = '20'</t>
  </si>
  <si>
    <t xml:space="preserve">SELECT count(*), count(DISTINCT instrmnt_id_LT02) FROM 
(SELECT DISTINCT LT02.instrmnt_id AS instrmnt_id_LT02, LT06.instrmnt_id, LT06.prtctn_id,
CASE
--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
    and LT06.prtctn_id is not null 
    -- AND TYP_PRTCTN IN ('8','9','10')
)X
-- ORDER BY TYP_MRTGG_Simulado DESC
-- WHERE 1=1  
--     AND TYP_MRTGG_Simulado = '11111111111'
--     AND TYP_INSTRMNT = '20'
</t>
  </si>
  <si>
    <t>"Significant increase in credit risk assessment approach" should match the information on the Codelist</t>
  </si>
  <si>
    <t>SELECT count(*), sicr_assssmnt_mthd, imprmnt_stts
FROM cd_loan_tapes_bce.lt002_instrument
WHERE ref_date='2024-05-31'  
      AND nome_perimetro='Individual Corporativo'  
      AND segmento='ESTR'  
      AND ambito='PM' 
GROUP BY 2, 3</t>
  </si>
  <si>
    <t>If "Impairment status" equals '23 - Stage1' or  '24 - Stage 2' then "Significant increase in credit risk assessment approach" cannot be 'Not applicable'</t>
  </si>
  <si>
    <t>If "Impairment status" is not equal  '23 - Stage1' nor '24 - Stage 2' then "Significant increase in credit risk assessment approach" must be 'Not applicable'</t>
  </si>
  <si>
    <t xml:space="preserve">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</si>
  <si>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"Protection type" should match the information on the Codelist</t>
  </si>
  <si>
    <t xml:space="preserve">SELECT DISTINCT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</si>
  <si>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If "Type of protection received, irrespective of its eligibility for credit risk mitigation according to bank-internal classification" is informed other than default values, then "Protection type" has to be informed other than default values</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</si>
  <si>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&lt;&gt; 'N/A'
 AND TYP_PRTCTN = '11111111111'</t>
  </si>
  <si>
    <t>If "Type of protection received, irrespective of its eligibility for credit risk mitigation according to bank-internal classification" is populated with 'Not Applicable' values then "Protection type" has to be informed with default values</t>
  </si>
  <si>
    <t>Não exitem casos em que TYP_PRTCTN_INTRNL = N/A</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</si>
  <si>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 'N/A'
 AND TYP_PRTCTN &lt;&gt; '11111111111'</t>
  </si>
  <si>
    <t>If "Type of protection value" is set as '1 - Fair value' then "Protection type" has to be set as '3 - Other physical collaterals', '7 - Other protection', '13 - Gold' or '18 - Equity and investment funds shares'</t>
  </si>
  <si>
    <t>2291 Casos</t>
  </si>
  <si>
    <t xml:space="preserve">
SELECT  count(*)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t>
  </si>
  <si>
    <t>Identificar casuistica da incidência</t>
  </si>
  <si>
    <t>2262 garantias financeiras que não são derivados de crédito, 28 securities, 1 MISS</t>
  </si>
  <si>
    <t xml:space="preserve">
SELECT  count(*), typ_prtctn_vl,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
group by 2,3</t>
  </si>
  <si>
    <t>If "Type of protection value" is set as '2 - Long-term sustainable value' or '3 - Market value' then "Protection type" has to be set as '8 - Residential real estate collateral', '9 - Offices and commercial premises' or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</si>
  <si>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IN ('2','3')
    AND TYP_PRTCTN NOT IN ('8','9','10')</t>
  </si>
  <si>
    <t>"Previous appraisal date" must have a Date format (yyyy-mm-dd)</t>
  </si>
  <si>
    <t>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substring(valor_simulado,5,1) &lt;&gt; '-' or substring(valor_simulado,8,1) &lt;&gt; '-'
    -- AND valor_simulado = '9999-99-99'
    -- AND valor_simulado = '0001-01-01'
    -- AND length(valor_simulado) &lt;&gt; 10</t>
  </si>
  <si>
    <t>"Previous appraisal date" must be later than 01 January 1970</t>
  </si>
  <si>
    <t>2 casos com datas ambiguas (anos 1008 e 0201)</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</si>
  <si>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'1970-01-01'
     AND valor_simulado NOT IN ('1111-11-11', '0000-00-00')</t>
  </si>
  <si>
    <t>"Previous appraisal date" cannot be later than "Reference date"</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</si>
  <si>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'2024-05-31'</t>
  </si>
  <si>
    <t>"Previous appraisal date" cannot be earlier than "Date of original protection value"</t>
  </si>
  <si>
    <t>Campo DT_ORGNL_PRTCN_VL com incidência</t>
  </si>
  <si>
    <t>SELECT *
FROM
(SELECT  LT004.prtctn_id, DT_ORGNL_PRTCTN_VL,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DT_ORGNL_PRTCTN_VL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DT_ORGNL_PRTCTN_VL
;</t>
  </si>
  <si>
    <t>"Previous appraisal date" cannot be later than "Date of protection value</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</si>
  <si>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DT_PRTCTN_VL
     AND valor_simulado NOT IN ('1111-11-11','0000-00-00')</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</si>
  <si>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</si>
  <si>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prtctn_id LIKE 'P%'
     AND valor_simulado &lt;&gt; '1111-11-11' </t>
  </si>
  <si>
    <t>"Impairment status" should match the information on the Codelist</t>
  </si>
  <si>
    <t>SELECT count(*), imprmnt_stts
FROM cd_loan_tapes_bce.lt002_instrument
WHERE ref_date='${date}'  AND nome_perimetro='Individual Corporativo'  AND segmento='ESTR'  AND ambito='PM'
GROUP BY 2</t>
  </si>
  <si>
    <t>"Impairment status" can only be '23 - Stage 1 (IFRS)' or '24 - Stage 2 (IFRS)' or '25 - Stage 3 (IFRS)' or default values(Since Santander Group is IFRS compliance and do not apply General Accounting Accepted Principles (GAAP) on a consolidated basis)</t>
  </si>
  <si>
    <t xml:space="preserve">if "Days past due at reference date" is between 30 and 90 days and "Subportfolio ID" is not classified as 'VRPL - FV with changes in PL' then "Impairment status" must be '24 - Stage 2 (IFRS)' or '25 - Stage 3 (IFRS)' </t>
  </si>
  <si>
    <t>5 contratos com em stage 1</t>
  </si>
  <si>
    <t>SELECT instrmnt_id, imprmnt_stts, dpd, subportfolio_id
FROM cd_loan_tapes_bce.lt002_instrument
WHERE ref_date='${date}'  AND nome_perimetro='Individual Corporativo'  AND segmento='ESTR'  AND ambito='PM'
      AND subportfolio_id &lt;&gt; 'VRPL'
      AND DPD &gt; 30
      AND DPD &lt; 90
      AND imprmnt_stts NOT IN ('24', '25')</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</si>
  <si>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</si>
  <si>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2561 casos em default marcados com stage 1 ou 2</t>
  </si>
  <si>
    <t>SELECT count(*), imprmnt_stts, dflt_stts_instrmnt
    FROM cd_loan_tapes_bce.lt002_instrument
    WHERE ref_date='${date}'  AND nome_perimetro='Individual Corporativo'  AND segmento='ESTR'  AND ambito='PM'
          AND subportfolio_id &lt;&gt; 'VRPL'
          AND dflt_stts_instrmnt IN ('18','19','20')
          AND imprmnt_stts &lt;&gt; '25'
GROUP BY 2,3 ORDER BY 1 DESC</t>
  </si>
  <si>
    <t>if "Default status of the instrument" is set as '14 - Not in default'  and "Subportfolio ID" is not classified as 'VRPL - FV with changes in PL' then "Impairment status" cannot be 25 - Stage 3 (IFRS)'</t>
  </si>
  <si>
    <t>4198 contratos que não estão em default e estaão marcados como stage 3.</t>
  </si>
  <si>
    <t>SELECT count(*), imprmnt_stts, dflt_stts_instrmnt
    FROM cd_loan_tapes_bce.lt002_instrument
    WHERE ref_date='${date}'  AND nome_perimetro='Individual Corporativo'  AND segmento='ESTR'  AND ambito='PM'
          AND subportfolio_id &lt;&gt; 'VRPL'
          AND dflt_stts_instrmnt = '14'
          AND imprmnt_stts = '25'
GROUP BY 2,3 ORDER BY 1 DESC</t>
  </si>
  <si>
    <t>if "Performing status" is '11 - Performing' and "Subportfolio ID" is not classified as 'VRPL - FV with changes in PL' then "Impairment status" cannot be '25 - Stage 3 (IFRS)'</t>
  </si>
  <si>
    <t>SELECT count(*), imprmnt_stts, prfrmng_stts
    FROM cd_loan_tapes_bce.lt002_instrument
    WHERE ref_date='${date}'  AND nome_perimetro='Individual Corporativo'  AND segmento='ESTR'  AND ambito='PM'
          AND subportfolio_id &lt;&gt; 'VRPL'
          AND prfrmng_stts = '11'
          AND imprmnt_stts = '25'
GROUP BY 2,3 ORDER BY 1 DESC</t>
  </si>
  <si>
    <t>If "Type of protection value" is set as '4 - Notional amount' then "Protection type" has to be set as '2 - Life insurance policies pledged', '4 - Credit derivatives', '5 - Financial guarantees other than credit derivatives', '12 - Securities', '15 - Currency and deposits', '16 - Loans', '17 - Trade receivables' or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</si>
  <si>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'4'
    AND TYP_PRTCTN NOT IN ('2','4','5', '12','15','16','17','7')</t>
  </si>
  <si>
    <t>If "Type of protection value" is set as '5 - Types of protection values other than notional amount, market value, fair value or long-term sustainable value' then "Protection type" cannot be 'Not applicable'</t>
  </si>
  <si>
    <t>Não existem casos em que TYP_PRTCTN = 5</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</si>
  <si>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'5'</t>
  </si>
  <si>
    <t>If "Type of protection value" equals 'Not applicable', then "Protection type" should equal '7 - Other protection'</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</si>
  <si>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'11111111111'
    AND TYP_PRTCTN &lt;&gt; '7'</t>
  </si>
  <si>
    <t>If "Previous appraisal date" is populated other than default values then "Protection type" has to be set as '8 - Residential real estate collateral', '9 - Offices and commercial premises' or '10 - Commercial real estate collateral'</t>
  </si>
  <si>
    <t xml:space="preserve">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TYP_PRTCTN NOT IN ('8','9','10')    
   </t>
  </si>
  <si>
    <t>If "Currency of annual income and expenses" is populated other than default values then "Protection type" has to be set as '10 - Commercial real estate collateral' or '9 - Offices and commercial premises'</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</si>
  <si>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
;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t>
  </si>
  <si>
    <t>If "Provider of latest valuation (appraiser)" is populated other than default values then "Protection type" has to be set as '8 - Residential real estate collateral', '9 - Offices and commercial premises', '10 - Commercial real estate collateral'</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</si>
  <si>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APPRSR NOT IN ('N/A', 'MISS')
AND TYP_PRTCTN NOT IN ('8','9','10')
</t>
  </si>
  <si>
    <t>If "Date of last full appraisal" is populated other than default values then "Protection type" has to be set as '8 - Residential real estate collateral', '9 - Offices and commercial premises' or '10 - Commercial real estate collateral'</t>
  </si>
  <si>
    <t xml:space="preserve">SELECT * FROM
(
--- GARANTIAS IMÓVEIS
SELECT prtctn_id, typ_prtctn_vl, CASE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ELSE '99999999999'
END as TYP_PRTCTN
FROM
(SELECT prtctn_id, typ_prtctn_vl
FROM cd_loan_tapes_bce.lt004_protection
WHERE 1=1 
AND ambito = 'PM'
AND segmento = 'ESTR'
AND ref_date = '${date}'
AND nome_perimetro = 'Individual Corporativo'
AND prtctn_id LIKE 'I%') LT004
LEFT JOIN
(SELECT cgarant_bem, ckbalbem, ckctabem, ckrefbem
FROM cd_garantias.gt009_bens_imov
WHERE ref_date = '${date}') GT009
ON prtctn_id = concat('I_',GT009.ckbalbem,'_',GT009.ckctabem,'_',GT009.ckrefbem)
UNION ALL
---- GARANTIAS FINANCEIRAS
SELECT prtctn_id, typ_prtctn_vl, CASE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ELSE '99999999999'
END as TYP_PRTCTN
FROM
(SELECT prtctn_id, typ_prtctn_vl
FROM cd_loan_tapes_bce.lt004_protection
WHERE 1=1 
AND ambito = 'PM'
AND segmento = 'ESTR'
AND ref_date = '${date}'
AND nome_perimetro = 'Individual Corporativo'
AND prtctn_id LIKE 'F%') LT004
LEFT JOIN
(SELECT cgarant_bem, ckbalbem, ckctabem, ckrefbem
FROM cd_garantias.gt004_bens_fin
WHERE ref_date = '${date}') GT004
ON prtctn_id = concat('F_',GT004.ckbalbem,'_',GT004.ckctabem,'_',GT004.ckrefbem)
UNION ALL
--- GARANTIAS PESSOAIS
SELECT DISTINCT prtctn_id, typ_prtctn_vl, CASE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typ_prtctn_vl
FROM cd_loan_tapes_bce.lt004_protection
WHERE 1=1 
AND ambito = 'PM'
AND segmento = 'ESTR'
AND ref_date = '${date}'
AND nome_perimetro = 'Individual Corporativo'
AND prtctn_id LIKE 'P%') LT004
LEFT JOIN
(SELECT DISTINCT cgarant_rpt, ckbalbem, ckctabem, ckrefbem
FROM cd_garantias.gt007_trz_gt_pes
WHERE ref_date = '${date}') GT007
ON prtctn_id = concat('P_',GT007.ckbalbem,'_',GT007.ckctabem,'_',GT007.ckrefbem)
) A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1=1 
    AND valor_simulado &lt;&gt; '1111-11-11'
    AND TYP_PRTCTN NOT IN ('8','9','10')
</t>
  </si>
  <si>
    <t>If "Type protection value is a public guarantee scheme in response to the COVID19 situation" is equal to 'Y' then "Protection type" has to be set as '7 - Other protection'</t>
  </si>
  <si>
    <t xml:space="preserve">Foram eliminados os campos relacionados com Covid 19 </t>
  </si>
  <si>
    <t xml:space="preserve">If "Flag first home" is set as 'Y - Yes' then "Protection Type" must be '8 - Residential real estate collateral', '9- Offices and commercial premises' or '10 - Commercial real estate collateral' </t>
  </si>
  <si>
    <t>Campo novo, ainda não especificado (FLG_FRST_HM)</t>
  </si>
  <si>
    <t>If "Flag Acute Physical Risk at protection level" is set as 'Y - Yes' then "Protection Type" must be '8 - Residential real estate collateral', '9- Offices and commercial premises' or '10 - Commercial real estate collateral'</t>
  </si>
  <si>
    <t>FLG_ACT_PHYSCL_RSK campo todo a NULL</t>
  </si>
  <si>
    <t>If "Loans Collateralized Classification" is set as 'FMC2 - Real Estate. Residential' then at least one PROTECTION_ID linked to INSTRUMENT_ID "Protection Type" must be '8 - Residential real estate collateral'</t>
  </si>
  <si>
    <t>LNS_CLLTRLZD_CLSSFCTN campo todo a NULL</t>
  </si>
  <si>
    <t>If "Loans Collateralized Classification" is set as 'FMC1 - Real Estate. Commercial' then at least one PROTECTION_ID linked to INSTRUMENT_ID "Protection Type" must be '9 - Offices and commercial premises' or '10 - Commercial real estate collateral'</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</si>
  <si>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</si>
  <si>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 xml:space="preserve">Validar incidência </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</si>
  <si>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 '0001-01-01'</t>
  </si>
  <si>
    <t>"Date of protection value" must have a Date format (yyyy-mm-dd)</t>
  </si>
  <si>
    <t>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substring(DT_PRTCTN_VL_SIMULADO,5,1) &lt;&gt; '-' or substring(DT_PRTCTN_VL_SIMULADO,8,1) &lt;&gt; '-'
    -- AND length(DT_PRTCTN_VL_SIMULADO) &lt;&gt; 10
    -- AND DT_PRTCTN_VL_SIMULADO = '9999-99-99'</t>
  </si>
  <si>
    <t>"Date of protection value" must be later than 01 January 1970</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</si>
  <si>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NOT IN ('1111-11-11','0000-00-00')</t>
  </si>
  <si>
    <t>In the case of protection items which are valued at their notional amount, the date of protection value is the reporting reference date.</t>
  </si>
  <si>
    <t>Com a alteração da fonte, os 2416 Casos NOK ficam OK</t>
  </si>
  <si>
    <t>Select *
FROM
(SELECT prtctn_id, TYP_PRTCTN_VL,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1,2,3 
) A
WHERE 1=1 
    AND TYP_PRTCTN_VL = '4'
    AND DT_PRTCTN_VL_SIMULADO &lt;&gt; '2024-05-31'</t>
  </si>
  <si>
    <t>"Date of protection value" cannot be later than "Reference date"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</si>
  <si>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&gt; '2024-05-31'</t>
  </si>
  <si>
    <t>"Date of protection value" must be later or equal than "Date of last full appraisal"</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</si>
  <si>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DT_LST_FLL_APPRSL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A.DT_PRTCTN_VL_SIMULADO &lt; valor_simulado</t>
  </si>
  <si>
    <t>If "Previous appraisal date" is other than default values, then "Date of protection value" cannot be 'Not applicable'</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</si>
  <si>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DT_APPRSL_PRVS -----------------------
(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DT_PRTCTN_VL_SIMULADO = '1111-11-11'</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</si>
  <si>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&lt;&gt; Prtctn_vl</t>
  </si>
  <si>
    <t>"Appraised market value" should have a Format numeric (2 decimal places)</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</si>
  <si>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cast(valor_simulado as VARCHAR) NOT LIKE '%.__'</t>
  </si>
  <si>
    <t>"Appraised market value" shall be larger or equal to 0; Negative values trigger attention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</si>
  <si>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 0</t>
  </si>
  <si>
    <t>The amount of "Appraised market value" must be greater or equal than the amount of "Protection allocated value"</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</si>
  <si>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prtctn_allctd_vl
From cd_loan_tapes_bce.lt006_instr_prot
WHERE segmento = 'ESTR'
AND nome_perimetro ='Individual Corporativo'
AND ref_date='${date}'
AND AMBITO = 'PM') lt006
ON A.prtctn_id=lt006.prtctn_id
Where valor_simulado &lt; prtctn_allctd_vl</t>
  </si>
  <si>
    <t>If "Date of protection value" is other than 'Not applicable', then "Appraised market value" cannot be 'Not applicable' or zero</t>
  </si>
  <si>
    <t>44 garantias em DT_PRTCTN_VL não é N/A e PRTCTN_VL é zero.</t>
  </si>
  <si>
    <t>Select *
FROM
(SELECT prtctn_id, sum(mavaliaa) as valor_simulado, prtctn_vl, DT_PRTCTN_VL, CASE
    WHEN prtctn_id LIKE 'P%' THEN '1111-11-11'
    ELSE soma_dtrcaval
    END AS DT_PRTCTN_VL_SIMULADO
FROM
(Select *
From cd_loan_tapes_bce.lt004_protection
WHERE segmento = 'ESTR'
AND nome_perimetro ='Individual Corporativo'
AND ref_date='${date}'
AND AMBITO = 'PM') lt004
Left join
(Select ckbalbem, ckctabem, ckrefbem, mavaliaa, tipologia, max(dtrcaval) as soma_dtrcaval
From cd_garantias.gt018_rateio_aval
Where ref_date='${date}'
GROUP BY 1,2,3,4,5 ) gt018
ON prtctn_id = concat(substr(TIPOLOGIA,1,1),'_',ckbalbem,'_',ckctabem,'_',ckrefbem)
GROUP BY prtctn_id, prtctn_vl, DT_PRTCTN_VL, DT_PRTCTN_VL_SIMULADO
) A
WHERE 1=1 
    AND DT_PRTCTN_VL_SIMULADO &lt;&gt; '1111-11-11'
    AND valor_simulado in (11111111111,0)</t>
  </si>
  <si>
    <t>The amount of "Appraised market value" must be greater or equal than the sum of amount of "Protection allocated value" of all the instruments that share the same protection</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</si>
  <si>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sum(prtctn_allctd_vl) as prtctn_allctd_vl
From cd_loan_tapes_bce.lt006_instr_prot
WHERE segmento = 'ESTR'
AND nome_perimetro ='Individual Corporativo'
AND ref_date='${date}'
AND AMBITO = 'PM'
GROUP BY 1
) lt006
ON A.prtctn_id=lt006.prtctn_id
Where valor_simulado &lt; prtctn_allctd_vl</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</si>
  <si>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</si>
  <si>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prtctn_id like 'P%'
And valor_simulado = 11111111111</t>
  </si>
  <si>
    <t>Incidência</t>
  </si>
  <si>
    <t>181 casos com aspas</t>
  </si>
  <si>
    <t>SELECT count(*)
FROM cd_loan_tapes_bce.lt004_protection  
WHERE 1=1 
AND ambito = 'PM' 
AND segmento = 'ESTR' 
AND ref_date = '2024-05-31'
AND nome_perimetro = 'Individual Corporativo'
AND ntnl_id LIKE '%"%'
-- AND ntnl_id LIKE '%F%'</t>
  </si>
  <si>
    <t>"Behavioural maturity" should have a Format numeric (0 decimal places)</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</si>
  <si>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cast(IFRS9_BHVRL_MTRTY_Simulado as VARCHAR) LIKE '%.'</t>
  </si>
  <si>
    <t>"Behavioural maturity" shall be larger or equal to 0 and less than 960; Negative values trigger attention</t>
  </si>
  <si>
    <t>Dois casos em que a Maturidade é superior a 960 meses (1000 e 2162)</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</si>
  <si>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(IFRS9_BHVRL_MTRTY_Simulado &gt; 960
OR IFRS9_BHVRL_MTRTY_Simulado &lt; 0)
AND IFRS9_BHVRL_MTRTY_Simulado &lt;&gt; 11111111111</t>
  </si>
  <si>
    <t>"National reference of the property" should be a Char not null</t>
  </si>
  <si>
    <t>Controlo feito em Hive</t>
  </si>
  <si>
    <t xml:space="preserve">Select*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Where ntnl_id_simulacao Is NULL
</t>
  </si>
  <si>
    <t>Duplicates by "National reference of the property" in PROTECTION table</t>
  </si>
  <si>
    <t>Controlo feito em Hive: 2087 casos duplicados</t>
  </si>
  <si>
    <t>Select count(*)
From
(
Select ntnl_id_simulacao, count (*)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Group by ntnl_id_simulacao
Having Count(*) &gt; 1 
) C</t>
  </si>
  <si>
    <t>"National reference of the property" should have Char format (variable length allowed between 1 and 255 characters)</t>
  </si>
  <si>
    <t>Select *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Where length(ntnl_id_simulacao) &gt;=255</t>
  </si>
  <si>
    <t>If "Protection type" is equal to '8 - Residential real estate collateral', '9 - Offices and commercial premises' or '10 - Commercial real estate collateral', then "National reference of the property" must be populated other than default values.</t>
  </si>
  <si>
    <t>Select B.prtctn_id, TYP_PRTCTN, ntnl_id_simulacao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IN ('8','9','10')
AND ntnl_id_simulacao = 'N/A'</t>
  </si>
  <si>
    <t>If "Protection type" is not equal to '8 - Residential real estate collateral', '9 - Offices and commercial premises' or '10 - Commercial real estate collateral', then "National reference of the property" must be populated with default values.</t>
  </si>
  <si>
    <t xml:space="preserve">Select B.prtctn_id, TYP_PRTCTN, ntnl_id_simulacao
From
(
SELECT 
Case when prtctn_id NOT LIKE 'I%' Then 'N/A'
When prtctn_id Like 'I%' Then ntnl_id_sim
Else 'MISS'
End ntnl_id_simulacao, prtctn_id, ckbalbem, ckctabem, ckrefbem, cdisconf, cartmatr, gficha, gidfracc, gfraccao, codconsv, glote, gnum,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glote, gnum, cpost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NOT IN ('8','9','10')
AND ntnl_id_simulacao &lt;&gt; 'N/A'
</t>
  </si>
  <si>
    <t>"Construction status" should match the information on the Codelist</t>
  </si>
  <si>
    <t>SELECT Count (*), CNSTRCTN_STTS_simulacao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Group by 2
;</t>
  </si>
  <si>
    <t>If "Protection type" is set as  '8 - Residential real estate collateral', '9 - Offices and commercial premises' or '10 - Commercial real estate collateral', then "Construction status" must be populated other than default values</t>
  </si>
  <si>
    <t>SELECT *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Where TYP_PRTCTN IN ('8','9','10')
AND CNSTRCTN_STTS_simulacao = '11111111111'
;</t>
  </si>
  <si>
    <t>If "Development status" is '4 - Constructed and fully operational', then "Construction status" must equal '1 - Built'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</si>
  <si>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'4'
AND CNSTRCTN_STTS_simulacao &lt;&gt; '1'</t>
  </si>
  <si>
    <t>If "Development status" is '2 - In construction and not operational' or '3 - In construction and partially operational', then "Construction status" must equal '2 - In construction'</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</si>
  <si>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in('2', '3')
AND CNSTRCTN_STTS_simulacao &lt;&gt; '2'</t>
  </si>
  <si>
    <t>If "Development status" is '1 - Not in construction', then "Construction status" must equal '3 - Land bank without zoning permit' or '4 - Land bank building permit'</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</si>
  <si>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
AND CNSTRCTN_STTS_simulacao NOT IN('3', '4')</t>
  </si>
  <si>
    <t>If "Development status" is 'Not applicable', then "Construction status" must be a default value</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</si>
  <si>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'11111111111'
AND CNSTRCTN_STTS_simulacao &lt;&gt; '11111111111'</t>
  </si>
  <si>
    <t>If "Date of first usage of the building" is later than "Reference date", then "Construction status" should be set as '2 - In construction' or '4 - Land bank building permit'</t>
  </si>
  <si>
    <t>Não existem date of first usage superiores a maio</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</si>
  <si>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&gt; ref_date
AND dt_frst_usg &lt;&gt; '1111-11-11'
AND dt_frst_usg &lt;&gt; '0000-00-00'
AND CNSTRCTN_STTS_simulacao NOT IN ('2','4')</t>
  </si>
  <si>
    <t>If "Date of first usage of the building" is earlier than "Reference date", then "Construction status" should be set as '1 - Built'</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</si>
  <si>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&lt; ref_date
AND dt_frst_usg not in('1111-11-11','0000-00-00')
AND CNSTRCTN_STTS_simulacao &lt;&gt; '1'</t>
  </si>
  <si>
    <t>If "Flag first home" is set as 'Y - Yes' then "Construction status" cannot be 'Not Applicable'</t>
  </si>
  <si>
    <t>Campo FLG_FRST_HM ainda não implementado na LT</t>
  </si>
  <si>
    <t>"Development status" should match the information on the Codelist</t>
  </si>
  <si>
    <t>SELECT Distinct
CASE WHEN prtctn_id NOT LIKE 'I%' THEN '11111111111'
WHEN CNSTRCTN_STTS_simulacao = '1' THEN '4'
WHEN CNSTRCTN_STTS_simulacao = '2' THEN '2'
WHEN CNSTRCTN_STTS_simulacao = '3' THEN '1'
WHEN CNSTRCTN_STTS_simulacao = '4' THEN '1'
ELSE '99999999999'
END AS DVLPMNT_STTS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t>
  </si>
  <si>
    <t>If "Protection type" equals '8 - Residential real estate collateral' or '9 - Offices and commercial premises' or '10 - Commercial real estate collateral' then, "Development status" cannot be 'Not applicable'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</si>
  <si>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IN ('8','9','10')
AND DVLPMNT_STTS_simulacao = '11111111111'
;</t>
  </si>
  <si>
    <t>If "Protection type" is not  '8 - Residential real estate collateral' or '9 - Offices and commercial premises' or '10 - Commercial real estate collateral',  then "Development status" must be default value</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</si>
  <si>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NOT IN ('8','9','10')
AND DVLPMNT_STTS_simulacao &lt;&gt; '11111111111'
;</t>
  </si>
  <si>
    <t>"Date of original protection value" must have a Date format (yyyy-mm-dd)</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</si>
  <si>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substring(DT_ORGNL_PRTCTN_VL_SIMULADO,5,1) &lt;&gt; '-' or substring(DT_ORGNL_PRTCTN_VL_SIMULADO,8,1) &lt;&gt; '-'
-- AND DT_ORGNL_PRTCTN_VL_SIMULADO = '1111-11-11'
-- AND DT_ORGNL_PRTCTN_VL_SIMULADO = '0000-00-00'
-- AND length(DT_ORGNL_PRTCTN_VL_SIMULADO) &lt;&gt; 10"</t>
  </si>
  <si>
    <t>"Date of original protection value" must be later than 01 January 1970</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</si>
  <si>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DT_ORGNL_PRTCTN_VL_SIMULADO &lt; '1970-01-01'
AND DT_ORGNL_PRTCTN_VL_SIMULADO NOT IN ('1111-11-11','0000-00-00')</t>
  </si>
  <si>
    <t>"Date of original protection value" must be lower or equal to "Date of protection value"</t>
  </si>
  <si>
    <t>Controlo feito com simulação do DT_PRTCTN_VL</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</si>
  <si>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prtctn_id_lt004, 
        CASE
        WHEN prtctn_id_lt004 LIKE 'P%' THEN '1111-11-11'
        ELSE max(dtrcaval)
        END AS valor_simulado
        FROM
        (Select prtctn_id as prtctn_id_lt004
        From cd_loan_tapes_bce.lt004_protection
        WHERE segmento = 'ESTR'
        AND nome_perimetro ='Individual Corporativo'
        AND ref_date='${date}'
        AND AMBITO = 'PM') lt004
   LEFT JOIN
        (Select dtrcaval, tipologia, ckbalbem, ckctabem, ckrefbem
        From cd_garantias.gt018_rateio_aval
        Where ref_date='${date}') gt018
        ON prtctn_id_lt004 = concat(substr(TIPOLOGIA,1,1),'_',ckbalbem,'_',ckctabem,'_',ckrefbem)
        GROUP BY 1) SIM
ON D.prtctn_id = SIM.prtctn_id_lt004
Where 1=1
AND DT_ORGNL_PRTCTN_VL_SIMULADO &gt; valor_simulado</t>
  </si>
  <si>
    <t>"Date of original protection value" cannot be later than "Reference date"</t>
  </si>
  <si>
    <t>SELECT *
FROM 
(
SELECT prtctn_id,
instrmnt_id,
dini_rel_MAX,
dtvaliai_resp_bem, 
mavaliai_resp_bem,
ref_date,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ref_date,
RANK() OVER ( PARTITION BY A.ckbalbem, A.ckctabem, A.ckrefbem ORDER BY dini_rel_MAX ASC) AS RANKRELACAO
FROM
(
SELECT *
FROM
(
SELECT instrmnt_id, A.cempresp, A.ckbalres, A.ckctares, A.ckrefresp, A.ckbalbem, A.ckctabem, A.ckrefbem, A.dtvaliai_resp_bem, A.mavaliai_resp_bem, prtctn_id, ref_date,
RANK() OVER ( PARTITION BY A.ckbalbem, A.ckctabem, A.ckrefbem ORDER BY dtvaliai_resp_bem ASC) AS RANKAVALIA
FROM
    (   
    SELECT DISTINCT instrmnt_id, cempresp, ckbalres, ckctares, ckrefresp, ckbalbem, ckctabem, ckrefbem, prtctn_id, dtvaliai_resp_bem, mavaliai_resp_bem, ref_date
    FROM 
        (SELECT instrmnt_id, prtctn_id, ref_date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1,2,3,4,5,6
) D
Where 1=1
AND DT_ORGNL_PRTCTN_VL_SIMULADO &gt; ref_date</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</si>
  <si>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</si>
  <si>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ref_date='2024-08-31')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ref_date='2024-08-31') GT001
LEFT JOIN
    (SELECT cempresa,ckbalcao, cknumcta, comp_id_gar, ckbalbem as ckbalbem_GT003, ckctabem as ckctabem_GT003, ckrefbem as ckrefbem_GT003, dini_rel as dini_rel_GT003
    FROM cd_garantias.gt003_trz_gt_fin
    Where ref_date='2024-08-31')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ref_date='2024-08-31')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DT_ORGNL_PRTCTN_VL_SIMULADO &lt;&gt; '1111-11-11'</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</si>
  <si>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</si>
  <si>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Select count(*)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prtctn_id like 'P%'  
AND DT_PRTCTN_VL_SIMULADO &lt;&gt; '1111-11-11'</t>
  </si>
  <si>
    <t>"Original protection value (at inception)" should have a Format numeric (2 decimal places)</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</si>
  <si>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cast(ORGNL_PRTCTN_VL_SIMULACAO as VARCHAR) NOT LIKE '%.__'</t>
  </si>
  <si>
    <t>"Original protection value (at inception)" shall be larger or equal to 0; Negative values trigger attention</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</si>
  <si>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ORGNL_PRTCTN_VL_SIMULACAO &lt; 0</t>
  </si>
  <si>
    <t>If "Date of original protection value" is other than default values, then "Original protection value (at inception)" cannot be 'Not applicable' or zero</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</si>
  <si>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&lt;&gt; '1111-11-11'
AND ORGNL_PRTCTN_VL_SIMULACAO in (11111111111,0)</t>
  </si>
  <si>
    <t>If "Date of original protection value" equals 'Not applicable', then "Original protection value (at inception)" must be a default value</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</si>
  <si>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 '1111-11-11'
AND ORGNL_PRTCTN_VL_SIMULACAO &lt;&gt; 11111111111</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</si>
  <si>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</si>
  <si>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ORGNL_PRTCTN_VL_SIMULACAO &lt;&gt; 11111111111</t>
  </si>
  <si>
    <t>Verificar se o campo está de acordo com a Especificação</t>
  </si>
  <si>
    <t>Select prtctn_id, typ_prtctn, TYP_PRTCTN_simulacao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 &lt;&gt; TYP_PRTCTN_simulacao</t>
  </si>
  <si>
    <t>Select DISTINCT typ_prtctn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 Where typ_prtctn &lt;&gt; TYP_PRTCTN_simulacao</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</si>
  <si>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&lt;&gt; 'N/A'
AND typ_prtctn = '11111111111'</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</si>
  <si>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 'N/A'
AND typ_prtctn &lt;&gt; '11111111111'</t>
  </si>
  <si>
    <t>Casos em que o typ_prtctn é 5 ou 12 que estão justificados troca de emails com a corporação</t>
  </si>
  <si>
    <t>Select DISTINCT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typ_prtctn_vl ='1'
AND typ_prtctn not in ('3', '7', '13', '18')</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</si>
  <si>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IN ('2','3')
 AND TYP_PRTCTN NOT IN ('8','9','10')</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</si>
  <si>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'4'
 AND TYP_PRTCTN NOT IN ('2','4','5','12','15','16','17','7')</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</si>
  <si>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'5'
--  AND TYP_PRTCTN  ='11111111111'</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</si>
  <si>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'11111111111'
 AND TYP_PRTCTN &lt;&gt; '7'</t>
  </si>
  <si>
    <t>Select prtctn_id, typ_prtctn, typ_prtctn_vl, DT_APPRSL_PRVS
FROM
(
SELECT prtctn_id,typ_prtctn, typ_prtctn_vl, DT_APPRSL_PRVS,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typ_prtctn,DT_APPRSL_PRVS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DT_APPRSL_PRVS &lt;&gt; '1111-11-11'
 AND TYP_PRTCTN NOT IN('8','9','10')</t>
  </si>
  <si>
    <t>Select prtctn_id, typ_prtctn, typ_prtctn_vl, CRE_INCM_CRRNCY
FROM
(
SELECT prtctn_id,typ_prtctn, typ_prtctn_vl, CRE_INCM_CRRNCY,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typ_prtctn,CRE_INCM_CRRNCY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CRE_INCM_CRRNCY NOT IN ('MISS', 'N/A')
 AND TYP_PRTCTN NOT IN('9','10')</t>
  </si>
  <si>
    <t>Justificado: 2 Garantias que aparecem na LT004 mas não na GT018 - IT vai alterar o Universo da LT para a GT018 em vez das tabelas do modelo base</t>
  </si>
  <si>
    <t>Select prtctn_id, typ_prtctn, typ_prtctn_vl, APPRSR
FROM
(
SELECT prtctn_id,typ_prtctn, typ_prtctn_vl, APPRSR,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APPRSR NOT IN ('N/A', 'MISS')
AND TYP_PRTCTN NOT IN ('8','9','10')</t>
  </si>
  <si>
    <t>Justificado: 1 Garantia que aparecem na LT004 mas não na GT018 - IT vai alterar o Universo da LT para a GT018 em vez das tabelas do modelo base</t>
  </si>
  <si>
    <t>Select prtctn_id, typ_prtctn, typ_prtctn_vl, APPRSR, DT_LST_FLL_APPRSL
FROM
(
SELECT prtctn_id,typ_prtctn, typ_prtctn_vl, APPRSR, DT_LST_FLL_APPRSL,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typ_prtctn,DT_LST_FLL_APPRSL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DT_LST_FLL_APPRSL &lt;&gt;'1111-11-11'
AND TYP_PRTCTN NOT IN ('8','9','10')</t>
  </si>
  <si>
    <t>If "Forced sale value" is populated other than default values, then "Protection type" has to be set as '8 - Residential real estate collateral', '9 - Offices and commercial premises', '3 - Other physical collaterals' or '10 - Commercial real estate collateral'</t>
  </si>
  <si>
    <t>Justificado: 3 Garantias que aparecem na LT004 mas não na GT018 - IT vai alterar o Universo da LT para a GT018 em vez das tabelas do modelo base</t>
  </si>
  <si>
    <t>Select prtctn_id, typ_prtctn, typ_prtctn_vl, PRTCTN_FRCD_SL_VL
FROM
(
SELECT prtctn_id,typ_prtctn, typ_prtctn_vl, APPRSR, PRTCTN_FRCD_SL_VL,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typ_prtctn,PRTCTN_FRCD_SL_VL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PRTCTN_FRCD_SL_VL &lt;&gt; 11111111111
AND TYP_PRTCTN NOT IN ('8','9', '3','10')</t>
  </si>
  <si>
    <t>LNS_CLLTRLZD_CLSSFCTN não está especificado</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</si>
  <si>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&lt;&gt; ntnl_id_simulacao</t>
  </si>
  <si>
    <t>0 casos com aspas</t>
  </si>
  <si>
    <t>SELECT count(*)
FROM bu_loantape_work.lt004_protection  
WHERE 1=1 
AND ambito = 'PM' 
AND segmento = 'ESTR' 
AND ref_date = '2024-09-30'
AND nome_perimetro = 'Individual Corporativo'
AND ntnl_id LIKE '%"%'
-- AND ntnl_id LIKE '%F%'</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</si>
  <si>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Is NULL</t>
  </si>
  <si>
    <t>795 casos duplicados que são justificados pela falta de informação dos campos que forma a concatenação</t>
  </si>
  <si>
    <t>SELECT COUNT (*)
FROM
(
Select ntnl_id, count(*)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Group by ntnl_id
Having Count(*) &gt; 1 
) C</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</si>
  <si>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length(ntnl_id_simulacao) &gt;=255</t>
  </si>
  <si>
    <t>Select prtctn_id, ntnl_id_simulacao, ntnl_id, typ_prtctn
From
(
SELECT 
CASE WHEN PRTCTN_ID NOT LIKE 'I%' THEN 'N/A'
	WHEN PRTCTN_ID LIKE 'I%' AND NTNL_ID_SIM = '' THEN 'MISS'
	ELSE ntnl_id_sim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IN ('8','9','10')
AND ntnl_id_simulacao = 'N/A'</t>
  </si>
  <si>
    <t>Justificado 3 Garantias que aparecem na LT004 mas não na GT018 - IT vai alterar o Universo da LT para a GT018 em vez das tabelas do modelo base</t>
  </si>
  <si>
    <t>Select prtctn_id, ntnl_id_simulacao, ntnl_id, typ_prtctn
From
(
SELECT 
Case when prtctn_id NOT LIKE 'I%' Then 'N/A'
When prtctn_id Like 'I%' Then ntnl_id_sim
Else 'MISS'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NOT IN ('8','9','10')
AND ntnl_id_simulacao &lt;&gt; 'N/A'</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</si>
  <si>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DT_ORGNL_PRTCTN_VL &lt;&gt; DT_ORGNL_PRTCTN_VL_SIMULADO</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</si>
  <si>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substring(DT_ORGNL_PRTCTN_VL_SIMULADO,5,1) &lt;&gt; '-' or substring(DT_ORGNL_PRTCTN_VL_SIMULADO,8,1) &lt;&gt; '-'</t>
  </si>
  <si>
    <t>Justificado: 43 garantias com datas '0001-01-01' - Erro de Data Quality de Leasings que está a ser endereçado pelo Alexandre Esteves e estará resolvido em Janeiro de 2025</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</si>
  <si>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DT_ORGNL_PRTCTN_VL_SIMULADO &lt; '1970-01-01'
AND DT_ORGNL_PRTCTN_VL_SIMULADO NOT IN ('1111-11-11','0000-00-00')</t>
  </si>
  <si>
    <t>Justificado: 3 Garantias que o DT_PRTCTN_VL é '0001-01-01'  - Erro de Data Quality de Leasings que está a ser endereçado pelo Alexandre Esteves e estará resolvido em Janeiro de 2025</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</si>
  <si>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DT_ORGNL_PRTCTN_VL &gt; dt_prtctn_vl</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</si>
  <si>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DT_ORGNL_PRTCTN_VL &gt; ref_date</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</si>
  <si>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prtctn_id like 'P%'
AND DT_ORGNL_PRTCTN_VL_SIMULADO &lt;&gt; '1111-11-11'</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</si>
  <si>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prtctn_id like 'P%'
AND dt_prtctn_vl &lt;&gt; '1111-11-11'</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</si>
  <si>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prtctn_id NOT LIKE 'P%'
    AND DT_PRTCTN_VL &lt;&gt; DT_PRTCTN_VL_SIMULADO</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</si>
  <si>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substring(DT_PRTCTN_VL_SIMULADO,5,1) &lt;&gt; '-' or substring(DT_PRTCTN_VL_SIMULADO,8,1) &lt;&gt; '-'
-- AND length(DT_PRTCTN_VL_SIMULADO) &lt;&gt; 10
-- AND DT_PRTCTN_VL_SIMULADO = '9999-99-99'</t>
  </si>
  <si>
    <t>Justificado: 47 casos 
4 relacionados com universos diferentes -  IT vai alterar o Universo da LT para a GT018 em vez das tabelas do modelo base
Restantes são os temas dos leasings com '0001-01-01' - Erro de Data Quality de Leasings que está a ser endereçado pelo Alexandre Esteves e estará resolvido em Janeiro de 2025</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</si>
  <si>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&lt;&gt; '1111-11-11'
Order by DT_PRTCTN_VL asc</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</si>
  <si>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TYP_PRTCTN_VL = '4'
AND DT_PRTCTN_VL &lt;&gt; '2024-09-30'</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</si>
  <si>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'2024-09-30'</t>
  </si>
  <si>
    <t>Select *
FROM
(SELECT prtctn_id, DT_PRTCTN_VL, CASE
    WHEN prtctn_id LIKE 'P%' THEN '1111-11-11'
    ELSE NVL(max(dtrcaval),'0000-00-00')
    END AS DT_PRTCTN_VL_SIMULADO, dt_lst_fll_apprsl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dt_lst_fll_apprsl
        AND dt_lst_fll_apprsl &lt;&gt; '1111-11-11'</t>
  </si>
  <si>
    <t>Select *
FROM
(SELECT prtctn_id, DT_PRTCTN_VL, CASE
    WHEN prtctn_id LIKE 'P%' THEN '1111-11-11'
    ELSE NVL(max(dtrcaval),'0000-00-00')
    END AS DT_PRTCTN_VL_SIMULADO, DT_APPRSL_PRVS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DT_APPRSL_PRVS &lt;&gt; '1111-11-11'
        AND DT_PRTCTN_VL = '1111-11-11'</t>
  </si>
  <si>
    <t>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CNSTRCTN_STTS_simulacao &lt;&gt; cnstrctn_stts;</t>
  </si>
  <si>
    <t>SELECT COUNT(*), CNSTRCTN_STTS
FROM 
(
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</si>
  <si>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'4'
AND CNSTRCTN_STTS &lt;&gt; '1'</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</si>
  <si>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in('2', '3')
AND CNSTRCTN_STTS &lt;&gt;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</si>
  <si>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
AND CNSTRCTN_STTS NOT IN('3', '4')</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</si>
  <si>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'11111111111'
AND CNSTRCTN_STTS &lt;&gt; '11111111111'</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</si>
  <si>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&gt; ref_date
AND dt_frst_usg &lt;&gt; '1111-11-11'
AND dt_frst_usg &lt;&gt; '0000-00-00'
AND CNSTRCTN_STTS NOT IN ('2','4')</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</si>
  <si>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&lt; ref_date
AND dt_frst_usg not in('1111-11-11','0000-00-00')
AND CNSTRCTN_STTS &lt;&gt; '1'</t>
  </si>
  <si>
    <t>SELECT prtctn_id, dvlpmnt_stts, DVLPMNT_STTS_simulacao, cgarant_bem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FROM
(
SELECT 
prtctn_id, dvlpmnt_stts,
CASE WHEN ref_date &lt; '2024-05-31' THEN CNSTRCTN_STTS_simulacao_pre
WHEN ref_date &gt;= '2024-05-31' THEN CNSTRTCN_STTS_simulacao_pos
Else '99999999999'
END AS CNSTRCTN_STTS_simulacao, cgarant_bem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&lt;&gt; dvlpmnt_stts</t>
  </si>
  <si>
    <t>SELECT count (*), dvlpmnt_stts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</si>
  <si>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IN ('8','9','10')
AND DVLPMNT_STTS_simulacao = '11111111111'
;</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</si>
  <si>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NOT IN ('8','9','10')
AND DVLPMNT_STTS_simulacao &lt;&gt; '11111111111'
;</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</si>
  <si>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valor_it &lt;&gt; valor_simulado 
    ;</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</si>
  <si>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bu_loantape_work.lt004_protection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</si>
  <si>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"Prime location according to bank-internal definition  (Y/N)" should match the information on the Codelist</t>
  </si>
  <si>
    <t>SELECT prm_lctn,
    COUNT(*)
FROM bu_loantape_work.lt004_protection
WHERE ref_date='${date}'
    AND nome_perimetro='Individual Corporativo'
    AND segmento='ESTR'
    AND ambito='PM'
GROUP BY prm_lctn</t>
  </si>
  <si>
    <t>3 casos que não cruzam com GT018 - IT vai alterar o Universo da LT para a GT018 em vez das tabelas do modelo base</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</si>
  <si>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NOT IN ('8','9','10')
    AND VALOR_SIMULADO &lt;&gt; 'N/A'</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</si>
  <si>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IN ('8','9','10')
    AND VALOR_SIMULADO = 'N/A'</t>
  </si>
  <si>
    <t>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dt_lst_fll_apprsl_simulado &gt;= dt_orgnl_prtctn_vl
AND dt_lst_fll_apprsl &lt;&gt; dt_lst_fll_apprsl_simulado</t>
  </si>
  <si>
    <t>"Date of last full appraisal" must have a Date format (yyyy-mm-dd)</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</si>
  <si>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substring(dt_lst_fll_apprsl,5,1) &lt;&gt; '-' or substring(dt_lst_fll_apprsl,8,1) &lt;&gt; '-'
AND length(dt_lst_fll_apprsl) &lt;&gt; 10
;
</t>
  </si>
  <si>
    <t>"Date of last full appraisal" must be later than 01 January 1970</t>
  </si>
  <si>
    <t>41 casos em que  a dt aparece 0001-01-01  - Erro de Data Quality de Leasings que está a ser endereçado pelo Alexandre Esteves e estará resolvido em Janeiro de 2025</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</si>
  <si>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'1970-01-01'
AND dt_lst_fll_apprsl &lt;&gt;'1111-11-11'
;
</t>
  </si>
  <si>
    <t>"Date of last full appraisal" must be greater or equal to the "Date of the appraisal previous to the most recent one available, i.e. previous to the last full appraisal (field DT_LST_FLL_APPRSL)."</t>
  </si>
  <si>
    <t xml:space="preserve">Select prtctn_id, dt_lst_fll_apprsl, dt_lst_fll_apprsl_simulado, dt_orgnl_prtctn_vl, DT_APPRSL_PRVS
FROM
(
SELECT LT004.prtctn_id, 
        LT004.dt_lst_fll_apprsl, 
        CASE WHEN LT004.prtctn_id LIKE 'F%' OR LT004.prtctn_id LIKE 'P%' THEN '1111-11-11'
            WHEN LT004.prtctn_id LIKE 'I%'THEN dt_lst_fll_apprsl_simulado
            ELSE '0000-00-00'
            END as dt_lst_fll_apprsl_simulado, 
        dt_orgnl_prtctn_vl, DT_APPRSL_PRVS
FROM
(SELECT prtctn_id, dt_lst_fll_apprsl, dt_prtctn_vl, dt_orgnl_prtctn_vl, DT_APPRSL_PRVS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DT_APPRSL_PRVS
;
</t>
  </si>
  <si>
    <t>Select prtctn_id, dt_lst_fll_apprsl, dt_lst_fll_apprsl_simulado, dt_orgnl_prtctn_vl, REF_DATE
FROM
(
SELECT LT004.prtctn_id, 
        LT004.dt_lst_fll_apprsl, 
        CASE WHEN LT004.prtctn_id LIKE 'F%' OR LT004.prtctn_id LIKE 'P%' THEN '1111-11-11'
            WHEN LT004.prtctn_id LIKE 'I%'THEN dt_lst_fll_apprsl_simulado
            ELSE '0000-00-00'
            END as dt_lst_fll_apprsl_simulado, 
        dt_orgnl_prtctn_vl, REF_DATE
FROM
(SELECT prtctn_id, dt_lst_fll_apprsl, dt_prtctn_vl, dt_orgnl_prtctn_vl, REF_DATE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&gt; REF_DATE
;</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</si>
  <si>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&lt;&gt; dt_apprsl_prvs_simulacao</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</si>
  <si>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substring(dt_apprsl_prvs,5,1) &lt;&gt; '-' or substring(dt_apprsl_prvs,8,1) &lt;&gt; '-'
  AND length(dt_apprsl_prvs) &lt;&gt; 10</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</si>
  <si>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'1970-01-01'</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</si>
  <si>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REF_DATE</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</si>
  <si>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dt_orgnl_prtctn_vl</t>
  </si>
  <si>
    <t>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dt_prtctn_vl</t>
  </si>
  <si>
    <t xml:space="preserve">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prtctn_id LIKE 'P%'
     AND dt_apprsl_prvs &lt;&gt; '1111-11-11'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</si>
  <si>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&lt;&gt; ORGNL_PRTCTN_VL_SIMULADO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</si>
  <si>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cast(ORGNL_PRTCTN_VL as VARCHAR) NOT LIKE '%.__'</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</si>
  <si>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 0</t>
  </si>
  <si>
    <t>15 casos com valor original da proteção a zero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</si>
  <si>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&lt;&gt; '1111-11-11'
AND ORGNL_PRTCTN_VL in (11111111111,0)</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</si>
  <si>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 '1111-11-11'
AND ORGNL_PRTCTN_VL &lt;&gt; 11111111111</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</si>
  <si>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prtctn_id LIKE 'P%'
AND ORGNL_PRTCTN_VL &lt;&gt; 11111111111</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</si>
  <si>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</si>
  <si>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"Previous off-balance amount" should have a Format numeric (2 decimal places)</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</si>
  <si>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cast(off_blnc_sht_amnt_instrmnt_prvs as VARCHAR) LIKE '%.__'</t>
  </si>
  <si>
    <t>"Previous off-balance amount" shall be larger or equal to 0; Negative values trigger attention</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</si>
  <si>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off_blnc_sht_amnt_instrmnt_prvs &lt; 0</t>
  </si>
  <si>
    <t>If "Date of inception" is less than one year in the past (compared to "Reference date") and product type is other than uncommited overdraft, then "Previous off-balance amount" should be populated with default values.</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</si>
  <si>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SUBSTR(cast(add_months(ref_date, -12) AS string), 1, 10) &lt; DT_INCPTN
AND off_blnc_sht_amnt_instrmnt_prvs &lt;&gt; 11111111111
;
SELECT distinct prdct
      FROM bu_loantape_work.lt002_instrument
      WHERE segmento = 'ESTR'
        AND nome_perimetro ='Individual Corporativo'
        AND ref_date='${date}'
        AND AMBITO = 'PM'
        AND prdct like '%Descoberto%'
        </t>
  </si>
  <si>
    <t>If "Date of inception" is more than one year in the past (compared to "Reference date") and "Off-balance sheet amount" is populated other than default values, then "Previous off-balance amount" should be populated with values other than default.</t>
  </si>
  <si>
    <t>Justificado. São ajustes que não vão ser executados nos controlos da corporação. O Campo OFF_BLNC_SHT_INSTRMNT_PRVS será sempre N/A para ajustes, segundo o Guia da Corporação - Capítulo 11</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</si>
  <si>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off_blnc_sht_amnt_instrmnt
   FROM
     (SELECT instrmnt_id,
             off_blnc_sht_amnt_instrmnt_prvs,
             dt_incptn,
             ref_date, off_blnc_sht_amnt_instrmnt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off_blnc_sht_amnt_instrmnt) X
Where 1=1 
AND SUBSTR(cast(add_months(ref_date, -12) AS string), 1, 10) &gt; DT_INCPTN
AND off_blnc_sht_amnt_instrmnt &lt;&gt; 11111111111
AND off_blnc_sht_amnt_instrmnt_prvs = 11111111111
;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</si>
  <si>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</si>
  <si>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cast(IFRS9_BHVRL_MTRTY as VARCHAR) LIKE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</si>
  <si>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(IFRS9_BHVRL_MTRTY &gt; 960
OR IFRS9_BHVRL_MTRTY &lt; 0)
AND IFRS9_BHVRL_MTRTY &lt;&gt; 11111111111</t>
  </si>
  <si>
    <t xml:space="preserve">SELECT *
FROM
(
SELECT instrmnt_id, mn_entty_id, entty_id, zcliente,
CASE WHEN ENTTY_ID=ZCLIENTE THEN 'Y' ELSE 'N' END as mn_entty_id_simulado
FROM
(SELECT instrmnt_id, mn_entty_id, entty_id
FROM bu_loantape_work.lt005_instr_ent_srb
WHERE 1=1 
AND ambito = 'PM'
AND segmento = 'ESTR'
AND ref_date = '${date}'
AND nome_perimetro = 'Individual Corporativo'
AND instrmnt_id not like 'SNCN%'
AND instrmnt_id not like 'SS%') LT005
LEFT JOIN 
(SELECT cempresa, cbalcao, cnumecta, zdeposit, zcliente
FROM bu_loantape_work.lt001_univ_oper
WHERE 1=1 
AND ambito = 'PM'
AND segmento = 'ESTR'
AND ref_date = '${date}'
AND nome_perimetro = 'Individual Corporativo') LT001
ON LT005.INSTRMNT_ID=CONCAT(LT001.CEMPRESA,LT001.CBALCAO,LT001.CNUMECTA,LT001.ZDEPOSIT)
) A
WHERE mn_entty_id &lt;&gt; mn_entty_id_simulado
</t>
  </si>
  <si>
    <t>Incidência onde os registos estão como 0.00 e  99999999999</t>
  </si>
  <si>
    <t>SELECT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bu_loantape_work.lt002_instrument_srb
      WHERE segmento = 'ESTR'
        AND nome_perimetro ='Individual Corporativo'
        AND ref_date='${date}'
        AND AMBITO = 'PM'
        -- and instrmnt_id =   '82000020210000346001520240463187'
        ) LT002
   LEFT JOIN
     (SELECT CEMPRESA,
             CBALCAO,
             CNUMECTA,
             ZDEPOSIT,
             sum(valor_bruto_off_prvs) as valor_bruto_off_prvs
      FROM bu_loantape_work.lt001_univ_oper
      WHERE segmento = 'ESTR'
        AND nome_perimetro ='Individual Corporativo'
        AND ref_date='${date}'
        AND AMBITO = 'PM'
        -- and CONCAT(CEMPRESA, CBALCAO, CNUMECTA, ZDEPOSIT) = '82000020110004228001520240649446'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</si>
  <si>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ifrs9_bhvrl_mtrty, IFRS9_BHVRL_MTRTY_Simulado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bu_loantape_work.lt002_instrument_srb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</si>
  <si>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bu_loantape_work.lt004_protection_srb
        WHERE segmento = 'ESTR'
        AND nome_perimetro ='Individual Corporativo'
        AND ref_date='${date}'
        AND AMBITO = 'PM'
        ) lt004
ON D.prtctn_id = prtctn_id_lt004
Where 1=1 
AND ORGNL_PRTCTN_VL &lt;&gt; ORGNL_PRTCTN_VL_SIMULADO</t>
  </si>
  <si>
    <t>SELECT *
FROM
(
SELECT instrmnt_id, mn_entty_id, entty_id, zcliente,
CASE WHEN ENTTY_ID=ZCLIENTE THEN 'Y' ELSE 'N' END as mn_entty_id_simulado
FROM
(SELECT instrmnt_id, mn_entty_id, entty_id
FROM cd_loan_tapes_bce.lt005_instr_ent
WHERE 1=1 
AND ambito = 'PM'
AND segmento = 'ESTR'
AND ref_date = '${date}'
AND nome_perimetro = 'Individual Corporativo'
AND instrmnt_id not like 'SNCN%'
AND instrmnt_id not like 'SS%') LT005
LEFT JOIN 
(SELECT cempresa, cbalcao, cnumecta, zdeposit, zcliente
FROM cd_loan_tapes_bce.lt001_univ_oper
WHERE 1=1 
AND ambito = 'PM'
AND segmento = 'ESTR'
AND ref_date = '${date}'
AND nome_perimetro = 'Individual Corporativo') LT001
ON LT005.INSTRMNT_ID=CONCAT(LT001.CEMPRESA,LT001.CBALCAO,LT001.CNUMECTA,LT001.ZDEPOSIT)
) A
WHERE mn_entty_id &lt;&gt; mn_entty_id_simulado</t>
  </si>
  <si>
    <t>"Main Entity ID" should be a Char not null (default values not allowed)</t>
  </si>
  <si>
    <t>SELECT DISTINCT mn_entty_id
FROM cd_loan_tapes_bce.lt005_instr_ent
WHERE 1=1 
AND ambito = 'PM'
AND segmento = 'ESTR'
AND ref_date = '${date}'
AND nome_perimetro = 'Individual Corporativo'</t>
  </si>
  <si>
    <t>"Main Entity ID" should match the information on the Codelist</t>
  </si>
  <si>
    <t>SELECT *
FROM
    (
    Select instrmnt_id, 
    IFRS9.contract_id, 
    months_to_maturity,
    ifrs9_bhvrl_mtrty,
    Case when IFRS9.contract_id IS NULL Then 11111111111
    Else cast(months_to_maturity as INT)
    END as IFRS9_BHVRL_MTRTY_Simulado
    From
        (SELECT instrmnt_id, ifrs9_bhvrl_mtrty
        FROM cd_loan_tapes_bce.lt002_instrument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AND ifrs9_bhvrl_mtrty &lt;&gt; IFRS9_BHVRL_MTRTY_Simulado</t>
  </si>
  <si>
    <t xml:space="preserve">SELECT instrmnt_id, ifrs9_bhvrl_mtrty
        FROM cd_loan_tapes_bce.lt002_instrument
        WHERE segmento = 'ESTR'
        AND nome_perimetro ='Individual Corporativo'
        AND ref_date='${date}'
        AND AMBITO = 'PM'
        AND cast(IFRS9_BHVRL_MTRTY as VARCHAR) LIKE '%.'
   </t>
  </si>
  <si>
    <t xml:space="preserve">SELECT instrmnt_id, ifrs9_bhvrl_mtrty
        FROM cd_loan_tapes_bce.lt002_instrument
        WHERE segmento = 'ESTR'
        AND nome_perimetro ='Individual Corporativo'
        AND ref_date='${date}'
        AND AMBITO = 'PM'
        AND (IFRS9_BHVRL_MTRTY &gt; 960 OR IFRS9_BHVRL_MTRTY &lt; 0)
        AND IFRS9_BHVRL_MTRTY &lt;&gt; 11111111111
   </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</si>
  <si>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cd_loan_tapes_bce.lt004_protection
        WHERE segmento = 'ESTR'
        AND nome_perimetro ='Individual Corporativo'
        AND ref_date='${date}'
        AND AMBITO = 'PM'
        ) lt004
ON D.prtctn_id = prtctn_id_lt004
Where 1=1 
AND ORGNL_PRTCTN_VL &lt;&gt; ORGNL_PRTCTN_VL_SIMULADO
;</t>
  </si>
  <si>
    <t>Campo aparece com 6 casas decimais em vez de duas</t>
  </si>
  <si>
    <t>Select prtctn_id as prtctn_id_lt004, DT_ORGNL_PRTCTN_VL,ORGNL_PRTCTN_VL
        From cd_loan_tapes_bce.lt004_protection
        WHERE segmento = 'ESTR'
        AND nome_perimetro ='Individual Corporativo'
        AND ref_date='${date}'
        AND AMBITO = 'PM'
        AND cast(ORGNL_PRTCTN_VL as VARCHAR) NOT LIKE '%.__'</t>
  </si>
  <si>
    <t>Select prtctn_id, DT_ORGNL_PRTCTN_VL,ORGNL_PRTCTN_VL
        From cd_loan_tapes_bce.lt004_protection
        WHERE segmento = 'ESTR'
        AND nome_perimetro ='Individual Corporativo'
        AND ref_date='${date}'
        AND AMBITO = 'PM'
        AND orgnl_prtctn_vl &lt; 0</t>
  </si>
  <si>
    <t>133 casos com valor original da proteção a zero</t>
  </si>
  <si>
    <t>Select prtctn_id, DT_ORGNL_PRTCTN_VL, ORGNL_PRTCTN_VL
        From cd_loan_tapes_bce.lt004_protection
        WHERE segmento = 'ESTR'
        AND nome_perimetro ='Individual Corporativo'
        AND ref_date='${date}'
        AND AMBITO = 'PM'
        AND DT_ORGNL_PRTCTN_VL &lt;&gt; '1111-11-11'
        AND ORGNL_PRTCTN_VL in (11111111111,0)</t>
  </si>
  <si>
    <t>Select prtctn_id, DT_ORGNL_PRTCTN_VL, ORGNL_PRTCTN_VL
        From cd_loan_tapes_bce.lt004_protection
        WHERE segmento = 'ESTR'
        AND nome_perimetro ='Individual Corporativo'
        AND ref_date='${date}'
        AND AMBITO = 'PM'
        AND DT_ORGNL_PRTCTN_VL = '1111-11-11'
        AND ORGNL_PRTCTN_VL &lt;&gt; 11111111111</t>
  </si>
  <si>
    <t>Select prtctn_id, DT_ORGNL_PRTCTN_VL, ORGNL_PRTCTN_VL
        From cd_loan_tapes_bce.lt004_protection
        WHERE segmento = 'ESTR'
        AND nome_perimetro ='Individual Corporativo'
        AND ref_date='${date}'
        AND AMBITO = 'PM'
        AND prtctn_id LIKE 'P%'
        AND ORGNL_PRTCTN_VL &lt;&gt; 11111111111</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</si>
  <si>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cd_loan_tapes_bce.lt002_instrument
      WHERE segmento = 'ESTR'
        AND nome_perimetro ='Individual Corporativo'
        AND ref_date='${date}'
        AND AMBITO = 'PM' ) LT002
   LEFT JOIN
     (SELECT CEMPRESA,
             CBALCAO,
             CNUMECTA,
             ZDEPOSIT,
             sum(valor_bruto_off_prvs) valor_bruto_off_prvs
      FROM cd_loan_tapes_bce.lt001_univ_oper
      WHERE segmento = 'ESTR'
        AND nome_perimetro ='Individual Corporativo'
        AND ref_date='${date}'
        AND AMBITO = 'PM' -- and CONCAT(CEMPRESA, CBALCAO, CNUMECTA, ZDEPOSIT) = '31000805765200020000000000000000'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</si>
  <si>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instrmnt_id,
             off_blnc_sht_amnt_instrmnt_prvs
      FROM cd_loan_tapes_bce.lt002_instrument
      WHERE segmento = 'ESTR'
        AND nome_perimetro ='Individual Corporativo'
        AND ref_date='${date}'
        AND AMBITO = 'PM'
        AND cast(off_blnc_sht_amnt_instrmnt_prvs as VARCHAR) NOT LIKE '%.__'</t>
  </si>
  <si>
    <t>SELECT instrmnt_id,
             off_blnc_sht_amnt_instrmnt_prvs
      FROM cd_loan_tapes_bce.lt002_instrument
      WHERE segmento = 'ESTR'
        AND nome_perimetro ='Individual Corporativo'
        AND ref_date='${date}'
        AND AMBITO = 'PM'
        AND off_blnc_sht_amnt_instrmnt_prvs &lt; 0</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</si>
  <si>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&lt; DT_INCPTN
        AND off_blnc_sht_amnt_instrmnt_prvs &lt;&gt; 11111111111
</t>
  </si>
  <si>
    <t xml:space="preserve">SELECT instrmnt_id,
             off_blnc_sht_amnt_instrmnt_prvs,
             dt_incptn,
             ref_date
      FROM cd_loan_tapes_bce.lt002_instrument
      WHERE segmento = 'ESTR'
        AND nome_perimetro ='Individual Corporativo'
        AND ref_date='${date}'
        AND AMBITO = 'PM'
        AND SUBSTR(cast(add_months(ref_date, -12) AS string), 1, 10) &gt; DT_INCPTN
        AND off_blnc_sht_amnt_instrmnt &lt;&gt; 11111111111
        AND off_blnc_sht_amnt_instrmnt_prvs = 11111111111
</t>
  </si>
  <si>
    <t>Tabela Origem</t>
  </si>
  <si>
    <t>Campo Origem</t>
  </si>
  <si>
    <t>Imparidade</t>
  </si>
  <si>
    <t>Contabilidade</t>
  </si>
  <si>
    <t>Owner</t>
  </si>
  <si>
    <t>Validador</t>
  </si>
  <si>
    <t>Impairment status (stage 1, 2 e 3)</t>
  </si>
  <si>
    <t>FR004_CTO</t>
  </si>
  <si>
    <t>STAGE_ATUAL</t>
  </si>
  <si>
    <t>Contabilidade a partir de Dez.22</t>
  </si>
  <si>
    <t>Imparidade &amp; Contabilidade</t>
  </si>
  <si>
    <t>Performing status</t>
  </si>
  <si>
    <t>Previous performing status</t>
  </si>
  <si>
    <t>Purchased credit-impaired financial asset (POCI)</t>
  </si>
  <si>
    <t>BU_IFRS9.IFRS9_INPUT_MOTOR_8_7</t>
  </si>
  <si>
    <t xml:space="preserve">PURCHASED_CREDIT_IMPAIRED_FINANCIAL_ASSETS_FLAG </t>
  </si>
  <si>
    <t>Highest number of days past due in the 12 months prior to the most recent change of performing status</t>
  </si>
  <si>
    <t>FR004_CTO
MOYR1060
MOYR1061
CT622_MOYR_IFIC</t>
  </si>
  <si>
    <t>STAGE_ATUAL
DT_INCUMP
MOYR1N60_DINICONT
MOYR1N60_DINICONT</t>
  </si>
  <si>
    <t>Highest number of days past due in the 24 months before most recent change of performing status</t>
  </si>
  <si>
    <t>Days past due at the time of the most recent change of the performing status</t>
  </si>
  <si>
    <t>Date of impairment status</t>
  </si>
  <si>
    <t>Date of previous impairment status</t>
  </si>
  <si>
    <t>Date of performing status</t>
  </si>
  <si>
    <t>Date of previous performing status</t>
  </si>
  <si>
    <t>BU_IFRS9.IFRS9_OUT_EXPECTED_LOSS_REPORTING</t>
  </si>
  <si>
    <t>IER_FINAL</t>
  </si>
  <si>
    <t>BU_IFRS9.IFRS9_OUT_EXPECTED_LOSS_REPORTING
BU_IFRS.9.IFRS9_INPUT_MOTOR_8_7</t>
  </si>
  <si>
    <t>IER_FINAL
INTERST_EFFECTIVE_RATE_ORIG
INITIAL_RECOGNITION_DATE</t>
  </si>
  <si>
    <t>K2</t>
  </si>
  <si>
    <t>BU_IFRS9.IFRS9_OUT_STAGING_REPORTING</t>
  </si>
  <si>
    <t>EAD_FINAL</t>
  </si>
  <si>
    <t>LGD_IFRS9</t>
  </si>
  <si>
    <t>LT803_CODIGOS_LT</t>
  </si>
  <si>
    <t>VALOR_LT</t>
  </si>
  <si>
    <t>FR004_CTO
CT003_UNIV_CLI
IMCATF002_PROCESSO_AI_HIST
TABELA_PARAMETRIZACAO_IMPRMNT_CLCLTN_MTHD</t>
  </si>
  <si>
    <t>VALOR_LT
TIPO_ANALISE_ATUAL
CCLI_GRUPO
CTIPO_RECUPERACAO</t>
  </si>
  <si>
    <t>IFRS9_OUT_EXPECTED_LOSS_REPORTING
IMCATF046_FLAG_FECHO</t>
  </si>
  <si>
    <t>ID_PORTFOLIO_IFRS9</t>
  </si>
  <si>
    <t>Low credit risk exemption for SICR assessment</t>
  </si>
  <si>
    <t>FIXO</t>
  </si>
  <si>
    <t>'N'</t>
  </si>
  <si>
    <t>TBD - Necessita de desenvolvimentos</t>
  </si>
  <si>
    <t>PD_1Y_IFRS9</t>
  </si>
  <si>
    <t>BU_IFRS9.IFRS9_OUT_EXPECTED_LOSS_REPORTING
LT002_INSTRUMENT</t>
  </si>
  <si>
    <t>PD12M_IFRS9
IMPRMNT_STTS_INSTRMNT</t>
  </si>
  <si>
    <t>BU_IFRS9.IFRS9_OUT_EXPECTED_LOSS_REPORTING
FR004_CTO</t>
  </si>
  <si>
    <t>PD12M_IFRS9 (DATA DE REFERENCIA DE ANO ANTERIOR)
STAGE_ANTERIOR (DATA DE REFERENCIA DE ANO ANTERIOR)</t>
  </si>
  <si>
    <t>BU_IFRS9.IFRS9_OUT_EXPECTED_LOSS_REPORTING
IMCATF046_FLAG_FECHO
IFRS9_INPUT_MOTOR_8_7</t>
  </si>
  <si>
    <t>PD_LT_IFRS9
CMES
INITIAL_RECOGNITION_DATE</t>
  </si>
  <si>
    <t>PD_LTR_ORIGINAL</t>
  </si>
  <si>
    <t>PD_LT_IFRS9
IMPRMNT_STTS_INSTRMNT</t>
  </si>
  <si>
    <t>'2'</t>
  </si>
  <si>
    <t>ENTTY</t>
  </si>
  <si>
    <t>LT002_INSTRUMENT</t>
  </si>
  <si>
    <t>PD_IFRS9_12M_RD
IFRS9_EAD</t>
  </si>
  <si>
    <t>LT002_INSTRUMENT
BU_IFRS9.IFRS9_OUT_STAGING_REPORTING</t>
  </si>
  <si>
    <t>PD_IFRS9_12M_RD_T1
EAD_FINAL</t>
  </si>
  <si>
    <t>GT003_TRZ_GT_FIN
LT002_INSTRUMENT
LT814_HRCT_MV</t>
  </si>
  <si>
    <t>CTRATCTA
IMPRMNT_ASSSSMNT_MTHD
HRCT_MV</t>
  </si>
  <si>
    <t>Accumulated changes in fair value due to credit risk</t>
  </si>
  <si>
    <t>'0'</t>
  </si>
  <si>
    <t>Contabilidade a partir de [data a definir]</t>
  </si>
  <si>
    <t>Sum of LLPs and other allowances</t>
  </si>
  <si>
    <t>FR001_UNIV_SALDO</t>
  </si>
  <si>
    <t>MSALDO_FINAL (saldo obtido por parametrizações sobre as contas contabilisticas)</t>
  </si>
  <si>
    <t>Previous sum of LLPs and other allowances</t>
  </si>
  <si>
    <t>Accumulated write-offs</t>
  </si>
  <si>
    <t>Accounting portfolio</t>
  </si>
  <si>
    <t>Accrued interest balance as recognized on the balance sheet</t>
  </si>
  <si>
    <t>Total exposure in arrears</t>
  </si>
  <si>
    <t>MOYR1060
MOYR1061
CT622_MOYR_IFIC</t>
  </si>
  <si>
    <t>MOYR1N60_MSLDIRR
MOYR1N60_MSLDIRR 
VENCIDO_CTRVLR</t>
  </si>
  <si>
    <t>Highest total exposure in arrears in the last 12 months before the reference date</t>
  </si>
  <si>
    <t xml:space="preserve">Currency denomination </t>
  </si>
  <si>
    <t>CMOEDA1</t>
  </si>
  <si>
    <t>Carrying amount</t>
  </si>
  <si>
    <t>Highest number of days past due in the last 12 months</t>
  </si>
  <si>
    <t>CT622_MOYR_IFIC
MOYR1061
MOYR1060</t>
  </si>
  <si>
    <t>DT_INCUMP
MOYR1N60_DINICONT
MOYR1N60_DINICONT</t>
  </si>
  <si>
    <t>Highest number of days past due in the 12 months prior to the most recent change of the forbearance status</t>
  </si>
  <si>
    <t>DT_INCUMP
MOYR1N60_DINICONT
MOYR1N60_DINICONT
(com base na data de reestruturação)</t>
  </si>
  <si>
    <t>Highest number of days past due in the 24 months prior to the most recent change of the forbearance status</t>
  </si>
  <si>
    <t>Days past due at the date of the most recent change of the forbearance status</t>
  </si>
  <si>
    <t>Date past due</t>
  </si>
  <si>
    <t>MOYR1N60_DINICONT
DT_INCUMP</t>
  </si>
  <si>
    <t>Start date of principal grace period</t>
  </si>
  <si>
    <t>EPT02_ADMCTA
DADOS_GERAIS_EMP</t>
  </si>
  <si>
    <t>DINICARE
EPRY8510_DFORMALI</t>
  </si>
  <si>
    <t>Start date of the interest-only period</t>
  </si>
  <si>
    <t>Gross carrying amount</t>
  </si>
  <si>
    <t>LT001_UNIV_OPER</t>
  </si>
  <si>
    <t>VALOR_BRUTO_ON</t>
  </si>
  <si>
    <t>Internal code for segment/portfolio</t>
  </si>
  <si>
    <t>CONTRAPARTE</t>
  </si>
  <si>
    <t>Loan to value (LTV) at reference date</t>
  </si>
  <si>
    <t>FR011_CAPS_LTV</t>
  </si>
  <si>
    <t>VALOR_LTV</t>
  </si>
  <si>
    <t>Loan to value (LTV) at inception</t>
  </si>
  <si>
    <t>VALOR_LTV_ORIG</t>
  </si>
  <si>
    <t>Loan to value (LTV) at the date when the instrument was classified as non-performing</t>
  </si>
  <si>
    <t>FR011_CAPS_LTV
BCE_LT_SPRT_PRFM</t>
  </si>
  <si>
    <t>VALOR_LTV
REF_DATE</t>
  </si>
  <si>
    <t>Off-balance sheet amount</t>
  </si>
  <si>
    <t>Outstanding gross nominal amount</t>
  </si>
  <si>
    <t>Previous outstanding gross nominal amount</t>
  </si>
  <si>
    <t>Provisions associated with off-balance sheet exposures</t>
  </si>
  <si>
    <t>Type of EBA-compliant moratoria</t>
  </si>
  <si>
    <t>CT902_EBA_REPORT_CONTAB</t>
  </si>
  <si>
    <t>CREGIME</t>
  </si>
  <si>
    <t>Internal name of EBA compliant moratoria as registered by the bank</t>
  </si>
  <si>
    <t xml:space="preserve"> 'Compliant Moratoriums'</t>
  </si>
  <si>
    <t>Date of EBA compliant moratoria status</t>
  </si>
  <si>
    <t>DTESTADO 
DINIPED</t>
  </si>
  <si>
    <t>Initial date of first EBA compliant moratoria status</t>
  </si>
  <si>
    <t>End date of principal grace period for COVID19 related measures</t>
  </si>
  <si>
    <t>DFIMCAR</t>
  </si>
  <si>
    <t>End date of the interest-only period for COVID19 related measures</t>
  </si>
  <si>
    <t>EBA compliant moratoria status</t>
  </si>
  <si>
    <t>CT902_EBA_REPORT_CONTAB
LT806_MRT_ST_C19</t>
  </si>
  <si>
    <t>CESTADO
F_EXPIRED
CREGIME
EBA_CMPLNT_MRTR_ST_C19</t>
  </si>
  <si>
    <t>Grace period on capital and interest</t>
  </si>
  <si>
    <t>CTIPCAR</t>
  </si>
  <si>
    <t>Maturity of latest EBA compliant moratoria</t>
  </si>
  <si>
    <t>BLOCO 2</t>
  </si>
  <si>
    <t>Data Inicio</t>
  </si>
  <si>
    <t>Data Fim</t>
  </si>
  <si>
    <t>Versão</t>
  </si>
  <si>
    <t>Trabalho</t>
  </si>
  <si>
    <t>Pilar 3</t>
  </si>
  <si>
    <t>VDS</t>
  </si>
  <si>
    <t>GD</t>
  </si>
  <si>
    <t>BLOCO 1</t>
  </si>
  <si>
    <t>Produção</t>
  </si>
  <si>
    <t>Tipo de Alteração</t>
  </si>
  <si>
    <t>Teste de Consistência</t>
  </si>
  <si>
    <t xml:space="preserve">Controlos Corporativos </t>
  </si>
  <si>
    <t>Nova Especificação</t>
  </si>
  <si>
    <t>FLD_SYNDCTN, RTNTN_SHR, STTS_UNDRWRTTN_TRNSCTN, SYNDCT_RL, SYNDCTD_AGNT, SYNDCTD_CNTRCT_ID, SYNDCTD_LNDRS, SYNDCTD_SHR, SYNDCTN_TYP e TRNCH</t>
  </si>
  <si>
    <t>COUNTERPARTY_COUNTRY, ADDRESS_STREET, ADDRESS_CITY_TOWN_VILLAGE e ADDRESS_COUNTY_ADM_DIV</t>
  </si>
  <si>
    <t>typ_ep_scr, sstnbl_ctgry, rsk_mtgtd_ccp, nace_esg, mthd_usd_instrmnt_scp_3, mthd_usd_instrmnt_scp_2, mthd_usd_instrmnt_scp_1, PRMRY_ENRGY_DMND_NN_RNWBL, DT_RGSTRTN, RL_ESTT_CRTFCTN, FLG_FRST_HM, DT_MTRTY_INSRNC, AMNT_CVRD_INSRNC, TYP_HZRDS_INSRD, INSRNC_ID, VHCL_EMSSNS_SCR, flg_chrnc_physcl_rsk, VHCL_EMSSNS_LBL, flg_act_physcl_rsk, TYP_EMSSNS_LBL, esg_sbsctr, prtctn_allctd_vl, enblng_trnvr_ce, enblng_capex_ce, enblng_trnvr_w, enblng_capex_w, pure_trnvr_ce, pure_capex_ce, pure_trnvr_w, pure_capex_w, pure_trnvr_b, pure_capex_b, pure_trnvr_p, pure_capex_p, txnmy_elgbl_trnvr_ce, txnmy_elgbl_capex_ce, txnmy_elgbl_trnvr_b, txnmy_elgbl_capex_b, txnmy_elgbl_trnvr_p, txnmy_elgbl_capex_p, txnmy_elgbl_trnvr_w, txnmy_elgbl_capex_w, entty_nm, FLG_MNMM_SFGRDS, INTRNL_SGMNT_CATGSUB, INTRNL_SGMNT_CAT_MSTA, EIR_INCPTN, EIR, LTV_INCPTN, LTV, RWA, EAD, DT_ORGNL_MTRTY, INTRNL_SGMNT, FRBRNC_STTS_INSTRMNT, DNSH_DTL, FLG_DNSH_CMPLNC, ep_scr, INSTRMNT_ID, DT_RFRNC, COD_SOC</t>
  </si>
  <si>
    <t>dt_prfrmng_stts_prvs, dt_prfrmng_stts, dpd_12m_prfrmng_stts, dt_imprmnt_stts_prvs, dt_imprmnt_stts, off_blnc_sht_amnt_instrmnt_prvs, prfrmng_stts_prvs, dpd_prfrmng_stts, dpd_24m_prfrmng_stts, prfrmng_stts, orgnl_prtctn_vl, imprmnt_stts, ifrs9_bhvrl_mtrty, mn_entty_id, imprmnt_stts_prvs</t>
  </si>
  <si>
    <t xml:space="preserve">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ISSR_ID.issr_id &lt;&gt; LT002.issr_id
;
</t>
  </si>
  <si>
    <t>DROP TABLE BU_CAPTOOLS_WORK.TESTE_ISSR_ID ;
CREATE TABLE BU_CAPTOOLS_WORK.TESTE_ISSR_ID AS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SELECT LT002.instrmnt_id, LT002.issr_id, ISSR_ID.ISSR_ID as ISSR_ID_SIM
FROM
(SELECT instrmnt_id, issr_id
FROM bu_loantape_work.lt002_instrument
WHERE 1=1 
AND ambito = 'PM'
AND segmento = 'ESTR'
AND ref_date = '${date}'
AND nome_perimetro = 'Individual Corporativo') LT002
LEFT JOIN
(SELECT *
FROM BU_CAPTOOLS_WORK.TESTE_ISSR_ID) ISSR_ID
ON LT002.instrmnt_id = ISSR_ID.instrmnt_id
Where length(LT002.ISSR_ID) &gt;=255</t>
  </si>
  <si>
    <t>ID of the issuer should have Char format (variable length allowed between 1 and 255 characters)</t>
  </si>
  <si>
    <t xml:space="preserve">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LT002.instrmnt_id, LT002.issr_id, ISSR_ID.ISSR_ID as ISSR_ID_SIM,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
Where LT002.issr_id_typ &lt;&gt; ISSR_ID.ISSR_ID_TYP
</t>
  </si>
  <si>
    <t>"Type of ID of the issuer" should match the information on the Codelist</t>
  </si>
  <si>
    <t>DROP TABLE BU_CAPTOOLS_WORK.TESTE_ISSR_ID ;
CREATE TABLE BU_CAPTOOLS_WORK.TESTE_ISSR_ID AS 
SELECT instrmnt_id, ISSR_ID, 
CASE WHEN flag_inst_div = '0' THEN 'N/A' ELSE 
CASE WHEN ISSR_ID = CLEI OR ISSR_ID = MAX_CLEI THEN 'LEI'
WHEN ISSR_ID = TAX_ID THEN 'TAX'
WHEN ISSR_ID = ZCLIENTE THEN 'OTHER' END END AS ISSR_ID_TYP
FROM
( 
SELECT 
instrmnt_id,
CASE WHEN flag_inst_div = '0' THEN 'N/A' ELSE 
CASE WHEN TRIM(CLEI) NOT IN ('', '#') THEN CLEI
          WHEN TRIM(CLEI) IN ('','#') AND TRIM(CCLI_GRUPO) &lt;&gt; '' AND MAX_CLEI IS NOT NULL THEN MAX_CLEI 
          WHEN TRIM(CLEI) IN ('','#') AND TRIM(CCLI_GRUPO) &lt;&gt; '' AND MAX_CLEI IS NULL AND TAX_ID  &lt;&gt; 'MISS' THEN TAX_ID 
          ELSE ZCLIENTE END END AS ISSR_ID, CLEI, MAX_CLEI, ZCLIENTE, TAX_ID, flag_inst_div
FROM
(
SELECT 
LT002.instrmnt_id,
CASE WHEN LENGTH(CAST(CAST(CT003.CNUM_DOC_IDENTIF2 AS INT) AS STRING)) = 9 AND TAT91.TAYD91C0_CELEMTAB IS NOT NULL THEN CAST (CAST(CT003.CNUM_DOC_IDENTIF2 AS INT) AS STRING) ELSE 'MISS' END AS TAX_ID,
MAX(CT003.CLEI) as MAX_CLEI,
CCLI_GRUPO,
ZCLIENTE,
CLEI,
flag_inst_div
FROM
(SELECT instrmnt_id
FROM bu_loantape_work.lt002_instrument
WHERE 1=1 
AND ambito = 'PM'
AND segmento = 'ESTR'
AND ref_date = '${date}'
AND nome_perimetro = 'Individual Corporativo') LT002
LEFT JOIN
(SELECT instrmnt_id, entty_id
FROM bu_loantape_work.lt005_instr_ent
WHERE 1=1 
AND ambito = 'PM'
AND segmento = 'ESTR'
AND ref_date = '${date}'
AND nome_perimetro = 'Individual Corporativo') LT005
ON LT005.INSTRMNT_ID = LT002.INSTRMNT_ID
LEFT JOIN
(SELECT zcliente, clei, ccli_grupo, cnum_doc_identif2, CTIPO_DOC_IDENTIF2
FROM cd_captools.ct003_univ_cli
Where ref_date = '${date}'
AND CLEI &lt;&gt; '#') CT003
ON CT003.zcliente = LT005.entty_id
LEFT JOIN
(SELECT TAYD91C0_CELEMTAB
FROM cd_estruturais.tat91_tabelas
WHERE data_date_part = '${date}'
AND TAT91_TABELAS.TAYD91C0_CTABELA = '151' 
AND (TAT91_TABELAS.TAYD91C0_GELEMTAB LIKE 'CONTRIBUINTE%' OR TAT91_TABELAS.TAYD91C0_GELEMTAB LIKE 'NUMERO DE CONTRIBUINTE%' OR TAT91_TABELAS.TAYD91C0_GELEMTAB LIKE 'ESTADO E EQUIPARADOS') ) TAT91
ON TAT91.TAYD91C0_CELEMTAB = CT003.CTIPO_DOC_IDENTIF2
LEFT JOIN
(SELECT *
FROM cd_loan_tapes_bce.kt_chaves_lt
Where ambito = 'PM'
AND segmento = 'ESTR'
AND ref_date = '${date}'
AND nome_perimetro = 'Individual Corporativo') KT_CHAVES
ON LT002.instrmnt_id = KT_CHAVES.instrmnt_id
LEFT JOIN 
(SELECT cempresa, cbalcao, cnumecta, zdeposit, flag_inst_div
FROM bu_loantape_work.lt001_univ_oper
WHERE 1=1 
AND ambito = 'PM'
AND segmento = 'ESTR'
AND ref_date = '${date}'
AND nome_perimetro = 'Individual Corporativo') LT001
ON CONCAT(KT_CHAVES.CEMPRESA,KT_CHAVES.CBALCAO, KT_CHAVES.CNUMECTA, KT_CHAVES.ZDEPOSIT) = CONCAT(LT001.CEMPRESA,LT001.CBALCAO, LT001.CNUMECTA, LT001.ZDEPOSIT) 
GROUP BY 
LT002.instrmnt_id,
CASE WHEN LENGTH(CAST(CAST(CT003.CNUM_DOC_IDENTIF2 AS INT) AS STRING)) = 9 AND TAT91.TAYD91C0_CELEMTAB IS NOT NULL THEN CAST (CAST(CT003.CNUM_DOC_IDENTIF2 AS INT) AS STRING) ELSE 'MISS' END,
CCLI_GRUPO,
ZCLIENTE,
CLEI,
flag_inst_div
) X
) Y
;
SELECT DISTINCT LT002.ISSR_ID_TYP, ISSR_ID.ISSR_ID_TYP as ISSR_ID_TYP_SIM
FROM
(SELECT instrmnt_id, issr_id, issr_id_typ
FROM bu_loantape_work.lt002_instrument
WHERE 1=1 
AND ambito = 'PM'
AND segmento = 'ESTR'
AND ref_date = '${date}'
AND nome_perimetro = 'Individual Corporativo') LT002
LEFT JOIN
(SELECT *
FROM BU_CAPTOOLS_WORK.TESTE_ISSR_ID) ISSR_ID
ON LT002.instrmnt_id = ISSR_ID.instrmnt_id</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</si>
  <si>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&lt;&gt; accmltd_chngs_fv_cr_instrmnt_sim
 </t>
  </si>
  <si>
    <t>"Accumulated changes in fair value due to credit risk" should have a Format numeric (2 decimal places)</t>
  </si>
  <si>
    <t>"Accumulated changes in fair value due to credit risk" shall be larger or equal to 0; Negative values trigger attention</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</si>
  <si>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</si>
  <si>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If "Subportfolio ID" is classified as 'VRPL - Fair value through profit and loss' and 'P - Performing', then "Accumulated changes in fair value due to credit risk" should be 'Not Applicable' or zero</t>
  </si>
  <si>
    <t>If "Balance sheet recognition" is set as 'REC01 - Entirely recognised' or 'REC02 - Recognised to the extent of the institution's continuing involvement' and Subportfolio ID is classified as 'VRPL - FV with changes in PL' then "Accumulated changes in fair value due to credit risk" cannot be 'Not Applicable'</t>
  </si>
  <si>
    <t>If "Performing status" is set as '11 - Performing' and "Forbearance status" is populated as '3 - Forborne: Refinanced debt', '4 - Forborne: instruments with other modified terms and conditions' or '5 - Forborne: instruments with modified interest rate below market conditions', then "Accumulated changes in fair value due to credit risk" should be 'Not Applicable'</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</si>
  <si>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cast(accmltd_chngs_fv_cr_instrmnt as VARCHAR) NOT LIKE '%.__'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</si>
  <si>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accmltd_chngs_fv_cr_instrmnt &lt; 0 
 </t>
  </si>
  <si>
    <t xml:space="preserve">SELECT instrmnt_id, accmltd_chngs_fv_cr_instrmnt, accmltd_chngs_fv_cr_instrmnt_sim ,prfrmng_stts, accntng_clssfctn
FROM
(SELECT instrmnt_id, accmltd_chngs_fv_cr_instrmnt, prfrmng_stts, accntng_clssfctn,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accntng_clssfctn IN ('6','14','8')
AND accmltd_chngs_fv_cr_instrmnt &lt;&gt; 11111111111
 </t>
  </si>
  <si>
    <t>Campo não existe</t>
  </si>
  <si>
    <t xml:space="preserve">SELECT instrmnt_id, accmltd_chngs_fv_cr_instrmnt, accmltd_chngs_fv_cr_instrmnt_sim ,prfrmng_stts, accntng_clssfctn
FROM
(SELECT
instrmnt_id, accmltd_chngs_fv_cr_instrmnt, prfrmng_stts, accntng_clssfctn, frbrnc_stts_instrmnt,
CASE WHEN prfrmng_stts &lt;&gt; '1' OR accntng_clssfctn not in ('4','41') THEN 11111111111.00 ELSE 0 END AS accmltd_chngs_fv_cr_instrmnt_sim 
FROM bu_loantape_work.lt002_instrument
WHERE 1=1 
AND ambito = 'PM'
AND segmento = 'ESTR'
AND ref_date = '${date}'
AND nome_perimetro = 'Individual Corporativo') LT002
Where prfrmng_stts IN ('11')
AND frbrnc_stts_instrmnt IN ('3','4','5')
AND accmltd_chngs_fv_cr_instrmnt &lt;&gt; 11111111111
 </t>
  </si>
  <si>
    <t>Re-especificar o campo utilizando o código da OSI (código é uma proxy com base no tipo de amortização e na frequência de pagamentos)</t>
  </si>
  <si>
    <t>Observações</t>
  </si>
  <si>
    <t>Data</t>
  </si>
  <si>
    <t>Total de Campos da Wallet</t>
  </si>
  <si>
    <t>Estado Campos em Produção</t>
  </si>
  <si>
    <t>REF_DATE</t>
  </si>
  <si>
    <t>1 Controlo NOK - Proteções a zero</t>
  </si>
  <si>
    <t>BLOCO 3</t>
  </si>
  <si>
    <t>Next Steps</t>
  </si>
  <si>
    <t>Estado do campo</t>
  </si>
  <si>
    <t>LT_VALIDATION_LABEL</t>
  </si>
  <si>
    <t>LT_VALIDATION_DESCRIPTION</t>
  </si>
  <si>
    <t>LT_VALIDAT_TABLE</t>
  </si>
  <si>
    <t>LT_VALIDAT_FIELD</t>
  </si>
  <si>
    <t>LT_VALIDATION_TYPE</t>
  </si>
  <si>
    <t>LT_PROC_STEP_ID</t>
  </si>
  <si>
    <t>LT_PROC_VAL_NEW_STATUS</t>
  </si>
  <si>
    <t>LT_VAL_EXECUTED</t>
  </si>
  <si>
    <t>LT_VAL_INCIDENTS</t>
  </si>
  <si>
    <t>VL_PERCENT</t>
  </si>
  <si>
    <t>RELACION_NUM_DF</t>
  </si>
  <si>
    <t>LT_O_IN</t>
  </si>
  <si>
    <t>LT_R_IN_097_01</t>
  </si>
  <si>
    <t>If "Date of performing status" is not equal to "Date of Inception" and "Date of performing status" occured during a period of 24 month preceding the reference date, then "Highest number of days past due in the 12 months prior to the most recent change of performing status" cannot be 'Not applicable'</t>
  </si>
  <si>
    <t>INTRA_REL_P_IN</t>
  </si>
  <si>
    <t>REL_CAMPOS</t>
  </si>
  <si>
    <t>LT_R_IN</t>
  </si>
  <si>
    <t>KO</t>
  </si>
  <si>
    <t>LT_O_IN_102_01</t>
  </si>
  <si>
    <t>"Date of impairment status" must be later than 01 January 1970</t>
  </si>
  <si>
    <t>RELACION_FECHA</t>
  </si>
  <si>
    <t>LT_O_IN_103_01</t>
  </si>
  <si>
    <t>"Date of previous impairment status" must be later than 01 January 1970</t>
  </si>
  <si>
    <t>LT_O_IN_027_01</t>
  </si>
  <si>
    <t>"Date of performing status" must be later than 01 January 1970</t>
  </si>
  <si>
    <t>INTER_REL_P_X2</t>
  </si>
  <si>
    <t>LT_O_IN_028_01</t>
  </si>
  <si>
    <t>"Date of previous performing status" must be later than 01 January 1970</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</si>
  <si>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</si>
  <si>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</si>
  <si>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</si>
  <si>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</si>
  <si>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LT_R_IN_034_09</t>
  </si>
  <si>
    <t>If "Debtor on watch-list (Y/N)" (Main Entity level) is set as 'Y' and "Subportfolio ID" is not classified as 'VRPL - FV with changes in PL' then "Impairment status" has to be set as '24 - Stage 2 (IFRS)' or '25 - Stage 3 (IFRS)'</t>
  </si>
  <si>
    <t>INTER_REL_P_X1</t>
  </si>
  <si>
    <t>LT_R_IN_034_12</t>
  </si>
  <si>
    <t>If "Subportfolio ID" is classified as 'S1 - Stage 1', then "Impairment status" must equal '23 - Stage 1 (IFRS)'</t>
  </si>
  <si>
    <t>LT_R_IN_035_01</t>
  </si>
  <si>
    <t>If "Accounting portfolio" equals '2 - IFRS: Financial assets held for trading', '4 - IFRS: Financial assets designated at fair value through profit or loss' or '41 - IFRS: Non-trading financial assets mandatorily at fair value through profit or loss', then "Previous impairment status" must equal default values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</si>
  <si>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</si>
  <si>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</si>
  <si>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LT_R_IN_044_07</t>
  </si>
  <si>
    <t>If "Protection called" is set as 'Y' then "Performing status" (instrument level) has to be set as '1 - Non-performing'</t>
  </si>
  <si>
    <t>INTER_REL_P_X3</t>
  </si>
  <si>
    <t>LT_R_IN_044_12</t>
  </si>
  <si>
    <t>If "Performing status" (Main Entity level) is set as '1 - Non Performing' then "Performing status" at instrument level should be '1 - Non Performing'</t>
  </si>
  <si>
    <t>LT_R_IN_044_08</t>
  </si>
  <si>
    <t>If "Subportfolio ID" is classified as 'P - Performing', then "Performing status" (instrument level) has to be set as '11 - Performing'</t>
  </si>
  <si>
    <t>Campo com alteração de especificação devido a atualização do Guia Corporativo (Relacionado com o PRFRMNG_STTS_PRVS)</t>
  </si>
  <si>
    <t>1 Controlo NOK - Inconsistências entre conceitos DFLT e STAGE 
1 Controlo ligado a um campo com Incidências (PRTCTN_CLLD)
1 Controlo enviado pela Luísa à corporação (será retirado)</t>
  </si>
  <si>
    <t xml:space="preserve">- Alteração do Universo da LT004 para a GT018 (15/01/2025)
- Alteração de especificação de campos dependentes da tabela CT063 para a tabela Business (02/04/2025)
- Retirar traçabilidade dos ajustes com as demais tabelas (04/04/2025)
- Alteração de especificação dos campo do Universo PRVS (04/04/2025)
</t>
  </si>
  <si>
    <t>Alterar Especificação</t>
  </si>
  <si>
    <t>dstntn_fnds, excldd_lf, flln_angl_extndd_dfntn, flln_angl_nrrw_dfntn, grp_rorac, rorac, rorac, rwa_mtgtn, rwa_prmtgtn, scan, ttl_lvrg_rt_incptn, ttl_prmssbl_dbt_blnc, typ_cl, typ_dl, typ_fclty, typ_off_blnc_prdct, us_prcds, pd_ec_incptn, pd_ec_rd, ttl_lvrg_rt_incptn_hlt, dt_mdfctn, grp_spprt, fld_syndctn, rtntn_shr, stts_undrwrttn_trnsctn, syndct_rl, syndctd_agnt, syndctd_cntrct_id, syndctd_lndrs, syndctd_shr, syndctn_typ, trnch, dt_extrnl_rtng, dt_frbrnc_stts, ec_grp_id, ec_grp_nm, extrnl_rtng, extrnl_rtng_nm, extrnl_rtng_prvs, frbrnc_stts_instrmnt, cntry, ecnmc_actvty, rtng_scl, typ_instrmnt, prfrmng_stts_prvs, flg_lbo,mn_entty_id</t>
  </si>
  <si>
    <t>Campos entregues por IT para testagem do GD, as entregas referentes aos campos listados foram efetuadas em 4 fases:
AVRG_BLNC ,NW_BSNSS ,GRSS_INTRST_INCM ,GRSS_CMMSSN_INCM ,INTRNL_TRNSFR_RT ,NT_LN_LSS_PRVSN ,BSNSS_AREA ,MNGMNT_PRDCT ,GRSS_CMMSSN_EXPNS ,GNS_FNNCL_TRNSCTN_EXCHNG_DFFRNCS ,FLG_INTRBSNSS ,INTRBSNSS_ADJ_COD ,COD_SOC_DSTNTN ,BSNSS_AREA_DSTNTN ,AVRG_BLNC_OFF_BLNC ,INTRNL_TRNSFR_RT_OFF_BLNC ,GRSS_CMMSSN_INCM_OFF_BLNC ,GRSS_CMMSSN_EXPNS_OFF_BLNC ,RWA_OFF_BLNC ,GRSS_INTRST_EXPNS ,NT_LN_LSS_PRVSN_OFF_BLNC ,GRSS_INTRST_INCM_CCRR ,GRSS_INTRST_EXPNS_CCRR ,GRSS_CMMSSN_INCM_CCRR ,GRSS_CMMSSN_EXPNS_CCRR ,GNS_FNNCL_TRNSCTN_EXCHNG_CCRR ,BSNSS_AREA_CCRR ,GRSS_CMMSSN_INCM_OFF_BLNC_CCRR ,GRSS_CMMSSN_EXPNS_OFF_BLNC_CCRR ,CCF ,COD_SOC ,SUBPORTFOLIO_ID ,DT_RFRNC ,DFLT_STTS_INSTRMNT ,IMPRMNT_STTS ,PRFRMNG_STTS ,TYP_INSTRMNT ,GRSS_CRRYNG_AMNT_INSTRMNT ,PRVSNS_OFF_BLNC_SHT ,COD_SOC_INTRGRP ,LCL_INSTMRNT_ID ,CNCLLD_INSTRMNT_STTS ,INSTRMNT_ID ,COD_SOC ,DT_RFRNC ,PRTCTN_ID ,TYP_PRTCTN ,PRTCTN_VL ,TYP_VHCL ,COD_SOC ,DT_RFRNC ,INSTRMNT_ID ,PRTCTN_ID ,TYP_RLTN ,PRCNTG_ACTVTY ,SSTNBL_INDCTR ,SSTNBL_CTGRY ,COD_SOC ,DT_RFRNC ,INSTRMNT_ID</t>
  </si>
  <si>
    <t>BLOCO 4</t>
  </si>
  <si>
    <t>Passagem a Produção</t>
  </si>
  <si>
    <t>SELECT *
FROM
  (SELECT instrmnt_id,
          off_blnc_sht_amnt_instrmnt_prvs,
          DT_INCPTN &lt;= SUBSTR(cast(add_months(ref_date, -12) AS string), 1, 10) AS val,
          SUM(-1*VALOR_BRUTO_OFF_PRVS) AS cal,
          ROUND(nvl(CASE
                        WHEN instrmnt_id LIKE 'SNC%' THEN 11111111111
                        WHEN instrmnt_id LIKE 'SS%' THEN 11111111111
                        WHEN DT_INCPTN &gt; SUBSTR(cast(add_months(ref_date, -12) AS string), 1, 10) THEN 11111111111
                        WHEN DT_INCPTN &lt;= SUBSTR(cast(add_months(ref_date, -12) AS string), 1, 10) THEN SUM(-1*VALOR_BRUTO_OFF_PRVS)
                    END, 0.00),2) AS off_blnc_sht_amnt_instrmnt_prvs_simulacao,
          dt_incptn,
          ref_date
   FROM
     (SELECT instrmnt_id,
             off_blnc_sht_amnt_instrmnt_prvs,
             dt_incptn,
             ref_date
      FROM bu_loantape_work.lt002_instrument
      WHERE segmento = 'ESTR'
        AND nome_perimetro ='Individual Corporativo'
        AND ref_date='${date}'
        AND AMBITO = 'PM' 
        AND cod_visao = 1) LT002
   LEFT JOIN
     (SELECT CEMPRESA,
             CBALCAO,
             CNUMECTA,
             ZDEPOSIT,
             valor_bruto_off_prvs
      FROM bu_loantape_work.lt001_univ_oper
      WHERE segmento = 'ESTR'
        AND nome_perimetro ='Individual Corporativo'
        AND ref_date='${date}'
        AND AMBITO = 'PM'
        AND cod_visao = 1)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</si>
  <si>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
FROM
  (SELECT instrmnt_id,
          off_blnc_sht_amnt_instrmnt_prvs,
          dt_incptn,
          ref_date
   FROM bu_loantape_work.lt002_instrument
   WHERE segmento = 'ESTR'
     AND nome_perimetro ='Individual Corporativo'
     AND ref_date='${date}'
     AND AMBITO = 'PM'
     AND cod_visao = 1) LT002
WHERE cast(off_blnc_sht_amnt_instrmnt_prvs AS VARCHAR) NOT LIKE '%.__'</t>
  </si>
  <si>
    <t>SELECT *
FROM
  (SELECT instrmnt_id,
          off_blnc_sht_amnt_instrmnt_prvs,
          dt_incptn,
          ref_date
   FROM bu_loantape_work.lt002_instrument
   WHERE segmento = 'ESTR'
     AND nome_perimetro ='Individual Corporativo'
     AND ref_date='${date}'
     AND AMBITO = 'PM'
     AND cod_visao = 1) LT002
WHERE off_blnc_sht_amnt_instrmnt_prvs &lt; 0</t>
  </si>
  <si>
    <t xml:space="preserve">SELECT *
FROM
  (SELECT instrmnt_id,
          off_blnc_sht_amnt_instrmnt_prvs,
          dt_incptn,
          ref_date
   FROM bu_loantape_work.lt002_instrument
   WHERE segmento = 'ESTR'
     AND nome_perimetro ='Individual Corporativo'
     AND ref_date='${date}'
     AND AMBITO = 'PM'
     AND cod_visao = 1) LT002
WHERE SUBSTR(cast(add_months(ref_date, -12) AS string), 1, 10) &lt; DT_INCPTN
        AND off_blnc_sht_amnt_instrmnt_prvs &lt;&gt; 11111111111
</t>
  </si>
  <si>
    <t>SELECT *
FROM
  (SELECT instrmnt_id,
          off_blnc_sht_amnt_instrmnt_prvs,
          off_blnc_sht_amnt_instrmnt,
          dt_incptn,
          ref_date
   FROM bu_loantape_work.lt002_instrument
   WHERE segmento = 'ESTR'
     AND nome_perimetro ='Individual Corporativo'
     AND ref_date='2025-03-31'
     AND AMBITO = 'PM'
     AND cod_visao = 1
     AND instrmnt_id NOT LIKE 'SS%'
     AND instrmnt_id NOT LIKE 'SNCN%') LT002
WHERE SUBSTR(cast(add_months(ref_date, -12) AS string), 1, 10) &gt; DT_INCPTN
  AND off_blnc_sht_amnt_instrmnt &lt;&gt; 11111111111
  AND off_blnc_sht_amnt_instrmnt_prvs = 11111111111</t>
  </si>
  <si>
    <t>Alteração tabela fonte CT063 para a tabela Business</t>
  </si>
  <si>
    <t>Campo pode sofrer alterações com o tratamento dos NULL já entregue para testagem</t>
  </si>
  <si>
    <t>UNVERSO</t>
  </si>
  <si>
    <t>FLAG_PME</t>
  </si>
  <si>
    <t>COD_EMPR_PME</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</si>
  <si>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AND cod_empr_pme &lt;&gt; cod_empr_pme_sim
-- AND flag_pme &lt;&gt; FLAG_PME_SIM</t>
  </si>
  <si>
    <t>SELECT LT001.zcliente,cod_empr_pme, cod_empr_pme_sim, flag_pme,FLAG_PME_SIM
FROM
(SELECT zcliente, cod_empr_pme, flag_pme
FROM bu_loantape_work.lt001_univ_oper
WHERE ref_date = '2025-06-30'
  AND ambito = 'PM'
  AND segmento = 'ESTR'
  AND nome_perimetro = 'Individual IDComb') LT001
LEFT JOIN
(SELECT zcliente, cast(cod_empr_pme as STRING) as cod_empr_pme_sim,
Case when cast(cod_empr_pme as STRING) in ('1','2','3') THEN '1' ELSE '0' END as FLAG_PME_SIM
FROM business_sme2003361.out_sme_2003_361
Where 1=1 
AND ref_date = '${date}') BUSSME
ON LT001.zcliente = BUSSME.zcliente
WHERE 1=1 
-- AND cod_empr_pme &lt;&gt;cod_empr_pme_sim
AND flag_pme &lt;&gt; FLAG_PME_SIM</t>
  </si>
  <si>
    <t>ENTRPRZ_SZ_LE</t>
  </si>
  <si>
    <t>SELECT 
entty_id, contraparte,
entrprs_sz_le, entrprs_sz_le_simulado
FROM
(
SELECT entty_id,entrprs_sz_le, contraparte,
CASE WHEN contraparte in ('outras empresas nao financeiras') THEN entrprs_sz_le_simulado ELSE '11111111111' END AS entrprs_sz_le_simulado
FROM
(
SELECT entty_id, entrprs_sz_le, contraparte,
CASE WHEN cod_empr_pme = 0 THEN '1'
WHEN cod_empr_pme = 3 THEN '2'
WHEN cod_empr_pme = 2 THEN '3'
WHEN cod_empr_pme = 1 THEN '4'
ELSE '99999999999' END AS entrprs_sz_le_simulado
FROM 
(SELECT entty_id, entrprs_sz_le
FROM bu_loantape_work.lt003_entity
WHERE 1=1 
AND ambito = 'PM'
AND segmento = 'ESTR'
AND ref_date = '${date}'
AND nome_perimetro = 'Individual IDComb'
AND cod_visao = 1) LT003
LEFT JOIN
(SELECT zcliente, contraparte
FROM cd_captools.ct003_univ_cli
WHERE 1=1 
AND ref_date = '${date}') CT003
ON CT003.zcliente = LT003.entty_id
LEFT JOIN
(SELECT zcliente, cod_empr_pme
FROM business_sme2003361.out_sme_2003_361
Where 1=1 
AND ref_date = '${date}') BUSSME
ON LT003.entty_id = BUSSME.zcliente
) A
) B
Where 1=1
AND entrprs_sz_le &lt;&gt; entrprs_sz_le_simulado</t>
  </si>
  <si>
    <t>SELECT LT002.instrmnt_id, cre_fnrp18, CRE_FNRP18_sim
FROM 
(SELECT instrmnt_id, cre_fnrp18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LOWER(REGEXP_REPLACE(colateral, ' ','')) IN ('garhipcomercial') THEN 'CRE_FNRP18'
             WHEN LOWER(REGEXP_REPLACE(carteira_contabilistica, ' ','')) IN ('garantiasecompromissosconcedidos')
                  AND LOWER(REGEXP_REPLACE(contraparte, ' ','')) IN ('')
                  AND LOWER(REGEXP_REPLACE(contraparte_i, ' ','')) IN ('outrasempresasnaofinanceiras')
                  AND LOWER(REGEXP_REPLACE(tipo_conta, ' ','')) IN ('ea')
                  AND LOWER(REGEXP_REPLACE(colateral, ' ','')) IN ('garhipcomercial') THEN 'CRE_FNRP18'
             WHEN LOWER(REGEXP_REPLACE(carteira_contabilistica, ' ','')) IN ('provisoesparacompromissosegarantiasconcedidas')
                  AND LOWER(REGEXP_REPLACE(contraparte, ' ','')) IN ('')
                  AND LOWER(REGEXP_REPLACE(contraparte_i, ' ','')) IN ('outrasempresasnaofinanceiras')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LOWER(REGEXP_REPLACE(colateral, ' ','')) IN ('garhipcomercial') THEN 'CRE_FNRP18'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LOWER(REGEXP_REPLACE(colateral, ' ','')) IN ('garhipcomercial') THEN 'CRE_FNRP18'
         END = 'CRE_FNRP18' THEN 'Y'
    ELSE 'N'
END AS CRE_FNRP18_sim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cre_fnrp18 &lt;&gt; CRE_FNRP18_sim</t>
  </si>
  <si>
    <t>SELECT LT002.instrmnt_id,
       rre_fnrp18,
       RRE_FNRP18_sim
FROM
  (SELECT instrmnt_id,
          rre_fnrp18
   FROM bu_loantape_work.lt002_instrument
   WHERE 1=1
     AND ambito = 'PM'
     AND segmento = 'ESTR'
     AND ref_date = '${date}'
     AND nome_perimetro = 'Individual IDComb'
     AND cod_visao = 1) LT002
LEFT JOIN
  (SELECT *
   FROM cd_loan_tapes_bce.kt_chaves_lt
   WHERE ref_date ='${date}') kt_chaves ON LT002.instrmnt_id = kt_chaves.instrmnt_id
LEFT JOIN
  (SELECT *,
          CASE
              WHEN CASE
                       WHEN LOWER(REGEXP_REPLACE(carteira_contabilistica, ' ','')) IN ('garantiasecompromissosconcedidos')
                            AND LOWER(REGEXP_REPLACE(contraparte, ' ','')) IN ('particulares')
                            AND LOWER(REGEXP_REPLACE(tipo_conta, ' ','')) IN ('ea')
                            AND LOWER(REGEXP_REPLACE(colateral, ' ','')) IN ('garhipresidencial') THEN 'RRE_FNRP18'
                       WHEN LOWER(REGEXP_REPLACE(carteira_contabilistica, ' ','')) IN ('provisoesparacompromissosegarantiasconcedidas')
                            AND LOWER(REGEXP_REPLACE(contraparte,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('particulares')
                            AND LOWER(REGEXP_REPLACE(tipo_conta, ' ','')) IN ('a')
                            AND LOWER(REGEXP_REPLACE(bruto_imparidade, ' ','')) NOT IN ('imparidade')
                            AND LOWER(REGEXP_REPLACE(colateral, ' ','')) IN ('garhipresidencial') THEN 'RRE_FNRP18'
                       WHEN LOWER(REGEXP_REPLACE(carteira_contabilistica, ' ','')) IN ('garantiasecompromissosconcedidos')
                            AND LOWER(REGEXP_REPLACE(contraparte, ' ','')) IN ('')
                            AND LOWER(REGEXP_REPLACE(contraparte_i, ' ','')) IN ('particulares')
                            AND LOWER(REGEXP_REPLACE(tipo_conta, ' ','')) IN ('ea')
                            AND LOWER(REGEXP_REPLACE(colateral, ' ','')) IN ('garhipresidencial') THEN 'RRE_FNRP18'
                       WHEN LOWER(REGEXP_REPLACE(carteira_contabilistica, ' ','')) IN ('provisoesparacompromissosegarantiasconcedidas')
                            AND LOWER(REGEXP_REPLACE(contraparte, ' ','')) IN ('')
                            AND LOWER(REGEXP_REPLACE(contraparte_i, ' ','')) IN ('particulares')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IN ('imparidade')
                            AND LOWER(REGEXP_REPLACE(colateral, ' ','')) IN ('garhipresidencial') THEN 'RRE_FNRP18'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('particulares')
                            AND LOWER(REGEXP_REPLACE(tipo_conta, ' ','')) IN ('a')
                            AND LOWER(REGEXP_REPLACE(bruto_imparidade, ' ','')) NOT IN ('imparidade')
                            AND LOWER(REGEXP_REPLACE(colateral, ' ','')) IN ('garhipresidencial') THEN 'RRE_FNRP18'
                   END = 'RRE_FNRP18' THEN 'Y'
              ELSE 'N'
          END AS RRE_FNRP18_sim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WHERE RRE_fnrp18 &lt;&gt; RRE_FNRP18_sim</t>
  </si>
  <si>
    <t>"Flag of CREs" should be a Char not null (default values for not applicable fields not allowed)</t>
  </si>
  <si>
    <t>"Flag of CREs" should match the information on the Codelist</t>
  </si>
  <si>
    <t>If "Flag of CREs" is set to 'N', then "Debt yield" must be defaulted</t>
  </si>
  <si>
    <t>If "Flag of CREs" is set as 'Y - Yes' then "Loans collateralized classification" should be 'FMC1 - Real Estate. Commercial'</t>
  </si>
  <si>
    <t>If "Flag of CREs" is set to 'Y' in INSTRUMENT table then at least one record in PROTECTION table must have informed "Protection type" as '9 - Offices and commercial premises' or '10 - Commercial real estate collateral'</t>
  </si>
  <si>
    <t xml:space="preserve">1 contrato </t>
  </si>
  <si>
    <t>SELECT *
FROM
(
SELECT instrmnt_id, cre_fnrp18, max(VALIDACAO) as validacao
FROM
(
SELECT LT002.instrmnt_id, cre_fnrp18
, CASE WHEN typ_PRTCTN = '9' OR typ_PRTCTN = '10' Then 'SIM' ELSE 'NAO' END AS VALIDACAO
FROM
     (SELECT instrmnt_id,
             cre_fnrp18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cre_fnrp18
) Y
Where validacao = 'NAO'
AND CRE_FNRP18 = 'Y'</t>
  </si>
  <si>
    <t>SELECT DISTINCT cre_fnrp18
      FROM bu_loantape_work.lt002_instrument
      WHERE 1=1
        AND ambito = 'PM'
        AND segmento = 'ESTR'
        AND ref_date = '${date}'
        AND nome_perimetro = 'Individual IDComb'
        AND cod_visao = 1
        AND instrmnt_id NOT LIKE 'SNCN%'
        AND instrmnt_id NOT LIKE 'SS%'</t>
  </si>
  <si>
    <t xml:space="preserve">SELECT instrmnt_id, cre_fnrp18, dbt_yld
      FROM bu_loantape_work.lt002_instrument
      WHERE 1=1
        AND ambito = 'PM'
        AND segmento = 'ESTR'
        AND ref_date = '${date}'
        AND nome_perimetro = 'Individual IDComb'
        AND cod_visao = 1
        AND instrmnt_id NOT LIKE 'SNCN%'
        AND instrmnt_id NOT LIKE 'SS%'
        AND cre_fnrp18 = 'N' 
        AND dbt_yld not in (11111111111,99999999999)
 </t>
  </si>
  <si>
    <t xml:space="preserve">SELECT DISTINCT lns_clltrlzd_clssfctn
      FROM bu_loantape_work.lt002_instrument
      WHERE 1=1
        AND ambito = 'PM'
        AND segmento = 'ESTR'
        AND ref_date = '${date}'
        AND nome_perimetro = 'Individual IDComb'
        AND cod_visao = 1
        AND instrmnt_id NOT LIKE 'SNCN%'
        AND instrmnt_id NOT LIKE 'SS%'
        AND cre_fnrp18 = 'Y' 
        AND lns_clltrlzd_clssfctn </t>
  </si>
  <si>
    <t>Na Especificação falta condição de N/A?!</t>
  </si>
  <si>
    <t>"Enterprise size Counterparty (LE)" should match the information on the Codelist</t>
  </si>
  <si>
    <t>If "Flag of SMEs" equals 'N', then "Enterprise size Counterparty (LE)" (Main Entity level) cannot equal '2 - Medium enterprise' nor '3 - Small enterprise' nor '4 - Micro enterprise'</t>
  </si>
  <si>
    <t>If "Flag of SMEs" equals 'Y', then "Enterprise size Counterparty (LE)" (Main Entity level) cannot equal '1 - Large enterprise'</t>
  </si>
  <si>
    <t>If "Type of person" is 'N - Natural person' then "Enterprise size Counterparty (LE)" must be a default value</t>
  </si>
  <si>
    <t>If "Date of enterprise size" is populated with other than default values then "Enterprise size" cannot be 'Not applicable'</t>
  </si>
  <si>
    <t>FLAG_PME (LT001)</t>
  </si>
  <si>
    <t>COD_EMPR_PME (LT001)</t>
  </si>
  <si>
    <t>Alteração do nome do campo SUBTIPO_GARANTIA da LT001 para COLATERAL cuja fonte é o COLATERAL da FR011</t>
  </si>
  <si>
    <t xml:space="preserve">SELECT DISTINCT entrprs_sz_le
FROM bu_loantape_work.lt003_entity
WHERE 1=1 
AND ambito = 'PM'
AND segmento = 'ESTR'
AND ref_date = '${date}'
AND nome_perimetro = 'Individual IDComb'
AND cod_visao = 1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</si>
  <si>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LT002
ON LT002.instrmnt_id = LT005.instrmnt_id
Where sme_fnrp18 ='Y' 
AND entrprs_sz_le in ('1')</t>
  </si>
  <si>
    <t>SELECT entty_id, entrprs_sz_le, prsn_typ
FROM bu_loantape_work.lt003_entity
WHERE 1=1 
AND ambito = 'PM'
AND segmento = 'ESTR'
AND ref_date = '${date}'
AND nome_perimetro = 'Individual IDComb'
AND cod_visao = 1
AND prsn_typ = 'N'
AND entrprs_sz_le &lt;&gt; '11111111111'</t>
  </si>
  <si>
    <t>Este campo não está especificado</t>
  </si>
  <si>
    <t>"Flag of RREs" should be a Char not null (default values for not applicable fields not allowed)</t>
  </si>
  <si>
    <t>"Flag of RREs" should match the information on the Codelist</t>
  </si>
  <si>
    <t>If "Flag of RREs" is set as 'Y - Yes' then "Loans collateralized classification" should be 'FMC2 - Real Estate. Residential'</t>
  </si>
  <si>
    <t>If "Flag of RREs" is set to 'Y' in INSTRUMENT table then at least one record in PROTECTION table must have informed "Protection type" as '8 - Residential real estate collateral'</t>
  </si>
  <si>
    <t>SELECT DISTINCT rre_fnrp18
   FROM bu_loantape_work.lt002_instrument
   WHERE 1=1
     AND ambito = 'PM'
     AND segmento = 'ESTR'
     AND ref_date = '${date}'
     AND nome_perimetro = 'Individual IDComb'
     AND cod_visao = 1</t>
  </si>
  <si>
    <t>SELECT LT004.prtctn_id, typ_prtctn, lt002.instrmnt_id, rre_fnrp18
FROM
     (SELECT instrmnt_id,
             rre_fnrp18
      FROM bu_loantape_work.lt002_instrument
      WHERE 1=1
        AND ambito = 'PM'
        AND segmento = 'ESTR'
        AND ref_date = '${date}'
        AND nome_perimetro = 'Individual IDComb'
        AND cod_visao = 1)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Where LT002.instrmnt_id in (SELECT instrmnt_id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
;
SELECT *
FROM
(
SELECT instrmnt_id, rre_fnrp18, max(VALIDACAO) as validacao
FROM
(
SELECT LT002.instrmnt_id, rre_fnrp18
, CASE WHEN typ_PRTCTN = '8' Then 'SIM' ELSE 'NAO' END AS VALIDACAO
FROM
     (SELECT instrmnt_id,
             rre_fnrp18
      FROM bu_loantape_work.lt002_instrument
      WHERE 1=1
        AND ambito = 'PM'
        AND segmento = 'ESTR'
        AND ref_date = '${date}'
        AND nome_perimetro = 'Individual IDComb'
        AND cod_visao = 1
        AND instrmnt_id NOT LIKE 'SNCN%'
        AND instrmnt_id NOT LIKE 'SS%') LT002
LEFT JOIN
(SELECT *
      FROM bu_loantape_work.lt006_instr_prot
      WHERE 1=1
        AND ambito = 'PM'
        AND segmento = 'ESTR'
        AND ref_date = '${date}'
        AND nome_perimetro = 'Individual IDComb'
        AND cod_visao = 1) LT006
ON LT002.instrmnt_id = LT006.instrmnt_id  
LEFT JOIN 
(SELECT *
      FROM bu_loantape_work.lt004_protection
      WHERE 1=1
        AND ambito = 'PM'
        AND segmento = 'ESTR'
        AND ref_date = '${date}'
        AND nome_perimetro = 'Individual IDComb'
        AND cod_visao = 1) LT004
ON LT004.prtctn_id = LT006.prtctn_id  
) X 
Group by instrmnt_id, rre_fnrp18
) Y
WHERE rre_fnrp18 = 'Y'
AND validacao = 'NAO'</t>
  </si>
  <si>
    <t>Reapontamento para campos PRVS do Universo</t>
  </si>
  <si>
    <t>Reapontar para o MN_ENTTY_ID</t>
  </si>
  <si>
    <t>Justificado: Um contrato que tem uma garantias leasing imobiliario na FR003, mas que não está na LT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venha exclusivamente do MUG</t>
  </si>
  <si>
    <t>JUSTIFICADO CONTROLO NOK: Existem um contrato que está marcado como CRE = Y, mas no LT apenas estão duas garantias pessoais associadas
Este contrato que tem uma garantias leasing imobiliario na FR003. Atualmente ainda existe um processo supletivo ao MUG para acautelar leasings imobiliarios e mobiliarios. Como a LT apenas reporta o que está no MUG esta garantias não existe no LT.Existe um projeto em curso onde até final de outubro este processo deixa de existir e toda a informação vem exclusivamente do MUG</t>
  </si>
  <si>
    <t>Análise de controlos</t>
  </si>
  <si>
    <t>Análise de consistência</t>
  </si>
  <si>
    <t>Em desenvolvimento com Nuno Alves e equipa do HA</t>
  </si>
  <si>
    <t>ID</t>
  </si>
  <si>
    <t>1.Email enviado ao Nuno e Rafael para proceder alteração do campo de forma a corrigir controlo If "Flag of SMEs" equals 'N', then "Enterprise size Counterparty (LE)" (Main Entity level) cannot equal '2 - Medium enterprise' nor '3 - Small enterprise' nor '4 - Micro enterprise'
2. Rever controlo com Luísa que relaciona a FLAG com o ENTTY</t>
  </si>
  <si>
    <t>Rever sinal dos campo juros_corridos e juros_corridos_prvs</t>
  </si>
  <si>
    <t>OK - Justificado</t>
  </si>
  <si>
    <t>Estado dos Campos</t>
  </si>
  <si>
    <t>Especificar campo</t>
  </si>
  <si>
    <t>Individual IDComb</t>
  </si>
  <si>
    <t>NOME_PERIMETRO</t>
  </si>
  <si>
    <t>Enviar email para riscos ou Nuno Pinheiro</t>
  </si>
  <si>
    <t xml:space="preserve">SELECT *
FROM
  (SELECT LT002.instrmnt_id,
          sme_fnrp18,
MAX(CASE
    WHEN CASE
             WHEN LOWER(REGEXP_REPLACE(carteira_contabilistica, ' ','')) IN ('provisoesparacompromissosegarantiasconcedidas')
                  AND LOWER(REGEXP_REPLACE(contraparte, ' ','')) IN ('')
                  AND LOWER(REGEXP_REPLACE(contraparte_i, ' ','')) IN ('outrasempresasnaofinanceiras')
                  AND LOWER(REGEXP_REPLACE(cod_empr_pme, ' ','')) IN ('1',
                                                                      '2',
                                                                      '3') THEN 'SME_FNRP18'
             WHEN LOWER(REGEXP_REPLACE(carteira_contabilistica, ' ','')) IN ('garantiasecompromissosconcedidos')
                  AND LOWER(REGEXP_REPLACE(contraparte, ' ','')) IN ('')
                  AND LOWER(REGEXP_REPLACE(contraparte_i, ' ','')) IN ('outrasempresasnaofinanceiras')
                  AND LOWER(REGEXP_REPLACE(tipo_conta, ' ','')) IN ('ea')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('outrasempresasnaofinanceiras')
                  AND LOWER(REGEXP_REPLACE(tipo_conta, ' ','')) IN ('a')
                  AND LOWER(REGEXP_REPLACE(bruto_imparidade, ' ',''))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NOT IN ('imparidade')
                  AND LOWER(REGEXP_REPLACE(cod_empr_pme, ' ','')) IN ('1',
                                                                      '2',
                                                                      '3') THEN 'SME_FNRP18'
             WHEN LOWER(REGEXP_REPLACE(carteira_contabilistica, ' ','')) IN ('ativosfinanceirosaocustoamortizado',
                                                                             'ativosfinanceirosmandatoriamenteaojustovaloratravesderesultados',
                                                                             'ativosfinanceirosaojustovaloratravesdeoutrorendimentointegral')
                  AND LOWER(REGEXP_REPLACE(instrumento_financeiro, ' ','')) IN ('creditoconcedidoeoutrosativosfinanceiros')
                  AND LOWER(REGEXP_REPLACE(contraparte, ' ','')) IN ('')
                  AND LOWER(REGEXP_REPLACE(contraparte_i, ' ','')) IN ('outrasempresasnaofinanceiras')
                  AND LOWER(REGEXP_REPLACE(tipo_conta, ' ','')) IN ('a')
                  AND LOWER(REGEXP_REPLACE(bruto_imparidade, ' ','')) IN ('imparidade')
                  AND LOWER(REGEXP_REPLACE(cod_empr_pme, ' ','')) IN ('1',
                                                                      '2',
                                                                      '3') THEN 'SME_FNRP18'
             WHEN LOWER(REGEXP_REPLACE(carteira_contabilistica, ' ','')) IN ('provisoesparacompromissosegarantiasconcedidas')
                  AND LOWER(REGEXP_REPLACE(contraparte, ' ','')) IN ('outrasempresasnaofinanceiras')
                  AND LOWER(REGEXP_REPLACE(cod_empr_pme, ' ','')) IN ('1',
                                                                      '2',
                                                                      '3') THEN 'SME_FNRP18'
             WHEN LOWER(REGEXP_REPLACE(carteira_contabilistica, ' ','')) IN ('garantiasecompromissosconcedidos')
                  AND LOWER(REGEXP_REPLACE(contraparte, ' ','')) IN ('outrasempresasnaofinanceiras')
                  AND LOWER(REGEXP_REPLACE(tipo_conta, ' ','')) IN ('ea')
                  AND LOWER(REGEXP_REPLACE(cod_empr_pme, ' ','')) IN ('1',
                                                                      '2',
                                                                      '3') THEN 'SME_FNRP18'
         END = 'SME_FNRP18' THEN 'Y'
    ELSE 'N'
END) AS SME_FNRP18_SIM
   FROM
     (SELECT instrmnt_id,
             sme_fnrp18
      FROM bu_loantape_work.lt002_instrument
      WHERE 1=1
        AND ambito = 'PM'
        AND segmento = 'ESTR'
        AND ref_date = '${date}'
        AND nome_perimetro = 'Individual IDComb'
        AND cod_visao = 1
        AND cnclld_instrmnt_stts = 'N') LT002
   LEFT JOIN
     (SELECT *
      FROM cd_loan_tapes_bce.kt_chaves_lt
      WHERE ref_date ='${date}') kt_chaves ON LT002.instrmnt_id = kt_chaves.instrmnt_id
   LEFT JOIN
     (SELECT *
      FROM bu_loantape_work.lt001_univ_oper
      WHERE 1=1
        AND ambito = 'PM'
        AND segmento = 'ESTR'
        AND ref_date = '${date}'
        AND nome_perimetro = 'Individual IDComb'
        AND cod_visao = 1) LT001 ON CONCAT(kt_chaves.cempresa,kt_chaves.cbalcao, kt_chaves.cnumecta, kt_chaves.zdeposit) = CONCAT(LT001.cempresa,LT001.cbalcao, LT001.cnumecta, LT001.zdeposit)
Group by instrmnt_id, sme_fnrp18
) X
WHERE sme_fnrp18 &lt;&gt; SME_FNRP18_sim </t>
  </si>
  <si>
    <t>SELECT Lt003.entty_id, entrprs_sz_le, Lt002.instrmnt_id, sme_fnrp18
FROM
(SELECT entty_id, entrprs_sz_le
FROM bu_loantape_work.lt003_entity
WHERE 1=1 
AND ambito = 'PM'
AND segmento = 'ESTR'
AND ref_date = '${date}'
AND nome_perimetro = 'Individual IDComb'
AND cod_visao = 1) LT003
LEFT JOIN 
     (SELECT *
      FROM bu_loantape_work.lt005_instr_ent
      WHERE 1=1
        AND ambito = 'PM'
        AND segmento = 'ESTR'
        AND ref_date = '${date}'
        AND nome_perimetro = 'Individual IDComb'
        AND cod_visao = 1) LT005
ON LT003.entty_id = LT005.entty_id
LEFT JOIN 
     (SELECT instrmnt_id,
             sme_fnrp18
      FROM bu_loantape_work.lt002_instrument
      WHERE 1=1
        AND ambito = 'PM'
        AND segmento = 'ESTR'
        AND ref_date = '${date}'
        AND nome_perimetro = 'Individual IDComb'
        AND cod_visao = 1
        AND cnclld_instrmnt_stts = 'N') LT002
ON LT002.instrmnt_id = LT005.instrmnt_id
Where sme_fnrp18 ='N' 
AND entrprs_sz_le in ('2','3','4')</t>
  </si>
  <si>
    <t>Controlo: "Date of impairment status" must be later than 01 January 1970 Justificado</t>
  </si>
  <si>
    <t>Controlo: "Date of impairment status previous" must be later than 01 January 1970 Justificado</t>
  </si>
  <si>
    <t>"Date of performing status" must be later than 01 January 1970 Justificado</t>
  </si>
  <si>
    <t>"Date of previous performing status" must be later than 01 January 1970 Justificado</t>
  </si>
  <si>
    <t>LT_R_EN_027_01</t>
  </si>
  <si>
    <t>LT_R_EN</t>
  </si>
  <si>
    <t>LT_R_EN_027_03</t>
  </si>
  <si>
    <t>INTRA_REL_P_EN</t>
  </si>
  <si>
    <t>LT_R_IN_089_01</t>
  </si>
  <si>
    <t>If "Accounting portfolio" equals '2 - IFRS: Financial assets held for trading', '4 - IFRS: Financial assets designated at fair value through profit or loss' or '41 - IFRS: Non-trading financial assets mandatorily at fair value through profit or loss', then "Previous sum of LLPs and other allowances" must equal default values</t>
  </si>
  <si>
    <t>LT_R_IN_080_03</t>
  </si>
  <si>
    <t>If "Off-balance sheet amount" is populated as 'Not applicable' or zero amount, then "Outstanding gross nominal amount" cannot be 'Not applicable' nor zero amount</t>
  </si>
  <si>
    <t>LT_O_IN_080_01</t>
  </si>
  <si>
    <t>"Outstanding gross nominal amount" shall be larger or equal to 0; Negative values trigger attention</t>
  </si>
  <si>
    <t>Justificação</t>
  </si>
  <si>
    <t>Justificado</t>
  </si>
  <si>
    <t>Justificado, corrigido nas IC's</t>
  </si>
  <si>
    <t>Justificado, diferenças que aparecem ainda</t>
  </si>
  <si>
    <t>Luísa enviou email a area</t>
  </si>
  <si>
    <t>Justificado, existem estes casos com o gross a valores negativos</t>
  </si>
  <si>
    <t>Validar com Luísa</t>
  </si>
  <si>
    <t>Luísa vai falar com Zeneida</t>
  </si>
  <si>
    <t>1 Controlo NOK comparação com o Accounting portfolio</t>
  </si>
  <si>
    <t>3 Controlos NOK - Inconsistências entre conceitos de DFLT, STAGE e WATCH LIST
1 Controlo NOK - If "Subportfolio ID" is classified as 'S1 - Stage 1', then "Impairment status" must equal '23 - Stage 1 (IFRS)'</t>
  </si>
  <si>
    <t>Alteração de Especificação 11/08/2025</t>
  </si>
  <si>
    <t>Luísa vai voltar a pedir a Zeneida para retirar controlo</t>
  </si>
  <si>
    <t>Alterar especificação N/As</t>
  </si>
  <si>
    <t>Alteração de especificação (11/08)</t>
  </si>
  <si>
    <t>Falar com Paulo Silvério</t>
  </si>
  <si>
    <t>O Luís pediu para voltarmos a validar se o campo está realmente OK junto com a área. Se mesmo após a validação virmos que continuamos comerros a possível solução seria descartar a garantia no MUG a partir do momento que era executada (mas nada ficou decidido)</t>
  </si>
  <si>
    <t>EXCLDD_LF</t>
  </si>
  <si>
    <t>PD_EC_RD</t>
  </si>
  <si>
    <t>PD_EC_INCPTN</t>
  </si>
  <si>
    <t>COMPANY_EXPOSURE</t>
  </si>
  <si>
    <t>Alterações no ambito de LF</t>
  </si>
  <si>
    <t>N/A</t>
  </si>
  <si>
    <t>Necessário alterar especificação onde se incluí a condição de N/A  quando o prsn_typ = L</t>
  </si>
  <si>
    <t>SELECT *
FROM
  (SELECT LT002.instrmnt_id,
          ACCMLTD_IMPRMNT_INSTRMNT_PRVS,
          DT_INCPTN &lt;= SUBSTR(cast(add_months(LT002.ref_date, -12) AS string), 1, 10) AS val,
          SUM(-1*provisao_on_prvs)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SUM(-1*provisao_on_prvs)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</si>
  <si>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 xml:space="preserve">SELECT *
FROM
  (SELECT LT002.instrmnt_id,
          OTSTNDNG_NMNL_AMNT_INSTRMNT,
          DT_INCPTN &lt;= SUBSTR(cast(add_months(LT002.ref_date, -12) AS string), 1, 10) AS val,
          NVL(SUM(-1*valor_bruto_on),0) - NVL(SUM(-1*juros_corridos),0) AS cal,
          ROUND(CASE
                        WHEN LT002.instrmnt_id LIKE 'SNC%' THEN 11111111111
                        WHEN LT002.instrmnt_id LIKE 'SS%' THEN 11111111111  
                        WHEN DT_INCPTN &lt;= SUBSTR(cast(add_months(LT002.ref_date, -12) AS string), 1, 10) THEN NVL(SUM(-1*VALOR_BRUTO_ON),0) - NVL(SUM(-1*JUROS_CORRIDOS),0)
                    END,2) AS OTSTNDNG_NMNL_AMNT_INSTRMNT_simulacao,
          dt_incptn,
          LT002.ref_date
   FROM
     (SELECT instrmnt_id,
             OTSTNDNG_NMNL_AMNT_INSTRMNT,
             dt_incptn,
             ref_date
      FROM bu_loantape_work.lt002_instrument
     WHERE segmento = 'ESTR'
        AND nome_perimetro ='${nome_perimetro}'
        AND ref_date='${date}'
        AND AMBITO = 'PM'
        AND entidade ='00100'
        AND cod_visao = 1) LT002
INNER JOIN 
    (SELECT *
    FROM cd_loan_tapes_bce.kt_chaves_lt
    WHERE ref_date = '${date}') KT
ON LT002.INSTRMNT_ID = KT.INSTRMNT_ID
LEFT JOIN
     (SELECT CEMPRESA,
             CBALCAO,
             CNUMECTA,
             ZDEPOSIT, 
             valor_bruto_on, 
             juros_corridos
      FROM bu_loantape_work.lt001_univ_oper
      WHERE segmento = 'ESTR'
        AND nome_perimetro ='${nome_perimetro}'
        AND ref_date='${date}'
        AND AMBITO = 'PM'
        AND entidade ='00100'
        AND cod_visao = 1)LT001 
ON CONCAT(KT.CEMPRESA, KT.CBALCAO, KT.CNUMECTA, KT.ZDEPOSIT) = CONCAT(LT001.CEMPRESA, LT001.CBALCAO, LT001.CNUMECTA, LT001.ZDEPOSIT)
GROUP BY dt_incptn,
        LT002.ref_date,
        DT_INCPTN &lt;= SUBSTR(cast(add_months(ref_date, -12) AS string), 1, 10),
        LT002.instrmnt_id,
        OTSTNDNG_NMNL_AMNT_INSTRMNT) X
WHERE round(OTSTNDNG_NMNL_AMNT_INSTRMNT,2) &lt;&gt; round(OTSTNDNG_NMNL_AMNT_INSTRMNT_simulacao,2);
</t>
  </si>
  <si>
    <t xml:space="preserve"> 
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ref_date = '${date}')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
 </t>
  </si>
  <si>
    <t xml:space="preserve">PRFRMNG_STTS_LE </t>
  </si>
  <si>
    <t xml:space="preserve">select base.entty_id, 
       prfrmng_stts_le, 
       prfrmng_stts_le_sim
from 
    (select lt003.entty_id,
           prfrmng_stts_le,
           case when flg_mn_entty_id = 'N/A' THEN '11111111111'
           WHEN count(DISTINCT prfrmng_stts) = 1 THEN MIN(prfrmng_stts)
           WHEN count(DISTINCT prfrmng_stts) &gt; 1 THEN MIN(prfrmng_stts)
        ELSE '11'
        END AS PRFRMNG_STTS_LE_sim
    from
        (select entty_id,
            prfrmng_stts_le
        from bu_loantape_work.lt003_entity
        WHERE segmento = 'ESTR'
            AND nome_perimetro ='${nome_perimetro}'
            AND ref_date='${date}'
            AND AMBITO = 'PM'
            AND entidade ='00100'
            AND cod_visao = 1
        group by entty_id,
                 prfrmng_stts_le) lt003
    left join 
        (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prfrmng_stts
    from 
        (select entty_id, 
                instrmnt_id, mn_entty_id
        from bu_loantape_work.lt005_instr_ent
        WHERE segmento = 'ESTR'
            AND nome_perimetro ='${nome_perimetro}'
            AND ref_date='${date}'
            AND AMBITO = 'PM'
            AND entidade ='00100'
            AND cod_visao = 1
            AND mn_entty_id = 'Y'
        ) lt005
    inner join
        (select instrmnt_id, 
                prfrmng_stts
        from bu_loantape_work.lt002_instrument
        WHERE segmento = 'ESTR'
            AND nome_perimetro ='${nome_perimetro}'
            AND ref_date='${date}'
            AND AMBITO = 'PM'
            AND entidade ='00100'
            AND cod_visao = 1) lt002
    on lt002.instrmnt_id = lt005.instrmnt_id ) x
    on lt003.entty_id = x.entty_id
    group by lt003.entty_id,
            flg_mn_entty_id, 
            prfrmng_stts_le) base
having prfrmng_stts_le &lt;&gt; prfrmng_stts_le_sim
</t>
  </si>
  <si>
    <t xml:space="preserve">select *
from
(select 
lt003.entty_id,
        lti, 
        case when x.grss_crryng_amnt is null then 11111111111
        when flg_mn_entty_id = 'N/A' then 11111111111
        when intrnl_sgmnt not like 'particulares' then 11111111111
        when INFO_IRS.mrendimentobrutoanual is not null
        Then cast(x.grss_crryng_amnt / INFO_IRS.mrendimentobrutoanual as decimal(32,6))
        else 99999999999 end as lti_sim
from
    (select entty_id,
            intrnl_sgmnt, 
            lti
    from bu_loantape_work.lt003_entity
    WHERE segmento = 'ESTR'
    AND nome_perimetro ='${nome_perimetro}'
    AND ref_date='${date}'
    AND AMBITO = 'PM'
    AND entidade ='00100'
    AND cod_visao = 1) lt003
left join 
    (select entty_id,
                case when max(mn_entty_id) = 'N' THEN 'N/A'
                ELSE 'Y' END AS flg_mn_entty_id
        from bu_loantape_work.lt005_instr_ent
        WHERE segmento = 'ESTR'
            AND nome_perimetro ='${nome_perimetro}'
            AND ref_date='${date}'
            AND AMBITO = 'PM'
            AND entidade ='00100'
            AND cod_visao = 1
            -- and entty_id = '5100498090'
        group by entty_id
      ) lt005_filtrada
on lt003.entty_id = lt005_filtrada.entty_id
left join 
        (select entty_id,
                SUM (grss_crryng_amnt_instrmnt) AS GRSS_CRRYNG_AMNT
        from 
            (SELECT instrmnt_id,
                    grss_crryng_amnt_instrmnt, 
                    typ_instrmnt, 
                    CASE WHEN typ_instrmnt = '1004' THEN 'Y' ELSE 'N' END AS FLG_INSTRMNT
            FROM bu_loantape_work.lt002_instrument
            WHERE segmento = 'ESTR'
                AND nome_perimetro ='${nome_perimetro}'
                AND ref_date='${date}'
                AND AMBITO = 'PM'
                AND entidade ='00100'
                AND cod_visao = 1) lt002
        inner join 
                (SELECT entty_id,
                        instrmnt_id
                from bu_loantape_work.lt005_instr_ent
                WHERE segmento = 'ESTR'
                AND nome_perimetro ='${nome_perimetro}'
                AND ref_date='${date}'
                AND AMBITO = 'PM'
                AND entidade ='00100'
                AND cod_visao = 1
                AND mn_entty_id = 'Y') lt005
        on lt005.instrmnt_id = lt002.instrmnt_id
        where FLG_INSTRMNT = 'Y'
        group by entty_id
        ) x
on x.entty_id = lt003.entty_id
left join 
                (SELECT * 
                FROM 
                    (SELECT rank () OVER (PARTITION BY nidinterveniente
                        ORDER BY ddatairs DESC, dtimecall DESC, data_date_part DESC, decisioncallid DESC ) AS ORDEM,
                        *
                    FROM
                        (SELECT DISTINCT 
                                        lpad(cast(irs.nidinterveniente as string), 10, '0') as nidinterveniente,
                                        irs.decisioncallid,
                                        irs.ddatairs,--irs.instance,
                                        irs.mrendimentobrutoanual,
                                        irs.mrendimentoliquidoanual, --san.dmcalltype,
                                        nvl(san.dtimecall, '0001-01-01') as dtimecall,
                                        irs.data_date_part
                        FROM cd_omdm.rendimentoirs irs 
                    INNER JOIN cd_omdm.saninputdata san 
                    ON irs.decisioncallid = san.decisioncallid
                    WHERE san.dmcalltype IN ('3','03','14','22')
                        AND irs.instance = 1
                        AND substr(irs.data_date_part,1,10) &lt;= '${date}') base 
                    ) INFO_IRS_1
                    WHERE ORDEM = 1 
                ) INFO_IRS
on info_irs.nidinterveniente = lt003.entty_id) BASE2
where round(lti, 2) &lt;&gt; round(lti_sim, 2) ---  round para tirar diferenças entre casas decimais 
</t>
  </si>
  <si>
    <t xml:space="preserve">select *
from
(select lt003.entty_id, 
        tipo_contrato,
      mnthl_trnvr,
      flg_mn_entty_id,
        nvl(case when flg_mn_entty_id &lt;&gt; 'Y' or tipo_contrato is null or spt04.zcliente is null or intrnl_sgmnt &lt;&gt; 'particulares' then 11111111111
        when flg_mn_entty_id = 'Y' AND tipo_contrato is not null  then msala 
        end, 99999999999) as mnthl_trnvr_sim
        FROM 
            (select distinct entty_id, 
                    mnthl_trnvr, 
                    intrnl_sgmnt
            from bu_loantape_work.lt003_entity
            WHERE segmento = 'ESTR'
                    AND nome_perimetro ='${nome_perimetro}'
                    AND ref_date='${date}'
                    AND AMBITO = 'PM'
                    AND entidade ='00100'
                    AND cod_visao = 1) lt003
        left join 
            (select zcliente, sum(msala)/12 as msala 
             FROM
          (select distinct zcliente, msala, mestrata 
           from
           (
            SELECT zcliente, mestrata, first_value(msala) over (partition by zcliente, mestrata ORDER BY data_date_part desc) as msala
               FROM cd_clientes.spt04_inflowcre
            WHERE data_date_part &lt;= '${date}'
            and data_date_part &gt; strleft(CAST(ADD_MONTHS('${date}',-12) AS string),10)
            ) FV 
          )FVD
         GROUP BY zcliente
         ) spt04
        on lpad(cast(SPT04.zcliente as string),10,'0') = lt003.entty_id
        left join
            (select distinct zcliente, 
                    tipo_contrato
            FROM cd_clientes.cl001_interv_cto
            WHERE ref_date = '${date}'
            And tipo_contrato =  'D.O. / CONTAS CORRENTES'
            )ct001
        ON ct001.zcliente = lt003.entty_id
        left join
            (select entty_id,                 
                case when max(mn_entty_id) = 'N' THEN 'N/A'
                ELSE 'Y' END AS flg_mn_entty_id
            FROM bu_loantape_work.lt005_instr_ent
            WHERE segmento = 'ESTR'
                    AND nome_perimetro ='${nome_perimetro}'
                    AND ref_date='${date}'
                    AND AMBITO = 'PM'
                    AND entidade ='00100'
                    AND cod_visao = 1
            group by entty_id) lt005
        on lt003.entty_id = lt005.entty_id
        ) x
where round(mnthl_trnvr_sim,2) &lt;&gt; round(mnthl_trnvr,2)
</t>
  </si>
  <si>
    <t>1 Controlo NOK Contratos marcados como DFLT mas que a PD económica não é 1 e a PD normal é 1</t>
  </si>
  <si>
    <t>Campo precisa de ser revisto</t>
  </si>
  <si>
    <t>Condições de N/A:
- Se o cliente não tiver contratos que pertençam ao universo de Imparidade (IFRS9_INPUT_MOTOR_8_7) na data onde é apurado o T1.
- Se a entidade não for 1º titular (mn_entty_id &lt;&gt; 'Y') no ano em que é apurado o T1.
E estes contratos estão no universo de imparidade para datas inferiores a 2024-06-30 daí não estarem a N/A</t>
  </si>
  <si>
    <t>SELECT *
FROM
  (SELECT LT002.instrmnt_id,
          ACCMLTD_IMPRMNT_INSTRMNT_PRVS,
          DT_INCPTN &lt;= SUBSTR(cast(add_months(LT002.ref_date, -12) AS string), 1, 10) AS val,
          SUM(provisao_on_prvs) AS cal,
          ROUND(nvl(CASE
                        WHEN LT002.instrmnt_id LIKE 'SNC%' THEN 11111111111
                        WHEN LT002.instrmnt_id LIKE 'SS%' THEN 11111111111
                        WHEN DT_INCPTN &gt; SUBSTR(cast(add_months(LT002.ref_date, -12) AS string), 1, 10) THEN 11111111111
                        WHEN DT_INCPTN &lt;= SUBSTR(cast(add_months(LT002.ref_date, -12) AS string), 1, 10) THEN SUM(provisao_on_prvs)
                    END, 0.00),2) AS ACCMLTD_IMPRMNT_INSTRMNT_PRVS_simulacao,
          dt_incptn,
          LT002.ref_date
FROM
     (SELECT instrmnt_id,
             ACCMLTD_IMPRMNT_INSTRMNT_PRVS,
             dt_incptn,
             ref_date
      FROM bu_loantape_work.lt002_instrument
      WHERE segmento = 'ESTR'
        AND nome_perimetro ='Individual IDComb'
        AND ref_date='${date}'
        AND AMBITO = 'PM' 
        AND cod_visao = 1) LT002
INNER JOIN 
    (SELECT *
    FROM bu_loantape_work.kt_chaves_lt
    WHERE ref_date = '${date}'
    AND segmento = 'ESTR'
    AND nome_perimetro ='Individual IDComb'
    AND AMBITO = 'PM') KT
ON LT002.INSTRMNT_ID = KT.INSTRMNT_ID
LEFT JOIN
     (SELECT CEMPRESA,
             CBALCAO,
             CNUMECTA,
             ZDEPOSIT,
             provisao_on_prvs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ACCMLTD_IMPRMNT_INSTRMNT_PRVS) X
WHERE round(ACCMLTD_IMPRMNT_INSTRMNT_PRVS,2) &lt;&gt; round(ACCMLTD_IMPRMNT_INSTRMNT_PRVS_simulacao,2)</t>
  </si>
  <si>
    <t>SELECT *
FROM
  (SELECT LT002.instrmnt_id,
          OTSTNDNG_NMNL_AMNT_INSTRMNT_PRVS,
          ROUND(CASE
                        WHEN LT002.instrmnt_id LIKE 'SNC%' THEN 11111111111
                        WHEN LT002.instrmnt_id LIKE 'SS%' THEN 11111111111
                        WHEN DT_INCPTN &gt; SUBSTR(cast(add_months(LT002.ref_date, -12) AS string), 1, 10) THEN 11111111111
                        WHEN DT_INCPTN &lt;= SUBSTR(cast(add_months(LT002.ref_date, -12) AS string), 1, 10) THEN  nvl(SUM(-1*valor_bruto_on_prvs),0) - nvl(SUM(-1*juros_corridos_prvs),0)
                    END,2) AS OTSTNDNG_NMNL_AMNT_INSTRMNT_PRVS_simulacao,
          dt_incptn,
          LT002.ref_date
   FROM
     (SELECT instrmnt_id,
             OTSTNDNG_NMNL_AMNT_INSTRMNT_PRVS,
             dt_incptn,
             ref_date
      FROM bu_loantape_work.lt002_instrument
      WHERE segmento = 'ESTR'
        AND nome_perimetro ='Individual IDComb'
        AND ref_date='${date}'
        AND AMBITO = 'PM' 
        AND cod_visao = 1) LT002
INNER JOIN 
    (SELECT *
    FROM cd_loan_tapes_bce.kt_chaves_lt
             WHERE segmento = 'ESTR'
        AND nome_perimetro ='${nome_perimetro}'
        AND ref_date='${date}'
        AND AMBITO = 'PM') KT
ON LT002.INSTRMNT_ID = KT.INSTRMNT_ID
LEFT JOIN
     (SELECT CEMPRESA,
             CBALCAO,
             CNUMECTA,
             ZDEPOSIT, 
             valor_bruto_on_prvs, 
             juros_corridos_prvs
      FROM bu_loantape_work.lt001_univ_oper
      WHERE segmento = 'ESTR'
        AND nome_perimetro ='Individual IDComb'
        AND ref_date='${date}'
        AND AMBITO = 'PM'
        AND cod_visao = 1) LT001 
ON CONCAT(KT.CEMPRESA, KT.CBALCAO, KT.CNUMECTA, KT.ZDEPOSIT) = CONCAT(LT001.CEMPRESA, LT001.CBALCAO, LT001.CNUMECTA, LT001.ZDEPOSIT)
GROUP BY dt_incptn,
        LT002.ref_date,
        DT_INCPTN &lt;= SUBSTR(cast(add_months(ref_date, -12) AS string), 1, 10),
        LT002.instrmnt_id,
        OTSTNDNG_NMNL_AMNT_INSTRMNT_PRVS) X
WHERE round(OTSTNDNG_NMNL_AMNT_INSTRMNT_PRVS,2) &lt;&gt; round(OTSTNDNG_NMNL_AMNT_INSTRMNT_PRVS_simulacao,2)</t>
  </si>
  <si>
    <t>Ver controlos</t>
  </si>
  <si>
    <t>Validar se está OK na CD</t>
  </si>
  <si>
    <t>Necessário corrigir em Janeiro no processo de capital para datas de referência &lt; Abril 2025 devemos de ir ao Individual Corporativo</t>
  </si>
  <si>
    <t xml:space="preserve">SELECT *
FROM 
(
SELECT DISTINCT instrmnt_id,
       CASE WHEN instrmnt_id like 'SS%' OR instrmnt_id like 'SNC%'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bu_loantape_work.lt002_instrument
      WHERE ref_date='${date}'
        AND ambito='PM'
        AND nome_perimetro='Individual IDComb'
        AND entidade='00100'
        AND segmento='ESTR'
        AND cod_visao=1 )lt002
   LEFT JOIN
     (SELECT instrmnt_id,
             entty_id
      FROM bu_loantape_work.lt005_instr_ent
      WHERE ref_date='${date}'
        AND ambito='PM'
        AND nome_perimetro='Individual IDComb'
        AND entidade='00100'
        AND segmento='ESTR'
        AND cod_visao=1
        AND mn_entty_id='Y')lt005 ON lt002.instrmnt_id=lt005.instrmnt_id
   LEFT JOIN
     (SELECT DISTINCT entty_id
      FROM bu_loantape_work.lt003_entity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bu_loantape_work.kt_chaves_lt
      WHERE ref_date='${date}'
        AND ambito='PM'
        AND nome_perimetro='Individual IDComb'
        AND entidade='00100'
        AND segmento='ESTR'
        AND cod_visao=1)chaves_lt ON lt002.instrmnt_id=chaves_lt.instrmnt_id
   LEFT JOIN
     (SELECT cempresa,
             cbalcao,
             cnumecta,
             zdeposit,
             max(cod_empr_pme) AS cod_empr_pme
      FROM bu_loantape_work.lt001_univ_oper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bu_loantape_work.lt003_entity
      WHERE ref_date='${date}'
        AND ambito='PM'
        AND nome_perimetro='Individual IDComb'
        AND entidade='00100'
        AND segmento='ESTR'
        AND cod_visao=1)lt003
   LEFT JOIN
     (SELECT DISTINCT instrmnt_id,
                      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
</t>
  </si>
  <si>
    <t>select *
-- DISTINCT ecnmc_actvty_simulado,valor_destino_1,CCAE
-- count(*),ecnmc_actvty
from ( 
select lt003.entty_id, lt003.ecnmc_actvty, TAT.tayd91c0_nelemc16, case when intrnl_sgmnt='particulares' then 'N/A'
when '${date}'&lt;='2024-12-31' then valor_destino
when '${date}'&gt;'2024-12-31' and '${date}'&lt;='2025-12-31'  then 
(NVL(case when TRIM(TAT.tayd91c0_nelemc16) ='' THEN 'MISS' 
when substr(TAT.tayd91c0_nelemc16,1,2) in ("A0","B0","C0","D0","E0","F0","G0","H0","I0","J0","K0","L0","M0","N0","O0","P0","Q0","R0","S0","T0","U0","V0") and substr(TAT.tayd91c0_nelemc16,4,3) in (".10",".20",".30",".40",".50",".60",".70",".80",".90") then substr(TAT.tayd91c0_nelemc16,3,3)
when substr(TAT.tayd91c0_nelemc16,1,2) in ("A0","B0","C0","D0","E0","F0","G0","H0","I0","J0","K0","L0","M0","N0","O0","P0","Q0","R0","S0","T0","U0","V0") and substr(TAT.tayd91c0_nelemc16,4,3) not in (".00",".10",".20",".30",".40",".50",".60",".70",".80",".90") then  substr(TAT.tayd91c0_nelemc16,3,4)
when substr(TAT.tayd91c0_nelemc16,1,2) not in ("A0","B0","C0","D0","E0","F0","G0","H0","I0","J0","K0","L0","M0","N0","O0","P0","Q0","R0","S0","T0","U0","V0") and substr(TAT.tayd91c0_nelemc16,4,3)  in (".10",".20",".30",".40",".50",".60",".70",".80",".90") then  substr(TAT.tayd91c0_nelemc16,2,4)
when substr(TAT.tayd91c0_nelemc16,1,2) not in ("A0","B0","C0","D0","E0","F0","G0","H0","I0","J0","K0","L0","M0","N0","O0","P0","Q0","R0","S0","T0","U0","V0") and substr(TAT.tayd91c0_nelemc16,4,3)=".00"  then substr(TAT.tayd91c0_nelemc16,2,2)
else substr(TAT.tayd91c0_nelemc16,2,5) end,'MISS'))
when '${date}'&gt;'2025-12-31' then (NVL(case when TRIM(TAT.tayd91c0_nelemc16) ='' THEN 'MISS' 
when substr(TAT.tayd91c0_nelemc18,1,2) in ("A0","B0","C0","D0","E0","F0","G0","H0","I0","J0","K0","L0","M0","N0","O0","P0","Q0","R0","S0","T0","U0","V0") and substr(TAT.tayd91c0_nelemc18,4,3) in (".10",".20",".30",".40",".50",".60",".70",".80",".90") then substr(TAT.tayd91c0_nelemc18,3,3)
when substr(TAT.tayd91c0_nelemc18,1,2) in ("A0","B0","C0","D0","E0","F0","G0","H0","I0","J0","K0","L0","M0","N0","O0","P0","Q0","R0","S0","T0","U0","V0") and substr(TAT.tayd91c0_nelemc18,4,3) not in (".00",".10",".20",".30",".40",".50",".60",".70",".80",".90") then  substr(TAT.tayd91c0_nelemc18,3,4)
when substr(TAT.tayd91c0_nelemc18,1,2) not in ("A0","B0","C0","D0","E0","F0","G0","H0","I0","J0","K0","L0","M0","N0","O0","P0","Q0","R0","S0","T0","U0","V0") and substr(TAT.tayd91c0_nelemc18,4,3)  in (".10",".20",".30",".40",".50",".60",".70",".80",".90") then  substr(TAT.tayd91c0_nelemc18,2,4)
when substr(TAT.tayd91c0_nelemc18,1,2) not in ("A0","B0","C0","D0","E0","F0","G0","H0","I0","J0","K0","L0","M0","N0","O0","P0","Q0","R0","S0","T0","U0","V0") and substr(TAT.tayd91c0_nelemc18,4,3)=".00"  then substr(TAT.tayd91c0_nelemc18,2,2)
else substr(TAT.tayd91c0_nelemc18,2,5) end,'MISS'))
else 'MISS'
end as ecnmc_actvty_simulado
-- nvl(CCAE_codelist.valor_destino,'MISS') --rev3
-- when '${date}'&gt;'2024-12-31' and '${date}'&lt;='2025-12-31' then nvl(tayd91c0_nelemc15_codelist.valor_destino_1,'MISS') --traduçao entre rev4 e rev3
-- when '${date}'&gt;'2025-12-31' then nvl(CCAE_codelist.valor_destino,'MISS') ELSE 'MISS' end as ecnmc_actvty_simulado --rev3
from (SELECT distinct entty_id, intrnl_sgmnt,ecnmc_actvty
from  bu_loantape_work.lt003_entity
WHERE nome_perimetro = '${perimetro}' 
AND segmento = 'ESTR' 
AND ref_date = '${date}'
AND ambito = 'PM'
AND entidade = '00100' and cod_visao=1
) lt003
---2024
LEFT JOIN
(SELECT 
zcliente, ccli_grupo
,CCAE
from cd_captools.ct003_univ_cli where ref_date = '${date}') CT003_rev4
ON lt003.ENTTY_ID = CT003_rev4.ZCLIENTE
left join (select valor_origem_1,valor_destino FROM bu_loantape_work.lt831_param_conceitos
where ref_date='${date}' and campo_conceito='ecnmc_actvty')CCAE_codelist
on CCAE=CCAE_codelist.valor_origem_1
--superior 2024
left join (SELECT 
tayd91c0_celemtab, tayd91c0_nelemc15,tayd91c0_nelemc16,tayd91c0_nelemc18
FROM CD_ESTRUTURAIS.TAT91_TABELAS
    WHERE TAYD91C0_CTABELA = '154'
      AND data_date_part='${date}') TAT
on CCAE=TAT.tayd91c0_celemtab
-- LEFT JOIN
-- (SELECT 
-- zcliente, ccli_grupo
-- , TRIM(SUBSTR(CCAE,1,4)) AS CCAE
-- from cd_captools.ct003_univ_cli where ref_date = '${date}') CT003_rev3
-- ON lt003.ENTTY_ID = CT003_rev3.ZCLIENTE
-- --TAT
-- left join (SELECT 
-- tayd91c0_celemtab, tayd91c0_nelemc15,tayd91c0_nelemc16
-- FROM CD_ESTRUTURAIS.TAT91_TABELAS
--     WHERE TAYD91C0_CTABELA = '154'
--       AND data_date_part='${date}') TAT_rev3
-- on trim(CT003_rev3.CCAE)=trim(substr(TAT_rev3.tayd91c0_nelemc15,1,4))
-- left join (select valor_origem_1 as valor_origem_1_2,valor_destino as valor_destino_1 FROM bu_loantape_work.lt831_param_conceitos
-- where ref_date='${date}' and campo_conceito='ECNMC_ACTVTY')tayd91c0_nelemc15_codelist
-- on substr(TAT.tayd91c0_nelemc15,1,4)=tayd91c0_nelemc15_codelist.valor_origem_1_2
)x
-- where ecnmc_actvty is null or ecnmc_actvty='MISS'
-- where ecnmc_actvty_simulado&lt;&gt;valor_destino_1 and ecnmc_actvty_simulado not in ('MISS','N/A')
-- where ecnmc_actvty_simulado='MISS'
-- WHERE CCAE_SIMULADO&lt;&gt;REPLACE(SUBSTR(NACE_CODE,2,7),'.',"''") AND CCAE_SIMULADO&lt;&gt;'#'
-- group by 2
-- MISINGS ATUALMENTE ecnmc_actvty: 53 559
-- missings simulado: 20
-- group by 2;
Where ecnmc_actvty &lt;&gt; ecnmc_actvty_simulado</t>
  </si>
  <si>
    <t>SELECT *
FROM
(
SELECT lt002.instrmnt_id,
       round(categ2.g7162_in_pdini/100,6) as pd_ec_rd_sim, pd_ec_rd --   count(categ2.g7162_in_pdini)
-- SELECT count(*)
-- 2139433
FROM
  (SELECT instrmnt_id, pd_ec_rd
   FROM bu_loantape_work.lt002_instrument
   WHERE nome_perimetro='${perimetro}'
     AND segmento='ESTR'
     AND ref_date='${date}'
     AND ambito='PM'
     AND entidade='00100'
     AND cod_visao=1)lt002
LEFT JOIN
  (SELECT DISTINCT cempresa_fr,
                   cbalcao_fr,
                   cnumecta_fr,
                   zdeposit_fr,
                   contra1
   FROM
     (SELECT *
      FROM cd_captools.kt_chaves_finrep
      WHERE ref_date='${date}')fr
   LEFT JOIN
     (SELECT *
      FROM cd_captools.kt_chaves_bdr
      WHERE ref_date='${date}')bdr ON concat(fr.cempresa,fr.cbalcao,fr.cnumecta,fr.zdeposit)=concat(bdr.cempresa,bdr.cbalcao,bdr.cnumecta,bdr.zdeposit))tradutores ON lt002.instrmnt_id=concat(cempresa_fr,cbalcao_fr,cnumecta_fr,zdeposit_fr)
LEFT JOIN
  (SELECT DISTINCT g7162_s1emp,
                   g7162_contra1,
                   g7162_in_pdini
   FROM cd_captools.bdr_jm_cto_categ2
   WHERE data_date_part='${date}'
     AND g7162_fincalcu=2)categ2 ON tradutores.contra1=cast(categ2.g7162_contra1 AS STRING)
) X 
    Where ROUND(pd_ec_rd,4) &lt;&gt; ROUND(pd_ec_rd_sim,4)</t>
  </si>
  <si>
    <t xml:space="preserve">SELECT DISTINCT entty_id, company_exposure_sim, company_exposure, mn_entty_id
FROM
(
SELECT lt003.entty_id,
          CASE WHEN LT005.mn_entty_id is NULL THEN 11111111111 ELSE sum(lt002.grss_crryng_amnt_instrmnt+lt002.off_blnc_sht_amnt_instrmnt) over(partition BY ct003.ccli_grupo) END AS company_exposure_sim, company_exposure, mn_entty_id
   FROM
     (SELECT DISTINCT entty_id, company_exposure
      FROM bu_loantape_work.lt003_entity
      WHERE ref_date='${date}'
        AND ambito='PM'
        AND nome_perimetro='Individual IDComb'
        AND entidade='00100'
        AND segmento='ESTR'
        AND cod_visao=1)lt003
   LEFT JOIN
     (SELECT DISTINCT instrmnt_id,
                      entty_id, mn_entty_id
      FROM bu_loantape_work.lt005_instr_ent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bu_loantape_work.lt002_instrument
      WHERE ref_date='${date}'
        AND ambito='PM'
        AND nome_perimetro='Individual IDComb'
        AND entidade='00100'
        AND segmento='ESTR'
        AND cod_visao=1)lt002 ON lt005.instrmnt_id=lt002.instrmnt_id
   LEFT JOIN
     (SELECT DISTINCT ccli_grupo,
             zcliente
      FROM cd_captools.ct003_univ_cli
      WHERE ref_date='${date}')ct003 ON lt003.entty_id=ct003.zcliente
) X
      Where ROUND(company_exposure,1) &lt;&gt; Round(company_exposure_sim,1)
 </t>
  </si>
  <si>
    <t>FLAG_PME (LT001), COD_EMPR_PME (LT001), COMPANY_EXPOSURE, off_blnc_sht_amnt_instrmnt_prvs, RRE_FNRP18, otstndng_nmnl_amnt_instrmnt_prvs, dpd_24m_prfrmng_stts, dpd_prfrmng_stts, prfrmng_stts_prvs, SME_FNRP18, PRFRMNG_STTS_LE, dpd_12m_prfrmng_stts, ECNMC_ACTVTY, LTI, PD_EC_INCPTN, dt_imprmnt_stts_prvs, dt_imprmnt_stts, dt_prfrmng_stts_prvs, CRE_FNRP18, dt_prfrmng_stts, ENTRPRS_SZ_LE, otstndng_nmnl_amnt_instrmnt, orgnl_prtctn_vl, imprmnt_stts, prfrmng_stts, imprmnt_stts_prvs, accmltd_imprmnt_instrmnt_prvs, MNTHL_TRNVR, CR_FLG, PD_EC_RD, EXCLDD_LF, PD_IFRS9_12M_RD_T1, PD_CRR_RD_T1</t>
  </si>
  <si>
    <t xml:space="preserve">dstntn_fnds, flln_angl_extndd_dfntn, flln_angl_nrrw_dfntn, grp_rorac, grp_rorwa, rorac, rorac, rorwa, rorwa, scan, ttl_lvrg_rt_incptn, ttl_prmssbl_dbt_blnc, typ_cl, typ_dl, typ_fclty, typ_off_blnc_prdct, us_prcds, pd_ec_incptn, pd_ec_rd, ttl_lvrg_rt_incptn_hlt, dt_mdfctn, rot	grp_spprt, flg_rqst_emrgncy_fndng, fld_syndctn, rtntn_shr, stts_undrwrttn_trnsctn, syndct_rl, syndctd_agnt, syndctd_cntrct_id, syndctd_lndrs, syndctd_shr, syndctn_typ, trnch, accrd_intrst_instrmnt, amnt_d_at_mtrty, dflt_stts_instrmnt, dt_extrnl_rtng, dt_frbrnc_stts, ec_grp_id, ec_grp_nm, extrnl_rtng, extrnl_rtng_nm, extrnl_rtng_prvs, fr_csh_flw, fr_csh_flw_t1, fr_csh_flw_t2, fr_csh_flw_t3, frbrnc_stts_instrmnt, ent	rcvd_intrst_12m, ent	rcvd_intrst_24m, ttl_intrst_pd, cntry, ecnmc_actvty, rtng_scl, dbt_rpymnt_cpcty_ttl, prfrmng_stts_prvs, dbt_rpymnt_cpcty_snr_dbt, flg_lbo, lvrg_fnnc_flg, dt_dflt_stts_instrmnt, dt_intrnl_rtng, dt_intrnl_rtng, dt_lgl_fnl_mtrty, ead, idcmb, intrnl_rtng, intrnl_rtng, intrnl_rtng_incptn, intrnl_rtng_prvs, mn_entty_id, pd_crr_incptn, rtng_mthd, rtng_mthd, arrrs_instrmnt, dt_incptn, dt_pst_d, entty_id, ntity	entty_id, lgl_prcdng_stts_le, off_blnc_sht_amnt_instrmnt, otstndng_nmnl_amnt_instrmnt, pd_crr_rd, pd_ifrs9_12m_rd, rcvd_amrtstn_12m, </t>
  </si>
  <si>
    <t>SRCS_ENCMBRNC, HIERARCHY, IMMEDIATE_PARENT_UNDERTAKING_ID, ULTIMATE_PARENT_UNDERTAKING_ID, NOMINAL_INTEREST_RATE_FEE, COLLATERAL_PORTFOLIO, COLLATERAL_POSTED, COLLATERAL_POSTED_CURRENCY, COLLATERAL_RECEIVED, COLLATERAL_RECEIVED_CURRENCY, LEG_1_REFERENCE_PERIOD, LEG_2_REFERENCE_PERIOD, HEDGE_ID, SECURITY_RATING, LEGAL_FORM</t>
  </si>
  <si>
    <t>GRSS_INTRST_INCM, GRSS_CMMSSN_INCM, GRSS_CMMSSN_EXPNS, GRSS_CMMSSN_INCM_OFF_BLNC, GRSS_CMMSSN_EXPNS_OFF_BLNC, GRSS_INTRST_EXPNS, AVRG_BLNC, INTRNL_TRNSFR_RT, NT_LN_LSS_PRVSN, GNS_FNNCL_TRNSCTN_EXCHNG_DFFRNCS, AVRG_BLNC_OFF_BLNC, NT_LN_LSS_PRVSN_OFF_BLNC, FLG_INTRBSNSS, BSNSS_AREA_CCRR</t>
  </si>
  <si>
    <t>BLOCO 5</t>
  </si>
  <si>
    <t>BLOCO 6</t>
  </si>
  <si>
    <t xml:space="preserve">SELECT typ_off_blnc_prdct, count(*) -- 4280182
FROM 
(
SELECT LT002.instrmnt_id, CASE WHEN (lt002.off_blnc_sht_amnt_instrmnt = 0 AND lt002.prvsns_off_blnc_sht = 0) THEN 'N/A' 
ELSE NVL(lt001.typ_off_blnc_prdct, 'MISS') END AS typ_off_blnc_prdct
FROM
(SELECT instrmnt_id, off_blnc_sht_amnt_instrmnt,prvsns_off_blnc_sht
FROM bu_loantape_work.lt002_instrument
WHERE nome_perimetro = '${perimetro}'
AND segmento = 'ESTR'
AND ref_date = '${date}'
AND ambito = 'PM' and entidade='00100'
-- and instrmnt_id = 'SNCN00030963'
AND cod_visao = 1) LT002 --4280182
LEFT JOIN
   (select * 
   from bu_loantape_work.kt_chaves_lt
WHERE nome_perimetro = '${perimetro}'
  AND segmento = 'ESTR'
  AND ref_date = '${date}'
  AND ambito = 'PM'
  AND entidade = '00100' 
--   AND instrmnt_id ='SNCN00030963'
  ) kt_chaves_lt 
  ON lt002.instrmnt_id=kt_chaves_lt.instrmnt_id
  LEFT JOIN
  (SELECT chave_FR, MIN(typ_off_blnc_prdct) as typ_off_blnc_prdct
  FROM
    (SELECT CONCAT(cempresa, cbalcao, cnumecta, zdeposit) AS chave_FR,
            idcomb_lt_inicial,
            CASE
                WHEN idcomb_lt_inicial LIKE '%MC41%' THEN 'MC41'
                WHEN idcomb_lt_inicial LIKE '%MC42%' THEN 'MC42'
                WHEN idcomb_lt_inicial LIKE '%MC4301%' THEN 'MC4301'
                WHEN idcomb_lt_inicial LIKE '%MC4302%' THEN 'MC4302'
                ELSE 'MISS'
            END AS typ_off_blnc_prdct
     FROM bu_loantape_work.lt001_univ_oper
     WHERE nome_perimetro = '${perimetro}'
       AND segmento = 'ESTR'
       AND ref_date = '${date}'
       AND ambito = 'PM'
       AND entidade='00100'
    --   AND CONCAT(cempresa, cbalcao, cnumecta, zdeposit) = '31CMAHIFRN0000000100I58900139SC0'
     GROUP BY 1,
              2,
              3 ) lt001 
    GROUP BY chave_FR)LT001
    ON concat(kt_chaves_lt.cempresa,kt_chaves_lt.cbalcao,kt_chaves_lt.cnumecta,kt_chaves_lt.zdeposit)= lt001.chave_FR
) X 
group by 1 </t>
  </si>
  <si>
    <t>SELECT *
FROM 
(
SELECT DISTINCT instrmnt_id,
       CASE WHEN instrmnt_id like 'SS%' OR instrmnt_id like 'SNC%' OR intrnl_sgmnt not in ('outras instituicoes financeiras','outras empresas nao financeiras') Then 'N/A'
       ELSE 
    --   CASE WHEN replace(replace(coalesce(excldd_lf,concat(excldd_aux_1,',',excldd_aux_2,',',coalesce(case when excldd_aux_4='N/A' then null else excldd_aux_4 end,excldd_aux_3),',',excldd_aux_5,',',excldd_aux_6,',',excldd_aux_7,',',excldd_aux_8)),"N/A,",""),",N/A","") = 'N/A' THEN 'MISS' 
    --   ELSE 
       replace(replace(coalesce(excldd_lf,concat(excldd_aux_1,',',excldd_aux_2,',',coalesce(case when excldd_aux_4='N/A' then null else excldd_aux_4 end,excldd_aux_3),',',excldd_aux_5,',',excldd_aux_6,',',excldd_aux_7,',',excldd_aux_8)),"N/A,",""),",N/A","") END  AS campo_auxiliar 
       , excldd_lf_lt002, intrnl_sgmnt
FROM
  (SELECT 
  DISTINCT lt002.instrmnt_id,
          lt601.excldd_lf,
          lt002.excldd_lf as excldd_lf_lt002, lt001.cod_empr_pme, intrnl_sgmnt,
          CASE
              WHEN TRIM(ct003.csector_inst) IN('S123',
                                         'S124',
                                         'S1240001',
                                         'S1240002',
                                         'S1240003',
                                         'S2023',
                                         'S20231',
                                         'S20232',
                                         'S2024',
                                         'S401341') THEN 'EXC01'
              ELSE 'N/A'
          END AS excldd_aux_1,
          CASE
              WHEN ct610.tipo_titulo='Titularizacao' THEN 'EXC02'
              ELSE 'N/A'
          END AS excldd_aux_2,
          CASE
              WHEN tat.ind_exc='S' THEN 'EXC04'
              ELSE 'N/A'
          END AS excldd_aux_3,
          CASE
              WHEN ct003.cseg_risc LIKE'9%' THEN 'EXC05'
              ELSE 'N/A'
          END AS excldd_aux_4,
          CASE
              WHEN lt001.cod_empr_pme IN('1',
                                         '2',
                                         '3') THEN 'EXC06'
              ELSE 'N/A'
          END AS excldd_aux_5,
            CASE
                WHEN auxiliar.company_exposure&lt;5000000 THEN 'EXC07'
                ELSE 'N/A'
            END AS excldd_aux_6,          CASE
              WHEN lt002.intrnl_sgmnt IN('setor publico',
                                         'banco centrais',
                                         'instituicoes de credito')THEN 'EXC08'
              ELSE 'N/A'
          END AS excldd_aux_7,
          CASE
              WHEN lt002.pd_ec_rd&lt;=0.500000 THEN 'EXC09'
              ELSE 'N/A'--
-- WHEN TRIM(cast(lt002.pd_ec_rd as string)='NULL' or lt002.pd_ec_rd IS NULL THEN '0'
          END AS excldd_aux_8 -- count(*)-- 2110768
-- 2145008
FROM
     (SELECT instrmnt_id,
             prdct,
             intrnl_sgmnt,
             pd_ec_rd, excldd_lf
      FROM cd_loan_tapes_bce.lt002_instrument
      WHERE ref_date='${date}'
        AND ambito='PM'
        AND nome_perimetro='Individual IDComb'
        AND entidade='00100'
        AND segmento='ESTR'
        AND cod_visao=1 )lt002
   LEFT JOIN
     (SELECT instrmnt_id,
             entty_id
      FROM cd_loan_tapes_bce.lt005_instr_ent
      WHERE ref_date='${date}'
        AND ambito='PM'
        AND nome_perimetro='Individual IDComb'
        AND entidade='00100'
        AND segmento='ESTR'
        AND cod_visao=1
        AND mn_entty_id='Y')lt005 ON lt002.instrmnt_id=lt005.instrmnt_id
   LEFT JOIN
     (SELECT DISTINCT entty_id
      FROM cd_loan_tapes_bce.lt003_entity
      WHERE ref_date='${date}'
        AND ambito='PM'
        AND nome_perimetro='Individual IDComb'
        AND entidade='00100'
        AND segmento='ESTR'
        AND cod_visao=1)lt003 ON lt005.entty_id=lt003.entty_id
   LEFT JOIN
     (SELECT cempresa,
             cbalcao,
             cnumecta,
             zdeposit,
             excldd_lf
      FROM cd_loan_tapes_bce.lt601_lev_fin
      WHERE REF_DATE BETWEEN add_months('2025-06-30',-3) AND '2025-06-30')lt601 ON lt002.instrmnt_id=concat(lt601.cempresa,lt601.cbalcao,lt601.cnumecta,lt601.zdeposit)
   LEFT JOIN
     (SELECT *
      FROM bu_loantape_work.kt_chaves_lt
      WHERE ref_date='${date}'
        AND ambito='PM'
        AND nome_perimetro='Individual IDComb'
        AND entidade='00100'
        AND segmento='ESTR'
        AND cod_visao=1)chaves_lt ON lt002.instrmnt_id=chaves_lt.instrmnt_id
   LEFT JOIN
     (SELECT cempresa,
             cbalcao,
             cnumecta,
             zdeposit,
             max(cod_empr_pme) AS cod_empr_pme
      FROM cd_loan_tapes_bce.lt001_univ_oper
      WHERE ref_date='${date}'
        AND ambito='PM'
        AND nome_perimetro='Individual IDComb'
        AND entidade='00100'
        AND segmento='ESTR'
        AND cod_visao=1
      GROUP BY 1,
               2,
               3,
               4)lt001 ON concat(chaves_lt.cempresa,chaves_lt.cbalcao,chaves_lt.cnumecta,chaves_lt.zdeposit)=concat(lt001.cempresa,lt001.cbalcao,lt001.cnumecta,lt001.zdeposit)
   LEFT JOIN
     (SELECT *
      FROM cd_captools.kt_chaves_finrep
      WHERE ref_date='${date}'
        AND cod_visao=1)chaves_fr ON lt002.instrmnt_id=concat(chaves_fr.cempresa_fr,chaves_fr.cbalcao_fr,chaves_fr.cnumecta_fr,chaves_fr.zdeposit_fr)
   LEFT JOIN
     (SELECT cempresa,
             cbalcao,
             cnumecta,
             zdeposit,
             tipo_titulo
      FROM cd_captools.ct610_titulos
      WHERE ref_date='${date}')ct610 ON concat(chaves_fr.cempresa,chaves_fr.cbalcao,chaves_fr.cnumecta,chaves_fr.zdeposit)=concat(ct610.cempresa,ct610.cbalcao,ct610.cnumecta,ct610.zdeposit)
   LEFT JOIN
     (SELECT tayd91c0_celemtab,
             substr(tayd91c0_nelemc01,14,1) AS ind_exc
      FROM cd_estruturais.tat91_tabelas
      WHERE data_date_part='${date}'
        AND tayd91c0_ctabela='925')tat ON substr(lt002.prdct,1,6)=trim(tat.tayd91c0_celemtab)
   LEFT JOIN
     (SELECT zcliente,
             cseg_risc,
             csector_inst
      FROM cd_captools.ct003_univ_cli
      WHERE ref_date='${date}')ct003 ON lt003.entty_id=ct003.zcliente
     LEFT JOIN (SELECT lt003.entty_id,
          sum(lt002.grss_crryng_amnt_instrmnt+lt002.off_blnc_sht_amnt_instrmnt) over(partition BY ct003.ccli_grupo) AS company_exposure
   FROM
     (SELECT DISTINCT entty_id
      FROM cd_loan_tapes_bce.lt003_entity
      WHERE ref_date='${date}'
        AND ambito='PM'
        AND nome_perimetro='Individual IDComb'
        AND entidade='00100'
        AND segmento='ESTR'
        AND cod_visao=1)lt003
   LEFT JOIN
     (SELECT DISTINCT instrmnt_id,
                      entty_id
      FROM cd_loan_tapes_bce.lt005_instr_ent
      WHERE ref_date='${date}'
        AND ambito='PM'
        AND nome_perimetro='Individual IDComb'
        AND entidade='00100'
        AND segmento='ESTR'
        AND cod_visao=1
        AND mn_entty_id='Y')lt005 ON lt003.entty_id=lt005.entty_id
   LEFT JOIN
     (SELECT DISTINCT grss_crryng_amnt_instrmnt,
                      off_blnc_sht_amnt_instrmnt,
                      instrmnt_id
      FROM cd_loan_tapes_bce.lt002_instrument
      WHERE ref_date='${date}'
        AND ambito='PM'
        AND nome_perimetro='Individual IDComb'
        AND entidade='00100'
        AND segmento='ESTR'
        AND cod_visao=1)lt002 ON lt005.instrmnt_id=lt002.instrmnt_id
   LEFT JOIN
     (SELECT ccli_grupo,
             zcliente
      FROM cd_captools.ct003_univ_cli
      WHERE ref_date='${date}')ct003 ON lt003.entty_id=ct003.zcliente) auxiliar
      on lt003.entty_id=auxiliar.entty_id
      ) X
      ) Y
      Where campo_auxiliar &lt;&gt; excldd_lf_lt002;</t>
  </si>
  <si>
    <t>Teste em CD</t>
  </si>
  <si>
    <t>Existem 9 contratos com valor negativo</t>
  </si>
  <si>
    <t>Variação vs PdS anterior</t>
  </si>
  <si>
    <t>"Loan to income (LTI)" shall be larger than 0; Negative values trigger attention</t>
  </si>
  <si>
    <t>Versão de Produção</t>
  </si>
  <si>
    <t>1 controlo vs PRSN_TYP - Já corrigido a futuro nas Ics para Agosto
Controlo que compara o SME_FNRP18 com ENTRPRS_SZ, vai ser discontinuado</t>
  </si>
  <si>
    <t>SELECT LT002.instrmnt_id, IFRS.contract_id, ifrs9_ead, ifrs9_ead_simulado
FROM
(SELECT *
   FROM cd_loan_tapes_bce.lt002_instrument
   WHERE ref_date='2025-06-30'
     AND nome_perimetro= 'Individual IDComb'
     AND segmento= 'ESTR'
     AND ambito= 'PM'
     AND entidade='00100'
     AND cod_visao = 1
--  And instrmnt_id='310001002006062730000000000000PC'
 ) LT002
INNER JOIN 
(SELECT *
FROM cd_captools.kt_chaves_finrep
WHERE ref_date = '2025-06-30'
-- AND CONCAT(CEMPRESA_FR, CBALCAO_FR, CNUMECTA_FR, ZDEPOSIT_FR) ='310001002006062730000000000000PC'
) KT_MASTER
ON INSTRMNT_ID = CONCAT(CEMPRESA_FR, CBALCAO_FR, CNUMECTA_FR, ZDEPOSIT_FR)
INNER JOIN 
(SELECT *
FROM cd_captools.kt_chaves_ifrs9
WHERE ref_date = '2025-06-30'
-- AND CONCAT(CEMPRESA, CBALCAO, CNUMECTA, ZDEPOSIT) = '31000100200606273000000000000000' 
) KT_IFRS9
ON CONCAT(KT_MASTER.CEMPRESA, KT_MASTER.CBALCAO, KT_MASTER.CNUMECTA, KT_MASTER.ZDEPOSIT) =  CONCAT(KT_IFRS9.CEMPRESA, KT_IFRS9.CBALCAO, KT_IFRS9.CNUMECTA, KT_IFRS9.ZDEPOSIT)
LEFT JOIN 
(SELECT contract_id, Round(ead_final,2) as ifrs9_ead_simulado
FROM
(SELECT contract_id, ead_final, exec_id_part
From BU_IFRS9.ifrs9_out_staging_8_7
-- Where contract_id ='000100200606273000000000000000'
) 8_7
INNER JOIN
(SELECT exec_id_part, cmes
FROM cd_captools.imcatf046_flag_fecho
Where cmes ='202506') imcat
ON 8_7.exec_id_part = imcat.exec_id_part) IFRS
ON KT_IFRS9.contract_id = IFRS.contract_id
Where ifrs9_ead_simulado &lt;&gt; ifrs9_ead</t>
  </si>
  <si>
    <t>Testar após implementação</t>
  </si>
  <si>
    <t>1 Controlo NOK - Proteções a zero (Está a ser desenvolvido pela equipa do Henrique Amaral um projeto de recuperação de documentação</t>
  </si>
  <si>
    <t>Controlo NOK - alterar especificação onde se incluí a condição de N/A  quando o prsn_typ = L</t>
  </si>
  <si>
    <t>Campo necessita ser revisto devido a controlos NOK</t>
  </si>
  <si>
    <t>US_PRCDS</t>
  </si>
  <si>
    <t>TYP_FCLTY</t>
  </si>
  <si>
    <t>TYP_DL</t>
  </si>
  <si>
    <t>TYP_CL</t>
  </si>
  <si>
    <t>TTL_PRMSSBL_DBT_BLNC</t>
  </si>
  <si>
    <t>TTL_LVRG_RT_INCPTN_HLT</t>
  </si>
  <si>
    <t>TTL_LVRG_RT_INCPTN</t>
  </si>
  <si>
    <t>SCAN</t>
  </si>
  <si>
    <t>RWA_PRMTGTN</t>
  </si>
  <si>
    <t>RWA_MTGTN</t>
  </si>
  <si>
    <t>RORWA</t>
  </si>
  <si>
    <t>RORAC</t>
  </si>
  <si>
    <t>GRP_SPPRT</t>
  </si>
  <si>
    <t>GRP_RORWA</t>
  </si>
  <si>
    <t>GRP_RORAC</t>
  </si>
  <si>
    <t>FLLN_ANGL_NRRW_DFNTN</t>
  </si>
  <si>
    <t>FLLN_ANGL_EXTNDD_DFNTN</t>
  </si>
  <si>
    <t>DT_MDFCTN</t>
  </si>
  <si>
    <t>DSTNTN_FNDS</t>
  </si>
  <si>
    <t>INSTR_PROT</t>
  </si>
  <si>
    <t>Pendência do campo dflt_stts_instrmnt</t>
  </si>
  <si>
    <t>Necessário implementar especificação enviada por GF no dia 15/09/2025</t>
  </si>
  <si>
    <t>Campo todo marcado a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</si>
</sst>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b/>
      <sz val="11"/>
      <color theme="1"/>
      <name val="Aptos Narrow"/>
      <family val="2"/>
      <scheme val="minor"/>
    </font>
    <font>
      <sz val="11"/>
      <color theme="1"/>
      <name val="Aptos Narrow"/>
      <family val="2"/>
      <scheme val="minor"/>
    </font>
    <font>
      <sz val="8"/>
      <color theme="1"/>
      <name val="Arial"/>
      <family val="2"/>
    </font>
    <font>
      <b/>
      <sz val="11"/>
      <color theme="0"/>
      <name val="Aptos Narrow"/>
      <family val="2"/>
      <scheme val="minor"/>
    </font>
    <font>
      <b/>
      <sz val="11"/>
      <color theme="0"/>
      <name val="Calibri"/>
      <family val="2"/>
    </font>
    <font>
      <sz val="11"/>
      <color rgb="FF000000"/>
      <name val="Calibri"/>
      <family val="2"/>
    </font>
    <font>
      <sz val="10"/>
      <color theme="1"/>
      <name val="Santander Text"/>
      <family val="2"/>
    </font>
    <font>
      <sz val="10"/>
      <name val="Santander Text"/>
      <family val="2"/>
    </font>
    <font>
      <sz val="10"/>
      <color rgb="FF000000"/>
      <name val="Santander Text"/>
      <family val="2"/>
    </font>
    <font>
      <b/>
      <sz val="10"/>
      <color theme="0"/>
      <name val="Santander Text"/>
      <family val="2"/>
    </font>
    <font>
      <b/>
      <sz val="11"/>
      <name val="Aptos Narrow"/>
      <family val="2"/>
      <scheme val="minor"/>
    </font>
    <font>
      <sz val="11"/>
      <color theme="0"/>
      <name val="Aptos Narrow"/>
      <family val="2"/>
      <scheme val="minor"/>
    </font>
    <font>
      <sz val="11"/>
      <name val="Calibri"/>
      <family val="2"/>
    </font>
    <font>
      <b/>
      <sz val="11"/>
      <color theme="0" tint="-0.249977111117893"/>
      <name val="Aptos Narrow"/>
      <family val="2"/>
      <scheme val="minor"/>
    </font>
    <font>
      <b/>
      <u/>
      <sz val="11"/>
      <color theme="1"/>
      <name val="Aptos Narrow"/>
      <family val="2"/>
      <scheme val="minor"/>
    </font>
    <font>
      <sz val="12"/>
      <color theme="1"/>
      <name val="Aptos Narrow"/>
      <family val="2"/>
      <scheme val="minor"/>
    </font>
    <font>
      <sz val="11"/>
      <color theme="1"/>
      <name val="Santander Text"/>
      <family val="2"/>
    </font>
    <font>
      <b/>
      <sz val="12"/>
      <color theme="1"/>
      <name val="Aptos Narrow"/>
      <family val="2"/>
      <scheme val="minor"/>
    </font>
    <font>
      <b/>
      <sz val="12"/>
      <color theme="0"/>
      <name val="Aptos Narrow"/>
      <family val="2"/>
      <scheme val="minor"/>
    </font>
    <font>
      <b/>
      <u/>
      <sz val="12"/>
      <color theme="1"/>
      <name val="Aptos Narrow"/>
      <family val="2"/>
      <scheme val="minor"/>
    </font>
    <font>
      <b/>
      <sz val="36"/>
      <color theme="0"/>
      <name val="Aptos Narrow"/>
      <family val="2"/>
      <scheme val="minor"/>
    </font>
    <font>
      <sz val="14"/>
      <color theme="1"/>
      <name val="Aptos Narrow"/>
      <family val="2"/>
      <scheme val="minor"/>
    </font>
    <font>
      <sz val="14"/>
      <color rgb="FF000000"/>
      <name val="Aptos Narrow"/>
      <family val="2"/>
      <scheme val="minor"/>
    </font>
    <font>
      <sz val="15"/>
      <color theme="1"/>
      <name val="Aptos Narrow"/>
      <family val="2"/>
      <scheme val="minor"/>
    </font>
    <font>
      <b/>
      <sz val="15"/>
      <color theme="0"/>
      <name val="Aptos Narrow"/>
      <family val="2"/>
      <scheme val="minor"/>
    </font>
    <font>
      <sz val="15"/>
      <name val="Aptos Narrow"/>
      <family val="2"/>
      <scheme val="minor"/>
    </font>
    <font>
      <b/>
      <sz val="15"/>
      <color theme="1"/>
      <name val="Aptos Narrow"/>
      <family val="2"/>
      <scheme val="minor"/>
    </font>
    <font>
      <sz val="15"/>
      <color rgb="FF000000"/>
      <name val="Aptos Narrow"/>
      <family val="2"/>
      <scheme val="minor"/>
    </font>
    <font>
      <sz val="15"/>
      <color rgb="FF000000"/>
      <name val="Calibri"/>
      <family val="2"/>
    </font>
    <font>
      <sz val="15"/>
      <color theme="0" tint="-0.34998626667073579"/>
      <name val="Aptos Narrow"/>
      <family val="2"/>
      <scheme val="minor"/>
    </font>
  </fonts>
  <fills count="21">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theme="9"/>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2"/>
        <bgColor indexed="64"/>
      </patternFill>
    </fill>
    <fill>
      <patternFill patternType="solid">
        <fgColor theme="2" tint="-0.499984740745262"/>
        <bgColor indexed="64"/>
      </patternFill>
    </fill>
    <fill>
      <patternFill patternType="solid">
        <fgColor rgb="FFFF7C80"/>
        <bgColor indexed="64"/>
      </patternFill>
    </fill>
    <fill>
      <patternFill patternType="solid">
        <fgColor theme="0"/>
        <bgColor indexed="64"/>
      </patternFill>
    </fill>
    <fill>
      <patternFill patternType="solid">
        <fgColor rgb="FFFFE181"/>
        <bgColor indexed="64"/>
      </patternFill>
    </fill>
  </fills>
  <borders count="27">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rgb="FFFF0000"/>
      </bottom>
      <diagonal/>
    </border>
  </borders>
  <cellStyleXfs count="3">
    <xf numFmtId="0" fontId="0" fillId="0" borderId="0"/>
    <xf numFmtId="9" fontId="2" fillId="0" borderId="0" applyFont="0" applyFill="0" applyBorder="0" applyAlignment="0" applyProtection="0"/>
    <xf numFmtId="0" fontId="16" fillId="0" borderId="0"/>
  </cellStyleXfs>
  <cellXfs count="186">
    <xf numFmtId="0" fontId="0" fillId="0" borderId="0" xfId="0"/>
    <xf numFmtId="0" fontId="0" fillId="0" borderId="0" xfId="0" applyAlignment="1">
      <alignment vertical="center"/>
    </xf>
    <xf numFmtId="0" fontId="1" fillId="0" borderId="0" xfId="0" applyFont="1"/>
    <xf numFmtId="0" fontId="1" fillId="0" borderId="0" xfId="0" applyFont="1" applyAlignment="1">
      <alignment vertical="center"/>
    </xf>
    <xf numFmtId="0" fontId="0" fillId="0" borderId="0" xfId="0" applyAlignment="1">
      <alignment vertical="center" wrapText="1"/>
    </xf>
    <xf numFmtId="0" fontId="3" fillId="2" borderId="0" xfId="0" applyFont="1" applyFill="1" applyAlignment="1">
      <alignment vertical="center"/>
    </xf>
    <xf numFmtId="9" fontId="0" fillId="0" borderId="0" xfId="1" applyFont="1"/>
    <xf numFmtId="0" fontId="0" fillId="0" borderId="0" xfId="0" applyAlignment="1">
      <alignment horizontal="left"/>
    </xf>
    <xf numFmtId="0" fontId="5" fillId="3" borderId="0" xfId="0" applyFont="1" applyFill="1" applyAlignment="1">
      <alignment horizontal="center" vertical="center"/>
    </xf>
    <xf numFmtId="0" fontId="6" fillId="0" borderId="0" xfId="0" applyFont="1" applyAlignment="1">
      <alignment vertical="center" wrapText="1"/>
    </xf>
    <xf numFmtId="0" fontId="0" fillId="4" borderId="0" xfId="0" applyFill="1"/>
    <xf numFmtId="0" fontId="0" fillId="5" borderId="0" xfId="0" applyFill="1"/>
    <xf numFmtId="0" fontId="0" fillId="0" borderId="0" xfId="0" applyAlignment="1">
      <alignment horizontal="left" indent="1"/>
    </xf>
    <xf numFmtId="0" fontId="0" fillId="0" borderId="0" xfId="0" applyAlignment="1">
      <alignment horizontal="left" vertical="center" indent="1"/>
    </xf>
    <xf numFmtId="0" fontId="3" fillId="2" borderId="0" xfId="0" applyFont="1" applyFill="1" applyAlignment="1">
      <alignment horizontal="left" vertical="center" indent="1"/>
    </xf>
    <xf numFmtId="14" fontId="0" fillId="0" borderId="0" xfId="0" applyNumberFormat="1"/>
    <xf numFmtId="0" fontId="5" fillId="6" borderId="0" xfId="0" applyFont="1" applyFill="1" applyAlignment="1">
      <alignment horizontal="center" vertical="center"/>
    </xf>
    <xf numFmtId="0" fontId="0" fillId="0" borderId="0" xfId="0" applyAlignment="1">
      <alignment horizontal="left" indent="2"/>
    </xf>
    <xf numFmtId="0" fontId="0" fillId="7" borderId="0" xfId="0" applyFill="1"/>
    <xf numFmtId="0" fontId="5" fillId="6" borderId="0" xfId="0" applyFont="1" applyFill="1" applyAlignment="1">
      <alignment horizontal="center" vertical="center" wrapText="1"/>
    </xf>
    <xf numFmtId="0" fontId="4" fillId="3" borderId="0" xfId="0" applyFont="1" applyFill="1" applyAlignment="1">
      <alignment vertical="center"/>
    </xf>
    <xf numFmtId="0" fontId="4" fillId="8" borderId="0" xfId="0" applyFont="1" applyFill="1" applyAlignment="1">
      <alignment vertical="center"/>
    </xf>
    <xf numFmtId="0" fontId="0" fillId="0" borderId="0" xfId="0" pivotButton="1"/>
    <xf numFmtId="0" fontId="0" fillId="5" borderId="0" xfId="0" applyFill="1" applyAlignment="1">
      <alignment horizontal="left" indent="1"/>
    </xf>
    <xf numFmtId="0" fontId="7" fillId="0" borderId="0" xfId="0" applyFont="1"/>
    <xf numFmtId="0" fontId="8"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readingOrder="1"/>
    </xf>
    <xf numFmtId="0" fontId="10" fillId="3" borderId="1" xfId="0" applyFont="1" applyFill="1" applyBorder="1"/>
    <xf numFmtId="0" fontId="0" fillId="0" borderId="0" xfId="0" applyAlignment="1">
      <alignment wrapText="1"/>
    </xf>
    <xf numFmtId="0" fontId="10" fillId="3" borderId="1" xfId="0" applyFont="1" applyFill="1" applyBorder="1" applyAlignment="1">
      <alignment vertical="center"/>
    </xf>
    <xf numFmtId="0" fontId="7" fillId="0" borderId="1" xfId="0" applyFont="1" applyBorder="1" applyAlignment="1">
      <alignment vertical="center"/>
    </xf>
    <xf numFmtId="0" fontId="7" fillId="0" borderId="0" xfId="0" applyFont="1" applyAlignment="1">
      <alignment vertical="center"/>
    </xf>
    <xf numFmtId="0" fontId="0" fillId="0" borderId="1" xfId="0" quotePrefix="1" applyBorder="1"/>
    <xf numFmtId="0" fontId="8" fillId="9" borderId="1" xfId="0" quotePrefix="1" applyFont="1" applyFill="1" applyBorder="1" applyAlignment="1">
      <alignment horizontal="left" vertical="center" wrapText="1"/>
    </xf>
    <xf numFmtId="0" fontId="0" fillId="11" borderId="0" xfId="0" applyFill="1"/>
    <xf numFmtId="0" fontId="0" fillId="11" borderId="2" xfId="0" applyFill="1" applyBorder="1" applyAlignment="1">
      <alignment horizontal="center"/>
    </xf>
    <xf numFmtId="0" fontId="0" fillId="11" borderId="2" xfId="1" applyNumberFormat="1" applyFont="1" applyFill="1" applyBorder="1" applyAlignment="1">
      <alignment horizontal="center"/>
    </xf>
    <xf numFmtId="0" fontId="0" fillId="10" borderId="2" xfId="0" applyFill="1" applyBorder="1" applyAlignment="1">
      <alignment horizontal="center"/>
    </xf>
    <xf numFmtId="0" fontId="0" fillId="12" borderId="2" xfId="0" applyFill="1" applyBorder="1" applyAlignment="1">
      <alignment horizontal="center"/>
    </xf>
    <xf numFmtId="0" fontId="11" fillId="11" borderId="2" xfId="0" applyFont="1" applyFill="1" applyBorder="1"/>
    <xf numFmtId="0" fontId="1" fillId="11" borderId="0" xfId="0" applyFont="1" applyFill="1"/>
    <xf numFmtId="0" fontId="0" fillId="11" borderId="0" xfId="0" applyFill="1" applyAlignment="1">
      <alignment horizontal="left" indent="2"/>
    </xf>
    <xf numFmtId="0" fontId="0" fillId="0" borderId="0" xfId="0" applyAlignment="1">
      <alignment horizontal="center"/>
    </xf>
    <xf numFmtId="0" fontId="11" fillId="11" borderId="2" xfId="0" applyFont="1" applyFill="1" applyBorder="1" applyAlignment="1">
      <alignment vertical="center" wrapText="1"/>
    </xf>
    <xf numFmtId="0" fontId="11" fillId="11" borderId="0" xfId="0" applyFont="1" applyFill="1" applyAlignment="1">
      <alignment vertical="center" wrapText="1"/>
    </xf>
    <xf numFmtId="0" fontId="0" fillId="11" borderId="0" xfId="0" applyFill="1" applyAlignment="1">
      <alignment horizontal="center"/>
    </xf>
    <xf numFmtId="0" fontId="0" fillId="11" borderId="0" xfId="1" applyNumberFormat="1" applyFont="1" applyFill="1" applyBorder="1" applyAlignment="1">
      <alignment horizontal="center"/>
    </xf>
    <xf numFmtId="0" fontId="12" fillId="3" borderId="0" xfId="0" applyFont="1" applyFill="1" applyAlignment="1">
      <alignment vertical="center"/>
    </xf>
    <xf numFmtId="0" fontId="13" fillId="0" borderId="0" xfId="0" applyFont="1"/>
    <xf numFmtId="0" fontId="14" fillId="0" borderId="0" xfId="0" applyFont="1" applyAlignment="1">
      <alignment horizontal="center" vertical="center"/>
    </xf>
    <xf numFmtId="0" fontId="15" fillId="11" borderId="0" xfId="0" applyFont="1" applyFill="1"/>
    <xf numFmtId="0" fontId="11" fillId="11" borderId="3" xfId="0" applyFont="1" applyFill="1" applyBorder="1" applyAlignment="1">
      <alignment vertical="center" wrapText="1"/>
    </xf>
    <xf numFmtId="0" fontId="0" fillId="11" borderId="12" xfId="0" applyFill="1" applyBorder="1"/>
    <xf numFmtId="0" fontId="0" fillId="11" borderId="3" xfId="0" applyFill="1" applyBorder="1" applyAlignment="1">
      <alignment horizontal="left"/>
    </xf>
    <xf numFmtId="0" fontId="0" fillId="11" borderId="13" xfId="0" applyFill="1" applyBorder="1"/>
    <xf numFmtId="0" fontId="0" fillId="11" borderId="14" xfId="0" applyFill="1" applyBorder="1" applyAlignment="1">
      <alignment horizontal="left"/>
    </xf>
    <xf numFmtId="0" fontId="0" fillId="11" borderId="15" xfId="0" applyFill="1" applyBorder="1"/>
    <xf numFmtId="0" fontId="0" fillId="11" borderId="16" xfId="0" applyFill="1" applyBorder="1" applyAlignment="1">
      <alignment horizontal="left"/>
    </xf>
    <xf numFmtId="0" fontId="0" fillId="11" borderId="17" xfId="0" applyFill="1" applyBorder="1"/>
    <xf numFmtId="0" fontId="0" fillId="11" borderId="18" xfId="0" applyFill="1" applyBorder="1"/>
    <xf numFmtId="0" fontId="0" fillId="11" borderId="19" xfId="0" applyFill="1" applyBorder="1"/>
    <xf numFmtId="0" fontId="11" fillId="11" borderId="14" xfId="0" applyFont="1" applyFill="1" applyBorder="1" applyAlignment="1">
      <alignment vertical="center" wrapText="1"/>
    </xf>
    <xf numFmtId="0" fontId="0" fillId="11" borderId="3" xfId="0" applyFill="1" applyBorder="1"/>
    <xf numFmtId="0" fontId="0" fillId="0" borderId="20" xfId="0" pivotButton="1" applyBorder="1"/>
    <xf numFmtId="0" fontId="0" fillId="0" borderId="21" xfId="0" applyBorder="1"/>
    <xf numFmtId="0" fontId="0" fillId="0" borderId="4" xfId="0" applyBorder="1"/>
    <xf numFmtId="0" fontId="0" fillId="0" borderId="5" xfId="0" pivotButton="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pivotButton="1" applyBorder="1"/>
    <xf numFmtId="0" fontId="0" fillId="0" borderId="7" xfId="0" applyBorder="1" applyAlignment="1">
      <alignment horizontal="left"/>
    </xf>
    <xf numFmtId="0" fontId="0" fillId="0" borderId="9" xfId="0" applyBorder="1" applyAlignment="1">
      <alignment horizontal="left"/>
    </xf>
    <xf numFmtId="0" fontId="1" fillId="0" borderId="20" xfId="0" pivotButton="1" applyFont="1" applyBorder="1"/>
    <xf numFmtId="0" fontId="0" fillId="0" borderId="4" xfId="0" pivotButton="1" applyBorder="1"/>
    <xf numFmtId="0" fontId="1" fillId="0" borderId="21" xfId="0" applyFont="1" applyBorder="1"/>
    <xf numFmtId="9" fontId="0" fillId="0" borderId="0" xfId="0" applyNumberFormat="1" applyAlignment="1">
      <alignment horizontal="center"/>
    </xf>
    <xf numFmtId="9" fontId="0" fillId="0" borderId="8"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9" fontId="0" fillId="0" borderId="11" xfId="0" applyNumberFormat="1" applyBorder="1" applyAlignment="1">
      <alignment horizontal="center"/>
    </xf>
    <xf numFmtId="0" fontId="0" fillId="0" borderId="8" xfId="0" applyBorder="1" applyAlignment="1">
      <alignment horizontal="center"/>
    </xf>
    <xf numFmtId="0" fontId="0" fillId="0" borderId="10" xfId="0" applyBorder="1"/>
    <xf numFmtId="0" fontId="0" fillId="0" borderId="11" xfId="0" applyBorder="1"/>
    <xf numFmtId="0" fontId="0" fillId="15" borderId="0" xfId="0" applyFill="1"/>
    <xf numFmtId="0" fontId="16" fillId="0" borderId="0" xfId="0" applyFont="1"/>
    <xf numFmtId="0" fontId="18" fillId="0" borderId="0" xfId="0" applyFont="1"/>
    <xf numFmtId="0" fontId="16" fillId="11" borderId="5" xfId="0" applyFont="1" applyFill="1" applyBorder="1"/>
    <xf numFmtId="0" fontId="16" fillId="11" borderId="6" xfId="0" applyFont="1" applyFill="1" applyBorder="1"/>
    <xf numFmtId="0" fontId="16" fillId="11" borderId="7" xfId="0" applyFont="1" applyFill="1" applyBorder="1"/>
    <xf numFmtId="0" fontId="16" fillId="11" borderId="0" xfId="0" applyFont="1" applyFill="1"/>
    <xf numFmtId="0" fontId="16" fillId="11" borderId="8" xfId="0" applyFont="1" applyFill="1" applyBorder="1"/>
    <xf numFmtId="0" fontId="16" fillId="11" borderId="9" xfId="0" applyFont="1" applyFill="1" applyBorder="1"/>
    <xf numFmtId="0" fontId="16" fillId="11" borderId="10" xfId="0" applyFont="1" applyFill="1" applyBorder="1"/>
    <xf numFmtId="0" fontId="16" fillId="11" borderId="11" xfId="0" applyFont="1" applyFill="1" applyBorder="1"/>
    <xf numFmtId="0" fontId="16" fillId="0" borderId="0" xfId="0" applyFont="1" applyAlignment="1">
      <alignment horizontal="left"/>
    </xf>
    <xf numFmtId="0" fontId="18" fillId="0" borderId="22" xfId="0" applyFont="1" applyBorder="1" applyAlignment="1">
      <alignment horizontal="left"/>
    </xf>
    <xf numFmtId="0" fontId="18" fillId="0" borderId="22" xfId="0" applyFont="1" applyBorder="1" applyAlignment="1">
      <alignment horizontal="center"/>
    </xf>
    <xf numFmtId="14" fontId="16" fillId="0" borderId="22" xfId="0" applyNumberFormat="1" applyFont="1" applyBorder="1" applyAlignment="1">
      <alignment horizontal="center" vertical="center"/>
    </xf>
    <xf numFmtId="0" fontId="18" fillId="0" borderId="0" xfId="0" applyFont="1" applyAlignment="1">
      <alignment horizontal="center"/>
    </xf>
    <xf numFmtId="0" fontId="18" fillId="0" borderId="0" xfId="0" applyFont="1" applyAlignment="1">
      <alignment horizontal="left"/>
    </xf>
    <xf numFmtId="9" fontId="16" fillId="0" borderId="0" xfId="1" applyFont="1"/>
    <xf numFmtId="0" fontId="16" fillId="0" borderId="0" xfId="0" applyFont="1" applyAlignment="1">
      <alignment horizontal="center" vertical="center"/>
    </xf>
    <xf numFmtId="0" fontId="20" fillId="11" borderId="4" xfId="0" applyFont="1" applyFill="1" applyBorder="1"/>
    <xf numFmtId="0" fontId="18" fillId="11" borderId="7" xfId="0" applyFont="1" applyFill="1" applyBorder="1"/>
    <xf numFmtId="0" fontId="20" fillId="11" borderId="7" xfId="0" applyFont="1" applyFill="1" applyBorder="1"/>
    <xf numFmtId="0" fontId="17" fillId="11" borderId="26" xfId="0" applyFont="1" applyFill="1" applyBorder="1" applyAlignment="1">
      <alignment horizontal="left"/>
    </xf>
    <xf numFmtId="0" fontId="17" fillId="11" borderId="26" xfId="0" applyFont="1" applyFill="1" applyBorder="1" applyAlignment="1">
      <alignment horizontal="left" wrapText="1"/>
    </xf>
    <xf numFmtId="0" fontId="19" fillId="2" borderId="22" xfId="0" applyFont="1" applyFill="1" applyBorder="1" applyAlignment="1">
      <alignment horizontal="center" vertical="center"/>
    </xf>
    <xf numFmtId="0" fontId="8" fillId="0" borderId="0" xfId="0" quotePrefix="1" applyFont="1" applyAlignment="1">
      <alignment horizontal="left" vertical="center" wrapText="1"/>
    </xf>
    <xf numFmtId="0" fontId="7" fillId="9" borderId="1" xfId="0" applyFont="1" applyFill="1" applyBorder="1" applyAlignment="1">
      <alignment vertical="center"/>
    </xf>
    <xf numFmtId="0" fontId="15" fillId="11" borderId="4" xfId="0" applyFont="1" applyFill="1" applyBorder="1"/>
    <xf numFmtId="0" fontId="0" fillId="11" borderId="5" xfId="0" applyFill="1" applyBorder="1"/>
    <xf numFmtId="0" fontId="0" fillId="11" borderId="6" xfId="0" applyFill="1" applyBorder="1"/>
    <xf numFmtId="0" fontId="15" fillId="11" borderId="7" xfId="0" applyFont="1" applyFill="1" applyBorder="1"/>
    <xf numFmtId="0" fontId="0" fillId="11" borderId="8" xfId="0" applyFill="1" applyBorder="1"/>
    <xf numFmtId="0" fontId="1" fillId="11" borderId="7" xfId="0" applyFont="1" applyFill="1" applyBorder="1"/>
    <xf numFmtId="0" fontId="0" fillId="11" borderId="7" xfId="0" applyFill="1" applyBorder="1"/>
    <xf numFmtId="0" fontId="0" fillId="11" borderId="9" xfId="0" applyFill="1" applyBorder="1"/>
    <xf numFmtId="0" fontId="0" fillId="11" borderId="10" xfId="0" applyFill="1" applyBorder="1"/>
    <xf numFmtId="0" fontId="0" fillId="11" borderId="11" xfId="0" applyFill="1" applyBorder="1"/>
    <xf numFmtId="0" fontId="0" fillId="11" borderId="0" xfId="0" applyFill="1" applyAlignment="1">
      <alignment vertical="top" wrapText="1"/>
    </xf>
    <xf numFmtId="0" fontId="0" fillId="11" borderId="8" xfId="0" applyFill="1" applyBorder="1" applyAlignment="1">
      <alignment vertical="top" wrapText="1"/>
    </xf>
    <xf numFmtId="0" fontId="0" fillId="11" borderId="7" xfId="0" applyFill="1" applyBorder="1" applyAlignment="1">
      <alignment vertical="top"/>
    </xf>
    <xf numFmtId="0" fontId="0" fillId="0" borderId="0" xfId="0" quotePrefix="1"/>
    <xf numFmtId="0" fontId="22" fillId="0" borderId="0" xfId="0" applyFont="1" applyAlignment="1">
      <alignment vertical="center"/>
    </xf>
    <xf numFmtId="9" fontId="22" fillId="0" borderId="0" xfId="1" applyFont="1" applyAlignment="1">
      <alignment vertical="center"/>
    </xf>
    <xf numFmtId="0" fontId="23" fillId="0" borderId="22" xfId="0" applyFont="1" applyBorder="1" applyAlignment="1">
      <alignment vertical="center"/>
    </xf>
    <xf numFmtId="0" fontId="22" fillId="0" borderId="22" xfId="0" applyFont="1" applyBorder="1" applyAlignment="1">
      <alignment vertical="center"/>
    </xf>
    <xf numFmtId="0" fontId="22" fillId="0" borderId="22" xfId="0" applyFont="1" applyBorder="1" applyAlignment="1">
      <alignment horizontal="center" vertical="center"/>
    </xf>
    <xf numFmtId="0" fontId="0" fillId="0" borderId="22" xfId="0" applyBorder="1"/>
    <xf numFmtId="0" fontId="0" fillId="18" borderId="0" xfId="0" applyFill="1"/>
    <xf numFmtId="0" fontId="24" fillId="11" borderId="26" xfId="0" applyFont="1" applyFill="1" applyBorder="1" applyAlignment="1">
      <alignment horizontal="left" vertical="center"/>
    </xf>
    <xf numFmtId="0" fontId="24" fillId="0" borderId="0" xfId="0" applyFont="1" applyAlignment="1">
      <alignment vertical="center"/>
    </xf>
    <xf numFmtId="9" fontId="24" fillId="0" borderId="0" xfId="1" applyFont="1" applyAlignment="1">
      <alignment vertical="center"/>
    </xf>
    <xf numFmtId="0" fontId="25" fillId="2" borderId="22" xfId="0" applyFont="1" applyFill="1" applyBorder="1" applyAlignment="1">
      <alignment horizontal="center" vertical="center"/>
    </xf>
    <xf numFmtId="14" fontId="24" fillId="0" borderId="22" xfId="1" applyNumberFormat="1" applyFont="1" applyBorder="1" applyAlignment="1">
      <alignment horizontal="center" vertical="center"/>
    </xf>
    <xf numFmtId="0" fontId="25" fillId="2" borderId="22" xfId="0" applyFont="1" applyFill="1" applyBorder="1" applyAlignment="1">
      <alignment horizontal="left" vertical="center"/>
    </xf>
    <xf numFmtId="9" fontId="25" fillId="2" borderId="22" xfId="1" applyFont="1" applyFill="1" applyBorder="1" applyAlignment="1">
      <alignment horizontal="center" vertical="center"/>
    </xf>
    <xf numFmtId="0" fontId="24" fillId="0" borderId="22" xfId="1" applyNumberFormat="1" applyFont="1" applyBorder="1" applyAlignment="1">
      <alignment horizontal="center" vertical="center"/>
    </xf>
    <xf numFmtId="9" fontId="24" fillId="0" borderId="22" xfId="1" applyFont="1" applyBorder="1" applyAlignment="1">
      <alignment horizontal="center" vertical="center"/>
    </xf>
    <xf numFmtId="0" fontId="25" fillId="2" borderId="22" xfId="1" applyNumberFormat="1" applyFont="1" applyFill="1" applyBorder="1" applyAlignment="1">
      <alignment horizontal="center" vertical="center"/>
    </xf>
    <xf numFmtId="0" fontId="24" fillId="0" borderId="0" xfId="0" applyFont="1" applyAlignment="1">
      <alignment horizontal="left" vertical="center"/>
    </xf>
    <xf numFmtId="14" fontId="24" fillId="0" borderId="0" xfId="1" applyNumberFormat="1" applyFont="1" applyBorder="1" applyAlignment="1">
      <alignment horizontal="center" vertical="center"/>
    </xf>
    <xf numFmtId="0" fontId="28" fillId="0" borderId="22" xfId="0" applyFont="1" applyBorder="1" applyAlignment="1">
      <alignment horizontal="center" vertical="center"/>
    </xf>
    <xf numFmtId="0" fontId="28" fillId="0" borderId="22"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horizontal="center" vertical="center"/>
    </xf>
    <xf numFmtId="0" fontId="24" fillId="0" borderId="21" xfId="0" applyFont="1" applyBorder="1" applyAlignment="1">
      <alignment vertical="center" wrapText="1"/>
    </xf>
    <xf numFmtId="0" fontId="24" fillId="12" borderId="22" xfId="0" applyFont="1" applyFill="1" applyBorder="1" applyAlignment="1">
      <alignment horizontal="center" vertical="center"/>
    </xf>
    <xf numFmtId="0" fontId="24" fillId="0" borderId="22" xfId="0" applyFont="1" applyBorder="1" applyAlignment="1">
      <alignment vertical="center"/>
    </xf>
    <xf numFmtId="0" fontId="24" fillId="0" borderId="22" xfId="0" applyFont="1" applyBorder="1" applyAlignment="1">
      <alignment vertical="center" wrapText="1"/>
    </xf>
    <xf numFmtId="0" fontId="24" fillId="12" borderId="20" xfId="0" applyFont="1" applyFill="1" applyBorder="1" applyAlignment="1">
      <alignment horizontal="left" vertical="center"/>
    </xf>
    <xf numFmtId="0" fontId="24" fillId="0" borderId="20" xfId="0" applyFont="1" applyBorder="1" applyAlignment="1">
      <alignment horizontal="left" vertical="center"/>
    </xf>
    <xf numFmtId="0" fontId="29" fillId="0" borderId="0" xfId="0" applyFont="1" applyAlignment="1">
      <alignment vertical="center"/>
    </xf>
    <xf numFmtId="0" fontId="25" fillId="2" borderId="24" xfId="0" applyFont="1" applyFill="1" applyBorder="1" applyAlignment="1">
      <alignment horizontal="center" vertical="center"/>
    </xf>
    <xf numFmtId="0" fontId="30" fillId="19" borderId="0" xfId="0" applyFont="1" applyFill="1" applyAlignment="1">
      <alignment vertical="center"/>
    </xf>
    <xf numFmtId="0" fontId="0" fillId="0" borderId="22" xfId="0" applyBorder="1" applyAlignment="1">
      <alignment vertical="center"/>
    </xf>
    <xf numFmtId="0" fontId="0" fillId="12" borderId="22" xfId="0" applyFill="1" applyBorder="1" applyAlignment="1">
      <alignment vertical="center"/>
    </xf>
    <xf numFmtId="0" fontId="0" fillId="20" borderId="22" xfId="0" applyFill="1" applyBorder="1" applyAlignment="1">
      <alignment vertical="center"/>
    </xf>
    <xf numFmtId="0" fontId="26" fillId="0" borderId="22" xfId="0" applyFont="1" applyBorder="1" applyAlignment="1">
      <alignment horizontal="left" vertical="center"/>
    </xf>
    <xf numFmtId="0" fontId="30" fillId="19" borderId="0" xfId="0" applyFont="1" applyFill="1" applyAlignment="1">
      <alignment horizontal="center" vertical="center"/>
    </xf>
    <xf numFmtId="0" fontId="25" fillId="2" borderId="24" xfId="0" applyFont="1" applyFill="1" applyBorder="1" applyAlignment="1">
      <alignment horizontal="center" vertical="center" wrapText="1"/>
    </xf>
    <xf numFmtId="0" fontId="28" fillId="7" borderId="22" xfId="0" applyFont="1" applyFill="1" applyBorder="1" applyAlignment="1">
      <alignment vertical="center"/>
    </xf>
    <xf numFmtId="0" fontId="0" fillId="0" borderId="0" xfId="0" applyAlignment="1">
      <alignment horizontal="left"/>
    </xf>
    <xf numFmtId="0" fontId="0" fillId="0" borderId="0" xfId="0" applyAlignment="1">
      <alignment horizontal="center"/>
    </xf>
    <xf numFmtId="0" fontId="0" fillId="11" borderId="7" xfId="0" quotePrefix="1" applyFill="1" applyBorder="1" applyAlignment="1">
      <alignment horizontal="left" vertical="top" wrapText="1"/>
    </xf>
    <xf numFmtId="0" fontId="0" fillId="11" borderId="0" xfId="0" quotePrefix="1" applyFill="1" applyAlignment="1">
      <alignment horizontal="left" vertical="top" wrapText="1"/>
    </xf>
    <xf numFmtId="0" fontId="0" fillId="11" borderId="8" xfId="0" quotePrefix="1" applyFill="1" applyBorder="1" applyAlignment="1">
      <alignment horizontal="left" vertical="top" wrapText="1"/>
    </xf>
    <xf numFmtId="0" fontId="0" fillId="11" borderId="7" xfId="0" applyFill="1" applyBorder="1" applyAlignment="1">
      <alignment horizontal="left" vertical="top" wrapText="1"/>
    </xf>
    <xf numFmtId="0" fontId="0" fillId="11" borderId="0" xfId="0" applyFill="1" applyAlignment="1">
      <alignment horizontal="left" vertical="top" wrapText="1"/>
    </xf>
    <xf numFmtId="0" fontId="0" fillId="11" borderId="8" xfId="0" applyFill="1" applyBorder="1" applyAlignment="1">
      <alignment horizontal="left" vertical="top" wrapText="1"/>
    </xf>
    <xf numFmtId="0" fontId="16" fillId="11" borderId="7" xfId="0" quotePrefix="1" applyFont="1" applyFill="1" applyBorder="1" applyAlignment="1">
      <alignment horizontal="left" vertical="top" wrapText="1"/>
    </xf>
    <xf numFmtId="0" fontId="16" fillId="11" borderId="0" xfId="0" quotePrefix="1" applyFont="1" applyFill="1" applyAlignment="1">
      <alignment horizontal="left" vertical="top" wrapText="1"/>
    </xf>
    <xf numFmtId="0" fontId="16" fillId="11" borderId="8" xfId="0" quotePrefix="1" applyFont="1" applyFill="1" applyBorder="1" applyAlignment="1">
      <alignment horizontal="left" vertical="top" wrapText="1"/>
    </xf>
    <xf numFmtId="0" fontId="16" fillId="11" borderId="7" xfId="0" applyFont="1" applyFill="1" applyBorder="1" applyAlignment="1">
      <alignment horizontal="left" vertical="top" wrapText="1"/>
    </xf>
    <xf numFmtId="0" fontId="16" fillId="11" borderId="0" xfId="0" applyFont="1" applyFill="1" applyAlignment="1">
      <alignment horizontal="left" vertical="top" wrapText="1"/>
    </xf>
    <xf numFmtId="0" fontId="16" fillId="11" borderId="8" xfId="0" applyFont="1" applyFill="1" applyBorder="1" applyAlignment="1">
      <alignment horizontal="left" vertical="top" wrapText="1"/>
    </xf>
    <xf numFmtId="0" fontId="21" fillId="14" borderId="22" xfId="0" applyFont="1" applyFill="1" applyBorder="1" applyAlignment="1">
      <alignment horizontal="center" vertical="center" textRotation="90"/>
    </xf>
    <xf numFmtId="0" fontId="21" fillId="13" borderId="24" xfId="0" applyFont="1" applyFill="1" applyBorder="1" applyAlignment="1">
      <alignment horizontal="center" vertical="center" textRotation="90"/>
    </xf>
    <xf numFmtId="0" fontId="21" fillId="13" borderId="23" xfId="0" applyFont="1" applyFill="1" applyBorder="1" applyAlignment="1">
      <alignment horizontal="center" vertical="center" textRotation="90"/>
    </xf>
    <xf numFmtId="0" fontId="21" fillId="13" borderId="25" xfId="0" applyFont="1" applyFill="1" applyBorder="1" applyAlignment="1">
      <alignment horizontal="center" vertical="center" textRotation="90"/>
    </xf>
    <xf numFmtId="0" fontId="27" fillId="16" borderId="22" xfId="0" applyFont="1" applyFill="1" applyBorder="1" applyAlignment="1">
      <alignment horizontal="center" vertical="center"/>
    </xf>
    <xf numFmtId="9" fontId="25" fillId="17" borderId="22" xfId="1" applyFont="1" applyFill="1" applyBorder="1" applyAlignment="1">
      <alignment horizontal="center" vertical="center"/>
    </xf>
  </cellXfs>
  <cellStyles count="3">
    <cellStyle name="Normal" xfId="0" builtinId="0"/>
    <cellStyle name="Normal 2" xfId="2" xr:uid="{41BC24D2-8269-4FD2-83B8-CC2634779C50}"/>
    <cellStyle name="Percent" xfId="1" builtinId="5"/>
  </cellStyles>
  <dxfs count="58">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7C80"/>
        </patternFill>
      </fill>
    </dxf>
    <dxf>
      <fill>
        <patternFill>
          <bgColor theme="9" tint="0.59996337778862885"/>
        </patternFill>
      </fill>
    </dxf>
    <dxf>
      <fill>
        <patternFill>
          <bgColor theme="9" tint="0.59996337778862885"/>
        </patternFill>
      </fill>
    </dxf>
    <dxf>
      <fill>
        <patternFill>
          <bgColor rgb="FFFFE181"/>
        </patternFill>
      </fill>
    </dxf>
    <dxf>
      <fill>
        <patternFill>
          <bgColor theme="9" tint="0.59996337778862885"/>
        </patternFill>
      </fill>
    </dxf>
    <dxf>
      <fill>
        <patternFill patternType="solid">
          <bgColor rgb="FFFF7C80"/>
        </patternFill>
      </fill>
    </dxf>
    <dxf>
      <fill>
        <patternFill>
          <bgColor rgb="FFFF7C80"/>
        </patternFill>
      </fill>
    </dxf>
    <dxf>
      <fill>
        <patternFill patternType="solid">
          <bgColor rgb="FFFF7C80"/>
        </patternFill>
      </fill>
    </dxf>
    <dxf>
      <fill>
        <patternFill>
          <bgColor rgb="FFFF8989"/>
        </patternFill>
      </fill>
    </dxf>
    <dxf>
      <fill>
        <patternFill>
          <bgColor rgb="FFFF8989"/>
        </patternFill>
      </fill>
    </dxf>
    <dxf>
      <fill>
        <patternFill>
          <bgColor rgb="FFFF7C80"/>
        </patternFill>
      </fill>
    </dxf>
    <dxf>
      <fill>
        <patternFill>
          <bgColor rgb="FFFF8989"/>
        </patternFill>
      </fill>
    </dxf>
    <dxf>
      <fill>
        <patternFill>
          <bgColor rgb="FFFF8989"/>
        </patternFill>
      </fill>
    </dxf>
    <dxf>
      <fill>
        <patternFill patternType="solid">
          <bgColor rgb="FFFF7C80"/>
        </patternFill>
      </fill>
    </dxf>
    <dxf>
      <fill>
        <patternFill>
          <bgColor rgb="FFFF7C80"/>
        </patternFill>
      </fill>
    </dxf>
    <dxf>
      <fill>
        <patternFill>
          <bgColor rgb="FFFF8989"/>
        </patternFill>
      </fill>
    </dxf>
    <dxf>
      <fill>
        <patternFill>
          <bgColor rgb="FFFF7C80"/>
        </patternFill>
      </fill>
    </dxf>
    <dxf>
      <fill>
        <patternFill>
          <bgColor rgb="FFFF8989"/>
        </patternFill>
      </fill>
    </dxf>
    <dxf>
      <fill>
        <patternFill patternType="solid">
          <bgColor rgb="FFFF7C80"/>
        </patternFill>
      </fill>
    </dxf>
    <dxf>
      <fill>
        <patternFill>
          <bgColor rgb="FFFF8989"/>
        </patternFill>
      </fill>
    </dxf>
    <dxf>
      <fill>
        <patternFill>
          <bgColor rgb="FFFF7C80"/>
        </patternFill>
      </fill>
    </dxf>
    <dxf>
      <fill>
        <patternFill patternType="solid">
          <bgColor rgb="FFFF7C80"/>
        </patternFill>
      </fill>
    </dxf>
    <dxf>
      <fill>
        <patternFill>
          <bgColor rgb="FFFF7C80"/>
        </patternFill>
      </fill>
    </dxf>
    <dxf>
      <fill>
        <patternFill>
          <bgColor rgb="FFFF7C80"/>
        </patternFill>
      </fill>
    </dxf>
    <dxf>
      <fill>
        <patternFill>
          <bgColor theme="9" tint="0.59996337778862885"/>
        </patternFill>
      </fill>
    </dxf>
    <dxf>
      <fill>
        <patternFill>
          <bgColor rgb="FFFF7C80"/>
        </patternFill>
      </fill>
    </dxf>
    <dxf>
      <fill>
        <patternFill patternType="solid">
          <bgColor rgb="FFFF7C80"/>
        </patternFill>
      </fill>
    </dxf>
    <dxf>
      <fill>
        <patternFill>
          <bgColor rgb="FFFF8989"/>
        </patternFill>
      </fill>
    </dxf>
    <dxf>
      <fill>
        <patternFill patternType="solid">
          <bgColor rgb="FFFF7C80"/>
        </patternFill>
      </fill>
    </dxf>
    <dxf>
      <font>
        <b val="0"/>
      </font>
    </dxf>
    <dxf>
      <font>
        <b val="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patternFill>
      </fill>
    </dxf>
    <dxf>
      <fill>
        <patternFill patternType="solid">
          <bgColor theme="9"/>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numFmt numFmtId="13" formatCode="0%"/>
    </dxf>
    <dxf>
      <numFmt numFmtId="13" formatCode="0%"/>
    </dxf>
    <dxf>
      <numFmt numFmtId="13" formatCode="0%"/>
    </dxf>
    <dxf>
      <font>
        <b/>
      </font>
    </dxf>
    <dxf>
      <border>
        <left style="thin">
          <color indexed="64"/>
        </left>
        <right style="thin">
          <color indexed="64"/>
        </right>
        <top style="thin">
          <color indexed="64"/>
        </top>
        <bottom style="thin">
          <color indexed="64"/>
        </bottom>
      </border>
    </dxf>
    <dxf>
      <font>
        <b/>
      </font>
    </dxf>
  </dxfs>
  <tableStyles count="0" defaultTableStyle="TableStyleMedium2" defaultPivotStyle="PivotStyleLight16"/>
  <colors>
    <mruColors>
      <color rgb="FFFFE181"/>
      <color rgb="FFFF7C80"/>
      <color rgb="FFFF8989"/>
      <color rgb="FF1DC8D1"/>
      <color rgb="FF159197"/>
      <color rgb="FF105E6E"/>
      <color rgb="FF11787D"/>
      <color rgb="FFFF7575"/>
      <color rgb="FFFF6699"/>
      <color rgb="FFFF89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3</c:v>
                </c:pt>
                <c:pt idx="5">
                  <c:v>6</c:v>
                </c:pt>
                <c:pt idx="6">
                  <c:v>3</c:v>
                </c:pt>
                <c:pt idx="7">
                  <c:v>0</c:v>
                </c:pt>
                <c:pt idx="8">
                  <c:v>43</c:v>
                </c:pt>
                <c:pt idx="9">
                  <c:v>7</c:v>
                </c:pt>
                <c:pt idx="10">
                  <c:v>171</c:v>
                </c:pt>
              </c:numCache>
            </c:numRef>
          </c:val>
          <c:extLst>
            <c:ext xmlns:c16="http://schemas.microsoft.com/office/drawing/2014/chart" uri="{C3380CC4-5D6E-409C-BE32-E72D297353CC}">
              <c16:uniqueId val="{00000000-89A7-4EA6-9357-F56977281457}"/>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89A7-4EA6-9357-F56977281457}"/>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A8-4F26-BB07-73280CFFBFEF}"/>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A8-4F26-BB07-73280CFFBFEF}"/>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A8-4F26-BB07-73280CFFBFEF}"/>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A8-4F26-BB07-73280CFFBFEF}"/>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A8-4F26-BB07-73280CFFBFEF}"/>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A8-4F26-BB07-73280CFFBFEF}"/>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A8-4F26-BB07-73280CFFBFEF}"/>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A8-4F26-BB07-73280CFFBFEF}"/>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A8-4F26-BB07-73280CFFBFEF}"/>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A8-4F26-BB07-73280CFFBFEF}"/>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1AB-4571-BA28-B678C87DE851}"/>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A8-4F26-BB07-73280CFFBFEF}"/>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0A8-4F26-BB07-73280CFFBFEF}"/>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0A8-4F26-BB07-73280CFFBFEF}"/>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81AB-4571-BA28-B678C87DE8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14-30A8-4F26-BB07-73280CFFBF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1554219622962067"/>
          <c:y val="0.15515485564304463"/>
          <c:w val="0.46352969895913404"/>
          <c:h val="0.74756491874685882"/>
        </c:manualLayout>
      </c:layout>
      <c:doughnutChart>
        <c:varyColors val="1"/>
        <c:ser>
          <c:idx val="0"/>
          <c:order val="0"/>
          <c:tx>
            <c:strRef>
              <c:f>Aux.!$F$2</c:f>
              <c:strCache>
                <c:ptCount val="1"/>
                <c:pt idx="0">
                  <c:v>Status Atual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94-4ABF-952A-8D08AF33AD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94-4ABF-952A-8D08AF33AD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94-4ABF-952A-8D08AF33AD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94-4ABF-952A-8D08AF33AD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94-4ABF-952A-8D08AF33ADE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D94-4ABF-952A-8D08AF33ADE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D94-4ABF-952A-8D08AF33ADE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D94-4ABF-952A-8D08AF33ADE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D94-4ABF-952A-8D08AF33ADE6}"/>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D94-4ABF-952A-8D08AF33ADE6}"/>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6F4-450A-8ECC-61912C9698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00-328B-44A9-A1E6-87B492E982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3615945701311827"/>
          <c:y val="0.11024822695035463"/>
          <c:w val="0.33927250448160839"/>
          <c:h val="0.75930976713017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dLbl>
              <c:idx val="1"/>
              <c:layout>
                <c:manualLayout>
                  <c:x val="0"/>
                  <c:y val="8.11325594224113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AD-448D-9AB4-63200B0C83D0}"/>
                </c:ext>
              </c:extLst>
            </c:dLbl>
            <c:dLbl>
              <c:idx val="4"/>
              <c:layout>
                <c:manualLayout>
                  <c:x val="0"/>
                  <c:y val="4.05662797112056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AD-448D-9AB4-63200B0C83D0}"/>
                </c:ext>
              </c:extLst>
            </c:dLbl>
            <c:dLbl>
              <c:idx val="7"/>
              <c:layout>
                <c:manualLayout>
                  <c:x val="-3.3861424021993884E-17"/>
                  <c:y val="8.11325594224121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AD-448D-9AB4-63200B0C83D0}"/>
                </c:ext>
              </c:extLst>
            </c:dLbl>
            <c:dLbl>
              <c:idx val="8"/>
              <c:layout>
                <c:manualLayout>
                  <c:x val="0"/>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AD-448D-9AB4-63200B0C83D0}"/>
                </c:ext>
              </c:extLst>
            </c:dLbl>
            <c:dLbl>
              <c:idx val="9"/>
              <c:layout>
                <c:manualLayout>
                  <c:x val="0"/>
                  <c:y val="8.11325594224126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8</c:v>
                </c:pt>
                <c:pt idx="1">
                  <c:v>17</c:v>
                </c:pt>
                <c:pt idx="2">
                  <c:v>2</c:v>
                </c:pt>
                <c:pt idx="3">
                  <c:v>1</c:v>
                </c:pt>
                <c:pt idx="4">
                  <c:v>3</c:v>
                </c:pt>
                <c:pt idx="5">
                  <c:v>6</c:v>
                </c:pt>
                <c:pt idx="6">
                  <c:v>3</c:v>
                </c:pt>
                <c:pt idx="7">
                  <c:v>0</c:v>
                </c:pt>
                <c:pt idx="8">
                  <c:v>43</c:v>
                </c:pt>
                <c:pt idx="9">
                  <c:v>7</c:v>
                </c:pt>
                <c:pt idx="10">
                  <c:v>171</c:v>
                </c:pt>
              </c:numCache>
            </c:numRef>
          </c:val>
          <c:extLst>
            <c:ext xmlns:c16="http://schemas.microsoft.com/office/drawing/2014/chart" uri="{C3380CC4-5D6E-409C-BE32-E72D297353CC}">
              <c16:uniqueId val="{00000000-B6AD-448D-9AB4-63200B0C83D0}"/>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dLbl>
              <c:idx val="0"/>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AD-448D-9AB4-63200B0C83D0}"/>
                </c:ext>
              </c:extLst>
            </c:dLbl>
            <c:dLbl>
              <c:idx val="1"/>
              <c:layout>
                <c:manualLayout>
                  <c:x val="-7.388032405539055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AD-448D-9AB4-63200B0C83D0}"/>
                </c:ext>
              </c:extLst>
            </c:dLbl>
            <c:dLbl>
              <c:idx val="3"/>
              <c:layout>
                <c:manualLayout>
                  <c:x val="0"/>
                  <c:y val="-4.0566279711207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AD-448D-9AB4-63200B0C83D0}"/>
                </c:ext>
              </c:extLst>
            </c:dLbl>
            <c:dLbl>
              <c:idx val="4"/>
              <c:layout>
                <c:manualLayout>
                  <c:x val="3.6940162027694263E-3"/>
                  <c:y val="-7.43706536677409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AD-448D-9AB4-63200B0C83D0}"/>
                </c:ext>
              </c:extLst>
            </c:dLbl>
            <c:dLbl>
              <c:idx val="5"/>
              <c:layout>
                <c:manualLayout>
                  <c:x val="-1.847008101384747E-3"/>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AD-448D-9AB4-63200B0C83D0}"/>
                </c:ext>
              </c:extLst>
            </c:dLbl>
            <c:dLbl>
              <c:idx val="7"/>
              <c:layout>
                <c:manualLayout>
                  <c:x val="-3.3861424021993884E-17"/>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AD-448D-9AB4-63200B0C83D0}"/>
                </c:ext>
              </c:extLst>
            </c:dLbl>
            <c:dLbl>
              <c:idx val="8"/>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AD-448D-9AB4-63200B0C83D0}"/>
                </c:ext>
              </c:extLst>
            </c:dLbl>
            <c:dLbl>
              <c:idx val="10"/>
              <c:layout>
                <c:manualLayout>
                  <c:x val="-5.5410243041542412E-3"/>
                  <c:y val="-4.05662797112064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B6AD-448D-9AB4-63200B0C83D0}"/>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79-4052-9DDA-E02D1793420C}"/>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79-4052-9DDA-E02D1793420C}"/>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79-4052-9DDA-E02D1793420C}"/>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79-4052-9DDA-E02D1793420C}"/>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79-4052-9DDA-E02D1793420C}"/>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79-4052-9DDA-E02D1793420C}"/>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F79-4052-9DDA-E02D1793420C}"/>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F79-4052-9DDA-E02D1793420C}"/>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F79-4052-9DDA-E02D1793420C}"/>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F79-4052-9DDA-E02D1793420C}"/>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F79-4052-9DDA-E02D1793420C}"/>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79-4052-9DDA-E02D1793420C}"/>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F79-4052-9DDA-E02D1793420C}"/>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F79-4052-9DDA-E02D1793420C}"/>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F79-4052-9DDA-E02D1793420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3.0651340996168581E-2</c:v>
                </c:pt>
                <c:pt idx="1">
                  <c:v>6.5134099616858232E-2</c:v>
                </c:pt>
                <c:pt idx="2">
                  <c:v>7.6628352490421452E-3</c:v>
                </c:pt>
                <c:pt idx="3">
                  <c:v>3.8314176245210726E-3</c:v>
                </c:pt>
                <c:pt idx="4">
                  <c:v>1.1494252873563218E-2</c:v>
                </c:pt>
                <c:pt idx="5">
                  <c:v>2.2988505747126436E-2</c:v>
                </c:pt>
                <c:pt idx="6">
                  <c:v>1.1494252873563218E-2</c:v>
                </c:pt>
                <c:pt idx="7">
                  <c:v>0</c:v>
                </c:pt>
                <c:pt idx="8">
                  <c:v>0.16475095785440613</c:v>
                </c:pt>
                <c:pt idx="9">
                  <c:v>2.681992337164751E-2</c:v>
                </c:pt>
                <c:pt idx="10">
                  <c:v>0.65517241379310343</c:v>
                </c:pt>
              </c:numCache>
            </c:numRef>
          </c:val>
          <c:extLst>
            <c:ext xmlns:c16="http://schemas.microsoft.com/office/drawing/2014/chart" uri="{C3380CC4-5D6E-409C-BE32-E72D297353CC}">
              <c16:uniqueId val="{00000016-CF79-4052-9DDA-E02D179342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148590</xdr:colOff>
      <xdr:row>0</xdr:row>
      <xdr:rowOff>129540</xdr:rowOff>
    </xdr:from>
    <xdr:to>
      <xdr:col>2</xdr:col>
      <xdr:colOff>1349196</xdr:colOff>
      <xdr:row>1</xdr:row>
      <xdr:rowOff>281940</xdr:rowOff>
    </xdr:to>
    <xdr:pic>
      <xdr:nvPicPr>
        <xdr:cNvPr id="2" name="Gráfico 10">
          <a:extLst>
            <a:ext uri="{FF2B5EF4-FFF2-40B4-BE49-F238E27FC236}">
              <a16:creationId xmlns:a16="http://schemas.microsoft.com/office/drawing/2014/main" id="{F05960C4-6ED2-49C8-874C-7FE04DBD0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590" y="129540"/>
          <a:ext cx="1772106" cy="350520"/>
        </a:xfrm>
        <a:prstGeom prst="rect">
          <a:avLst/>
        </a:prstGeom>
      </xdr:spPr>
    </xdr:pic>
    <xdr:clientData/>
  </xdr:twoCellAnchor>
  <xdr:twoCellAnchor>
    <xdr:from>
      <xdr:col>1</xdr:col>
      <xdr:colOff>325756</xdr:colOff>
      <xdr:row>5</xdr:row>
      <xdr:rowOff>59055</xdr:rowOff>
    </xdr:from>
    <xdr:to>
      <xdr:col>2</xdr:col>
      <xdr:colOff>2040256</xdr:colOff>
      <xdr:row>7</xdr:row>
      <xdr:rowOff>57361</xdr:rowOff>
    </xdr:to>
    <xdr:sp macro="" textlink="">
      <xdr:nvSpPr>
        <xdr:cNvPr id="3" name="Rectangle: Rounded Corners 23">
          <a:extLst>
            <a:ext uri="{FF2B5EF4-FFF2-40B4-BE49-F238E27FC236}">
              <a16:creationId xmlns:a16="http://schemas.microsoft.com/office/drawing/2014/main" id="{E727F581-D24A-491E-895D-2F692B2880F5}"/>
            </a:ext>
          </a:extLst>
        </xdr:cNvPr>
        <xdr:cNvSpPr/>
      </xdr:nvSpPr>
      <xdr:spPr>
        <a:xfrm>
          <a:off x="544831" y="1078230"/>
          <a:ext cx="2066925" cy="36025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LT</a:t>
          </a:r>
        </a:p>
      </xdr:txBody>
    </xdr:sp>
    <xdr:clientData/>
  </xdr:twoCellAnchor>
  <xdr:twoCellAnchor>
    <xdr:from>
      <xdr:col>7</xdr:col>
      <xdr:colOff>554355</xdr:colOff>
      <xdr:row>5</xdr:row>
      <xdr:rowOff>45720</xdr:rowOff>
    </xdr:from>
    <xdr:to>
      <xdr:col>13</xdr:col>
      <xdr:colOff>135255</xdr:colOff>
      <xdr:row>7</xdr:row>
      <xdr:rowOff>53551</xdr:rowOff>
    </xdr:to>
    <xdr:sp macro="" textlink="">
      <xdr:nvSpPr>
        <xdr:cNvPr id="4" name="Rectangle: Rounded Corners 23">
          <a:extLst>
            <a:ext uri="{FF2B5EF4-FFF2-40B4-BE49-F238E27FC236}">
              <a16:creationId xmlns:a16="http://schemas.microsoft.com/office/drawing/2014/main" id="{CF83756B-99B2-4C4A-A724-D8F57406C47C}"/>
            </a:ext>
          </a:extLst>
        </xdr:cNvPr>
        <xdr:cNvSpPr/>
      </xdr:nvSpPr>
      <xdr:spPr>
        <a:xfrm>
          <a:off x="5850255" y="1064895"/>
          <a:ext cx="3752850" cy="369781"/>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Quick-Win LT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164" name="Rectangle: Rounded Corners 23">
          <a:extLst>
            <a:ext uri="{FF2B5EF4-FFF2-40B4-BE49-F238E27FC236}">
              <a16:creationId xmlns:a16="http://schemas.microsoft.com/office/drawing/2014/main" id="{B6FE388C-EDF8-492B-8AFE-A99A80FE6962}"/>
            </a:ext>
          </a:extLst>
        </xdr:cNvPr>
        <xdr:cNvSpPr/>
      </xdr:nvSpPr>
      <xdr:spPr>
        <a:xfrm>
          <a:off x="608755" y="1032933"/>
          <a:ext cx="154685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593" name="Gráfico 10">
          <a:extLst>
            <a:ext uri="{FF2B5EF4-FFF2-40B4-BE49-F238E27FC236}">
              <a16:creationId xmlns:a16="http://schemas.microsoft.com/office/drawing/2014/main" id="{3325F014-00A4-4E2B-8DAB-3755B5082B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39" y="321732"/>
          <a:ext cx="954194" cy="19521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206" name="Rectangle: Rounded Corners 23">
          <a:extLst>
            <a:ext uri="{FF2B5EF4-FFF2-40B4-BE49-F238E27FC236}">
              <a16:creationId xmlns:a16="http://schemas.microsoft.com/office/drawing/2014/main" id="{F233DCD2-1F20-4B05-96F6-2AA2A229CFF4}"/>
            </a:ext>
          </a:extLst>
        </xdr:cNvPr>
        <xdr:cNvSpPr/>
      </xdr:nvSpPr>
      <xdr:spPr>
        <a:xfrm>
          <a:off x="3387727" y="1045210"/>
          <a:ext cx="156971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19897</xdr:rowOff>
    </xdr:from>
    <xdr:to>
      <xdr:col>19</xdr:col>
      <xdr:colOff>1464130</xdr:colOff>
      <xdr:row>23</xdr:row>
      <xdr:rowOff>58420</xdr:rowOff>
    </xdr:to>
    <xdr:graphicFrame macro="">
      <xdr:nvGraphicFramePr>
        <xdr:cNvPr id="58" name="Chart 18">
          <a:extLst>
            <a:ext uri="{FF2B5EF4-FFF2-40B4-BE49-F238E27FC236}">
              <a16:creationId xmlns:a16="http://schemas.microsoft.com/office/drawing/2014/main" id="{1B7F7943-45D5-9980-0EBF-70223FAE6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23</xdr:row>
      <xdr:rowOff>10375</xdr:rowOff>
    </xdr:to>
    <xdr:graphicFrame macro="">
      <xdr:nvGraphicFramePr>
        <xdr:cNvPr id="38" name="Chart 1">
          <a:extLst>
            <a:ext uri="{FF2B5EF4-FFF2-40B4-BE49-F238E27FC236}">
              <a16:creationId xmlns:a16="http://schemas.microsoft.com/office/drawing/2014/main" id="{18D503FE-B9F2-47E6-B32F-B395FE31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559" name="Rectangle: Rounded Corners 23">
          <a:extLst>
            <a:ext uri="{FF2B5EF4-FFF2-40B4-BE49-F238E27FC236}">
              <a16:creationId xmlns:a16="http://schemas.microsoft.com/office/drawing/2014/main" id="{8AB3760D-1153-416E-ABFF-738936303D6C}"/>
            </a:ext>
          </a:extLst>
        </xdr:cNvPr>
        <xdr:cNvSpPr/>
      </xdr:nvSpPr>
      <xdr:spPr>
        <a:xfrm>
          <a:off x="6257928" y="1045211"/>
          <a:ext cx="241193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586" name="Rectangle: Rounded Corners 23">
          <a:extLst>
            <a:ext uri="{FF2B5EF4-FFF2-40B4-BE49-F238E27FC236}">
              <a16:creationId xmlns:a16="http://schemas.microsoft.com/office/drawing/2014/main" id="{CC4D65E4-C75E-4359-A1E4-77F7905F2E44}"/>
            </a:ext>
          </a:extLst>
        </xdr:cNvPr>
        <xdr:cNvSpPr/>
      </xdr:nvSpPr>
      <xdr:spPr>
        <a:xfrm>
          <a:off x="16872742" y="1035535"/>
          <a:ext cx="3355367" cy="284237"/>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8</xdr:col>
      <xdr:colOff>0</xdr:colOff>
      <xdr:row>1</xdr:row>
      <xdr:rowOff>168487</xdr:rowOff>
    </xdr:from>
    <xdr:to>
      <xdr:col>8</xdr:col>
      <xdr:colOff>969222</xdr:colOff>
      <xdr:row>1</xdr:row>
      <xdr:rowOff>378945</xdr:rowOff>
    </xdr:to>
    <xdr:pic>
      <xdr:nvPicPr>
        <xdr:cNvPr id="2" name="Gráfico 10">
          <a:extLst>
            <a:ext uri="{FF2B5EF4-FFF2-40B4-BE49-F238E27FC236}">
              <a16:creationId xmlns:a16="http://schemas.microsoft.com/office/drawing/2014/main" id="{C0DCAB47-AABA-43A1-A36D-8F0F9C4BD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79583" y="366607"/>
          <a:ext cx="969222" cy="202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655320</xdr:colOff>
      <xdr:row>3</xdr:row>
      <xdr:rowOff>91440</xdr:rowOff>
    </xdr:from>
    <xdr:to>
      <xdr:col>16</xdr:col>
      <xdr:colOff>381000</xdr:colOff>
      <xdr:row>23</xdr:row>
      <xdr:rowOff>45720</xdr:rowOff>
    </xdr:to>
    <xdr:graphicFrame macro="">
      <xdr:nvGraphicFramePr>
        <xdr:cNvPr id="25" name="Chart 2">
          <a:extLst>
            <a:ext uri="{FF2B5EF4-FFF2-40B4-BE49-F238E27FC236}">
              <a16:creationId xmlns:a16="http://schemas.microsoft.com/office/drawing/2014/main" id="{7E616239-964C-D285-FF6F-6361EEFB3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2" name="Rectangle: Rounded Corners 23">
          <a:extLst>
            <a:ext uri="{FF2B5EF4-FFF2-40B4-BE49-F238E27FC236}">
              <a16:creationId xmlns:a16="http://schemas.microsoft.com/office/drawing/2014/main" id="{D675AB53-D9B5-4BD8-8AE8-454016569FA2}"/>
            </a:ext>
          </a:extLst>
        </xdr:cNvPr>
        <xdr:cNvSpPr/>
      </xdr:nvSpPr>
      <xdr:spPr>
        <a:xfrm>
          <a:off x="746762" y="1021080"/>
          <a:ext cx="154685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3" name="Gráfico 10">
          <a:extLst>
            <a:ext uri="{FF2B5EF4-FFF2-40B4-BE49-F238E27FC236}">
              <a16:creationId xmlns:a16="http://schemas.microsoft.com/office/drawing/2014/main" id="{9C18FD94-18B7-4266-9357-96071C642F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49" y="325542"/>
          <a:ext cx="969434" cy="18759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4" name="Rectangle: Rounded Corners 23">
          <a:extLst>
            <a:ext uri="{FF2B5EF4-FFF2-40B4-BE49-F238E27FC236}">
              <a16:creationId xmlns:a16="http://schemas.microsoft.com/office/drawing/2014/main" id="{90DB99AF-3A0B-4405-BECD-EC9FCE79B232}"/>
            </a:ext>
          </a:extLst>
        </xdr:cNvPr>
        <xdr:cNvSpPr/>
      </xdr:nvSpPr>
      <xdr:spPr>
        <a:xfrm>
          <a:off x="2912747" y="1033357"/>
          <a:ext cx="156971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19896</xdr:rowOff>
    </xdr:from>
    <xdr:to>
      <xdr:col>19</xdr:col>
      <xdr:colOff>915865</xdr:colOff>
      <xdr:row>25</xdr:row>
      <xdr:rowOff>36633</xdr:rowOff>
    </xdr:to>
    <xdr:graphicFrame macro="">
      <xdr:nvGraphicFramePr>
        <xdr:cNvPr id="5" name="Chart 18">
          <a:extLst>
            <a:ext uri="{FF2B5EF4-FFF2-40B4-BE49-F238E27FC236}">
              <a16:creationId xmlns:a16="http://schemas.microsoft.com/office/drawing/2014/main" id="{190A39D5-2B21-4812-9C86-91DDFF79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24</xdr:row>
      <xdr:rowOff>87923</xdr:rowOff>
    </xdr:to>
    <xdr:graphicFrame macro="">
      <xdr:nvGraphicFramePr>
        <xdr:cNvPr id="6" name="Chart 1">
          <a:extLst>
            <a:ext uri="{FF2B5EF4-FFF2-40B4-BE49-F238E27FC236}">
              <a16:creationId xmlns:a16="http://schemas.microsoft.com/office/drawing/2014/main" id="{40514E50-3854-48FC-971B-55B87065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7" name="Rectangle: Rounded Corners 23">
          <a:extLst>
            <a:ext uri="{FF2B5EF4-FFF2-40B4-BE49-F238E27FC236}">
              <a16:creationId xmlns:a16="http://schemas.microsoft.com/office/drawing/2014/main" id="{510965BF-43CD-4E99-9D25-525E70EF2165}"/>
            </a:ext>
          </a:extLst>
        </xdr:cNvPr>
        <xdr:cNvSpPr/>
      </xdr:nvSpPr>
      <xdr:spPr>
        <a:xfrm>
          <a:off x="6256235" y="1033358"/>
          <a:ext cx="3131604"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8" name="Rectangle: Rounded Corners 23">
          <a:extLst>
            <a:ext uri="{FF2B5EF4-FFF2-40B4-BE49-F238E27FC236}">
              <a16:creationId xmlns:a16="http://schemas.microsoft.com/office/drawing/2014/main" id="{986A7A2E-153F-456E-B739-16E49DE80C79}"/>
            </a:ext>
          </a:extLst>
        </xdr:cNvPr>
        <xdr:cNvSpPr/>
      </xdr:nvSpPr>
      <xdr:spPr>
        <a:xfrm>
          <a:off x="15311731" y="1033358"/>
          <a:ext cx="293517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7</xdr:col>
      <xdr:colOff>1</xdr:colOff>
      <xdr:row>1</xdr:row>
      <xdr:rowOff>97693</xdr:rowOff>
    </xdr:from>
    <xdr:to>
      <xdr:col>8</xdr:col>
      <xdr:colOff>738295</xdr:colOff>
      <xdr:row>1</xdr:row>
      <xdr:rowOff>285291</xdr:rowOff>
    </xdr:to>
    <xdr:pic>
      <xdr:nvPicPr>
        <xdr:cNvPr id="10" name="Gráfico 10">
          <a:extLst>
            <a:ext uri="{FF2B5EF4-FFF2-40B4-BE49-F238E27FC236}">
              <a16:creationId xmlns:a16="http://schemas.microsoft.com/office/drawing/2014/main" id="{B1360AB1-EADA-4012-B51C-D7732D7CA2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1" y="293078"/>
          <a:ext cx="972756" cy="1875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44824</xdr:colOff>
      <xdr:row>2</xdr:row>
      <xdr:rowOff>21695</xdr:rowOff>
    </xdr:from>
    <xdr:to>
      <xdr:col>52</xdr:col>
      <xdr:colOff>423333</xdr:colOff>
      <xdr:row>4</xdr:row>
      <xdr:rowOff>84666</xdr:rowOff>
    </xdr:to>
    <xdr:sp macro="" textlink="">
      <xdr:nvSpPr>
        <xdr:cNvPr id="2" name="Right Arrow 1">
          <a:extLst>
            <a:ext uri="{FF2B5EF4-FFF2-40B4-BE49-F238E27FC236}">
              <a16:creationId xmlns:a16="http://schemas.microsoft.com/office/drawing/2014/main" id="{41002B47-F2B4-424E-A2FA-0995D7E87FF4}"/>
            </a:ext>
          </a:extLst>
        </xdr:cNvPr>
        <xdr:cNvSpPr/>
      </xdr:nvSpPr>
      <xdr:spPr>
        <a:xfrm>
          <a:off x="4193491" y="868362"/>
          <a:ext cx="52617842" cy="458082"/>
        </a:xfrm>
        <a:prstGeom prst="rightArrow">
          <a:avLst>
            <a:gd name="adj1" fmla="val 70290"/>
            <a:gd name="adj2" fmla="val 50000"/>
          </a:avLst>
        </a:prstGeom>
        <a:solidFill>
          <a:srgbClr val="FF0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PT" sz="2000" b="1">
              <a:latin typeface="Arial" panose="020B0604020202020204" pitchFamily="34" charset="0"/>
              <a:cs typeface="Arial" panose="020B0604020202020204" pitchFamily="34" charset="0"/>
            </a:rPr>
            <a:t>Tempo</a:t>
          </a:r>
          <a:endParaRPr lang="pt-PT" sz="1800" b="1">
            <a:latin typeface="Arial" panose="020B0604020202020204" pitchFamily="34" charset="0"/>
            <a:cs typeface="Arial" panose="020B0604020202020204" pitchFamily="34" charset="0"/>
          </a:endParaRPr>
        </a:p>
      </xdr:txBody>
    </xdr:sp>
    <xdr:clientData/>
  </xdr:twoCellAnchor>
  <xdr:twoCellAnchor editAs="absolute">
    <xdr:from>
      <xdr:col>0</xdr:col>
      <xdr:colOff>207219</xdr:colOff>
      <xdr:row>0</xdr:row>
      <xdr:rowOff>74951</xdr:rowOff>
    </xdr:from>
    <xdr:to>
      <xdr:col>2</xdr:col>
      <xdr:colOff>1065873</xdr:colOff>
      <xdr:row>0</xdr:row>
      <xdr:rowOff>536990</xdr:rowOff>
    </xdr:to>
    <xdr:pic>
      <xdr:nvPicPr>
        <xdr:cNvPr id="10" name="Gráfico 10">
          <a:extLst>
            <a:ext uri="{FF2B5EF4-FFF2-40B4-BE49-F238E27FC236}">
              <a16:creationId xmlns:a16="http://schemas.microsoft.com/office/drawing/2014/main" id="{4B8BE632-0A0F-4A55-A2E2-826CDECBDB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219" y="74951"/>
          <a:ext cx="2391076" cy="462039"/>
        </a:xfrm>
        <a:prstGeom prst="rect">
          <a:avLst/>
        </a:prstGeom>
      </xdr:spPr>
    </xdr:pic>
    <xdr:clientData/>
  </xdr:twoCellAnchor>
  <xdr:twoCellAnchor>
    <xdr:from>
      <xdr:col>8</xdr:col>
      <xdr:colOff>63500</xdr:colOff>
      <xdr:row>30</xdr:row>
      <xdr:rowOff>63500</xdr:rowOff>
    </xdr:from>
    <xdr:to>
      <xdr:col>8</xdr:col>
      <xdr:colOff>850900</xdr:colOff>
      <xdr:row>35</xdr:row>
      <xdr:rowOff>139700</xdr:rowOff>
    </xdr:to>
    <xdr:cxnSp macro="">
      <xdr:nvCxnSpPr>
        <xdr:cNvPr id="13" name="Straight Arrow Connector 12">
          <a:extLst>
            <a:ext uri="{FF2B5EF4-FFF2-40B4-BE49-F238E27FC236}">
              <a16:creationId xmlns:a16="http://schemas.microsoft.com/office/drawing/2014/main" id="{24D6E046-175A-DDA4-FC3C-7219451E2DB4}"/>
            </a:ext>
          </a:extLst>
        </xdr:cNvPr>
        <xdr:cNvCxnSpPr/>
      </xdr:nvCxnSpPr>
      <xdr:spPr>
        <a:xfrm>
          <a:off x="6565900" y="6007100"/>
          <a:ext cx="787400" cy="1092200"/>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30662</xdr:colOff>
      <xdr:row>30</xdr:row>
      <xdr:rowOff>2948</xdr:rowOff>
    </xdr:from>
    <xdr:to>
      <xdr:col>14</xdr:col>
      <xdr:colOff>835207</xdr:colOff>
      <xdr:row>35</xdr:row>
      <xdr:rowOff>79148</xdr:rowOff>
    </xdr:to>
    <xdr:cxnSp macro="">
      <xdr:nvCxnSpPr>
        <xdr:cNvPr id="3" name="Straight Arrow Connector 2">
          <a:extLst>
            <a:ext uri="{FF2B5EF4-FFF2-40B4-BE49-F238E27FC236}">
              <a16:creationId xmlns:a16="http://schemas.microsoft.com/office/drawing/2014/main" id="{4EB166E2-19C1-497E-A947-74262C6ECD26}"/>
            </a:ext>
          </a:extLst>
        </xdr:cNvPr>
        <xdr:cNvCxnSpPr/>
      </xdr:nvCxnSpPr>
      <xdr:spPr>
        <a:xfrm>
          <a:off x="23060751" y="11211832"/>
          <a:ext cx="804545" cy="109673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1401536</xdr:colOff>
      <xdr:row>30</xdr:row>
      <xdr:rowOff>40821</xdr:rowOff>
    </xdr:from>
    <xdr:to>
      <xdr:col>21</xdr:col>
      <xdr:colOff>66085</xdr:colOff>
      <xdr:row>35</xdr:row>
      <xdr:rowOff>84047</xdr:rowOff>
    </xdr:to>
    <xdr:cxnSp macro="">
      <xdr:nvCxnSpPr>
        <xdr:cNvPr id="5" name="Straight Arrow Connector 4">
          <a:extLst>
            <a:ext uri="{FF2B5EF4-FFF2-40B4-BE49-F238E27FC236}">
              <a16:creationId xmlns:a16="http://schemas.microsoft.com/office/drawing/2014/main" id="{83908BBA-9DC4-4050-AB04-06AE07C3A348}"/>
            </a:ext>
          </a:extLst>
        </xdr:cNvPr>
        <xdr:cNvCxnSpPr/>
      </xdr:nvCxnSpPr>
      <xdr:spPr>
        <a:xfrm>
          <a:off x="31024286" y="15725321"/>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20411</xdr:colOff>
      <xdr:row>30</xdr:row>
      <xdr:rowOff>88446</xdr:rowOff>
    </xdr:from>
    <xdr:to>
      <xdr:col>27</xdr:col>
      <xdr:colOff>97835</xdr:colOff>
      <xdr:row>35</xdr:row>
      <xdr:rowOff>131672</xdr:rowOff>
    </xdr:to>
    <xdr:cxnSp macro="">
      <xdr:nvCxnSpPr>
        <xdr:cNvPr id="4" name="Straight Arrow Connector 3">
          <a:extLst>
            <a:ext uri="{FF2B5EF4-FFF2-40B4-BE49-F238E27FC236}">
              <a16:creationId xmlns:a16="http://schemas.microsoft.com/office/drawing/2014/main" id="{79C5795B-3399-40AF-852F-C6BC9BDF8801}"/>
            </a:ext>
          </a:extLst>
        </xdr:cNvPr>
        <xdr:cNvCxnSpPr/>
      </xdr:nvCxnSpPr>
      <xdr:spPr>
        <a:xfrm>
          <a:off x="40231786" y="15772946"/>
          <a:ext cx="680674" cy="995726"/>
        </a:xfrm>
        <a:prstGeom prst="straightConnector1">
          <a:avLst/>
        </a:prstGeom>
        <a:ln w="762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191979</xdr:colOff>
      <xdr:row>0</xdr:row>
      <xdr:rowOff>56984</xdr:rowOff>
    </xdr:from>
    <xdr:to>
      <xdr:col>2</xdr:col>
      <xdr:colOff>1291725</xdr:colOff>
      <xdr:row>0</xdr:row>
      <xdr:rowOff>512673</xdr:rowOff>
    </xdr:to>
    <xdr:pic>
      <xdr:nvPicPr>
        <xdr:cNvPr id="4" name="Gráfico 10">
          <a:extLst>
            <a:ext uri="{FF2B5EF4-FFF2-40B4-BE49-F238E27FC236}">
              <a16:creationId xmlns:a16="http://schemas.microsoft.com/office/drawing/2014/main" id="{D24F1CB4-CB7A-401D-9863-07977D44EA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979" y="52539"/>
          <a:ext cx="2380591" cy="4620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santandernet.sharepoint.com/sites/BSLoanTapeBCE/Shared%20Documents/General/03.%20Loan%20Tape/01.%20Documenta&#231;&#227;o%20Final/01.%20Loan%20Tape/02.%20Especifica&#231;&#227;o/Especifica&#231;&#227;o%20Final%20LF/BS%20-%20Esp.%20&amp;%20Certifica&#231;&#227;o%20LF%20-%20Implementa&#231;&#227;o_20250808.xlsx" TargetMode="External"/><Relationship Id="rId2" Type="http://schemas.microsoft.com/office/2019/04/relationships/externalLinkLongPath" Target="/sites/BSLoanTapeBCE/Shared%20Documents/General/03.%20Loan%20Tape/01.%20Documenta&#231;&#227;o%20Final/01.%20Loan%20Tape/02.%20Especifica&#231;&#227;o/Especifica&#231;&#227;o%20Final%20LF/BS%20-%20Esp.%20&amp;%20Certifica&#231;&#227;o%20LF%20-%20Implementa&#231;&#227;o_20250808.xlsx?D61C1DD6" TargetMode="External"/><Relationship Id="rId1" Type="http://schemas.openxmlformats.org/officeDocument/2006/relationships/externalLinkPath" Target="file:///\\D61C1DD6\BS%20-%20Esp.%20&amp;%20Certifica&#231;&#227;o%20LF%20-%20Implementa&#231;&#227;o_2025080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refreshError="1"/>
      <sheetData sheetId="1" refreshError="1"/>
      <sheetData sheetId="2">
        <row r="3">
          <cell r="C3">
            <v>45958</v>
          </cell>
        </row>
        <row r="7">
          <cell r="C7" t="str">
            <v>1. Especificação</v>
          </cell>
        </row>
        <row r="9">
          <cell r="C9" t="str">
            <v>Outros</v>
          </cell>
        </row>
        <row r="10">
          <cell r="C10" t="str">
            <v xml:space="preserve">Stream </v>
          </cell>
          <cell r="G10" t="str">
            <v>Column_name</v>
          </cell>
        </row>
        <row r="11">
          <cell r="C11" t="str">
            <v>A. Novos Campos</v>
          </cell>
          <cell r="G11" t="str">
            <v>us_prcds</v>
          </cell>
        </row>
        <row r="12">
          <cell r="C12" t="str">
            <v>A. Novos Campos</v>
          </cell>
          <cell r="G12" t="str">
            <v>typ_off_blnc_prdct</v>
          </cell>
        </row>
        <row r="13">
          <cell r="C13" t="str">
            <v>A. Novos Campos</v>
          </cell>
          <cell r="G13" t="str">
            <v>typ_fclty</v>
          </cell>
        </row>
        <row r="14">
          <cell r="C14" t="str">
            <v>A. Novos Campos</v>
          </cell>
          <cell r="G14" t="str">
            <v>typ_dl</v>
          </cell>
        </row>
        <row r="15">
          <cell r="C15" t="str">
            <v>A. Novos Campos</v>
          </cell>
          <cell r="G15" t="str">
            <v>typ_cl</v>
          </cell>
        </row>
        <row r="16">
          <cell r="C16" t="str">
            <v>A. Novos Campos</v>
          </cell>
          <cell r="G16" t="str">
            <v>ttl_prmssbl_dbt_blnc</v>
          </cell>
        </row>
        <row r="17">
          <cell r="C17" t="str">
            <v>A. Novos Campos</v>
          </cell>
          <cell r="G17" t="str">
            <v>ttl_lvrg_rt_incptn_hlt</v>
          </cell>
        </row>
        <row r="18">
          <cell r="C18" t="str">
            <v>A. Novos Campos</v>
          </cell>
          <cell r="G18" t="str">
            <v>ttl_lvrg_rt_incptn</v>
          </cell>
        </row>
        <row r="19">
          <cell r="C19" t="str">
            <v>A. Novos Campos</v>
          </cell>
          <cell r="G19" t="str">
            <v>scan</v>
          </cell>
        </row>
        <row r="20">
          <cell r="C20" t="str">
            <v>A. Novos Campos</v>
          </cell>
          <cell r="G20" t="str">
            <v>rwa_prmtgtn</v>
          </cell>
        </row>
        <row r="21">
          <cell r="C21" t="str">
            <v>A. Novos Campos</v>
          </cell>
          <cell r="G21" t="str">
            <v>rwa_mtgtn</v>
          </cell>
        </row>
        <row r="22">
          <cell r="C22" t="str">
            <v>A. Novos Campos</v>
          </cell>
          <cell r="G22" t="str">
            <v>rorwa</v>
          </cell>
        </row>
        <row r="23">
          <cell r="C23" t="str">
            <v>A. Novos Campos</v>
          </cell>
          <cell r="G23" t="str">
            <v>rorwa</v>
          </cell>
        </row>
        <row r="24">
          <cell r="C24" t="str">
            <v>A. Novos Campos</v>
          </cell>
          <cell r="G24" t="str">
            <v>rorac</v>
          </cell>
        </row>
        <row r="25">
          <cell r="C25" t="str">
            <v>A. Novos Campos</v>
          </cell>
          <cell r="G25" t="str">
            <v>rorac</v>
          </cell>
        </row>
        <row r="26">
          <cell r="C26" t="str">
            <v>A. Novos Campos</v>
          </cell>
          <cell r="G26" t="str">
            <v>pd_ec_rd</v>
          </cell>
        </row>
        <row r="27">
          <cell r="C27" t="str">
            <v>A. Novos Campos</v>
          </cell>
          <cell r="G27" t="str">
            <v>pd_ec_incptn</v>
          </cell>
        </row>
        <row r="28">
          <cell r="C28" t="str">
            <v>A. Novos Campos</v>
          </cell>
          <cell r="G28" t="str">
            <v>grp_spprt</v>
          </cell>
        </row>
        <row r="29">
          <cell r="C29" t="str">
            <v>A. Novos Campos</v>
          </cell>
          <cell r="G29" t="str">
            <v>grp_rorwa</v>
          </cell>
        </row>
        <row r="30">
          <cell r="C30" t="str">
            <v>A. Novos Campos</v>
          </cell>
          <cell r="G30" t="str">
            <v>grp_rorac</v>
          </cell>
        </row>
        <row r="31">
          <cell r="C31" t="str">
            <v>A. Novos Campos</v>
          </cell>
          <cell r="G31" t="str">
            <v>flln_angl_nrrw_dfntn</v>
          </cell>
        </row>
        <row r="32">
          <cell r="C32" t="str">
            <v>A. Novos Campos</v>
          </cell>
          <cell r="G32" t="str">
            <v>flln_angl_extndd_dfntn</v>
          </cell>
        </row>
        <row r="33">
          <cell r="C33" t="str">
            <v>A. Novos Campos</v>
          </cell>
          <cell r="G33" t="str">
            <v>flg_rqst_emrgncy_fndng</v>
          </cell>
        </row>
        <row r="34">
          <cell r="C34" t="str">
            <v>A. Novos Campos</v>
          </cell>
          <cell r="G34" t="str">
            <v>excldd_lf</v>
          </cell>
        </row>
        <row r="35">
          <cell r="C35" t="str">
            <v>A. Novos Campos</v>
          </cell>
          <cell r="G35" t="str">
            <v>dt_mdfctn</v>
          </cell>
        </row>
        <row r="36">
          <cell r="C36" t="str">
            <v>A. Novos Campos</v>
          </cell>
          <cell r="G36" t="str">
            <v>dstntn_fnds</v>
          </cell>
        </row>
        <row r="37">
          <cell r="C37" t="str">
            <v>B1. Re-especificação de campos complexos | Sindicados</v>
          </cell>
          <cell r="G37" t="str">
            <v>zcliente_lndrs</v>
          </cell>
        </row>
        <row r="38">
          <cell r="C38" t="str">
            <v>B1. Re-especificação de campos complexos | Sindicados</v>
          </cell>
          <cell r="G38" t="str">
            <v>zcliente_agnt</v>
          </cell>
        </row>
        <row r="39">
          <cell r="C39" t="str">
            <v>B1. Re-especificação de campos complexos | Sindicados</v>
          </cell>
          <cell r="G39" t="str">
            <v>trnch</v>
          </cell>
        </row>
        <row r="40">
          <cell r="C40" t="str">
            <v>B1. Re-especificação de campos complexos | Sindicados</v>
          </cell>
          <cell r="G40" t="str">
            <v>syndctn_typ</v>
          </cell>
        </row>
        <row r="41">
          <cell r="C41" t="str">
            <v>B1. Re-especificação de campos complexos | Sindicados</v>
          </cell>
          <cell r="G41" t="str">
            <v>syndctd_shr</v>
          </cell>
        </row>
        <row r="42">
          <cell r="C42" t="str">
            <v>B1. Re-especificação de campos complexos | Sindicados</v>
          </cell>
          <cell r="G42" t="str">
            <v>syndctd_lndrs</v>
          </cell>
        </row>
        <row r="43">
          <cell r="C43" t="str">
            <v>B1. Re-especificação de campos complexos | Sindicados</v>
          </cell>
          <cell r="G43" t="str">
            <v>syndctd_cntrct_id</v>
          </cell>
        </row>
        <row r="44">
          <cell r="C44" t="str">
            <v>B1. Re-especificação de campos complexos | Sindicados</v>
          </cell>
          <cell r="G44" t="str">
            <v>syndctd_agnt</v>
          </cell>
        </row>
        <row r="45">
          <cell r="C45" t="str">
            <v>B1. Re-especificação de campos complexos | Sindicados</v>
          </cell>
          <cell r="G45" t="str">
            <v>syndct_rl</v>
          </cell>
        </row>
        <row r="46">
          <cell r="C46" t="str">
            <v>B1. Re-especificação de campos complexos | Sindicados</v>
          </cell>
          <cell r="G46" t="str">
            <v>stts_undrwrttn_trnsctn</v>
          </cell>
        </row>
        <row r="47">
          <cell r="C47" t="str">
            <v>B1. Re-especificação de campos complexos | Sindicados</v>
          </cell>
          <cell r="G47" t="str">
            <v>rtntn_shr</v>
          </cell>
        </row>
        <row r="48">
          <cell r="C48" t="str">
            <v>B1. Re-especificação de campos complexos | Sindicados</v>
          </cell>
          <cell r="G48" t="str">
            <v>fld_syndctn</v>
          </cell>
        </row>
        <row r="49">
          <cell r="C49" t="str">
            <v>B2. Re-especificação de campos complexos - Resto</v>
          </cell>
          <cell r="G49" t="str">
            <v>typ_instrmnt</v>
          </cell>
        </row>
        <row r="50">
          <cell r="C50" t="str">
            <v>B2. Re-especificação de campos complexos - Resto</v>
          </cell>
          <cell r="G50" t="str">
            <v>fr_csh_flw_t3</v>
          </cell>
        </row>
        <row r="51">
          <cell r="C51" t="str">
            <v>B2. Re-especificação de campos complexos - Resto</v>
          </cell>
          <cell r="G51" t="str">
            <v>fr_csh_flw_t2</v>
          </cell>
        </row>
        <row r="52">
          <cell r="C52" t="str">
            <v>B2. Re-especificação de campos complexos - Resto</v>
          </cell>
          <cell r="G52" t="str">
            <v>fr_csh_flw_t1</v>
          </cell>
        </row>
        <row r="53">
          <cell r="C53" t="str">
            <v>B2. Re-especificação de campos complexos - Resto</v>
          </cell>
          <cell r="G53" t="str">
            <v>fr_csh_flw</v>
          </cell>
        </row>
        <row r="54">
          <cell r="C54" t="str">
            <v>B2. Re-especificação de campos complexos - Resto</v>
          </cell>
          <cell r="G54" t="str">
            <v>dbt_rpymnt_cpcty_ttl</v>
          </cell>
        </row>
        <row r="55">
          <cell r="C55" t="str">
            <v>B2. Re-especificação de campos complexos - Resto</v>
          </cell>
          <cell r="G55" t="str">
            <v>dbt_rpymnt_cpcty_snr_dbt</v>
          </cell>
        </row>
        <row r="56">
          <cell r="C56" t="str">
            <v>B2. Re-especificação de campos complexos - Resto</v>
          </cell>
          <cell r="G56" t="str">
            <v>amnt_d_at_mtrty</v>
          </cell>
        </row>
        <row r="57">
          <cell r="C57" t="str">
            <v>B2. Re-especificação de campos complexos - Resto</v>
          </cell>
          <cell r="G57" t="str">
            <v>accrd_intrst_instrmnt</v>
          </cell>
        </row>
        <row r="58">
          <cell r="C58" t="str">
            <v>B2. Re-especificação de campos complexos - Resto</v>
          </cell>
          <cell r="G58" t="str">
            <v>ttl_intrst_pd</v>
          </cell>
        </row>
        <row r="59">
          <cell r="C59" t="str">
            <v>B2. Re-especificação de campos complexos - Resto</v>
          </cell>
          <cell r="G59" t="str">
            <v>rtng_scl</v>
          </cell>
        </row>
        <row r="60">
          <cell r="C60" t="str">
            <v>B2. Re-especificação de campos complexos - Resto</v>
          </cell>
          <cell r="G60" t="str">
            <v>rcvd_intrst_24m</v>
          </cell>
        </row>
        <row r="61">
          <cell r="C61" t="str">
            <v>B2. Re-especificação de campos complexos - Resto</v>
          </cell>
          <cell r="G61" t="str">
            <v>rcvd_intrst_12m</v>
          </cell>
        </row>
        <row r="62">
          <cell r="C62" t="str">
            <v>B2. Re-especificação de campos complexos - Resto</v>
          </cell>
          <cell r="G62" t="str">
            <v>prfrmng_stts_prvs</v>
          </cell>
        </row>
        <row r="63">
          <cell r="C63" t="str">
            <v>B2. Re-especificação de campos complexos - Resto</v>
          </cell>
          <cell r="G63" t="str">
            <v>lvrg_fnnc_flg</v>
          </cell>
        </row>
        <row r="64">
          <cell r="C64" t="str">
            <v>B2. Re-especificação de campos complexos - Resto</v>
          </cell>
          <cell r="G64" t="str">
            <v>frbrnc_stts_instrmnt</v>
          </cell>
        </row>
        <row r="65">
          <cell r="C65" t="str">
            <v>B2. Re-especificação de campos complexos - Resto</v>
          </cell>
          <cell r="G65" t="str">
            <v>flg_lbo</v>
          </cell>
        </row>
        <row r="66">
          <cell r="C66" t="str">
            <v>B2. Re-especificação de campos complexos - Resto</v>
          </cell>
          <cell r="G66" t="str">
            <v>extrnl_rtng_prvs</v>
          </cell>
        </row>
        <row r="67">
          <cell r="C67" t="str">
            <v>B2. Re-especificação de campos complexos - Resto</v>
          </cell>
          <cell r="G67" t="str">
            <v>extrnl_rtng_nm</v>
          </cell>
        </row>
        <row r="68">
          <cell r="C68" t="str">
            <v>B2. Re-especificação de campos complexos - Resto</v>
          </cell>
          <cell r="G68" t="str">
            <v>extrnl_rtng</v>
          </cell>
        </row>
        <row r="69">
          <cell r="C69" t="str">
            <v>B2. Re-especificação de campos complexos - Resto</v>
          </cell>
          <cell r="G69" t="str">
            <v>ecnmc_actvty</v>
          </cell>
        </row>
        <row r="70">
          <cell r="C70" t="str">
            <v>B2. Re-especificação de campos complexos - Resto</v>
          </cell>
          <cell r="G70" t="str">
            <v>ec_grp_nm</v>
          </cell>
        </row>
        <row r="71">
          <cell r="C71" t="str">
            <v>B2. Re-especificação de campos complexos - Resto</v>
          </cell>
          <cell r="G71" t="str">
            <v>ec_grp_id</v>
          </cell>
        </row>
        <row r="72">
          <cell r="C72" t="str">
            <v>B2. Re-especificação de campos complexos - Resto</v>
          </cell>
          <cell r="G72" t="str">
            <v>dt_frbrnc_stts</v>
          </cell>
        </row>
        <row r="73">
          <cell r="C73" t="str">
            <v>B2. Re-especificação de campos complexos - Resto</v>
          </cell>
          <cell r="G73" t="str">
            <v>dt_extrnl_rtng</v>
          </cell>
        </row>
        <row r="74">
          <cell r="C74" t="str">
            <v>B2. Re-especificação de campos complexos - Resto</v>
          </cell>
          <cell r="G74" t="str">
            <v>dflt_stts_instrmnt</v>
          </cell>
        </row>
        <row r="75">
          <cell r="C75" t="str">
            <v>B2. Re-especificação de campos complexos - Resto</v>
          </cell>
          <cell r="G75" t="str">
            <v>cntry</v>
          </cell>
        </row>
        <row r="76">
          <cell r="C76" t="str">
            <v>C. Campos em testes ou c/ incidências</v>
          </cell>
          <cell r="G76" t="str">
            <v>rwa</v>
          </cell>
        </row>
        <row r="77">
          <cell r="C77" t="str">
            <v>C. Campos em testes ou c/ incidências</v>
          </cell>
          <cell r="G77" t="str">
            <v>rtng_mthd</v>
          </cell>
        </row>
        <row r="78">
          <cell r="C78" t="str">
            <v>C. Campos em testes ou c/ incidências</v>
          </cell>
          <cell r="G78" t="str">
            <v>rtng_mthd</v>
          </cell>
        </row>
        <row r="79">
          <cell r="C79" t="str">
            <v>C. Campos em testes ou c/ incidências</v>
          </cell>
          <cell r="G79" t="str">
            <v>pd_crr_incptn</v>
          </cell>
        </row>
        <row r="80">
          <cell r="C80" t="str">
            <v>C. Campos em testes ou c/ incidências</v>
          </cell>
          <cell r="G80" t="str">
            <v>mn_entty_id</v>
          </cell>
        </row>
        <row r="81">
          <cell r="C81" t="str">
            <v>C. Campos em testes ou c/ incidências</v>
          </cell>
          <cell r="G81" t="str">
            <v>intrnl_rtng_prvs</v>
          </cell>
        </row>
        <row r="82">
          <cell r="C82" t="str">
            <v>C. Campos em testes ou c/ incidências</v>
          </cell>
          <cell r="G82" t="str">
            <v>intrnl_rtng_incptn</v>
          </cell>
        </row>
        <row r="83">
          <cell r="C83" t="str">
            <v>C. Campos em testes ou c/ incidências</v>
          </cell>
          <cell r="G83" t="str">
            <v>intrnl_rtng</v>
          </cell>
        </row>
        <row r="84">
          <cell r="C84" t="str">
            <v>C. Campos em testes ou c/ incidências</v>
          </cell>
          <cell r="G84" t="str">
            <v>intrnl_rtng</v>
          </cell>
        </row>
        <row r="85">
          <cell r="C85" t="str">
            <v>C. Campos em testes ou c/ incidências</v>
          </cell>
          <cell r="G85" t="str">
            <v>idcmb</v>
          </cell>
        </row>
        <row r="86">
          <cell r="C86" t="str">
            <v>C. Campos em testes ou c/ incidências</v>
          </cell>
          <cell r="G86" t="str">
            <v>ead</v>
          </cell>
        </row>
        <row r="87">
          <cell r="C87" t="str">
            <v>C. Campos em testes ou c/ incidências</v>
          </cell>
          <cell r="G87" t="str">
            <v>dt_lgl_fnl_mtrty</v>
          </cell>
        </row>
        <row r="88">
          <cell r="C88" t="str">
            <v>C. Campos em testes ou c/ incidências</v>
          </cell>
          <cell r="G88" t="str">
            <v>dt_intrnl_rtng</v>
          </cell>
        </row>
        <row r="89">
          <cell r="C89" t="str">
            <v>C. Campos em testes ou c/ incidências</v>
          </cell>
          <cell r="G89" t="str">
            <v>dt_intrnl_rtng</v>
          </cell>
        </row>
        <row r="90">
          <cell r="C90" t="str">
            <v>C. Campos em testes ou c/ incidências</v>
          </cell>
          <cell r="G90" t="str">
            <v>dt_dflt_stts_instrmnt</v>
          </cell>
        </row>
        <row r="91">
          <cell r="C91" t="str">
            <v>C. Campos em testes ou c/ incidências</v>
          </cell>
          <cell r="G91" t="str">
            <v>accmltd_imprmnt_instrmnt_prvs</v>
          </cell>
        </row>
        <row r="92">
          <cell r="C92" t="str">
            <v>D. Campos com NOK controlos Corporativos</v>
          </cell>
          <cell r="G92" t="str">
            <v>rcvd_amrtstn_12m</v>
          </cell>
        </row>
        <row r="93">
          <cell r="C93" t="str">
            <v>D. Campos com NOK controlos Corporativos</v>
          </cell>
          <cell r="G93" t="str">
            <v>pd_ifrs9_12m_rd</v>
          </cell>
        </row>
        <row r="94">
          <cell r="C94" t="str">
            <v>D. Campos com NOK controlos Corporativos</v>
          </cell>
          <cell r="G94" t="str">
            <v>pd_crr_rd</v>
          </cell>
        </row>
        <row r="95">
          <cell r="C95" t="str">
            <v>D. Campos com NOK controlos Corporativos</v>
          </cell>
          <cell r="G95" t="str">
            <v>pd_crr_rd</v>
          </cell>
        </row>
        <row r="96">
          <cell r="C96" t="str">
            <v>D. Campos com NOK controlos Corporativos</v>
          </cell>
          <cell r="G96" t="str">
            <v>otstndng_nmnl_amnt_instrmnt</v>
          </cell>
        </row>
        <row r="97">
          <cell r="C97" t="str">
            <v>D. Campos com NOK controlos Corporativos</v>
          </cell>
          <cell r="G97" t="str">
            <v>off_blnc_sht_amnt_instrmnt</v>
          </cell>
        </row>
        <row r="98">
          <cell r="C98" t="str">
            <v>D. Campos com NOK controlos Corporativos</v>
          </cell>
          <cell r="G98" t="str">
            <v>lgl_prcdng_stts_le</v>
          </cell>
        </row>
        <row r="99">
          <cell r="C99" t="str">
            <v>D. Campos com NOK controlos Corporativos</v>
          </cell>
          <cell r="G99" t="str">
            <v>entty_id</v>
          </cell>
        </row>
        <row r="100">
          <cell r="C100" t="str">
            <v>D. Campos com NOK controlos Corporativos</v>
          </cell>
          <cell r="G100" t="str">
            <v>entty_id</v>
          </cell>
        </row>
        <row r="101">
          <cell r="C101" t="str">
            <v>D. Campos com NOK controlos Corporativos</v>
          </cell>
          <cell r="G101" t="str">
            <v>eir</v>
          </cell>
        </row>
        <row r="102">
          <cell r="C102" t="str">
            <v>D. Campos com NOK controlos Corporativos</v>
          </cell>
          <cell r="G102" t="str">
            <v>dt_pst_d</v>
          </cell>
        </row>
        <row r="103">
          <cell r="C103" t="str">
            <v>D. Campos com NOK controlos Corporativos</v>
          </cell>
          <cell r="G103" t="str">
            <v>dt_orgnl_mtrty</v>
          </cell>
        </row>
        <row r="104">
          <cell r="C104" t="str">
            <v>D. Campos com NOK controlos Corporativos</v>
          </cell>
          <cell r="G104" t="str">
            <v>dt_incptn</v>
          </cell>
        </row>
        <row r="105">
          <cell r="C105" t="str">
            <v>D. Campos com NOK controlos Corporativos</v>
          </cell>
          <cell r="G105" t="str">
            <v>dpd</v>
          </cell>
        </row>
        <row r="106">
          <cell r="C106" t="str">
            <v>D. Campos com NOK controlos Corporativos</v>
          </cell>
          <cell r="G106" t="str">
            <v>arrrs_instrmnt</v>
          </cell>
        </row>
        <row r="107">
          <cell r="C107" t="str">
            <v xml:space="preserve">E. Campos com outras possíveis alterações - Dependente de decisões OSI </v>
          </cell>
          <cell r="G107" t="str">
            <v>typ_amrtstn</v>
          </cell>
        </row>
        <row r="108">
          <cell r="C108" t="str">
            <v xml:space="preserve">E. Campos com outras possíveis alterações - Dependente de decisões OSI </v>
          </cell>
          <cell r="G108" t="str">
            <v>pymnt_intrst_only</v>
          </cell>
        </row>
        <row r="109">
          <cell r="C109" t="str">
            <v xml:space="preserve">E. Campos com outras possíveis alterações - Dependente de decisões OSI </v>
          </cell>
          <cell r="G109" t="str">
            <v>pd_ifrs9_12m_rd</v>
          </cell>
        </row>
        <row r="110">
          <cell r="C110" t="str">
            <v xml:space="preserve">E. Campos com outras possíveis alterações - Dependente de decisões OSI </v>
          </cell>
          <cell r="G110" t="str">
            <v>dt_prfrmng_stts_le</v>
          </cell>
        </row>
        <row r="111">
          <cell r="C111" t="str">
            <v xml:space="preserve">E. Campos com outras possíveis alterações - Dependente de decisões OSI </v>
          </cell>
          <cell r="G111" t="str">
            <v>dt_dflt_stts</v>
          </cell>
        </row>
        <row r="112">
          <cell r="C112" t="str">
            <v xml:space="preserve">E. Campos com outras possíveis alterações - Dependente de decisões OSI </v>
          </cell>
          <cell r="G112" t="str">
            <v>dflt_stts</v>
          </cell>
        </row>
        <row r="113">
          <cell r="C113" t="str">
            <v>F1. Fora âmbito | Campos concluídos - Sem necessidade de espec.</v>
          </cell>
          <cell r="G113" t="str">
            <v>wtch_lst</v>
          </cell>
        </row>
        <row r="114">
          <cell r="C114" t="str">
            <v>F1. Fora âmbito | Campos concluídos - Sem necessidade de espec.</v>
          </cell>
          <cell r="G114" t="str">
            <v>ttl_lvrg_rt_prvs</v>
          </cell>
        </row>
        <row r="115">
          <cell r="C115" t="str">
            <v>F1. Fora âmbito | Campos concluídos - Sem necessidade de espec.</v>
          </cell>
          <cell r="G115" t="str">
            <v>ttl_lvrg_rt</v>
          </cell>
        </row>
        <row r="116">
          <cell r="C116" t="str">
            <v>F1. Fora âmbito | Campos concluídos - Sem necessidade de espec.</v>
          </cell>
          <cell r="G116" t="str">
            <v>subportfolio_id</v>
          </cell>
        </row>
        <row r="117">
          <cell r="C117" t="str">
            <v>F1. Fora âmbito | Campos concluídos - Sem necessidade de espec.</v>
          </cell>
          <cell r="G117" t="str">
            <v>sicr_assssmnt_mthd</v>
          </cell>
        </row>
        <row r="118">
          <cell r="C118" t="str">
            <v>F1. Fora âmbito | Campos concluídos - Sem necessidade de espec.</v>
          </cell>
          <cell r="G118" t="str">
            <v>rwa_mthd</v>
          </cell>
        </row>
        <row r="119">
          <cell r="C119" t="str">
            <v>F1. Fora âmbito | Campos concluídos - Sem necessidade de espec.</v>
          </cell>
          <cell r="G119" t="str">
            <v>rtng_scl</v>
          </cell>
        </row>
        <row r="120">
          <cell r="C120" t="str">
            <v>F1. Fora âmbito | Campos concluídos - Sem necessidade de espec.</v>
          </cell>
          <cell r="G120" t="str">
            <v>rcvd_amrtstn_24m</v>
          </cell>
        </row>
        <row r="121">
          <cell r="C121" t="str">
            <v>F1. Fora âmbito | Campos concluídos - Sem necessidade de espec.</v>
          </cell>
          <cell r="G121" t="str">
            <v>prps</v>
          </cell>
        </row>
        <row r="122">
          <cell r="C122" t="str">
            <v>F1. Fora âmbito | Campos concluídos - Sem necessidade de espec.</v>
          </cell>
          <cell r="G122" t="str">
            <v>prfrmng_stts_le</v>
          </cell>
        </row>
        <row r="123">
          <cell r="C123" t="str">
            <v>F1. Fora âmbito | Campos concluídos - Sem necessidade de espec.</v>
          </cell>
          <cell r="G123" t="str">
            <v>prdntl_prtfl</v>
          </cell>
        </row>
        <row r="124">
          <cell r="C124" t="str">
            <v>F1. Fora âmbito | Campos concluídos - Sem necessidade de espec.</v>
          </cell>
          <cell r="G124" t="str">
            <v>pd_ifrs9_rmnng_lftm_rd</v>
          </cell>
        </row>
        <row r="125">
          <cell r="C125" t="str">
            <v>F1. Fora âmbito | Campos concluídos - Sem necessidade de espec.</v>
          </cell>
          <cell r="G125" t="str">
            <v>pd_ifrs9_rmnng_lftm_incptn</v>
          </cell>
        </row>
        <row r="126">
          <cell r="C126" t="str">
            <v>F1. Fora âmbito | Campos concluídos - Sem necessidade de espec.</v>
          </cell>
          <cell r="G126" t="str">
            <v>pd_ifrs9_lftm_incptn</v>
          </cell>
        </row>
        <row r="127">
          <cell r="C127" t="str">
            <v>F1. Fora âmbito | Campos concluídos - Sem necessidade de espec.</v>
          </cell>
          <cell r="G127" t="str">
            <v>pd_ifrs9_12m_incptn</v>
          </cell>
        </row>
        <row r="128">
          <cell r="C128" t="str">
            <v>F1. Fora âmbito | Campos concluídos - Sem necessidade de espec.</v>
          </cell>
          <cell r="G128" t="str">
            <v>osi_id</v>
          </cell>
        </row>
        <row r="129">
          <cell r="C129" t="str">
            <v>F1. Fora âmbito | Campos concluídos - Sem necessidade de espec.</v>
          </cell>
          <cell r="G129" t="str">
            <v>obsrvd_agnt_nm</v>
          </cell>
        </row>
        <row r="130">
          <cell r="C130" t="str">
            <v>F1. Fora âmbito | Campos concluídos - Sem necessidade de espec.</v>
          </cell>
          <cell r="G130" t="str">
            <v>obsrvd_agnt_id</v>
          </cell>
        </row>
        <row r="131">
          <cell r="C131" t="str">
            <v>F1. Fora âmbito | Campos concluídos - Sem necessidade de espec.</v>
          </cell>
          <cell r="G131" t="str">
            <v>nmbr_frbrnc_msrs</v>
          </cell>
        </row>
        <row r="132">
          <cell r="C132" t="str">
            <v>F1. Fora âmbito | Campos concluídos - Sem necessidade de espec.</v>
          </cell>
          <cell r="G132" t="str">
            <v>lvrg_prvs</v>
          </cell>
        </row>
        <row r="133">
          <cell r="C133" t="str">
            <v>F1. Fora âmbito | Campos concluídos - Sem necessidade de espec.</v>
          </cell>
          <cell r="G133" t="str">
            <v>lvrg</v>
          </cell>
        </row>
        <row r="134">
          <cell r="C134" t="str">
            <v>F1. Fora âmbito | Campos concluídos - Sem necessidade de espec.</v>
          </cell>
          <cell r="G134" t="str">
            <v>lgd</v>
          </cell>
        </row>
        <row r="135">
          <cell r="C135" t="str">
            <v>F1. Fora âmbito | Campos concluídos - Sem necessidade de espec.</v>
          </cell>
          <cell r="G135" t="str">
            <v>lei</v>
          </cell>
        </row>
        <row r="136">
          <cell r="C136" t="str">
            <v>F1. Fora âmbito | Campos concluídos - Sem necessidade de espec.</v>
          </cell>
          <cell r="G136" t="str">
            <v>jnt_lblty_amnt</v>
          </cell>
        </row>
        <row r="137">
          <cell r="C137" t="str">
            <v>F1. Fora âmbito | Campos concluídos - Sem necessidade de espec.</v>
          </cell>
          <cell r="G137" t="str">
            <v>intrnl_unt</v>
          </cell>
        </row>
        <row r="138">
          <cell r="C138" t="str">
            <v>F1. Fora âmbito | Campos concluídos - Sem necessidade de espec.</v>
          </cell>
          <cell r="G138" t="str">
            <v>intrnl_unt</v>
          </cell>
        </row>
        <row r="139">
          <cell r="C139" t="str">
            <v>F1. Fora âmbito | Campos concluídos - Sem necessidade de espec.</v>
          </cell>
          <cell r="G139" t="str">
            <v>intrnl_sgmnt</v>
          </cell>
        </row>
        <row r="140">
          <cell r="C140" t="str">
            <v>F1. Fora âmbito | Campos concluídos - Sem necessidade de espec.</v>
          </cell>
          <cell r="G140" t="str">
            <v>intrnl_sgmnt</v>
          </cell>
        </row>
        <row r="141">
          <cell r="C141" t="str">
            <v>F1. Fora âmbito | Campos concluídos - Sem necessidade de espec.</v>
          </cell>
          <cell r="G141" t="str">
            <v>instrmnt_id</v>
          </cell>
        </row>
        <row r="142">
          <cell r="C142" t="str">
            <v>F1. Fora âmbito | Campos concluídos - Sem necessidade de espec.</v>
          </cell>
          <cell r="G142" t="str">
            <v>instrmnt_id</v>
          </cell>
        </row>
        <row r="143">
          <cell r="C143" t="str">
            <v>F1. Fora âmbito | Campos concluídos - Sem necessidade de espec.</v>
          </cell>
          <cell r="G143" t="str">
            <v>instr_snrty_clss</v>
          </cell>
        </row>
        <row r="144">
          <cell r="C144" t="str">
            <v>F1. Fora âmbito | Campos concluídos - Sem necessidade de espec.</v>
          </cell>
          <cell r="G144" t="str">
            <v>imprmnt_assssmnt_mthd</v>
          </cell>
        </row>
        <row r="145">
          <cell r="C145" t="str">
            <v>F1. Fora âmbito | Campos concluídos - Sem necessidade de espec.</v>
          </cell>
          <cell r="G145" t="str">
            <v>grss_crryng_amnt_instrmnt</v>
          </cell>
        </row>
        <row r="146">
          <cell r="C146" t="str">
            <v>F1. Fora âmbito | Campos concluídos - Sem necessidade de espec.</v>
          </cell>
          <cell r="G146" t="str">
            <v>grp_nt_dbt</v>
          </cell>
        </row>
        <row r="147">
          <cell r="C147" t="str">
            <v>F1. Fora âmbito | Campos concluídos - Sem necessidade de espec.</v>
          </cell>
          <cell r="G147" t="str">
            <v>grp_eqty</v>
          </cell>
        </row>
        <row r="148">
          <cell r="C148" t="str">
            <v>F1. Fora âmbito | Campos concluídos - Sem necessidade de espec.</v>
          </cell>
          <cell r="G148" t="str">
            <v>grp_ebitda</v>
          </cell>
        </row>
        <row r="149">
          <cell r="C149" t="str">
            <v>F1. Fora âmbito | Campos concluídos - Sem necessidade de espec.</v>
          </cell>
          <cell r="G149" t="str">
            <v>gcc_prnt_nm</v>
          </cell>
        </row>
        <row r="150">
          <cell r="C150" t="str">
            <v>F1. Fora âmbito | Campos concluídos - Sem necessidade de espec.</v>
          </cell>
          <cell r="G150" t="str">
            <v>gcc_prnt_id</v>
          </cell>
        </row>
        <row r="151">
          <cell r="C151" t="str">
            <v>F1. Fora âmbito | Campos concluídos - Sem necessidade de espec.</v>
          </cell>
          <cell r="G151" t="str">
            <v>expsr_in_scp</v>
          </cell>
        </row>
        <row r="152">
          <cell r="C152" t="str">
            <v>F1. Fora âmbito | Campos concluídos - Sem necessidade de espec.</v>
          </cell>
          <cell r="G152" t="str">
            <v>entty_nm</v>
          </cell>
        </row>
        <row r="153">
          <cell r="C153" t="str">
            <v>F1. Fora âmbito | Campos concluídos - Sem necessidade de espec.</v>
          </cell>
          <cell r="G153" t="str">
            <v>dt_rfrnc</v>
          </cell>
        </row>
        <row r="154">
          <cell r="C154" t="str">
            <v>F1. Fora âmbito | Campos concluídos - Sem necessidade de espec.</v>
          </cell>
          <cell r="G154" t="str">
            <v>dt_rfrnc</v>
          </cell>
        </row>
        <row r="155">
          <cell r="C155" t="str">
            <v>F1. Fora âmbito | Campos concluídos - Sem necessidade de espec.</v>
          </cell>
          <cell r="G155" t="str">
            <v>dt_rfrnc</v>
          </cell>
        </row>
        <row r="156">
          <cell r="C156" t="str">
            <v>F1. Fora âmbito | Campos concluídos - Sem necessidade de espec.</v>
          </cell>
          <cell r="G156" t="str">
            <v>dt_inttn_lgl_prcdngs_le</v>
          </cell>
        </row>
        <row r="157">
          <cell r="C157" t="str">
            <v>F1. Fora âmbito | Campos concluídos - Sem necessidade de espec.</v>
          </cell>
          <cell r="G157" t="str">
            <v>csh_swp_trp</v>
          </cell>
        </row>
        <row r="158">
          <cell r="C158" t="str">
            <v>F1. Fora âmbito | Campos concluídos - Sem necessidade de espec.</v>
          </cell>
          <cell r="G158" t="str">
            <v>crryng_amnt_instrmnt</v>
          </cell>
        </row>
        <row r="159">
          <cell r="C159" t="str">
            <v>F1. Fora âmbito | Campos concluídos - Sem necessidade de espec.</v>
          </cell>
          <cell r="G159" t="str">
            <v>crrncy_dnmntn</v>
          </cell>
        </row>
        <row r="160">
          <cell r="C160" t="str">
            <v>F1. Fora âmbito | Campos concluídos - Sem necessidade de espec.</v>
          </cell>
          <cell r="G160" t="str">
            <v>cod_soc</v>
          </cell>
        </row>
        <row r="161">
          <cell r="C161" t="str">
            <v>F1. Fora âmbito | Campos concluídos - Sem necessidade de espec.</v>
          </cell>
          <cell r="G161" t="str">
            <v>cod_soc</v>
          </cell>
        </row>
        <row r="162">
          <cell r="C162" t="str">
            <v>F1. Fora âmbito | Campos concluídos - Sem necessidade de espec.</v>
          </cell>
          <cell r="G162" t="str">
            <v>cod_soc</v>
          </cell>
        </row>
        <row r="163">
          <cell r="C163" t="str">
            <v>F1. Fora âmbito | Campos concluídos - Sem necessidade de espec.</v>
          </cell>
          <cell r="G163" t="str">
            <v>ccf</v>
          </cell>
        </row>
        <row r="164">
          <cell r="C164" t="str">
            <v>F1. Fora âmbito | Campos concluídos - Sem necessidade de espec.</v>
          </cell>
          <cell r="G164" t="str">
            <v>brchd_cvnnts</v>
          </cell>
        </row>
        <row r="165">
          <cell r="C165" t="str">
            <v>F1. Fora âmbito | Campos concluídos - Sem necessidade de espec.</v>
          </cell>
          <cell r="G165" t="str">
            <v>accntng_clssfctn</v>
          </cell>
        </row>
        <row r="166">
          <cell r="C166" t="str">
            <v>F1. Fora âmbito | Campos concluídos - Sem necessidade de espec.</v>
          </cell>
          <cell r="G166" t="str">
            <v>accmltd_wrtffs_instrmnt</v>
          </cell>
        </row>
        <row r="167">
          <cell r="C167" t="str">
            <v>F1. Fora âmbito | Campos concluídos - Sem necessidade de espec.</v>
          </cell>
          <cell r="G167" t="str">
            <v>accmltd_imprmnt_instrmnt</v>
          </cell>
        </row>
        <row r="168">
          <cell r="C168" t="str">
            <v>F2. Fora âmbito | Campos em testes ou c/ incidências (LT - PM)</v>
          </cell>
          <cell r="G168" t="str">
            <v>prfrmng_stts</v>
          </cell>
        </row>
        <row r="169">
          <cell r="C169" t="str">
            <v>F2. Fora âmbito | Campos em testes ou c/ incidências (LT - PM)</v>
          </cell>
          <cell r="G169" t="str">
            <v>imprmnt_stts_prvs</v>
          </cell>
        </row>
        <row r="170">
          <cell r="C170" t="str">
            <v>F2. Fora âmbito | Campos em testes ou c/ incidências (LT - PM)</v>
          </cell>
          <cell r="G170" t="str">
            <v>imprmnt_stts</v>
          </cell>
        </row>
        <row r="171">
          <cell r="C171" t="str">
            <v>F2. Fora âmbito | Campos em testes ou c/ incidências (LT - PM)</v>
          </cell>
          <cell r="G171" t="str">
            <v>ifrs9_bhvrl_mtrty</v>
          </cell>
        </row>
        <row r="172">
          <cell r="C172" t="str">
            <v>F2. Fora âmbito | Campos em testes ou c/ incidências (LT - PM)</v>
          </cell>
          <cell r="G172" t="str">
            <v>dt_prfrmng_stts_prvs</v>
          </cell>
        </row>
        <row r="173">
          <cell r="C173" t="str">
            <v>F2. Fora âmbito | Campos em testes ou c/ incidências (LT - PM)</v>
          </cell>
          <cell r="G173" t="str">
            <v>dt_prfrmng_stts</v>
          </cell>
        </row>
        <row r="174">
          <cell r="C174" t="str">
            <v>F2. Fora âmbito | Campos em testes ou c/ incidências (LT - PM)</v>
          </cell>
          <cell r="G174" t="str">
            <v>dt_imprmnt_stts</v>
          </cell>
        </row>
        <row r="175">
          <cell r="C175" t="str">
            <v>F3. Fora âmbito | Fonte Manual LF</v>
          </cell>
          <cell r="G175" t="str">
            <v>spnsr_nm</v>
          </cell>
        </row>
        <row r="176">
          <cell r="C176" t="str">
            <v>F3. Fora âmbito | Fonte Manual LF</v>
          </cell>
          <cell r="G176" t="str">
            <v>ownd_by_spnsr</v>
          </cell>
        </row>
        <row r="177">
          <cell r="C177" t="str">
            <v>F3. Fora âmbito | Fonte Manual LF</v>
          </cell>
          <cell r="G177" t="str">
            <v>cvnnt_typ</v>
          </cell>
        </row>
        <row r="178">
          <cell r="C178" t="str">
            <v>F3. Fora âmbito | Fonte Manual LF</v>
          </cell>
          <cell r="G178" t="str">
            <v>cvnnt_stts</v>
          </cell>
        </row>
        <row r="179">
          <cell r="C179" t="str">
            <v>F4. Fora âmbito | Re-especificação de campos complexos - Dem. Fin. CIB</v>
          </cell>
          <cell r="G179" t="str">
            <v>ttl_dbt_prvs</v>
          </cell>
        </row>
        <row r="180">
          <cell r="C180" t="str">
            <v>F4. Fora âmbito | Re-especificação de campos complexos - Dem. Fin. CIB</v>
          </cell>
          <cell r="G180" t="str">
            <v>ttl_dbt</v>
          </cell>
        </row>
        <row r="181">
          <cell r="C181" t="str">
            <v>F4. Fora âmbito | Re-especificação de campos complexos - Dem. Fin. CIB</v>
          </cell>
          <cell r="G181" t="str">
            <v>nt_incm_prvs</v>
          </cell>
        </row>
        <row r="182">
          <cell r="C182" t="str">
            <v>F4. Fora âmbito | Re-especificação de campos complexos - Dem. Fin. CIB</v>
          </cell>
          <cell r="G182" t="str">
            <v>nt_incm</v>
          </cell>
        </row>
        <row r="183">
          <cell r="C183" t="str">
            <v>F4. Fora âmbito | Re-especificação de campos complexos - Dem. Fin. CIB</v>
          </cell>
          <cell r="G183" t="str">
            <v>eqty_prvs</v>
          </cell>
        </row>
        <row r="184">
          <cell r="C184" t="str">
            <v>F4. Fora âmbito | Re-especificação de campos complexos - Dem. Fin. CIB</v>
          </cell>
          <cell r="G184" t="str">
            <v>eqty</v>
          </cell>
        </row>
        <row r="185">
          <cell r="C185" t="str">
            <v>F4. Fora âmbito | Re-especificação de campos complexos - Dem. Fin. CIB</v>
          </cell>
          <cell r="G185" t="str">
            <v>ebitda_prvs</v>
          </cell>
        </row>
        <row r="186">
          <cell r="C186" t="str">
            <v>F4. Fora âmbito | Re-especificação de campos complexos - Dem. Fin. CIB</v>
          </cell>
          <cell r="G186" t="str">
            <v>ebitda</v>
          </cell>
        </row>
        <row r="187">
          <cell r="C187" t="str">
            <v>F4. Fora âmbito | Re-especificação de campos complexos - Dem. Fin. CIB</v>
          </cell>
          <cell r="G187" t="str">
            <v>dt_fnncl_sttmts_prvs</v>
          </cell>
        </row>
        <row r="188">
          <cell r="C188" t="str">
            <v>F4. Fora âmbito | Re-especificação de campos complexos - Dem. Fin. CIB</v>
          </cell>
          <cell r="G188" t="str">
            <v>dt_fnncl_sttmts</v>
          </cell>
        </row>
        <row r="189">
          <cell r="C189" t="str">
            <v>F4. Fora âmbito | Re-especificação de campos complexos - Dem. Fin. CIB</v>
          </cell>
          <cell r="G189" t="str">
            <v>annl_trnvr_prvs</v>
          </cell>
        </row>
        <row r="190">
          <cell r="C190" t="str">
            <v>F4. Fora âmbito | Re-especificação de campos complexos - Dem. Fin. CIB</v>
          </cell>
          <cell r="G190" t="str">
            <v>annl_trnvr_le</v>
          </cell>
        </row>
        <row r="191">
          <cell r="C191" t="str">
            <v>F4. Fora âmbito | Re-especificação de campos complexos - Dem. Fin. CIB</v>
          </cell>
          <cell r="G191" t="str">
            <v>accntng_frmwrk_sl</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READ ME - APPLICABILITY"/>
      <sheetName val="Overview"/>
      <sheetName val="CodeList"/>
      <sheetName val="Hoja1"/>
      <sheetName val="SUBPORTFOLIO_ID - Code List"/>
      <sheetName val="BDR - Code List"/>
      <sheetName val="Conversion Codes Subportfolio"/>
    </sheetNames>
    <sheetDataSet>
      <sheetData sheetId="0" refreshError="1"/>
      <sheetData sheetId="1" refreshError="1"/>
      <sheetData sheetId="2">
        <row r="1">
          <cell r="E1" t="str">
            <v>Data field</v>
          </cell>
          <cell r="Z1" t="str">
            <v>Structural 
ECB Loan Tape</v>
          </cell>
          <cell r="AA1" t="str">
            <v>Green 
Dashboard</v>
          </cell>
          <cell r="AB1" t="str">
            <v>Pillar III ESG &amp; CSRD</v>
          </cell>
          <cell r="AC1" t="str">
            <v>Green Finance</v>
          </cell>
          <cell r="AD1" t="str">
            <v>ESG Risks</v>
          </cell>
          <cell r="AE1" t="str">
            <v>Leveraged Finance</v>
          </cell>
        </row>
        <row r="2">
          <cell r="E2" t="str">
            <v>COD_SOC</v>
          </cell>
          <cell r="Z2" t="str">
            <v>Y</v>
          </cell>
          <cell r="AA2" t="str">
            <v>N</v>
          </cell>
          <cell r="AB2" t="str">
            <v>Y</v>
          </cell>
          <cell r="AC2" t="str">
            <v>Y</v>
          </cell>
          <cell r="AD2" t="str">
            <v>Y</v>
          </cell>
          <cell r="AE2" t="str">
            <v>Y</v>
          </cell>
        </row>
        <row r="3">
          <cell r="E3" t="str">
            <v>CNTRY</v>
          </cell>
          <cell r="Z3" t="str">
            <v>Y</v>
          </cell>
          <cell r="AA3" t="str">
            <v>N</v>
          </cell>
          <cell r="AB3" t="str">
            <v>Y</v>
          </cell>
          <cell r="AC3" t="str">
            <v>Y</v>
          </cell>
          <cell r="AD3" t="str">
            <v>Y</v>
          </cell>
          <cell r="AE3" t="str">
            <v>Y</v>
          </cell>
        </row>
        <row r="4">
          <cell r="E4" t="str">
            <v>DT_BRTH</v>
          </cell>
          <cell r="Z4" t="str">
            <v>Y</v>
          </cell>
          <cell r="AA4" t="str">
            <v>N</v>
          </cell>
          <cell r="AB4" t="str">
            <v>N</v>
          </cell>
          <cell r="AC4" t="str">
            <v>N</v>
          </cell>
          <cell r="AD4" t="str">
            <v>N</v>
          </cell>
          <cell r="AE4" t="str">
            <v>N</v>
          </cell>
        </row>
        <row r="5">
          <cell r="E5" t="str">
            <v>DT_DFLT_STTS</v>
          </cell>
          <cell r="Z5" t="str">
            <v>Y</v>
          </cell>
          <cell r="AA5" t="str">
            <v>N</v>
          </cell>
          <cell r="AB5" t="str">
            <v>N</v>
          </cell>
          <cell r="AC5" t="str">
            <v>N</v>
          </cell>
          <cell r="AD5" t="str">
            <v>N</v>
          </cell>
          <cell r="AE5" t="str">
            <v>Y</v>
          </cell>
        </row>
        <row r="6">
          <cell r="E6" t="str">
            <v>DT_FNNCL_STTMTS</v>
          </cell>
          <cell r="Z6" t="str">
            <v>Y</v>
          </cell>
          <cell r="AA6" t="str">
            <v>N</v>
          </cell>
          <cell r="AB6" t="str">
            <v>N</v>
          </cell>
          <cell r="AC6" t="str">
            <v>N</v>
          </cell>
          <cell r="AD6" t="str">
            <v>N</v>
          </cell>
          <cell r="AE6" t="str">
            <v>Y</v>
          </cell>
        </row>
        <row r="7">
          <cell r="E7" t="str">
            <v>DT_FNNCL_STTMTS_PRVS</v>
          </cell>
          <cell r="Z7" t="str">
            <v>Y</v>
          </cell>
          <cell r="AA7" t="str">
            <v>N</v>
          </cell>
          <cell r="AB7" t="str">
            <v>N</v>
          </cell>
          <cell r="AC7" t="str">
            <v>N</v>
          </cell>
          <cell r="AD7" t="str">
            <v>N</v>
          </cell>
          <cell r="AE7" t="str">
            <v>Y</v>
          </cell>
        </row>
        <row r="8">
          <cell r="E8" t="str">
            <v>DT_INTTN_LGL_PRCDNGS_LE</v>
          </cell>
          <cell r="Z8" t="str">
            <v>Y</v>
          </cell>
          <cell r="AA8" t="str">
            <v>N</v>
          </cell>
          <cell r="AB8" t="str">
            <v>N</v>
          </cell>
          <cell r="AC8" t="str">
            <v>N</v>
          </cell>
          <cell r="AD8" t="str">
            <v>N</v>
          </cell>
          <cell r="AE8" t="str">
            <v>Y</v>
          </cell>
        </row>
        <row r="9">
          <cell r="E9" t="str">
            <v>DT_PRFRMNG_STTS_LE</v>
          </cell>
          <cell r="Z9" t="str">
            <v>Y</v>
          </cell>
          <cell r="AA9" t="str">
            <v>N</v>
          </cell>
          <cell r="AB9" t="str">
            <v>N</v>
          </cell>
          <cell r="AC9" t="str">
            <v>N</v>
          </cell>
          <cell r="AD9" t="str">
            <v>N</v>
          </cell>
          <cell r="AE9" t="str">
            <v>Y</v>
          </cell>
        </row>
        <row r="10">
          <cell r="E10" t="str">
            <v>DT_RFRNC</v>
          </cell>
          <cell r="Z10" t="str">
            <v>Y</v>
          </cell>
          <cell r="AA10" t="str">
            <v>N</v>
          </cell>
          <cell r="AB10" t="str">
            <v>Y</v>
          </cell>
          <cell r="AC10" t="str">
            <v>Y</v>
          </cell>
          <cell r="AD10" t="str">
            <v>N</v>
          </cell>
          <cell r="AE10" t="str">
            <v>Y</v>
          </cell>
        </row>
        <row r="11">
          <cell r="E11" t="str">
            <v>ENTTY_ID</v>
          </cell>
          <cell r="Z11" t="str">
            <v>Y</v>
          </cell>
          <cell r="AA11" t="str">
            <v>N</v>
          </cell>
          <cell r="AB11" t="str">
            <v>Y</v>
          </cell>
          <cell r="AC11" t="str">
            <v>Y</v>
          </cell>
          <cell r="AD11" t="str">
            <v>Y</v>
          </cell>
          <cell r="AE11" t="str">
            <v>Y</v>
          </cell>
        </row>
        <row r="12">
          <cell r="E12" t="str">
            <v>GCC_PRNT_ID</v>
          </cell>
          <cell r="Z12" t="str">
            <v>Y</v>
          </cell>
          <cell r="AA12" t="str">
            <v>N</v>
          </cell>
          <cell r="AB12" t="str">
            <v>N</v>
          </cell>
          <cell r="AC12" t="str">
            <v>N</v>
          </cell>
          <cell r="AD12" t="str">
            <v>N</v>
          </cell>
          <cell r="AE12" t="str">
            <v>Y</v>
          </cell>
        </row>
        <row r="13">
          <cell r="E13" t="str">
            <v>GCC_PRNT_NM</v>
          </cell>
          <cell r="Z13" t="str">
            <v>Y</v>
          </cell>
          <cell r="AA13" t="str">
            <v>N</v>
          </cell>
          <cell r="AB13" t="str">
            <v>N</v>
          </cell>
          <cell r="AC13" t="str">
            <v>N</v>
          </cell>
          <cell r="AD13" t="str">
            <v>N</v>
          </cell>
          <cell r="AE13" t="str">
            <v>Y</v>
          </cell>
        </row>
        <row r="14">
          <cell r="E14" t="str">
            <v>INTRNL_SGMNT</v>
          </cell>
          <cell r="Z14" t="str">
            <v>Y</v>
          </cell>
          <cell r="AA14" t="str">
            <v>N</v>
          </cell>
          <cell r="AB14" t="str">
            <v>N</v>
          </cell>
          <cell r="AC14" t="str">
            <v>N</v>
          </cell>
          <cell r="AD14" t="str">
            <v>N</v>
          </cell>
          <cell r="AE14" t="str">
            <v>Y</v>
          </cell>
        </row>
        <row r="15">
          <cell r="E15" t="str">
            <v>INTRNL_UNT</v>
          </cell>
          <cell r="Z15" t="str">
            <v>Y</v>
          </cell>
          <cell r="AA15" t="str">
            <v>N</v>
          </cell>
          <cell r="AB15" t="str">
            <v>N</v>
          </cell>
          <cell r="AC15" t="str">
            <v>N</v>
          </cell>
          <cell r="AD15" t="str">
            <v>N</v>
          </cell>
          <cell r="AE15" t="str">
            <v>Y</v>
          </cell>
        </row>
        <row r="16">
          <cell r="E16" t="str">
            <v>LEI</v>
          </cell>
          <cell r="Z16" t="str">
            <v>Y</v>
          </cell>
          <cell r="AA16" t="str">
            <v>N</v>
          </cell>
          <cell r="AB16" t="str">
            <v>Y</v>
          </cell>
          <cell r="AC16" t="str">
            <v>N</v>
          </cell>
          <cell r="AD16" t="str">
            <v>N</v>
          </cell>
          <cell r="AE16" t="str">
            <v>Y</v>
          </cell>
        </row>
        <row r="17">
          <cell r="E17" t="str">
            <v>ENTTY_NM</v>
          </cell>
          <cell r="Z17" t="str">
            <v>Y</v>
          </cell>
          <cell r="AA17" t="str">
            <v>N</v>
          </cell>
          <cell r="AB17" t="str">
            <v>Y</v>
          </cell>
          <cell r="AC17" t="str">
            <v>Y</v>
          </cell>
          <cell r="AD17" t="str">
            <v>N</v>
          </cell>
          <cell r="AE17" t="str">
            <v>Y</v>
          </cell>
        </row>
        <row r="18">
          <cell r="E18" t="str">
            <v>EXTRNL_RTNG_NM</v>
          </cell>
          <cell r="Z18" t="str">
            <v>Y</v>
          </cell>
          <cell r="AA18" t="str">
            <v>N</v>
          </cell>
          <cell r="AB18" t="str">
            <v>N</v>
          </cell>
          <cell r="AC18" t="str">
            <v>N</v>
          </cell>
          <cell r="AD18" t="str">
            <v>N</v>
          </cell>
          <cell r="AE18" t="str">
            <v>Y</v>
          </cell>
        </row>
        <row r="19">
          <cell r="E19" t="str">
            <v>ACCNTNG_FRMWRK_SL</v>
          </cell>
          <cell r="Z19" t="str">
            <v>Y</v>
          </cell>
          <cell r="AA19" t="str">
            <v>N</v>
          </cell>
          <cell r="AB19" t="str">
            <v>N</v>
          </cell>
          <cell r="AC19" t="str">
            <v>N</v>
          </cell>
          <cell r="AD19" t="str">
            <v>N</v>
          </cell>
          <cell r="AE19" t="str">
            <v>Y</v>
          </cell>
        </row>
        <row r="20">
          <cell r="E20" t="str">
            <v>CR_FLG</v>
          </cell>
          <cell r="Z20" t="str">
            <v>Y</v>
          </cell>
          <cell r="AA20" t="str">
            <v>N</v>
          </cell>
          <cell r="AB20" t="str">
            <v>N</v>
          </cell>
          <cell r="AC20" t="str">
            <v>N</v>
          </cell>
          <cell r="AD20" t="str">
            <v>N</v>
          </cell>
          <cell r="AE20" t="str">
            <v>N</v>
          </cell>
        </row>
        <row r="21">
          <cell r="E21" t="str">
            <v>DCSD</v>
          </cell>
          <cell r="Z21" t="str">
            <v>Y</v>
          </cell>
          <cell r="AA21" t="str">
            <v>N</v>
          </cell>
          <cell r="AB21" t="str">
            <v>N</v>
          </cell>
          <cell r="AC21" t="str">
            <v>N</v>
          </cell>
          <cell r="AD21" t="str">
            <v>N</v>
          </cell>
          <cell r="AE21" t="str">
            <v>N</v>
          </cell>
        </row>
        <row r="22">
          <cell r="E22" t="str">
            <v>DFLT_STTS</v>
          </cell>
          <cell r="Z22" t="str">
            <v>Y</v>
          </cell>
          <cell r="AA22" t="str">
            <v>N</v>
          </cell>
          <cell r="AB22" t="str">
            <v>N</v>
          </cell>
          <cell r="AC22" t="str">
            <v>N</v>
          </cell>
          <cell r="AD22" t="str">
            <v>N</v>
          </cell>
          <cell r="AE22" t="str">
            <v>Y</v>
          </cell>
        </row>
        <row r="23">
          <cell r="E23" t="str">
            <v>DT_EXTRNL_RTNG</v>
          </cell>
          <cell r="Z23" t="str">
            <v>Y</v>
          </cell>
          <cell r="AA23" t="str">
            <v>N</v>
          </cell>
          <cell r="AB23" t="str">
            <v>N</v>
          </cell>
          <cell r="AC23" t="str">
            <v>N</v>
          </cell>
          <cell r="AD23" t="str">
            <v>N</v>
          </cell>
          <cell r="AE23" t="str">
            <v>Y</v>
          </cell>
        </row>
        <row r="24">
          <cell r="E24" t="str">
            <v>DT_INTRNL_RTNG</v>
          </cell>
          <cell r="Z24" t="str">
            <v>Y</v>
          </cell>
          <cell r="AA24" t="str">
            <v>N</v>
          </cell>
          <cell r="AB24" t="str">
            <v>N</v>
          </cell>
          <cell r="AC24" t="str">
            <v>N</v>
          </cell>
          <cell r="AD24" t="str">
            <v>N</v>
          </cell>
          <cell r="AE24" t="str">
            <v>Y</v>
          </cell>
        </row>
        <row r="25">
          <cell r="E25" t="str">
            <v>ECNMC_ACTVTY</v>
          </cell>
          <cell r="Z25" t="str">
            <v>Y</v>
          </cell>
          <cell r="AA25" t="str">
            <v>N</v>
          </cell>
          <cell r="AB25" t="str">
            <v>Y</v>
          </cell>
          <cell r="AC25" t="str">
            <v>Y</v>
          </cell>
          <cell r="AD25" t="str">
            <v>Y</v>
          </cell>
          <cell r="AE25" t="str">
            <v>Y</v>
          </cell>
        </row>
        <row r="26">
          <cell r="E26" t="str">
            <v>EMPLYMNT_STTS_INTRNL</v>
          </cell>
          <cell r="Z26" t="str">
            <v>Y</v>
          </cell>
          <cell r="AA26" t="str">
            <v>N</v>
          </cell>
          <cell r="AB26" t="str">
            <v>N</v>
          </cell>
          <cell r="AC26" t="str">
            <v>N</v>
          </cell>
          <cell r="AD26" t="str">
            <v>N</v>
          </cell>
          <cell r="AE26" t="str">
            <v>N</v>
          </cell>
        </row>
        <row r="27">
          <cell r="E27" t="str">
            <v>EMPLYMNT_STTS</v>
          </cell>
          <cell r="Z27" t="str">
            <v>Y</v>
          </cell>
          <cell r="AA27" t="str">
            <v>N</v>
          </cell>
          <cell r="AB27" t="str">
            <v>N</v>
          </cell>
          <cell r="AC27" t="str">
            <v>N</v>
          </cell>
          <cell r="AD27" t="str">
            <v>N</v>
          </cell>
          <cell r="AE27" t="str">
            <v>N</v>
          </cell>
        </row>
        <row r="28">
          <cell r="E28" t="str">
            <v>ENTRPRS_SZ_LE</v>
          </cell>
          <cell r="Z28" t="str">
            <v>Y</v>
          </cell>
          <cell r="AA28" t="str">
            <v>N</v>
          </cell>
          <cell r="AB28" t="str">
            <v>N</v>
          </cell>
          <cell r="AC28" t="str">
            <v>N</v>
          </cell>
          <cell r="AD28" t="str">
            <v>N</v>
          </cell>
          <cell r="AE28" t="str">
            <v>N</v>
          </cell>
        </row>
        <row r="29">
          <cell r="E29" t="str">
            <v>EXTRNL_RTNG</v>
          </cell>
          <cell r="Z29" t="str">
            <v>Y</v>
          </cell>
          <cell r="AA29" t="str">
            <v>N</v>
          </cell>
          <cell r="AB29" t="str">
            <v>N</v>
          </cell>
          <cell r="AC29" t="str">
            <v>N</v>
          </cell>
          <cell r="AD29" t="str">
            <v>N</v>
          </cell>
          <cell r="AE29" t="str">
            <v>Y</v>
          </cell>
        </row>
        <row r="30">
          <cell r="E30" t="str">
            <v>EXTRNL_RTNG_PRVS</v>
          </cell>
          <cell r="Z30" t="str">
            <v>Y</v>
          </cell>
          <cell r="AA30" t="str">
            <v>N</v>
          </cell>
          <cell r="AB30" t="str">
            <v>N</v>
          </cell>
          <cell r="AC30" t="str">
            <v>N</v>
          </cell>
          <cell r="AD30" t="str">
            <v>N</v>
          </cell>
          <cell r="AE30" t="str">
            <v>Y</v>
          </cell>
        </row>
        <row r="31">
          <cell r="E31" t="str">
            <v>FLG_BNKRPTCY_IN_GRP</v>
          </cell>
          <cell r="Z31" t="str">
            <v>Y</v>
          </cell>
          <cell r="AA31" t="str">
            <v>N</v>
          </cell>
          <cell r="AB31" t="str">
            <v>N</v>
          </cell>
          <cell r="AC31" t="str">
            <v>N</v>
          </cell>
          <cell r="AD31" t="str">
            <v>N</v>
          </cell>
          <cell r="AE31" t="str">
            <v>N</v>
          </cell>
        </row>
        <row r="32">
          <cell r="E32" t="str">
            <v>FLG_HGH_CDS</v>
          </cell>
          <cell r="Z32" t="str">
            <v>Y</v>
          </cell>
          <cell r="AA32" t="str">
            <v>N</v>
          </cell>
          <cell r="AB32" t="str">
            <v>N</v>
          </cell>
          <cell r="AC32" t="str">
            <v>N</v>
          </cell>
          <cell r="AD32" t="str">
            <v>N</v>
          </cell>
          <cell r="AE32" t="str">
            <v>N</v>
          </cell>
        </row>
        <row r="33">
          <cell r="E33" t="str">
            <v>FLG_ISDA_CRDT_EVNT</v>
          </cell>
          <cell r="Z33" t="str">
            <v>Y</v>
          </cell>
          <cell r="AA33" t="str">
            <v>N</v>
          </cell>
          <cell r="AB33" t="str">
            <v>N</v>
          </cell>
          <cell r="AC33" t="str">
            <v>N</v>
          </cell>
          <cell r="AD33" t="str">
            <v>N</v>
          </cell>
          <cell r="AE33" t="str">
            <v>N</v>
          </cell>
        </row>
        <row r="34">
          <cell r="E34" t="str">
            <v>FLG_NN_ACCRL</v>
          </cell>
          <cell r="Z34" t="str">
            <v>Y</v>
          </cell>
          <cell r="AA34" t="str">
            <v>N</v>
          </cell>
          <cell r="AB34" t="str">
            <v>N</v>
          </cell>
          <cell r="AC34" t="str">
            <v>N</v>
          </cell>
          <cell r="AD34" t="str">
            <v>N</v>
          </cell>
          <cell r="AE34" t="str">
            <v>N</v>
          </cell>
        </row>
        <row r="35">
          <cell r="E35" t="str">
            <v>FLG_RQST_BNKRPTCY</v>
          </cell>
          <cell r="Z35" t="str">
            <v>Y</v>
          </cell>
          <cell r="AA35" t="str">
            <v>N</v>
          </cell>
          <cell r="AB35" t="str">
            <v>N</v>
          </cell>
          <cell r="AC35" t="str">
            <v>N</v>
          </cell>
          <cell r="AD35" t="str">
            <v>N</v>
          </cell>
          <cell r="AE35" t="str">
            <v>N</v>
          </cell>
        </row>
        <row r="36">
          <cell r="E36" t="str">
            <v>FLG_RQST_DSTRSSD_RSTRCTRNG</v>
          </cell>
          <cell r="Z36" t="str">
            <v>Y</v>
          </cell>
          <cell r="AA36" t="str">
            <v>N</v>
          </cell>
          <cell r="AB36" t="str">
            <v>N</v>
          </cell>
          <cell r="AC36" t="str">
            <v>N</v>
          </cell>
          <cell r="AD36" t="str">
            <v>N</v>
          </cell>
          <cell r="AE36" t="str">
            <v>N</v>
          </cell>
        </row>
        <row r="37">
          <cell r="E37" t="str">
            <v>FLG_RQST_EMRGNCY_FNDNG</v>
          </cell>
          <cell r="Z37" t="str">
            <v>Y</v>
          </cell>
          <cell r="AA37" t="str">
            <v>N</v>
          </cell>
          <cell r="AB37" t="str">
            <v>N</v>
          </cell>
          <cell r="AC37" t="str">
            <v>N</v>
          </cell>
          <cell r="AD37" t="str">
            <v>N</v>
          </cell>
          <cell r="AE37" t="str">
            <v>Y</v>
          </cell>
        </row>
        <row r="38">
          <cell r="E38" t="str">
            <v>FLG_SLL_WTH_LSS</v>
          </cell>
          <cell r="Z38" t="str">
            <v>Y</v>
          </cell>
          <cell r="AA38" t="str">
            <v>N</v>
          </cell>
          <cell r="AB38" t="str">
            <v>N</v>
          </cell>
          <cell r="AC38" t="str">
            <v>N</v>
          </cell>
          <cell r="AD38" t="str">
            <v>N</v>
          </cell>
          <cell r="AE38" t="str">
            <v>N</v>
          </cell>
        </row>
        <row r="39">
          <cell r="E39" t="str">
            <v>INCM_SC</v>
          </cell>
          <cell r="Z39" t="str">
            <v>Y</v>
          </cell>
          <cell r="AA39" t="str">
            <v>N</v>
          </cell>
          <cell r="AB39" t="str">
            <v>N</v>
          </cell>
          <cell r="AC39" t="str">
            <v>N</v>
          </cell>
          <cell r="AD39" t="str">
            <v>N</v>
          </cell>
          <cell r="AE39" t="str">
            <v>N</v>
          </cell>
        </row>
        <row r="40">
          <cell r="E40" t="str">
            <v>INTRNL_RTNG</v>
          </cell>
          <cell r="Z40" t="str">
            <v>Y</v>
          </cell>
          <cell r="AA40" t="str">
            <v>N</v>
          </cell>
          <cell r="AB40" t="str">
            <v>N</v>
          </cell>
          <cell r="AC40" t="str">
            <v>N</v>
          </cell>
          <cell r="AD40" t="str">
            <v>N</v>
          </cell>
          <cell r="AE40" t="str">
            <v>Y</v>
          </cell>
        </row>
        <row r="41">
          <cell r="E41" t="str">
            <v>INTRNL_RTNG_PRVS</v>
          </cell>
          <cell r="Z41" t="str">
            <v>Y</v>
          </cell>
          <cell r="AA41" t="str">
            <v>N</v>
          </cell>
          <cell r="AB41" t="str">
            <v>N</v>
          </cell>
          <cell r="AC41" t="str">
            <v>N</v>
          </cell>
          <cell r="AD41" t="str">
            <v>N</v>
          </cell>
          <cell r="AE41" t="str">
            <v>Y</v>
          </cell>
        </row>
        <row r="42">
          <cell r="E42" t="str">
            <v>LGL_PRCDNG_STTS_LE</v>
          </cell>
          <cell r="Z42" t="str">
            <v>Y</v>
          </cell>
          <cell r="AA42" t="str">
            <v>N</v>
          </cell>
          <cell r="AB42" t="str">
            <v>N</v>
          </cell>
          <cell r="AC42" t="str">
            <v>N</v>
          </cell>
          <cell r="AD42" t="str">
            <v>N</v>
          </cell>
          <cell r="AE42" t="str">
            <v>Y</v>
          </cell>
        </row>
        <row r="43">
          <cell r="E43" t="str">
            <v>OWND_BY_SPNSR</v>
          </cell>
          <cell r="Z43" t="str">
            <v>Y</v>
          </cell>
          <cell r="AA43" t="str">
            <v>N</v>
          </cell>
          <cell r="AB43" t="str">
            <v>N</v>
          </cell>
          <cell r="AC43" t="str">
            <v>N</v>
          </cell>
          <cell r="AD43" t="str">
            <v>N</v>
          </cell>
          <cell r="AE43" t="str">
            <v>Y</v>
          </cell>
        </row>
        <row r="44">
          <cell r="E44" t="str">
            <v>PRFRMNG_STTS_LE</v>
          </cell>
          <cell r="Z44" t="str">
            <v>Y</v>
          </cell>
          <cell r="AA44" t="str">
            <v>N</v>
          </cell>
          <cell r="AB44" t="str">
            <v>N</v>
          </cell>
          <cell r="AC44" t="str">
            <v>N</v>
          </cell>
          <cell r="AD44" t="str">
            <v>N</v>
          </cell>
          <cell r="AE44" t="str">
            <v>Y</v>
          </cell>
        </row>
        <row r="45">
          <cell r="E45" t="str">
            <v>RTNG_MTHD</v>
          </cell>
          <cell r="Z45" t="str">
            <v>Y</v>
          </cell>
          <cell r="AA45" t="str">
            <v>N</v>
          </cell>
          <cell r="AB45" t="str">
            <v>N</v>
          </cell>
          <cell r="AC45" t="str">
            <v>N</v>
          </cell>
          <cell r="AD45" t="str">
            <v>N</v>
          </cell>
          <cell r="AE45" t="str">
            <v>Y</v>
          </cell>
        </row>
        <row r="46">
          <cell r="E46" t="str">
            <v>RTNG_SCL</v>
          </cell>
          <cell r="Z46" t="str">
            <v>Y</v>
          </cell>
          <cell r="AA46" t="str">
            <v>N</v>
          </cell>
          <cell r="AB46" t="str">
            <v>N</v>
          </cell>
          <cell r="AC46" t="str">
            <v>N</v>
          </cell>
          <cell r="AD46" t="str">
            <v>N</v>
          </cell>
          <cell r="AE46" t="str">
            <v>Y</v>
          </cell>
        </row>
        <row r="47">
          <cell r="E47" t="str">
            <v>WTCH_LST</v>
          </cell>
          <cell r="Z47" t="str">
            <v>Y</v>
          </cell>
          <cell r="AA47" t="str">
            <v>N</v>
          </cell>
          <cell r="AB47" t="str">
            <v>N</v>
          </cell>
          <cell r="AC47" t="str">
            <v>N</v>
          </cell>
          <cell r="AD47" t="str">
            <v>N</v>
          </cell>
          <cell r="AE47" t="str">
            <v>Y</v>
          </cell>
        </row>
        <row r="48">
          <cell r="E48" t="str">
            <v>SNGL_PRPS_VHCL</v>
          </cell>
          <cell r="Z48" t="str">
            <v>Y</v>
          </cell>
          <cell r="AA48" t="str">
            <v>N</v>
          </cell>
          <cell r="AB48" t="str">
            <v>N</v>
          </cell>
          <cell r="AC48" t="str">
            <v>N</v>
          </cell>
          <cell r="AD48" t="str">
            <v>N</v>
          </cell>
          <cell r="AE48" t="str">
            <v>N</v>
          </cell>
        </row>
        <row r="49">
          <cell r="E49" t="str">
            <v>GRP_EBITDA</v>
          </cell>
          <cell r="Z49" t="str">
            <v>Y</v>
          </cell>
          <cell r="AA49" t="str">
            <v>N</v>
          </cell>
          <cell r="AB49" t="str">
            <v>N</v>
          </cell>
          <cell r="AC49" t="str">
            <v>N</v>
          </cell>
          <cell r="AD49" t="str">
            <v>N</v>
          </cell>
          <cell r="AE49" t="str">
            <v>Y</v>
          </cell>
        </row>
        <row r="50">
          <cell r="E50" t="str">
            <v>GRP_EQTY</v>
          </cell>
          <cell r="Z50" t="str">
            <v>Y</v>
          </cell>
          <cell r="AA50" t="str">
            <v>N</v>
          </cell>
          <cell r="AB50" t="str">
            <v>Y</v>
          </cell>
          <cell r="AC50" t="str">
            <v>N</v>
          </cell>
          <cell r="AD50" t="str">
            <v>N</v>
          </cell>
          <cell r="AE50" t="str">
            <v>Y</v>
          </cell>
        </row>
        <row r="51">
          <cell r="E51" t="str">
            <v>GRP_NT_DBT</v>
          </cell>
          <cell r="Z51" t="str">
            <v>Y</v>
          </cell>
          <cell r="AA51" t="str">
            <v>N</v>
          </cell>
          <cell r="AB51" t="str">
            <v>N</v>
          </cell>
          <cell r="AC51" t="str">
            <v>N</v>
          </cell>
          <cell r="AD51" t="str">
            <v>N</v>
          </cell>
          <cell r="AE51" t="str">
            <v>Y</v>
          </cell>
        </row>
        <row r="52">
          <cell r="E52" t="str">
            <v>ANNL_TRNVR_LE</v>
          </cell>
          <cell r="Z52" t="str">
            <v>Y</v>
          </cell>
          <cell r="AA52" t="str">
            <v>N</v>
          </cell>
          <cell r="AB52" t="str">
            <v>Y</v>
          </cell>
          <cell r="AC52" t="str">
            <v>N</v>
          </cell>
          <cell r="AD52" t="str">
            <v>N</v>
          </cell>
          <cell r="AE52" t="str">
            <v>Y</v>
          </cell>
        </row>
        <row r="53">
          <cell r="E53" t="str">
            <v>ANNL_TRNVR_PRVS</v>
          </cell>
          <cell r="Z53" t="str">
            <v>Y</v>
          </cell>
          <cell r="AA53" t="str">
            <v>N</v>
          </cell>
          <cell r="AB53" t="str">
            <v>N</v>
          </cell>
          <cell r="AC53" t="str">
            <v>N</v>
          </cell>
          <cell r="AD53" t="str">
            <v>N</v>
          </cell>
          <cell r="AE53" t="str">
            <v>Y</v>
          </cell>
        </row>
        <row r="54">
          <cell r="E54" t="str">
            <v>CAPEX</v>
          </cell>
          <cell r="Z54" t="str">
            <v>Y</v>
          </cell>
          <cell r="AA54" t="str">
            <v>N</v>
          </cell>
          <cell r="AB54" t="str">
            <v>N</v>
          </cell>
          <cell r="AC54" t="str">
            <v>N</v>
          </cell>
          <cell r="AD54" t="str">
            <v>N</v>
          </cell>
          <cell r="AE54" t="str">
            <v>N</v>
          </cell>
        </row>
        <row r="55">
          <cell r="E55" t="str">
            <v>CAPEX_PRVS</v>
          </cell>
          <cell r="Z55" t="str">
            <v>Y</v>
          </cell>
          <cell r="AA55" t="str">
            <v>N</v>
          </cell>
          <cell r="AB55" t="str">
            <v>N</v>
          </cell>
          <cell r="AC55" t="str">
            <v>N</v>
          </cell>
          <cell r="AD55" t="str">
            <v>N</v>
          </cell>
          <cell r="AE55" t="str">
            <v>N</v>
          </cell>
        </row>
        <row r="56">
          <cell r="E56" t="str">
            <v>CLLCTN_MD</v>
          </cell>
          <cell r="Z56" t="str">
            <v>Y</v>
          </cell>
          <cell r="AA56" t="str">
            <v>N</v>
          </cell>
          <cell r="AB56" t="str">
            <v>N</v>
          </cell>
          <cell r="AC56" t="str">
            <v>N</v>
          </cell>
          <cell r="AD56" t="str">
            <v>N</v>
          </cell>
          <cell r="AE56" t="str">
            <v>N</v>
          </cell>
        </row>
        <row r="57">
          <cell r="E57" t="str">
            <v>CSH</v>
          </cell>
          <cell r="Z57" t="str">
            <v>Y</v>
          </cell>
          <cell r="AA57" t="str">
            <v>N</v>
          </cell>
          <cell r="AB57" t="str">
            <v>N</v>
          </cell>
          <cell r="AC57" t="str">
            <v>N</v>
          </cell>
          <cell r="AD57" t="str">
            <v>N</v>
          </cell>
          <cell r="AE57" t="str">
            <v>N</v>
          </cell>
        </row>
        <row r="58">
          <cell r="E58" t="str">
            <v>CSH_PRVS</v>
          </cell>
          <cell r="Z58" t="str">
            <v>Y</v>
          </cell>
          <cell r="AA58" t="str">
            <v>N</v>
          </cell>
          <cell r="AB58" t="str">
            <v>N</v>
          </cell>
          <cell r="AC58" t="str">
            <v>N</v>
          </cell>
          <cell r="AD58" t="str">
            <v>N</v>
          </cell>
          <cell r="AE58" t="str">
            <v>N</v>
          </cell>
        </row>
        <row r="59">
          <cell r="E59" t="str">
            <v>EBITDA</v>
          </cell>
          <cell r="Z59" t="str">
            <v>Y</v>
          </cell>
          <cell r="AA59" t="str">
            <v>N</v>
          </cell>
          <cell r="AB59" t="str">
            <v>N</v>
          </cell>
          <cell r="AC59" t="str">
            <v>N</v>
          </cell>
          <cell r="AD59" t="str">
            <v>N</v>
          </cell>
          <cell r="AE59" t="str">
            <v>Y</v>
          </cell>
        </row>
        <row r="60">
          <cell r="E60" t="str">
            <v>EBITDA_PRVS</v>
          </cell>
          <cell r="Z60" t="str">
            <v>Y</v>
          </cell>
          <cell r="AA60" t="str">
            <v>N</v>
          </cell>
          <cell r="AB60" t="str">
            <v>N</v>
          </cell>
          <cell r="AC60" t="str">
            <v>N</v>
          </cell>
          <cell r="AD60" t="str">
            <v>N</v>
          </cell>
          <cell r="AE60" t="str">
            <v>Y</v>
          </cell>
        </row>
        <row r="61">
          <cell r="E61" t="str">
            <v>EQTY</v>
          </cell>
          <cell r="Z61" t="str">
            <v>Y</v>
          </cell>
          <cell r="AA61" t="str">
            <v>N</v>
          </cell>
          <cell r="AB61" t="str">
            <v>Y</v>
          </cell>
          <cell r="AC61" t="str">
            <v>N</v>
          </cell>
          <cell r="AD61" t="str">
            <v>N</v>
          </cell>
          <cell r="AE61" t="str">
            <v>Y</v>
          </cell>
        </row>
        <row r="62">
          <cell r="E62" t="str">
            <v>EQTY_PRVS</v>
          </cell>
          <cell r="Z62" t="str">
            <v>Y</v>
          </cell>
          <cell r="AA62" t="str">
            <v>N</v>
          </cell>
          <cell r="AB62" t="str">
            <v>N</v>
          </cell>
          <cell r="AC62" t="str">
            <v>N</v>
          </cell>
          <cell r="AD62" t="str">
            <v>N</v>
          </cell>
          <cell r="AE62" t="str">
            <v>Y</v>
          </cell>
        </row>
        <row r="63">
          <cell r="E63" t="str">
            <v>GRP_TTL_DBT</v>
          </cell>
          <cell r="Z63" t="str">
            <v>Y</v>
          </cell>
          <cell r="AA63" t="str">
            <v>N</v>
          </cell>
          <cell r="AB63" t="str">
            <v>Y</v>
          </cell>
          <cell r="AC63" t="str">
            <v>N</v>
          </cell>
          <cell r="AD63" t="str">
            <v>N</v>
          </cell>
          <cell r="AE63" t="str">
            <v>N</v>
          </cell>
        </row>
        <row r="64">
          <cell r="E64" t="str">
            <v>GDWILL</v>
          </cell>
          <cell r="Z64" t="str">
            <v>Y</v>
          </cell>
          <cell r="AA64" t="str">
            <v>N</v>
          </cell>
          <cell r="AB64" t="str">
            <v>N</v>
          </cell>
          <cell r="AC64" t="str">
            <v>N</v>
          </cell>
          <cell r="AD64" t="str">
            <v>N</v>
          </cell>
          <cell r="AE64" t="str">
            <v>N</v>
          </cell>
        </row>
        <row r="65">
          <cell r="E65" t="str">
            <v>GDWILL_PRVS</v>
          </cell>
          <cell r="Z65" t="str">
            <v>Y</v>
          </cell>
          <cell r="AA65" t="str">
            <v>N</v>
          </cell>
          <cell r="AB65" t="str">
            <v>N</v>
          </cell>
          <cell r="AC65" t="str">
            <v>N</v>
          </cell>
          <cell r="AD65" t="str">
            <v>N</v>
          </cell>
          <cell r="AE65" t="str">
            <v>N</v>
          </cell>
        </row>
        <row r="66">
          <cell r="E66" t="str">
            <v>LTI</v>
          </cell>
          <cell r="Z66" t="str">
            <v>Y</v>
          </cell>
          <cell r="AA66" t="str">
            <v>N</v>
          </cell>
          <cell r="AB66" t="str">
            <v>N</v>
          </cell>
          <cell r="AC66" t="str">
            <v>N</v>
          </cell>
          <cell r="AD66" t="str">
            <v>N</v>
          </cell>
          <cell r="AE66" t="str">
            <v>N</v>
          </cell>
        </row>
        <row r="67">
          <cell r="E67" t="str">
            <v>LVRG</v>
          </cell>
          <cell r="Z67" t="str">
            <v>Y</v>
          </cell>
          <cell r="AA67" t="str">
            <v>N</v>
          </cell>
          <cell r="AB67" t="str">
            <v>N</v>
          </cell>
          <cell r="AC67" t="str">
            <v>N</v>
          </cell>
          <cell r="AD67" t="str">
            <v>N</v>
          </cell>
          <cell r="AE67" t="str">
            <v>Y</v>
          </cell>
        </row>
        <row r="68">
          <cell r="E68" t="str">
            <v>LVRG_PRVS</v>
          </cell>
          <cell r="Z68" t="str">
            <v>Y</v>
          </cell>
          <cell r="AA68" t="str">
            <v>N</v>
          </cell>
          <cell r="AB68" t="str">
            <v>N</v>
          </cell>
          <cell r="AC68" t="str">
            <v>N</v>
          </cell>
          <cell r="AD68" t="str">
            <v>N</v>
          </cell>
          <cell r="AE68" t="str">
            <v>Y</v>
          </cell>
        </row>
        <row r="69">
          <cell r="E69" t="str">
            <v>MNTHL_INCM</v>
          </cell>
          <cell r="Z69" t="str">
            <v>Y</v>
          </cell>
          <cell r="AA69" t="str">
            <v>N</v>
          </cell>
          <cell r="AB69" t="str">
            <v>N</v>
          </cell>
          <cell r="AC69" t="str">
            <v>N</v>
          </cell>
          <cell r="AD69" t="str">
            <v>N</v>
          </cell>
          <cell r="AE69" t="str">
            <v>N</v>
          </cell>
        </row>
        <row r="70">
          <cell r="E70" t="str">
            <v>MNTHL_INCM_SLR</v>
          </cell>
          <cell r="Z70" t="str">
            <v>Y</v>
          </cell>
          <cell r="AA70" t="str">
            <v>N</v>
          </cell>
          <cell r="AB70" t="str">
            <v>N</v>
          </cell>
          <cell r="AC70" t="str">
            <v>N</v>
          </cell>
          <cell r="AD70" t="str">
            <v>N</v>
          </cell>
          <cell r="AE70" t="str">
            <v>N</v>
          </cell>
        </row>
        <row r="71">
          <cell r="E71" t="str">
            <v>MNTHL_TRNVR</v>
          </cell>
          <cell r="Z71" t="str">
            <v>Y</v>
          </cell>
          <cell r="AA71" t="str">
            <v>N</v>
          </cell>
          <cell r="AB71" t="str">
            <v>N</v>
          </cell>
          <cell r="AC71" t="str">
            <v>N</v>
          </cell>
          <cell r="AD71" t="str">
            <v>N</v>
          </cell>
          <cell r="AE71" t="str">
            <v>N</v>
          </cell>
        </row>
        <row r="72">
          <cell r="E72" t="str">
            <v>NT_INCM</v>
          </cell>
          <cell r="Z72" t="str">
            <v>Y</v>
          </cell>
          <cell r="AA72" t="str">
            <v>N</v>
          </cell>
          <cell r="AB72" t="str">
            <v>N</v>
          </cell>
          <cell r="AC72" t="str">
            <v>N</v>
          </cell>
          <cell r="AD72" t="str">
            <v>N</v>
          </cell>
          <cell r="AE72" t="str">
            <v>Y</v>
          </cell>
        </row>
        <row r="73">
          <cell r="E73" t="str">
            <v>NT_INCM_PRVS</v>
          </cell>
          <cell r="Z73" t="str">
            <v>Y</v>
          </cell>
          <cell r="AA73" t="str">
            <v>N</v>
          </cell>
          <cell r="AB73" t="str">
            <v>N</v>
          </cell>
          <cell r="AC73" t="str">
            <v>N</v>
          </cell>
          <cell r="AD73" t="str">
            <v>N</v>
          </cell>
          <cell r="AE73" t="str">
            <v>Y</v>
          </cell>
        </row>
        <row r="74">
          <cell r="E74" t="str">
            <v>TTL_DBT</v>
          </cell>
          <cell r="Z74" t="str">
            <v>Y</v>
          </cell>
          <cell r="AA74" t="str">
            <v>N</v>
          </cell>
          <cell r="AB74" t="str">
            <v>Y</v>
          </cell>
          <cell r="AC74" t="str">
            <v>N</v>
          </cell>
          <cell r="AD74" t="str">
            <v>N</v>
          </cell>
          <cell r="AE74" t="str">
            <v>Y</v>
          </cell>
        </row>
        <row r="75">
          <cell r="E75" t="str">
            <v>TTL_DBT_PRVS</v>
          </cell>
          <cell r="Z75" t="str">
            <v>Y</v>
          </cell>
          <cell r="AA75" t="str">
            <v>N</v>
          </cell>
          <cell r="AB75" t="str">
            <v>N</v>
          </cell>
          <cell r="AC75" t="str">
            <v>N</v>
          </cell>
          <cell r="AD75" t="str">
            <v>N</v>
          </cell>
          <cell r="AE75" t="str">
            <v>Y</v>
          </cell>
        </row>
        <row r="76">
          <cell r="E76" t="str">
            <v>TTL_INTRST_PD</v>
          </cell>
          <cell r="Z76" t="str">
            <v>Y</v>
          </cell>
          <cell r="AA76" t="str">
            <v>N</v>
          </cell>
          <cell r="AB76" t="str">
            <v>N</v>
          </cell>
          <cell r="AC76" t="str">
            <v>N</v>
          </cell>
          <cell r="AD76" t="str">
            <v>N</v>
          </cell>
          <cell r="AE76" t="str">
            <v>Y</v>
          </cell>
        </row>
        <row r="77">
          <cell r="E77" t="str">
            <v>TTL_LVRG_RT</v>
          </cell>
          <cell r="Z77" t="str">
            <v>Y</v>
          </cell>
          <cell r="AA77" t="str">
            <v>N</v>
          </cell>
          <cell r="AB77" t="str">
            <v>N</v>
          </cell>
          <cell r="AC77" t="str">
            <v>N</v>
          </cell>
          <cell r="AD77" t="str">
            <v>N</v>
          </cell>
          <cell r="AE77" t="str">
            <v>Y</v>
          </cell>
        </row>
        <row r="78">
          <cell r="E78" t="str">
            <v>TTL_LVRG_RT_PRVS</v>
          </cell>
          <cell r="Z78" t="str">
            <v>Y</v>
          </cell>
          <cell r="AA78" t="str">
            <v>N</v>
          </cell>
          <cell r="AB78" t="str">
            <v>N</v>
          </cell>
          <cell r="AC78" t="str">
            <v>N</v>
          </cell>
          <cell r="AD78" t="str">
            <v>N</v>
          </cell>
          <cell r="AE78" t="str">
            <v>Y</v>
          </cell>
        </row>
        <row r="79">
          <cell r="E79" t="str">
            <v>DBT_RPYMNT_CPCTY_SNR_DBT</v>
          </cell>
          <cell r="Z79" t="str">
            <v>Y</v>
          </cell>
          <cell r="AA79" t="str">
            <v>N</v>
          </cell>
          <cell r="AB79" t="str">
            <v>N</v>
          </cell>
          <cell r="AC79" t="str">
            <v>N</v>
          </cell>
          <cell r="AD79" t="str">
            <v>N</v>
          </cell>
          <cell r="AE79" t="str">
            <v>Y</v>
          </cell>
        </row>
        <row r="80">
          <cell r="E80" t="str">
            <v>DBT_RPYMNT_CPCTY_TTL</v>
          </cell>
          <cell r="Z80" t="str">
            <v>Y</v>
          </cell>
          <cell r="AA80" t="str">
            <v>N</v>
          </cell>
          <cell r="AB80" t="str">
            <v>N</v>
          </cell>
          <cell r="AC80" t="str">
            <v>N</v>
          </cell>
          <cell r="AD80" t="str">
            <v>N</v>
          </cell>
          <cell r="AE80" t="str">
            <v>Y</v>
          </cell>
        </row>
        <row r="81">
          <cell r="E81" t="str">
            <v>DBT_SRVC_RT</v>
          </cell>
          <cell r="Z81" t="str">
            <v>Y</v>
          </cell>
          <cell r="AA81" t="str">
            <v>N</v>
          </cell>
          <cell r="AB81" t="str">
            <v>N</v>
          </cell>
          <cell r="AC81" t="str">
            <v>N</v>
          </cell>
          <cell r="AD81" t="str">
            <v>N</v>
          </cell>
          <cell r="AE81" t="str">
            <v>N</v>
          </cell>
        </row>
        <row r="82">
          <cell r="E82" t="str">
            <v>DBT_SRVC_RT_12M</v>
          </cell>
          <cell r="Z82" t="str">
            <v>Y</v>
          </cell>
          <cell r="AA82" t="str">
            <v>N</v>
          </cell>
          <cell r="AB82" t="str">
            <v>N</v>
          </cell>
          <cell r="AC82" t="str">
            <v>N</v>
          </cell>
          <cell r="AD82" t="str">
            <v>N</v>
          </cell>
          <cell r="AE82" t="str">
            <v>N</v>
          </cell>
        </row>
        <row r="83">
          <cell r="E83" t="str">
            <v>PD_CRR_RD</v>
          </cell>
          <cell r="Z83" t="str">
            <v>Y</v>
          </cell>
          <cell r="AA83" t="str">
            <v>N</v>
          </cell>
          <cell r="AB83" t="str">
            <v>N</v>
          </cell>
          <cell r="AC83" t="str">
            <v>N</v>
          </cell>
          <cell r="AD83" t="str">
            <v>N</v>
          </cell>
          <cell r="AE83" t="str">
            <v>Y</v>
          </cell>
        </row>
        <row r="84">
          <cell r="E84" t="str">
            <v>PD_IFRS9_12M_RD</v>
          </cell>
          <cell r="Z84" t="str">
            <v>Y</v>
          </cell>
          <cell r="AA84" t="str">
            <v>N</v>
          </cell>
          <cell r="AB84" t="str">
            <v>N</v>
          </cell>
          <cell r="AC84" t="str">
            <v>N</v>
          </cell>
          <cell r="AD84" t="str">
            <v>N</v>
          </cell>
          <cell r="AE84" t="str">
            <v>Y</v>
          </cell>
        </row>
        <row r="85">
          <cell r="E85" t="str">
            <v>PD_IFRS9_12M_RD_T1</v>
          </cell>
          <cell r="Z85" t="str">
            <v>Y</v>
          </cell>
          <cell r="AA85" t="str">
            <v>N</v>
          </cell>
          <cell r="AB85" t="str">
            <v>N</v>
          </cell>
          <cell r="AC85" t="str">
            <v>N</v>
          </cell>
          <cell r="AD85" t="str">
            <v>N</v>
          </cell>
          <cell r="AE85" t="str">
            <v>N</v>
          </cell>
        </row>
        <row r="86">
          <cell r="E86" t="str">
            <v>TAX_ID</v>
          </cell>
          <cell r="Z86" t="str">
            <v>Y</v>
          </cell>
          <cell r="AA86" t="str">
            <v>N</v>
          </cell>
          <cell r="AB86" t="str">
            <v>N</v>
          </cell>
          <cell r="AC86" t="str">
            <v>N</v>
          </cell>
          <cell r="AD86" t="str">
            <v>N</v>
          </cell>
          <cell r="AE86" t="str">
            <v>N</v>
          </cell>
        </row>
        <row r="87">
          <cell r="E87" t="str">
            <v>ANNL_TRNVR_LE_BDR</v>
          </cell>
          <cell r="Z87" t="str">
            <v>Y</v>
          </cell>
          <cell r="AA87" t="str">
            <v>N</v>
          </cell>
          <cell r="AB87" t="str">
            <v>N</v>
          </cell>
          <cell r="AC87" t="str">
            <v>N</v>
          </cell>
          <cell r="AD87" t="str">
            <v>N</v>
          </cell>
          <cell r="AE87" t="str">
            <v>N</v>
          </cell>
        </row>
        <row r="88">
          <cell r="E88" t="str">
            <v>ANNL_TRNVR_PRVS_BDR</v>
          </cell>
          <cell r="Z88" t="str">
            <v>Y</v>
          </cell>
          <cell r="AA88" t="str">
            <v>N</v>
          </cell>
          <cell r="AB88" t="str">
            <v>N</v>
          </cell>
          <cell r="AC88" t="str">
            <v>N</v>
          </cell>
          <cell r="AD88" t="str">
            <v>N</v>
          </cell>
          <cell r="AE88" t="str">
            <v>N</v>
          </cell>
        </row>
        <row r="89">
          <cell r="E89" t="str">
            <v>OSI_ID</v>
          </cell>
          <cell r="Z89" t="str">
            <v>Y</v>
          </cell>
          <cell r="AA89" t="str">
            <v>N</v>
          </cell>
          <cell r="AB89" t="str">
            <v>N</v>
          </cell>
          <cell r="AC89" t="str">
            <v>N</v>
          </cell>
          <cell r="AD89" t="str">
            <v>N</v>
          </cell>
          <cell r="AE89" t="str">
            <v>Y</v>
          </cell>
        </row>
        <row r="90">
          <cell r="E90" t="str">
            <v>PD_CRR_RD_T1</v>
          </cell>
          <cell r="Z90" t="str">
            <v>Y</v>
          </cell>
          <cell r="AA90" t="str">
            <v>N</v>
          </cell>
          <cell r="AB90" t="str">
            <v>N</v>
          </cell>
          <cell r="AC90" t="str">
            <v>N</v>
          </cell>
          <cell r="AD90" t="str">
            <v>N</v>
          </cell>
          <cell r="AE90" t="str">
            <v>N</v>
          </cell>
        </row>
        <row r="91">
          <cell r="E91" t="str">
            <v>EC_GRP_ID</v>
          </cell>
          <cell r="Z91" t="str">
            <v>Y</v>
          </cell>
          <cell r="AA91" t="str">
            <v>N</v>
          </cell>
          <cell r="AB91" t="str">
            <v>Y</v>
          </cell>
          <cell r="AC91" t="str">
            <v>Y</v>
          </cell>
          <cell r="AD91" t="str">
            <v>N</v>
          </cell>
          <cell r="AE91" t="str">
            <v>Y</v>
          </cell>
        </row>
        <row r="92">
          <cell r="E92" t="str">
            <v>EC_GRP_NM</v>
          </cell>
          <cell r="Z92" t="str">
            <v>Y</v>
          </cell>
          <cell r="AA92" t="str">
            <v>N</v>
          </cell>
          <cell r="AB92" t="str">
            <v>Y</v>
          </cell>
          <cell r="AC92" t="str">
            <v>Y</v>
          </cell>
          <cell r="AD92" t="str">
            <v>N</v>
          </cell>
          <cell r="AE92" t="str">
            <v>Y</v>
          </cell>
        </row>
        <row r="93">
          <cell r="E93" t="str">
            <v>PST_CD</v>
          </cell>
          <cell r="Z93" t="str">
            <v>N</v>
          </cell>
          <cell r="AA93" t="str">
            <v>N</v>
          </cell>
          <cell r="AB93" t="str">
            <v>Y</v>
          </cell>
          <cell r="AC93" t="str">
            <v>N</v>
          </cell>
          <cell r="AD93" t="str">
            <v>Y</v>
          </cell>
          <cell r="AE93" t="str">
            <v>N</v>
          </cell>
        </row>
        <row r="94">
          <cell r="E94" t="str">
            <v>ESG_SBSCTR</v>
          </cell>
          <cell r="Z94" t="str">
            <v>N</v>
          </cell>
          <cell r="AA94" t="str">
            <v>N</v>
          </cell>
          <cell r="AB94" t="str">
            <v>Y</v>
          </cell>
          <cell r="AC94" t="str">
            <v>N</v>
          </cell>
          <cell r="AD94" t="str">
            <v>N</v>
          </cell>
          <cell r="AE94" t="str">
            <v>N</v>
          </cell>
        </row>
        <row r="95">
          <cell r="E95" t="str">
            <v>NACE_ESG</v>
          </cell>
          <cell r="Z95" t="str">
            <v>N</v>
          </cell>
          <cell r="AA95" t="str">
            <v>N</v>
          </cell>
          <cell r="AB95" t="str">
            <v>Y</v>
          </cell>
          <cell r="AC95" t="str">
            <v>N</v>
          </cell>
          <cell r="AD95" t="str">
            <v>Y</v>
          </cell>
          <cell r="AE95" t="str">
            <v>N</v>
          </cell>
        </row>
        <row r="96">
          <cell r="E96" t="str">
            <v>TTL_LBLTY</v>
          </cell>
          <cell r="Z96" t="str">
            <v>N</v>
          </cell>
          <cell r="AA96" t="str">
            <v>N</v>
          </cell>
          <cell r="AB96" t="str">
            <v>Y</v>
          </cell>
          <cell r="AC96" t="str">
            <v>N</v>
          </cell>
          <cell r="AD96" t="str">
            <v>N</v>
          </cell>
          <cell r="AE96" t="str">
            <v>N</v>
          </cell>
        </row>
        <row r="97">
          <cell r="E97" t="str">
            <v>TXNMY_ELGBL_CAPEX_CCM</v>
          </cell>
          <cell r="Z97" t="str">
            <v>N</v>
          </cell>
          <cell r="AA97" t="str">
            <v>N</v>
          </cell>
          <cell r="AB97" t="str">
            <v>Y</v>
          </cell>
          <cell r="AC97" t="str">
            <v>N</v>
          </cell>
          <cell r="AD97" t="str">
            <v>N</v>
          </cell>
          <cell r="AE97" t="str">
            <v>N</v>
          </cell>
        </row>
        <row r="98">
          <cell r="E98" t="str">
            <v>TXNMY_ELGBL_TRNVR_CCM</v>
          </cell>
          <cell r="Z98" t="str">
            <v>N</v>
          </cell>
          <cell r="AA98" t="str">
            <v>N</v>
          </cell>
          <cell r="AB98" t="str">
            <v>Y</v>
          </cell>
          <cell r="AC98" t="str">
            <v>N</v>
          </cell>
          <cell r="AD98" t="str">
            <v>N</v>
          </cell>
          <cell r="AE98" t="str">
            <v>N</v>
          </cell>
        </row>
        <row r="99">
          <cell r="E99" t="str">
            <v>TXNMY_ELGBL_CAPEX_CCA</v>
          </cell>
          <cell r="Z99" t="str">
            <v>N</v>
          </cell>
          <cell r="AA99" t="str">
            <v>N</v>
          </cell>
          <cell r="AB99" t="str">
            <v>Y</v>
          </cell>
          <cell r="AC99" t="str">
            <v>N</v>
          </cell>
          <cell r="AD99" t="str">
            <v>N</v>
          </cell>
          <cell r="AE99" t="str">
            <v>N</v>
          </cell>
        </row>
        <row r="100">
          <cell r="E100" t="str">
            <v>TXNMY_ELGBL_TRNVR_CCA</v>
          </cell>
          <cell r="Z100" t="str">
            <v>N</v>
          </cell>
          <cell r="AA100" t="str">
            <v>N</v>
          </cell>
          <cell r="AB100" t="str">
            <v>Y</v>
          </cell>
          <cell r="AC100" t="str">
            <v>N</v>
          </cell>
          <cell r="AD100" t="str">
            <v>N</v>
          </cell>
          <cell r="AE100" t="str">
            <v>N</v>
          </cell>
        </row>
        <row r="101">
          <cell r="E101" t="str">
            <v>ENBLNG_CAPEX_CCM</v>
          </cell>
          <cell r="Z101" t="str">
            <v>N</v>
          </cell>
          <cell r="AA101" t="str">
            <v>N</v>
          </cell>
          <cell r="AB101" t="str">
            <v>Y</v>
          </cell>
          <cell r="AC101" t="str">
            <v>N</v>
          </cell>
          <cell r="AD101" t="str">
            <v>N</v>
          </cell>
          <cell r="AE101" t="str">
            <v>N</v>
          </cell>
        </row>
        <row r="102">
          <cell r="E102" t="str">
            <v>ENBLNG_CAPEX_CCA</v>
          </cell>
          <cell r="Z102" t="str">
            <v>N</v>
          </cell>
          <cell r="AA102" t="str">
            <v>N</v>
          </cell>
          <cell r="AB102" t="str">
            <v>Y</v>
          </cell>
          <cell r="AC102" t="str">
            <v>N</v>
          </cell>
          <cell r="AD102" t="str">
            <v>N</v>
          </cell>
          <cell r="AE102" t="str">
            <v>N</v>
          </cell>
        </row>
        <row r="103">
          <cell r="E103" t="str">
            <v>TRNSTNL_CAPEX</v>
          </cell>
          <cell r="Z103" t="str">
            <v>N</v>
          </cell>
          <cell r="AA103" t="str">
            <v>N</v>
          </cell>
          <cell r="AB103" t="str">
            <v>Y</v>
          </cell>
          <cell r="AC103" t="str">
            <v>N</v>
          </cell>
          <cell r="AD103" t="str">
            <v>N</v>
          </cell>
          <cell r="AE103" t="str">
            <v>N</v>
          </cell>
        </row>
        <row r="104">
          <cell r="E104" t="str">
            <v>PURE_CAPEX_CCM</v>
          </cell>
          <cell r="Z104" t="str">
            <v>N</v>
          </cell>
          <cell r="AA104" t="str">
            <v>N</v>
          </cell>
          <cell r="AB104" t="str">
            <v>Y</v>
          </cell>
          <cell r="AC104" t="str">
            <v>N</v>
          </cell>
          <cell r="AD104" t="str">
            <v>N</v>
          </cell>
          <cell r="AE104" t="str">
            <v>N</v>
          </cell>
        </row>
        <row r="105">
          <cell r="E105" t="str">
            <v>PURE_CAPEX_CCA</v>
          </cell>
          <cell r="Z105" t="str">
            <v>N</v>
          </cell>
          <cell r="AA105" t="str">
            <v>N</v>
          </cell>
          <cell r="AB105" t="str">
            <v>Y</v>
          </cell>
          <cell r="AC105" t="str">
            <v>N</v>
          </cell>
          <cell r="AD105" t="str">
            <v>N</v>
          </cell>
          <cell r="AE105" t="str">
            <v>N</v>
          </cell>
        </row>
        <row r="106">
          <cell r="E106" t="str">
            <v>ENBLNG_TRNVR_CCM</v>
          </cell>
          <cell r="Z106" t="str">
            <v>N</v>
          </cell>
          <cell r="AA106" t="str">
            <v>N</v>
          </cell>
          <cell r="AB106" t="str">
            <v>Y</v>
          </cell>
          <cell r="AC106" t="str">
            <v>N</v>
          </cell>
          <cell r="AD106" t="str">
            <v>N</v>
          </cell>
          <cell r="AE106" t="str">
            <v>N</v>
          </cell>
        </row>
        <row r="107">
          <cell r="E107" t="str">
            <v>ENBLNG_TRNVR_CCA</v>
          </cell>
          <cell r="Z107" t="str">
            <v>N</v>
          </cell>
          <cell r="AA107" t="str">
            <v>N</v>
          </cell>
          <cell r="AB107" t="str">
            <v>Y</v>
          </cell>
          <cell r="AC107" t="str">
            <v>N</v>
          </cell>
          <cell r="AD107" t="str">
            <v>N</v>
          </cell>
          <cell r="AE107" t="str">
            <v>N</v>
          </cell>
        </row>
        <row r="108">
          <cell r="E108" t="str">
            <v>TRNSTNL_TRNVR</v>
          </cell>
          <cell r="Z108" t="str">
            <v>N</v>
          </cell>
          <cell r="AA108" t="str">
            <v>N</v>
          </cell>
          <cell r="AB108" t="str">
            <v>Y</v>
          </cell>
          <cell r="AC108" t="str">
            <v>N</v>
          </cell>
          <cell r="AD108" t="str">
            <v>N</v>
          </cell>
          <cell r="AE108" t="str">
            <v>N</v>
          </cell>
        </row>
        <row r="109">
          <cell r="E109" t="str">
            <v>PURE_TRNVR_CCM</v>
          </cell>
          <cell r="Z109" t="str">
            <v>N</v>
          </cell>
          <cell r="AA109" t="str">
            <v>N</v>
          </cell>
          <cell r="AB109" t="str">
            <v>Y</v>
          </cell>
          <cell r="AC109" t="str">
            <v>N</v>
          </cell>
          <cell r="AD109" t="str">
            <v>N</v>
          </cell>
          <cell r="AE109" t="str">
            <v>N</v>
          </cell>
        </row>
        <row r="110">
          <cell r="E110" t="str">
            <v>PURE_TRNVR_CCA</v>
          </cell>
          <cell r="Z110" t="str">
            <v>N</v>
          </cell>
          <cell r="AA110" t="str">
            <v>N</v>
          </cell>
          <cell r="AB110" t="str">
            <v>Y</v>
          </cell>
          <cell r="AC110" t="str">
            <v>N</v>
          </cell>
          <cell r="AD110" t="str">
            <v>N</v>
          </cell>
          <cell r="AE110" t="str">
            <v>N</v>
          </cell>
        </row>
        <row r="111">
          <cell r="E111" t="str">
            <v>FLG_CSRD_APPLCBLTY</v>
          </cell>
          <cell r="Z111" t="str">
            <v>N</v>
          </cell>
          <cell r="AA111" t="str">
            <v>N</v>
          </cell>
          <cell r="AB111" t="str">
            <v>Y</v>
          </cell>
          <cell r="AC111" t="str">
            <v>N</v>
          </cell>
          <cell r="AD111" t="str">
            <v>Y</v>
          </cell>
          <cell r="AE111" t="str">
            <v>N</v>
          </cell>
        </row>
        <row r="112">
          <cell r="E112" t="str">
            <v>FLG_GRP_CSRD_APPLCBLTY</v>
          </cell>
          <cell r="Z112" t="str">
            <v>N</v>
          </cell>
          <cell r="AA112" t="str">
            <v>N</v>
          </cell>
          <cell r="AB112" t="str">
            <v>Y</v>
          </cell>
          <cell r="AC112" t="str">
            <v>N</v>
          </cell>
          <cell r="AD112" t="str">
            <v>Y</v>
          </cell>
          <cell r="AE112" t="str">
            <v>N</v>
          </cell>
        </row>
        <row r="113">
          <cell r="E113" t="str">
            <v>ISIN</v>
          </cell>
          <cell r="Z113" t="str">
            <v>N</v>
          </cell>
          <cell r="AA113" t="str">
            <v>N</v>
          </cell>
          <cell r="AB113" t="str">
            <v>Y</v>
          </cell>
          <cell r="AC113" t="str">
            <v>N</v>
          </cell>
          <cell r="AD113" t="str">
            <v>N</v>
          </cell>
          <cell r="AE113" t="str">
            <v>N</v>
          </cell>
        </row>
        <row r="114">
          <cell r="E114" t="str">
            <v>GRP_ANNL_TRNVR_LE</v>
          </cell>
          <cell r="Z114" t="str">
            <v>N</v>
          </cell>
          <cell r="AA114" t="str">
            <v>N</v>
          </cell>
          <cell r="AB114" t="str">
            <v>Y</v>
          </cell>
          <cell r="AC114" t="str">
            <v>N</v>
          </cell>
          <cell r="AD114" t="str">
            <v>N</v>
          </cell>
          <cell r="AE114" t="str">
            <v>N</v>
          </cell>
        </row>
        <row r="115">
          <cell r="E115" t="str">
            <v>GRP_TTL_LBLTY</v>
          </cell>
          <cell r="Z115" t="str">
            <v>N</v>
          </cell>
          <cell r="AA115" t="str">
            <v>N</v>
          </cell>
          <cell r="AB115" t="str">
            <v>Y</v>
          </cell>
          <cell r="AC115" t="str">
            <v>N</v>
          </cell>
          <cell r="AD115" t="str">
            <v>N</v>
          </cell>
          <cell r="AE115" t="str">
            <v>N</v>
          </cell>
        </row>
        <row r="116">
          <cell r="E116" t="str">
            <v>CNTRPRTY_EMSSNS_SCP1</v>
          </cell>
          <cell r="Z116" t="str">
            <v>N</v>
          </cell>
          <cell r="AA116" t="str">
            <v>N</v>
          </cell>
          <cell r="AB116" t="str">
            <v>Y</v>
          </cell>
          <cell r="AC116" t="str">
            <v>N</v>
          </cell>
          <cell r="AD116" t="str">
            <v>Y</v>
          </cell>
          <cell r="AE116" t="str">
            <v>N</v>
          </cell>
        </row>
        <row r="117">
          <cell r="E117" t="str">
            <v>CNTRPRTY_EMSSNS_SCP2</v>
          </cell>
          <cell r="Z117" t="str">
            <v>N</v>
          </cell>
          <cell r="AA117" t="str">
            <v>N</v>
          </cell>
          <cell r="AB117" t="str">
            <v>Y</v>
          </cell>
          <cell r="AC117" t="str">
            <v>N</v>
          </cell>
          <cell r="AD117" t="str">
            <v>Y</v>
          </cell>
          <cell r="AE117" t="str">
            <v>N</v>
          </cell>
        </row>
        <row r="118">
          <cell r="E118" t="str">
            <v>CNTRPRTY_EMSSNS_SCP3</v>
          </cell>
          <cell r="Z118" t="str">
            <v>N</v>
          </cell>
          <cell r="AA118" t="str">
            <v>N</v>
          </cell>
          <cell r="AB118" t="str">
            <v>Y</v>
          </cell>
          <cell r="AC118" t="str">
            <v>N</v>
          </cell>
          <cell r="AD118" t="str">
            <v>Y</v>
          </cell>
          <cell r="AE118" t="str">
            <v>N</v>
          </cell>
        </row>
        <row r="119">
          <cell r="E119" t="str">
            <v>FLG_EXCLDD_EU_PRS_ALGND_BNCHMRK</v>
          </cell>
          <cell r="Z119" t="str">
            <v>N</v>
          </cell>
          <cell r="AA119" t="str">
            <v>N</v>
          </cell>
          <cell r="AB119" t="str">
            <v>Y</v>
          </cell>
          <cell r="AC119" t="str">
            <v>N</v>
          </cell>
          <cell r="AD119" t="str">
            <v>N</v>
          </cell>
          <cell r="AE119" t="str">
            <v>N</v>
          </cell>
        </row>
        <row r="120">
          <cell r="E120" t="str">
            <v>GRP_EMSSNS_SCP1</v>
          </cell>
          <cell r="Z120" t="str">
            <v>N</v>
          </cell>
          <cell r="AA120" t="str">
            <v>N</v>
          </cell>
          <cell r="AB120" t="str">
            <v>Y</v>
          </cell>
          <cell r="AC120" t="str">
            <v>N</v>
          </cell>
          <cell r="AD120" t="str">
            <v>Y</v>
          </cell>
          <cell r="AE120" t="str">
            <v>N</v>
          </cell>
        </row>
        <row r="121">
          <cell r="E121" t="str">
            <v>GRP_EMSSNS_SCP2</v>
          </cell>
          <cell r="Z121" t="str">
            <v>N</v>
          </cell>
          <cell r="AA121" t="str">
            <v>N</v>
          </cell>
          <cell r="AB121" t="str">
            <v>Y</v>
          </cell>
          <cell r="AC121" t="str">
            <v>N</v>
          </cell>
          <cell r="AD121" t="str">
            <v>Y</v>
          </cell>
          <cell r="AE121" t="str">
            <v>N</v>
          </cell>
        </row>
        <row r="122">
          <cell r="E122" t="str">
            <v>GRP_EMSSNS_SCP3</v>
          </cell>
          <cell r="Z122" t="str">
            <v>N</v>
          </cell>
          <cell r="AA122" t="str">
            <v>N</v>
          </cell>
          <cell r="AB122" t="str">
            <v>Y</v>
          </cell>
          <cell r="AC122" t="str">
            <v>N</v>
          </cell>
          <cell r="AD122" t="str">
            <v>Y</v>
          </cell>
          <cell r="AE122" t="str">
            <v>N</v>
          </cell>
        </row>
        <row r="123">
          <cell r="E123" t="str">
            <v>FLG_ACT_PHYSCL_RSK</v>
          </cell>
          <cell r="Z123" t="str">
            <v>N</v>
          </cell>
          <cell r="AA123" t="str">
            <v>N</v>
          </cell>
          <cell r="AB123" t="str">
            <v>Y</v>
          </cell>
          <cell r="AC123" t="str">
            <v>N</v>
          </cell>
          <cell r="AD123" t="str">
            <v>N</v>
          </cell>
          <cell r="AE123" t="str">
            <v>N</v>
          </cell>
        </row>
        <row r="124">
          <cell r="E124" t="str">
            <v>FLG_CHRNC_PHYSCL_RSK</v>
          </cell>
          <cell r="Z124" t="str">
            <v>N</v>
          </cell>
          <cell r="AA124" t="str">
            <v>N</v>
          </cell>
          <cell r="AB124" t="str">
            <v>Y</v>
          </cell>
          <cell r="AC124" t="str">
            <v>N</v>
          </cell>
          <cell r="AD124" t="str">
            <v>N</v>
          </cell>
          <cell r="AE124" t="str">
            <v>N</v>
          </cell>
        </row>
        <row r="125">
          <cell r="E125" t="str">
            <v>GRP_ECNMC_ACTVTY</v>
          </cell>
          <cell r="Z125" t="str">
            <v>N</v>
          </cell>
          <cell r="AA125" t="str">
            <v>N</v>
          </cell>
          <cell r="AB125" t="str">
            <v>Y</v>
          </cell>
          <cell r="AC125" t="str">
            <v>Y</v>
          </cell>
          <cell r="AD125" t="str">
            <v>Y</v>
          </cell>
          <cell r="AE125" t="str">
            <v>N</v>
          </cell>
        </row>
        <row r="126">
          <cell r="E126" t="str">
            <v>PRSN_TYP</v>
          </cell>
          <cell r="Z126" t="str">
            <v>Y</v>
          </cell>
          <cell r="AA126" t="str">
            <v>N</v>
          </cell>
          <cell r="AB126" t="str">
            <v>N</v>
          </cell>
          <cell r="AC126" t="str">
            <v>N</v>
          </cell>
          <cell r="AD126" t="str">
            <v>N</v>
          </cell>
          <cell r="AE126" t="str">
            <v>N</v>
          </cell>
        </row>
        <row r="127">
          <cell r="E127" t="str">
            <v>FR_CSH_FLW</v>
          </cell>
          <cell r="Z127" t="str">
            <v>Y</v>
          </cell>
          <cell r="AA127" t="str">
            <v>N</v>
          </cell>
          <cell r="AB127" t="str">
            <v>N</v>
          </cell>
          <cell r="AC127" t="str">
            <v>N</v>
          </cell>
          <cell r="AD127" t="str">
            <v>N</v>
          </cell>
          <cell r="AE127" t="str">
            <v>Y</v>
          </cell>
        </row>
        <row r="128">
          <cell r="E128" t="str">
            <v>FR_CSH_FLW_T1</v>
          </cell>
          <cell r="Z128" t="str">
            <v>Y</v>
          </cell>
          <cell r="AA128" t="str">
            <v>N</v>
          </cell>
          <cell r="AB128" t="str">
            <v>N</v>
          </cell>
          <cell r="AC128" t="str">
            <v>N</v>
          </cell>
          <cell r="AD128" t="str">
            <v>N</v>
          </cell>
          <cell r="AE128" t="str">
            <v>Y</v>
          </cell>
        </row>
        <row r="129">
          <cell r="E129" t="str">
            <v>FR_CSH_FLW_T2</v>
          </cell>
          <cell r="Z129" t="str">
            <v>Y</v>
          </cell>
          <cell r="AA129" t="str">
            <v>N</v>
          </cell>
          <cell r="AB129" t="str">
            <v>N</v>
          </cell>
          <cell r="AC129" t="str">
            <v>N</v>
          </cell>
          <cell r="AD129" t="str">
            <v>N</v>
          </cell>
          <cell r="AE129" t="str">
            <v>Y</v>
          </cell>
        </row>
        <row r="130">
          <cell r="E130" t="str">
            <v>FR_CSH_FLW_T3</v>
          </cell>
          <cell r="Z130" t="str">
            <v>Y</v>
          </cell>
          <cell r="AA130" t="str">
            <v>N</v>
          </cell>
          <cell r="AB130" t="str">
            <v>N</v>
          </cell>
          <cell r="AC130" t="str">
            <v>N</v>
          </cell>
          <cell r="AD130" t="str">
            <v>N</v>
          </cell>
          <cell r="AE130" t="str">
            <v>Y</v>
          </cell>
        </row>
        <row r="131">
          <cell r="E131" t="str">
            <v>ADDRSS_CTY</v>
          </cell>
          <cell r="Z131" t="str">
            <v>Y</v>
          </cell>
          <cell r="AA131" t="str">
            <v>N</v>
          </cell>
          <cell r="AB131" t="str">
            <v>N</v>
          </cell>
          <cell r="AC131" t="str">
            <v>N</v>
          </cell>
          <cell r="AD131" t="str">
            <v>N</v>
          </cell>
          <cell r="AE131" t="str">
            <v>N</v>
          </cell>
        </row>
        <row r="132">
          <cell r="E132" t="str">
            <v>ADDRSS_STRT</v>
          </cell>
          <cell r="Z132" t="str">
            <v>Y</v>
          </cell>
          <cell r="AA132" t="str">
            <v>N</v>
          </cell>
          <cell r="AB132" t="str">
            <v>N</v>
          </cell>
          <cell r="AC132" t="str">
            <v>N</v>
          </cell>
          <cell r="AD132" t="str">
            <v>N</v>
          </cell>
          <cell r="AE132" t="str">
            <v>N</v>
          </cell>
        </row>
        <row r="133">
          <cell r="E133" t="str">
            <v>DT_ENTRPRS_SZ</v>
          </cell>
          <cell r="Z133" t="str">
            <v>Y</v>
          </cell>
          <cell r="AA133" t="str">
            <v>N</v>
          </cell>
          <cell r="AB133" t="str">
            <v>N</v>
          </cell>
          <cell r="AC133" t="str">
            <v>N</v>
          </cell>
          <cell r="AD133" t="str">
            <v>N</v>
          </cell>
          <cell r="AE133" t="str">
            <v>N</v>
          </cell>
        </row>
        <row r="134">
          <cell r="E134" t="str">
            <v>NMBR_EMPLYS</v>
          </cell>
          <cell r="Z134" t="str">
            <v>Y</v>
          </cell>
          <cell r="AA134" t="str">
            <v>N</v>
          </cell>
          <cell r="AB134" t="str">
            <v>N</v>
          </cell>
          <cell r="AC134" t="str">
            <v>N</v>
          </cell>
          <cell r="AD134" t="str">
            <v>N</v>
          </cell>
          <cell r="AE134" t="str">
            <v>N</v>
          </cell>
        </row>
        <row r="135">
          <cell r="E135" t="str">
            <v>LGL_FRM</v>
          </cell>
          <cell r="Z135" t="str">
            <v>Y</v>
          </cell>
          <cell r="AA135" t="str">
            <v>N</v>
          </cell>
          <cell r="AB135" t="str">
            <v>N</v>
          </cell>
          <cell r="AC135" t="str">
            <v>N</v>
          </cell>
          <cell r="AD135" t="str">
            <v>N</v>
          </cell>
          <cell r="AE135" t="str">
            <v>N</v>
          </cell>
        </row>
        <row r="136">
          <cell r="E136" t="str">
            <v>HD_OFFC_UNDRTKNG_ID</v>
          </cell>
          <cell r="Z136" t="str">
            <v>Y</v>
          </cell>
          <cell r="AA136" t="str">
            <v>N</v>
          </cell>
          <cell r="AB136" t="str">
            <v>N</v>
          </cell>
          <cell r="AC136" t="str">
            <v>N</v>
          </cell>
          <cell r="AD136" t="str">
            <v>N</v>
          </cell>
          <cell r="AE136" t="str">
            <v>N</v>
          </cell>
        </row>
        <row r="137">
          <cell r="E137" t="str">
            <v>IMMDT_PRNT_UNDRTKNG_ID</v>
          </cell>
          <cell r="Z137" t="str">
            <v>Y</v>
          </cell>
          <cell r="AA137" t="str">
            <v>N</v>
          </cell>
          <cell r="AB137" t="str">
            <v>N</v>
          </cell>
          <cell r="AC137" t="str">
            <v>N</v>
          </cell>
          <cell r="AD137" t="str">
            <v>N</v>
          </cell>
          <cell r="AE137" t="str">
            <v>N</v>
          </cell>
        </row>
        <row r="138">
          <cell r="E138" t="str">
            <v>ULTMT_PRNT_UNDRTKNG_ID</v>
          </cell>
          <cell r="Z138" t="str">
            <v>Y</v>
          </cell>
          <cell r="AA138" t="str">
            <v>N</v>
          </cell>
          <cell r="AB138" t="str">
            <v>N</v>
          </cell>
          <cell r="AC138" t="str">
            <v>N</v>
          </cell>
          <cell r="AD138" t="str">
            <v>N</v>
          </cell>
          <cell r="AE138" t="str">
            <v>N</v>
          </cell>
        </row>
        <row r="139">
          <cell r="E139" t="str">
            <v>TTL_ASSTS</v>
          </cell>
          <cell r="Z139" t="str">
            <v>Y</v>
          </cell>
          <cell r="AA139" t="str">
            <v>N</v>
          </cell>
          <cell r="AB139" t="str">
            <v>N</v>
          </cell>
          <cell r="AC139" t="str">
            <v>N</v>
          </cell>
          <cell r="AD139" t="str">
            <v>N</v>
          </cell>
          <cell r="AE139" t="str">
            <v>N</v>
          </cell>
        </row>
        <row r="140">
          <cell r="E140" t="str">
            <v>FLLN_ANGL_NRRW_DFNTN</v>
          </cell>
          <cell r="Z140" t="str">
            <v>N</v>
          </cell>
          <cell r="AA140" t="str">
            <v>N</v>
          </cell>
          <cell r="AB140" t="str">
            <v>N</v>
          </cell>
          <cell r="AC140" t="str">
            <v>N</v>
          </cell>
          <cell r="AD140" t="str">
            <v>N</v>
          </cell>
          <cell r="AE140" t="str">
            <v>Y</v>
          </cell>
        </row>
        <row r="141">
          <cell r="E141" t="str">
            <v>FLLN_ANGL_EXTNDD_DFNTN</v>
          </cell>
          <cell r="Z141" t="str">
            <v>N</v>
          </cell>
          <cell r="AA141" t="str">
            <v>N</v>
          </cell>
          <cell r="AB141" t="str">
            <v>N</v>
          </cell>
          <cell r="AC141" t="str">
            <v>N</v>
          </cell>
          <cell r="AD141" t="str">
            <v>N</v>
          </cell>
          <cell r="AE141" t="str">
            <v>Y</v>
          </cell>
        </row>
        <row r="142">
          <cell r="E142" t="str">
            <v>ENTTY_ID_BDR</v>
          </cell>
          <cell r="Z142" t="str">
            <v>Y</v>
          </cell>
          <cell r="AA142" t="str">
            <v>N</v>
          </cell>
          <cell r="AB142" t="str">
            <v>N</v>
          </cell>
          <cell r="AC142" t="str">
            <v>N</v>
          </cell>
          <cell r="AD142" t="str">
            <v>N</v>
          </cell>
          <cell r="AE142" t="str">
            <v>N</v>
          </cell>
        </row>
        <row r="143">
          <cell r="E143" t="str">
            <v>TXNMY_ELGBL_CAPEX_W</v>
          </cell>
          <cell r="Z143" t="str">
            <v>N</v>
          </cell>
          <cell r="AA143" t="str">
            <v>N</v>
          </cell>
          <cell r="AB143" t="str">
            <v>Y</v>
          </cell>
          <cell r="AC143" t="str">
            <v>N</v>
          </cell>
          <cell r="AD143" t="str">
            <v>N</v>
          </cell>
          <cell r="AE143" t="str">
            <v>N</v>
          </cell>
        </row>
        <row r="144">
          <cell r="E144" t="str">
            <v>TXNMY_ELGBL_TRNVR_W</v>
          </cell>
          <cell r="Z144" t="str">
            <v>N</v>
          </cell>
          <cell r="AA144" t="str">
            <v>N</v>
          </cell>
          <cell r="AB144" t="str">
            <v>Y</v>
          </cell>
          <cell r="AC144" t="str">
            <v>N</v>
          </cell>
          <cell r="AD144" t="str">
            <v>N</v>
          </cell>
          <cell r="AE144" t="str">
            <v>N</v>
          </cell>
        </row>
        <row r="145">
          <cell r="E145" t="str">
            <v>TXNMY_ELGBL_CAPEX_P</v>
          </cell>
          <cell r="Z145" t="str">
            <v>N</v>
          </cell>
          <cell r="AA145" t="str">
            <v>N</v>
          </cell>
          <cell r="AB145" t="str">
            <v>Y</v>
          </cell>
          <cell r="AC145" t="str">
            <v>N</v>
          </cell>
          <cell r="AD145" t="str">
            <v>N</v>
          </cell>
          <cell r="AE145" t="str">
            <v>N</v>
          </cell>
        </row>
        <row r="146">
          <cell r="E146" t="str">
            <v>TXNMY_ELGBL_TRNVR_P</v>
          </cell>
          <cell r="Z146" t="str">
            <v>N</v>
          </cell>
          <cell r="AA146" t="str">
            <v>N</v>
          </cell>
          <cell r="AB146" t="str">
            <v>Y</v>
          </cell>
          <cell r="AC146" t="str">
            <v>N</v>
          </cell>
          <cell r="AD146" t="str">
            <v>N</v>
          </cell>
          <cell r="AE146" t="str">
            <v>N</v>
          </cell>
        </row>
        <row r="147">
          <cell r="E147" t="str">
            <v>TXNMY_ELGBL_CAPEX_B</v>
          </cell>
          <cell r="Z147" t="str">
            <v>N</v>
          </cell>
          <cell r="AA147" t="str">
            <v>N</v>
          </cell>
          <cell r="AB147" t="str">
            <v>Y</v>
          </cell>
          <cell r="AC147" t="str">
            <v>N</v>
          </cell>
          <cell r="AD147" t="str">
            <v>N</v>
          </cell>
          <cell r="AE147" t="str">
            <v>N</v>
          </cell>
        </row>
        <row r="148">
          <cell r="E148" t="str">
            <v>TXNMY_ELGBL_TRNVR_B</v>
          </cell>
          <cell r="Z148" t="str">
            <v>N</v>
          </cell>
          <cell r="AA148" t="str">
            <v>N</v>
          </cell>
          <cell r="AB148" t="str">
            <v>Y</v>
          </cell>
          <cell r="AC148" t="str">
            <v>N</v>
          </cell>
          <cell r="AD148" t="str">
            <v>N</v>
          </cell>
          <cell r="AE148" t="str">
            <v>N</v>
          </cell>
        </row>
        <row r="149">
          <cell r="E149" t="str">
            <v>TXNMY_ELGBL_CAPEX_CE</v>
          </cell>
          <cell r="Z149" t="str">
            <v>N</v>
          </cell>
          <cell r="AA149" t="str">
            <v>N</v>
          </cell>
          <cell r="AB149" t="str">
            <v>Y</v>
          </cell>
          <cell r="AC149" t="str">
            <v>N</v>
          </cell>
          <cell r="AD149" t="str">
            <v>N</v>
          </cell>
          <cell r="AE149" t="str">
            <v>N</v>
          </cell>
        </row>
        <row r="150">
          <cell r="E150" t="str">
            <v>TXNMY_ELGBL_TRNVR_CE</v>
          </cell>
          <cell r="Z150" t="str">
            <v>N</v>
          </cell>
          <cell r="AA150" t="str">
            <v>N</v>
          </cell>
          <cell r="AB150" t="str">
            <v>Y</v>
          </cell>
          <cell r="AC150" t="str">
            <v>N</v>
          </cell>
          <cell r="AD150" t="str">
            <v>N</v>
          </cell>
          <cell r="AE150" t="str">
            <v>N</v>
          </cell>
        </row>
        <row r="151">
          <cell r="E151" t="str">
            <v>PURE_CAPEX_P</v>
          </cell>
          <cell r="Z151" t="str">
            <v>N</v>
          </cell>
          <cell r="AA151" t="str">
            <v>N</v>
          </cell>
          <cell r="AB151" t="str">
            <v>Y</v>
          </cell>
          <cell r="AC151" t="str">
            <v>N</v>
          </cell>
          <cell r="AD151" t="str">
            <v>N</v>
          </cell>
          <cell r="AE151" t="str">
            <v>N</v>
          </cell>
        </row>
        <row r="152">
          <cell r="E152" t="str">
            <v>PURE_TRNVR_P</v>
          </cell>
          <cell r="Z152" t="str">
            <v>N</v>
          </cell>
          <cell r="AA152" t="str">
            <v>N</v>
          </cell>
          <cell r="AB152" t="str">
            <v>Y</v>
          </cell>
          <cell r="AC152" t="str">
            <v>N</v>
          </cell>
          <cell r="AD152" t="str">
            <v>N</v>
          </cell>
          <cell r="AE152" t="str">
            <v>N</v>
          </cell>
        </row>
        <row r="153">
          <cell r="E153" t="str">
            <v>PURE_CAPEX_B</v>
          </cell>
          <cell r="Z153" t="str">
            <v>N</v>
          </cell>
          <cell r="AA153" t="str">
            <v>N</v>
          </cell>
          <cell r="AB153" t="str">
            <v>Y</v>
          </cell>
          <cell r="AC153" t="str">
            <v>N</v>
          </cell>
          <cell r="AD153" t="str">
            <v>N</v>
          </cell>
          <cell r="AE153" t="str">
            <v>N</v>
          </cell>
        </row>
        <row r="154">
          <cell r="E154" t="str">
            <v>PURE_TRNVR_B</v>
          </cell>
          <cell r="Z154" t="str">
            <v>N</v>
          </cell>
          <cell r="AA154" t="str">
            <v>N</v>
          </cell>
          <cell r="AB154" t="str">
            <v>Y</v>
          </cell>
          <cell r="AC154" t="str">
            <v>N</v>
          </cell>
          <cell r="AD154" t="str">
            <v>N</v>
          </cell>
          <cell r="AE154" t="str">
            <v>N</v>
          </cell>
        </row>
        <row r="155">
          <cell r="E155" t="str">
            <v>PURE_CAPEX_W</v>
          </cell>
          <cell r="Z155" t="str">
            <v>N</v>
          </cell>
          <cell r="AA155" t="str">
            <v>N</v>
          </cell>
          <cell r="AB155" t="str">
            <v>Y</v>
          </cell>
          <cell r="AC155" t="str">
            <v>N</v>
          </cell>
          <cell r="AD155" t="str">
            <v>N</v>
          </cell>
          <cell r="AE155" t="str">
            <v>N</v>
          </cell>
        </row>
        <row r="156">
          <cell r="E156" t="str">
            <v>PURE_TRNVR_W</v>
          </cell>
          <cell r="Z156" t="str">
            <v>N</v>
          </cell>
          <cell r="AA156" t="str">
            <v>N</v>
          </cell>
          <cell r="AB156" t="str">
            <v>Y</v>
          </cell>
          <cell r="AC156" t="str">
            <v>N</v>
          </cell>
          <cell r="AD156" t="str">
            <v>N</v>
          </cell>
          <cell r="AE156" t="str">
            <v>N</v>
          </cell>
        </row>
        <row r="157">
          <cell r="E157" t="str">
            <v>PURE_CAPEX_CE</v>
          </cell>
          <cell r="Z157" t="str">
            <v>N</v>
          </cell>
          <cell r="AA157" t="str">
            <v>N</v>
          </cell>
          <cell r="AB157" t="str">
            <v>Y</v>
          </cell>
          <cell r="AC157" t="str">
            <v>N</v>
          </cell>
          <cell r="AD157" t="str">
            <v>N</v>
          </cell>
          <cell r="AE157" t="str">
            <v>N</v>
          </cell>
        </row>
        <row r="158">
          <cell r="E158" t="str">
            <v>PURE_TRNVR_CE</v>
          </cell>
          <cell r="Z158" t="str">
            <v>N</v>
          </cell>
          <cell r="AA158" t="str">
            <v>N</v>
          </cell>
          <cell r="AB158" t="str">
            <v>Y</v>
          </cell>
          <cell r="AC158" t="str">
            <v>N</v>
          </cell>
          <cell r="AD158" t="str">
            <v>N</v>
          </cell>
          <cell r="AE158" t="str">
            <v>N</v>
          </cell>
        </row>
        <row r="159">
          <cell r="E159" t="str">
            <v>ENBLNG_CAPEX_W</v>
          </cell>
          <cell r="Z159" t="str">
            <v>N</v>
          </cell>
          <cell r="AA159" t="str">
            <v>N</v>
          </cell>
          <cell r="AB159" t="str">
            <v>Y</v>
          </cell>
          <cell r="AC159" t="str">
            <v>N</v>
          </cell>
          <cell r="AD159" t="str">
            <v>N</v>
          </cell>
          <cell r="AE159" t="str">
            <v>N</v>
          </cell>
        </row>
        <row r="160">
          <cell r="E160" t="str">
            <v>ENBLNG_TRNVR_W</v>
          </cell>
          <cell r="Z160" t="str">
            <v>N</v>
          </cell>
          <cell r="AA160" t="str">
            <v>N</v>
          </cell>
          <cell r="AB160" t="str">
            <v>Y</v>
          </cell>
          <cell r="AC160" t="str">
            <v>N</v>
          </cell>
          <cell r="AD160" t="str">
            <v>N</v>
          </cell>
          <cell r="AE160" t="str">
            <v>N</v>
          </cell>
        </row>
        <row r="161">
          <cell r="E161" t="str">
            <v>ENBLNG_CAPEX_CE</v>
          </cell>
          <cell r="Z161" t="str">
            <v>N</v>
          </cell>
          <cell r="AA161" t="str">
            <v>N</v>
          </cell>
          <cell r="AB161" t="str">
            <v>Y</v>
          </cell>
          <cell r="AC161" t="str">
            <v>N</v>
          </cell>
          <cell r="AD161" t="str">
            <v>N</v>
          </cell>
          <cell r="AE161" t="str">
            <v>N</v>
          </cell>
        </row>
        <row r="162">
          <cell r="E162" t="str">
            <v>ENBLNG_TRNVR_CE</v>
          </cell>
          <cell r="Z162" t="str">
            <v>N</v>
          </cell>
          <cell r="AA162" t="str">
            <v>N</v>
          </cell>
          <cell r="AB162" t="str">
            <v>Y</v>
          </cell>
          <cell r="AC162" t="str">
            <v>N</v>
          </cell>
          <cell r="AD162" t="str">
            <v>N</v>
          </cell>
          <cell r="AE162" t="str">
            <v>N</v>
          </cell>
        </row>
        <row r="163">
          <cell r="E163" t="str">
            <v>RORAC</v>
          </cell>
          <cell r="Z163" t="str">
            <v>N</v>
          </cell>
          <cell r="AA163" t="str">
            <v>N</v>
          </cell>
          <cell r="AB163" t="str">
            <v>N</v>
          </cell>
          <cell r="AC163" t="str">
            <v>N</v>
          </cell>
          <cell r="AD163" t="str">
            <v>N</v>
          </cell>
          <cell r="AE163" t="str">
            <v>Y</v>
          </cell>
        </row>
        <row r="164">
          <cell r="E164" t="str">
            <v>GRP_RORAC</v>
          </cell>
          <cell r="Z164" t="str">
            <v>N</v>
          </cell>
          <cell r="AA164" t="str">
            <v>N</v>
          </cell>
          <cell r="AB164" t="str">
            <v>N</v>
          </cell>
          <cell r="AC164" t="str">
            <v>N</v>
          </cell>
          <cell r="AD164" t="str">
            <v>N</v>
          </cell>
          <cell r="AE164" t="str">
            <v>Y</v>
          </cell>
        </row>
        <row r="165">
          <cell r="E165" t="str">
            <v>RORWA</v>
          </cell>
          <cell r="Z165" t="str">
            <v>N</v>
          </cell>
          <cell r="AA165" t="str">
            <v>N</v>
          </cell>
          <cell r="AB165" t="str">
            <v>N</v>
          </cell>
          <cell r="AC165" t="str">
            <v>N</v>
          </cell>
          <cell r="AD165" t="str">
            <v>N</v>
          </cell>
          <cell r="AE165" t="str">
            <v>Y</v>
          </cell>
        </row>
        <row r="166">
          <cell r="E166" t="str">
            <v>GRP_RORWA</v>
          </cell>
          <cell r="Z166" t="str">
            <v>N</v>
          </cell>
          <cell r="AA166" t="str">
            <v>N</v>
          </cell>
          <cell r="AB166" t="str">
            <v>N</v>
          </cell>
          <cell r="AC166" t="str">
            <v>N</v>
          </cell>
          <cell r="AD166" t="str">
            <v>N</v>
          </cell>
          <cell r="AE166" t="str">
            <v>Y</v>
          </cell>
        </row>
        <row r="167">
          <cell r="E167" t="str">
            <v>SCAN</v>
          </cell>
          <cell r="Z167" t="str">
            <v>N</v>
          </cell>
          <cell r="AA167" t="str">
            <v>N</v>
          </cell>
          <cell r="AB167" t="str">
            <v>N</v>
          </cell>
          <cell r="AC167" t="str">
            <v>N</v>
          </cell>
          <cell r="AD167" t="str">
            <v>N</v>
          </cell>
          <cell r="AE167" t="str">
            <v>Y</v>
          </cell>
        </row>
        <row r="168">
          <cell r="E168" t="str">
            <v>TTL_PRMSSBL_DBT_BLNC</v>
          </cell>
          <cell r="Z168" t="str">
            <v>N</v>
          </cell>
          <cell r="AA168" t="str">
            <v>N</v>
          </cell>
          <cell r="AB168" t="str">
            <v>N</v>
          </cell>
          <cell r="AC168" t="str">
            <v>N</v>
          </cell>
          <cell r="AD168" t="str">
            <v>N</v>
          </cell>
          <cell r="AE168" t="str">
            <v>Y</v>
          </cell>
        </row>
        <row r="169">
          <cell r="E169" t="str">
            <v>SSTNBL_CLNT</v>
          </cell>
          <cell r="Z169" t="str">
            <v>N</v>
          </cell>
          <cell r="AA169" t="str">
            <v>Y</v>
          </cell>
          <cell r="AB169" t="str">
            <v>N</v>
          </cell>
          <cell r="AC169" t="str">
            <v>Y</v>
          </cell>
          <cell r="AD169" t="str">
            <v>N</v>
          </cell>
          <cell r="AE169" t="str">
            <v>N</v>
          </cell>
        </row>
        <row r="170">
          <cell r="E170" t="str">
            <v>DT_SSTNBL_CLNT</v>
          </cell>
          <cell r="Z170" t="str">
            <v>N</v>
          </cell>
          <cell r="AA170" t="str">
            <v>Y</v>
          </cell>
          <cell r="AB170" t="str">
            <v>N</v>
          </cell>
          <cell r="AC170" t="str">
            <v>Y</v>
          </cell>
          <cell r="AD170" t="str">
            <v>N</v>
          </cell>
          <cell r="AE170" t="str">
            <v>N</v>
          </cell>
        </row>
        <row r="171">
          <cell r="E171" t="str">
            <v>DT_FNNCL_STTMTS_SSTNBL_CLNT</v>
          </cell>
          <cell r="Z171" t="str">
            <v>N</v>
          </cell>
          <cell r="AA171" t="str">
            <v>Y</v>
          </cell>
          <cell r="AB171" t="str">
            <v>N</v>
          </cell>
          <cell r="AC171" t="str">
            <v>Y</v>
          </cell>
          <cell r="AD171" t="str">
            <v>N</v>
          </cell>
          <cell r="AE171" t="str">
            <v>N</v>
          </cell>
        </row>
        <row r="172">
          <cell r="E172" t="str">
            <v>CNTRPRTY_SSTNBL_CTGRY</v>
          </cell>
          <cell r="Z172" t="str">
            <v>N</v>
          </cell>
          <cell r="AA172" t="str">
            <v>Y</v>
          </cell>
          <cell r="AB172" t="str">
            <v>N</v>
          </cell>
          <cell r="AC172" t="str">
            <v>Y</v>
          </cell>
          <cell r="AD172" t="str">
            <v>N</v>
          </cell>
          <cell r="AE172" t="str">
            <v>N</v>
          </cell>
        </row>
        <row r="173">
          <cell r="E173" t="str">
            <v>COD_SOC</v>
          </cell>
          <cell r="Z173" t="str">
            <v>Y</v>
          </cell>
          <cell r="AA173" t="str">
            <v>N</v>
          </cell>
          <cell r="AB173" t="str">
            <v>Y</v>
          </cell>
          <cell r="AC173" t="str">
            <v>Y</v>
          </cell>
          <cell r="AD173" t="str">
            <v>N</v>
          </cell>
          <cell r="AE173" t="str">
            <v>Y</v>
          </cell>
        </row>
        <row r="174">
          <cell r="E174" t="str">
            <v>DT_RFRNC</v>
          </cell>
          <cell r="Z174" t="str">
            <v>Y</v>
          </cell>
          <cell r="AA174" t="str">
            <v>N</v>
          </cell>
          <cell r="AB174" t="str">
            <v>Y</v>
          </cell>
          <cell r="AC174" t="str">
            <v>Y</v>
          </cell>
          <cell r="AD174" t="str">
            <v>N</v>
          </cell>
          <cell r="AE174" t="str">
            <v>Y</v>
          </cell>
        </row>
        <row r="175">
          <cell r="E175" t="str">
            <v>ENTTY_ID</v>
          </cell>
          <cell r="Z175" t="str">
            <v>Y</v>
          </cell>
          <cell r="AA175" t="str">
            <v>N</v>
          </cell>
          <cell r="AB175" t="str">
            <v>Y</v>
          </cell>
          <cell r="AC175" t="str">
            <v>Y</v>
          </cell>
          <cell r="AD175" t="str">
            <v>N</v>
          </cell>
          <cell r="AE175" t="str">
            <v>Y</v>
          </cell>
        </row>
        <row r="176">
          <cell r="E176" t="str">
            <v>INSTRMNT_ID</v>
          </cell>
          <cell r="Z176" t="str">
            <v>Y</v>
          </cell>
          <cell r="AA176" t="str">
            <v>N</v>
          </cell>
          <cell r="AB176" t="str">
            <v>Y</v>
          </cell>
          <cell r="AC176" t="str">
            <v>Y</v>
          </cell>
          <cell r="AD176" t="str">
            <v>N</v>
          </cell>
          <cell r="AE176" t="str">
            <v>Y</v>
          </cell>
        </row>
        <row r="177">
          <cell r="E177" t="str">
            <v>JNT_LBLTY_AMNT</v>
          </cell>
          <cell r="Z177" t="str">
            <v>Y</v>
          </cell>
          <cell r="AA177" t="str">
            <v>N</v>
          </cell>
          <cell r="AB177" t="str">
            <v>N</v>
          </cell>
          <cell r="AC177" t="str">
            <v>N</v>
          </cell>
          <cell r="AD177" t="str">
            <v>N</v>
          </cell>
          <cell r="AE177" t="str">
            <v>Y</v>
          </cell>
        </row>
        <row r="178">
          <cell r="E178" t="str">
            <v>MN_ENTTY_ID</v>
          </cell>
          <cell r="Z178" t="str">
            <v>Y</v>
          </cell>
          <cell r="AA178" t="str">
            <v>N</v>
          </cell>
          <cell r="AB178" t="str">
            <v>Y</v>
          </cell>
          <cell r="AC178" t="str">
            <v>Y</v>
          </cell>
          <cell r="AD178" t="str">
            <v>N</v>
          </cell>
          <cell r="AE178" t="str">
            <v>Y</v>
          </cell>
        </row>
        <row r="179">
          <cell r="E179" t="str">
            <v>COD_SOC</v>
          </cell>
          <cell r="Z179" t="str">
            <v>Y</v>
          </cell>
          <cell r="AA179" t="str">
            <v>Y</v>
          </cell>
          <cell r="AB179" t="str">
            <v>Y</v>
          </cell>
          <cell r="AC179" t="str">
            <v>Y</v>
          </cell>
          <cell r="AD179" t="str">
            <v>Y</v>
          </cell>
          <cell r="AE179" t="str">
            <v>Y</v>
          </cell>
        </row>
        <row r="180">
          <cell r="E180" t="str">
            <v>SUBPORTFOLIO_ID</v>
          </cell>
          <cell r="Z180" t="str">
            <v>Y</v>
          </cell>
          <cell r="AA180" t="str">
            <v>Y</v>
          </cell>
          <cell r="AB180" t="str">
            <v>Y</v>
          </cell>
          <cell r="AC180" t="str">
            <v>Y</v>
          </cell>
          <cell r="AD180" t="str">
            <v>Y</v>
          </cell>
          <cell r="AE180" t="str">
            <v>Y</v>
          </cell>
        </row>
        <row r="181">
          <cell r="E181" t="str">
            <v>CRE_FNRP18</v>
          </cell>
          <cell r="Z181" t="str">
            <v>Y</v>
          </cell>
          <cell r="AA181" t="str">
            <v>N</v>
          </cell>
          <cell r="AB181" t="str">
            <v>N</v>
          </cell>
          <cell r="AC181" t="str">
            <v>N</v>
          </cell>
          <cell r="AD181" t="str">
            <v>N</v>
          </cell>
          <cell r="AE181" t="str">
            <v>N</v>
          </cell>
        </row>
        <row r="182">
          <cell r="E182" t="str">
            <v>SME_FNRP18</v>
          </cell>
          <cell r="Z182" t="str">
            <v>Y</v>
          </cell>
          <cell r="AA182" t="str">
            <v>N</v>
          </cell>
          <cell r="AB182" t="str">
            <v>N</v>
          </cell>
          <cell r="AC182" t="str">
            <v>N</v>
          </cell>
          <cell r="AD182" t="str">
            <v>N</v>
          </cell>
          <cell r="AE182" t="str">
            <v>N</v>
          </cell>
        </row>
        <row r="183">
          <cell r="E183" t="str">
            <v>RRE_FNRP18</v>
          </cell>
          <cell r="Z183" t="str">
            <v>Y</v>
          </cell>
          <cell r="AA183" t="str">
            <v>N</v>
          </cell>
          <cell r="AB183" t="str">
            <v>N</v>
          </cell>
          <cell r="AC183" t="str">
            <v>N</v>
          </cell>
          <cell r="AD183" t="str">
            <v>N</v>
          </cell>
          <cell r="AE183" t="str">
            <v>N</v>
          </cell>
        </row>
        <row r="184">
          <cell r="E184" t="str">
            <v>CNSMPTN_FNRP18</v>
          </cell>
          <cell r="Z184" t="str">
            <v>Y</v>
          </cell>
          <cell r="AA184" t="str">
            <v>N</v>
          </cell>
          <cell r="AB184" t="str">
            <v>N</v>
          </cell>
          <cell r="AC184" t="str">
            <v>N</v>
          </cell>
          <cell r="AD184" t="str">
            <v>N</v>
          </cell>
          <cell r="AE184" t="str">
            <v>N</v>
          </cell>
        </row>
        <row r="185">
          <cell r="E185" t="str">
            <v>DT_RFRNC</v>
          </cell>
          <cell r="Z185" t="str">
            <v>Y</v>
          </cell>
          <cell r="AA185" t="str">
            <v>Y</v>
          </cell>
          <cell r="AB185" t="str">
            <v>Y</v>
          </cell>
          <cell r="AC185" t="str">
            <v>Y</v>
          </cell>
          <cell r="AD185" t="str">
            <v>Y</v>
          </cell>
          <cell r="AE185" t="str">
            <v>Y</v>
          </cell>
        </row>
        <row r="186">
          <cell r="E186" t="str">
            <v>INSTRMNT_ID</v>
          </cell>
          <cell r="Z186" t="str">
            <v>Y</v>
          </cell>
          <cell r="AA186" t="str">
            <v>Y</v>
          </cell>
          <cell r="AB186" t="str">
            <v>Y</v>
          </cell>
          <cell r="AC186" t="str">
            <v>Y</v>
          </cell>
          <cell r="AD186" t="str">
            <v>Y</v>
          </cell>
          <cell r="AE186" t="str">
            <v>Y</v>
          </cell>
        </row>
        <row r="187">
          <cell r="E187" t="str">
            <v>CNTRCT_ID</v>
          </cell>
          <cell r="Z187" t="str">
            <v>Y</v>
          </cell>
          <cell r="AA187" t="str">
            <v>N</v>
          </cell>
          <cell r="AB187" t="str">
            <v>N</v>
          </cell>
          <cell r="AC187" t="str">
            <v>N</v>
          </cell>
          <cell r="AD187" t="str">
            <v>N</v>
          </cell>
          <cell r="AE187" t="str">
            <v>N</v>
          </cell>
        </row>
        <row r="188">
          <cell r="E188" t="str">
            <v>CRRNCY_DNMNTN</v>
          </cell>
          <cell r="Z188" t="str">
            <v>Y</v>
          </cell>
          <cell r="AA188" t="str">
            <v>N</v>
          </cell>
          <cell r="AB188" t="str">
            <v>N</v>
          </cell>
          <cell r="AC188" t="str">
            <v>Y</v>
          </cell>
          <cell r="AD188" t="str">
            <v>N</v>
          </cell>
          <cell r="AE188" t="str">
            <v>Y</v>
          </cell>
        </row>
        <row r="189">
          <cell r="E189" t="str">
            <v>DT_INCPTN</v>
          </cell>
          <cell r="Z189" t="str">
            <v>Y</v>
          </cell>
          <cell r="AA189" t="str">
            <v>N</v>
          </cell>
          <cell r="AB189" t="str">
            <v>Y</v>
          </cell>
          <cell r="AC189" t="str">
            <v>Y</v>
          </cell>
          <cell r="AD189" t="str">
            <v>N</v>
          </cell>
          <cell r="AE189" t="str">
            <v>Y</v>
          </cell>
        </row>
        <row r="190">
          <cell r="E190" t="str">
            <v>OBSRVD_AGNT_ID</v>
          </cell>
          <cell r="Z190" t="str">
            <v>Y</v>
          </cell>
          <cell r="AA190" t="str">
            <v>N</v>
          </cell>
          <cell r="AB190" t="str">
            <v>N</v>
          </cell>
          <cell r="AC190" t="str">
            <v>N</v>
          </cell>
          <cell r="AD190" t="str">
            <v>N</v>
          </cell>
          <cell r="AE190" t="str">
            <v>Y</v>
          </cell>
        </row>
        <row r="191">
          <cell r="E191" t="str">
            <v>OBSRVD_AGNT_NM</v>
          </cell>
          <cell r="Z191" t="str">
            <v>Y</v>
          </cell>
          <cell r="AA191" t="str">
            <v>N</v>
          </cell>
          <cell r="AB191" t="str">
            <v>N</v>
          </cell>
          <cell r="AC191" t="str">
            <v>N</v>
          </cell>
          <cell r="AD191" t="str">
            <v>N</v>
          </cell>
          <cell r="AE191" t="str">
            <v>Y</v>
          </cell>
        </row>
        <row r="192">
          <cell r="E192" t="str">
            <v>PRDCT</v>
          </cell>
          <cell r="Z192" t="str">
            <v>Y</v>
          </cell>
          <cell r="AA192" t="str">
            <v>N</v>
          </cell>
          <cell r="AB192" t="str">
            <v>N</v>
          </cell>
          <cell r="AC192" t="str">
            <v>Y</v>
          </cell>
          <cell r="AD192" t="str">
            <v>N</v>
          </cell>
          <cell r="AE192" t="str">
            <v>N</v>
          </cell>
        </row>
        <row r="193">
          <cell r="E193" t="str">
            <v>BRCHD_CVNNTS</v>
          </cell>
          <cell r="Z193" t="str">
            <v>Y</v>
          </cell>
          <cell r="AA193" t="str">
            <v>N</v>
          </cell>
          <cell r="AB193" t="str">
            <v>N</v>
          </cell>
          <cell r="AC193" t="str">
            <v>N</v>
          </cell>
          <cell r="AD193" t="str">
            <v>N</v>
          </cell>
          <cell r="AE193" t="str">
            <v>Y</v>
          </cell>
        </row>
        <row r="194">
          <cell r="E194" t="str">
            <v>CHNNL_ORGNTN</v>
          </cell>
          <cell r="Z194" t="str">
            <v>Y</v>
          </cell>
          <cell r="AA194" t="str">
            <v>N</v>
          </cell>
          <cell r="AB194" t="str">
            <v>N</v>
          </cell>
          <cell r="AC194" t="str">
            <v>Y</v>
          </cell>
          <cell r="AD194" t="str">
            <v>N</v>
          </cell>
          <cell r="AE194" t="str">
            <v>N</v>
          </cell>
        </row>
        <row r="195">
          <cell r="E195" t="str">
            <v>CSH_SWP_TRP</v>
          </cell>
          <cell r="Z195" t="str">
            <v>Y</v>
          </cell>
          <cell r="AA195" t="str">
            <v>N</v>
          </cell>
          <cell r="AB195" t="str">
            <v>N</v>
          </cell>
          <cell r="AC195" t="str">
            <v>N</v>
          </cell>
          <cell r="AD195" t="str">
            <v>N</v>
          </cell>
          <cell r="AE195" t="str">
            <v>Y</v>
          </cell>
        </row>
        <row r="196">
          <cell r="E196" t="str">
            <v>CVNNT_STTS</v>
          </cell>
          <cell r="Z196" t="str">
            <v>Y</v>
          </cell>
          <cell r="AA196" t="str">
            <v>N</v>
          </cell>
          <cell r="AB196" t="str">
            <v>N</v>
          </cell>
          <cell r="AC196" t="str">
            <v>N</v>
          </cell>
          <cell r="AD196" t="str">
            <v>N</v>
          </cell>
          <cell r="AE196" t="str">
            <v>Y</v>
          </cell>
        </row>
        <row r="197">
          <cell r="E197" t="str">
            <v>CVNNT_TYP</v>
          </cell>
          <cell r="Z197" t="str">
            <v>Y</v>
          </cell>
          <cell r="AA197" t="str">
            <v>N</v>
          </cell>
          <cell r="AB197" t="str">
            <v>N</v>
          </cell>
          <cell r="AC197" t="str">
            <v>N</v>
          </cell>
          <cell r="AD197" t="str">
            <v>N</v>
          </cell>
          <cell r="AE197" t="str">
            <v>Y</v>
          </cell>
        </row>
        <row r="198">
          <cell r="E198" t="str">
            <v>DFLT_STTS_INSTRMNT</v>
          </cell>
          <cell r="Z198" t="str">
            <v>Y</v>
          </cell>
          <cell r="AA198" t="str">
            <v>Y</v>
          </cell>
          <cell r="AB198" t="str">
            <v>Y</v>
          </cell>
          <cell r="AC198" t="str">
            <v>Y</v>
          </cell>
          <cell r="AD198" t="str">
            <v>N</v>
          </cell>
          <cell r="AE198" t="str">
            <v>Y</v>
          </cell>
        </row>
        <row r="199">
          <cell r="E199" t="str">
            <v>DT_DFLT_STTS_INSTRMNT</v>
          </cell>
          <cell r="Z199" t="str">
            <v>Y</v>
          </cell>
          <cell r="AA199" t="str">
            <v>N</v>
          </cell>
          <cell r="AB199" t="str">
            <v>N</v>
          </cell>
          <cell r="AC199" t="str">
            <v>N</v>
          </cell>
          <cell r="AD199" t="str">
            <v>N</v>
          </cell>
          <cell r="AE199" t="str">
            <v>Y</v>
          </cell>
        </row>
        <row r="200">
          <cell r="E200" t="str">
            <v>DT_END_GP_PPAL</v>
          </cell>
          <cell r="Z200" t="str">
            <v>Y</v>
          </cell>
          <cell r="AA200" t="str">
            <v>N</v>
          </cell>
          <cell r="AB200" t="str">
            <v>N</v>
          </cell>
          <cell r="AC200" t="str">
            <v>N</v>
          </cell>
          <cell r="AD200" t="str">
            <v>N</v>
          </cell>
          <cell r="AE200" t="str">
            <v>N</v>
          </cell>
        </row>
        <row r="201">
          <cell r="E201" t="str">
            <v>DT_END_INTRST_ONLY</v>
          </cell>
          <cell r="Z201" t="str">
            <v>Y</v>
          </cell>
          <cell r="AA201" t="str">
            <v>N</v>
          </cell>
          <cell r="AB201" t="str">
            <v>N</v>
          </cell>
          <cell r="AC201" t="str">
            <v>N</v>
          </cell>
          <cell r="AD201" t="str">
            <v>N</v>
          </cell>
          <cell r="AE201" t="str">
            <v>N</v>
          </cell>
        </row>
        <row r="202">
          <cell r="E202" t="str">
            <v>DT_FRBRNC_STTS</v>
          </cell>
          <cell r="Z202" t="str">
            <v>Y</v>
          </cell>
          <cell r="AA202" t="str">
            <v>N</v>
          </cell>
          <cell r="AB202" t="str">
            <v>N</v>
          </cell>
          <cell r="AC202" t="str">
            <v>N</v>
          </cell>
          <cell r="AD202" t="str">
            <v>N</v>
          </cell>
          <cell r="AE202" t="str">
            <v>Y</v>
          </cell>
        </row>
        <row r="203">
          <cell r="E203" t="str">
            <v>DT_FRBRNC_STTS_PRVS</v>
          </cell>
          <cell r="Z203" t="str">
            <v>Y</v>
          </cell>
          <cell r="AA203" t="str">
            <v>N</v>
          </cell>
          <cell r="AB203" t="str">
            <v>N</v>
          </cell>
          <cell r="AC203" t="str">
            <v>N</v>
          </cell>
          <cell r="AD203" t="str">
            <v>N</v>
          </cell>
          <cell r="AE203" t="str">
            <v>N</v>
          </cell>
        </row>
        <row r="204">
          <cell r="E204" t="str">
            <v>DT_INTRNL_RTNG</v>
          </cell>
          <cell r="Z204" t="str">
            <v>Y</v>
          </cell>
          <cell r="AA204" t="str">
            <v>N</v>
          </cell>
          <cell r="AB204" t="str">
            <v>N</v>
          </cell>
          <cell r="AC204" t="str">
            <v>N</v>
          </cell>
          <cell r="AD204" t="str">
            <v>N</v>
          </cell>
          <cell r="AE204" t="str">
            <v>Y</v>
          </cell>
        </row>
        <row r="205">
          <cell r="E205" t="str">
            <v>DT_PRFRMNG_STTS</v>
          </cell>
          <cell r="Z205" t="str">
            <v>Y</v>
          </cell>
          <cell r="AA205" t="str">
            <v>N</v>
          </cell>
          <cell r="AB205" t="str">
            <v>N</v>
          </cell>
          <cell r="AC205" t="str">
            <v>N</v>
          </cell>
          <cell r="AD205" t="str">
            <v>N</v>
          </cell>
          <cell r="AE205" t="str">
            <v>Y</v>
          </cell>
        </row>
        <row r="206">
          <cell r="E206" t="str">
            <v>DT_PRFRMNG_STTS_PRVS</v>
          </cell>
          <cell r="Z206" t="str">
            <v>Y</v>
          </cell>
          <cell r="AA206" t="str">
            <v>N</v>
          </cell>
          <cell r="AB206" t="str">
            <v>N</v>
          </cell>
          <cell r="AC206" t="str">
            <v>N</v>
          </cell>
          <cell r="AD206" t="str">
            <v>N</v>
          </cell>
          <cell r="AE206" t="str">
            <v>Y</v>
          </cell>
        </row>
        <row r="207">
          <cell r="E207" t="str">
            <v>DT_STRT_INTRST_ONLY</v>
          </cell>
          <cell r="Z207" t="str">
            <v>Y</v>
          </cell>
          <cell r="AA207" t="str">
            <v>N</v>
          </cell>
          <cell r="AB207" t="str">
            <v>N</v>
          </cell>
          <cell r="AC207" t="str">
            <v>N</v>
          </cell>
          <cell r="AD207" t="str">
            <v>N</v>
          </cell>
          <cell r="AE207" t="str">
            <v>N</v>
          </cell>
        </row>
        <row r="208">
          <cell r="E208" t="str">
            <v>EXPSR_IN_SCP</v>
          </cell>
          <cell r="Z208" t="str">
            <v>Y</v>
          </cell>
          <cell r="AA208" t="str">
            <v>N</v>
          </cell>
          <cell r="AB208" t="str">
            <v>N</v>
          </cell>
          <cell r="AC208" t="str">
            <v>N</v>
          </cell>
          <cell r="AD208" t="str">
            <v>N</v>
          </cell>
          <cell r="AE208" t="str">
            <v>Y</v>
          </cell>
        </row>
        <row r="209">
          <cell r="E209" t="str">
            <v>FLD_SYNDCTN</v>
          </cell>
          <cell r="Z209" t="str">
            <v>Y</v>
          </cell>
          <cell r="AA209" t="str">
            <v>N</v>
          </cell>
          <cell r="AB209" t="str">
            <v>N</v>
          </cell>
          <cell r="AC209" t="str">
            <v>N</v>
          </cell>
          <cell r="AD209" t="str">
            <v>N</v>
          </cell>
          <cell r="AE209" t="str">
            <v>Y</v>
          </cell>
        </row>
        <row r="210">
          <cell r="E210" t="str">
            <v>FLG_LBO</v>
          </cell>
          <cell r="Z210" t="str">
            <v>Y</v>
          </cell>
          <cell r="AA210" t="str">
            <v>N</v>
          </cell>
          <cell r="AB210" t="str">
            <v>N</v>
          </cell>
          <cell r="AC210" t="str">
            <v>N</v>
          </cell>
          <cell r="AD210" t="str">
            <v>N</v>
          </cell>
          <cell r="AE210" t="str">
            <v>Y</v>
          </cell>
        </row>
        <row r="211">
          <cell r="E211" t="str">
            <v>FRBRNC_STTS_INSTRMNT</v>
          </cell>
          <cell r="Z211" t="str">
            <v>Y</v>
          </cell>
          <cell r="AA211" t="str">
            <v>N</v>
          </cell>
          <cell r="AB211" t="str">
            <v>Y</v>
          </cell>
          <cell r="AC211" t="str">
            <v>N</v>
          </cell>
          <cell r="AD211" t="str">
            <v>N</v>
          </cell>
          <cell r="AE211" t="str">
            <v>Y</v>
          </cell>
        </row>
        <row r="212">
          <cell r="E212" t="str">
            <v>IMPRMNT_STTS</v>
          </cell>
          <cell r="Z212" t="str">
            <v>Y</v>
          </cell>
          <cell r="AA212" t="str">
            <v>Y</v>
          </cell>
          <cell r="AB212" t="str">
            <v>Y</v>
          </cell>
          <cell r="AC212" t="str">
            <v>N</v>
          </cell>
          <cell r="AD212" t="str">
            <v>N</v>
          </cell>
          <cell r="AE212" t="str">
            <v>Y</v>
          </cell>
        </row>
        <row r="213">
          <cell r="E213" t="str">
            <v>IMPRMNT_STTS_PRVS</v>
          </cell>
          <cell r="Z213" t="str">
            <v>Y</v>
          </cell>
          <cell r="AA213" t="str">
            <v>N</v>
          </cell>
          <cell r="AB213" t="str">
            <v>N</v>
          </cell>
          <cell r="AC213" t="str">
            <v>N</v>
          </cell>
          <cell r="AD213" t="str">
            <v>N</v>
          </cell>
          <cell r="AE213" t="str">
            <v>Y</v>
          </cell>
        </row>
        <row r="214">
          <cell r="E214" t="str">
            <v>INTRNL_RTNG</v>
          </cell>
          <cell r="Z214" t="str">
            <v>Y</v>
          </cell>
          <cell r="AA214" t="str">
            <v>N</v>
          </cell>
          <cell r="AB214" t="str">
            <v>N</v>
          </cell>
          <cell r="AC214" t="str">
            <v>N</v>
          </cell>
          <cell r="AD214" t="str">
            <v>N</v>
          </cell>
          <cell r="AE214" t="str">
            <v>Y</v>
          </cell>
        </row>
        <row r="215">
          <cell r="E215" t="str">
            <v>INTRNL_RTNG_INCPTN</v>
          </cell>
          <cell r="Z215" t="str">
            <v>Y</v>
          </cell>
          <cell r="AA215" t="str">
            <v>N</v>
          </cell>
          <cell r="AB215" t="str">
            <v>N</v>
          </cell>
          <cell r="AC215" t="str">
            <v>N</v>
          </cell>
          <cell r="AD215" t="str">
            <v>N</v>
          </cell>
          <cell r="AE215" t="str">
            <v>Y</v>
          </cell>
        </row>
        <row r="216">
          <cell r="E216" t="str">
            <v>INTRNL_SGMNT</v>
          </cell>
          <cell r="Z216" t="str">
            <v>Y</v>
          </cell>
          <cell r="AA216" t="str">
            <v>N</v>
          </cell>
          <cell r="AB216" t="str">
            <v>N</v>
          </cell>
          <cell r="AC216" t="str">
            <v>N</v>
          </cell>
          <cell r="AD216" t="str">
            <v>Y</v>
          </cell>
          <cell r="AE216" t="str">
            <v>Y</v>
          </cell>
        </row>
        <row r="217">
          <cell r="E217" t="str">
            <v>INTRNL_UNT</v>
          </cell>
          <cell r="Z217" t="str">
            <v>Y</v>
          </cell>
          <cell r="AA217" t="str">
            <v>N</v>
          </cell>
          <cell r="AB217" t="str">
            <v>N</v>
          </cell>
          <cell r="AC217" t="str">
            <v>N</v>
          </cell>
          <cell r="AD217" t="str">
            <v>N</v>
          </cell>
          <cell r="AE217" t="str">
            <v>Y</v>
          </cell>
        </row>
        <row r="218">
          <cell r="E218" t="str">
            <v>LCRE</v>
          </cell>
          <cell r="Z218" t="str">
            <v>Y</v>
          </cell>
          <cell r="AA218" t="str">
            <v>N</v>
          </cell>
          <cell r="AB218" t="str">
            <v>N</v>
          </cell>
          <cell r="AC218" t="str">
            <v>N</v>
          </cell>
          <cell r="AD218" t="str">
            <v>N</v>
          </cell>
          <cell r="AE218" t="str">
            <v>N</v>
          </cell>
        </row>
        <row r="219">
          <cell r="E219" t="str">
            <v>LGL_PRCDNG_STTS</v>
          </cell>
          <cell r="Z219" t="str">
            <v>Y</v>
          </cell>
          <cell r="AA219" t="str">
            <v>N</v>
          </cell>
          <cell r="AB219" t="str">
            <v>N</v>
          </cell>
          <cell r="AC219" t="str">
            <v>N</v>
          </cell>
          <cell r="AD219" t="str">
            <v>N</v>
          </cell>
          <cell r="AE219" t="str">
            <v>N</v>
          </cell>
        </row>
        <row r="220">
          <cell r="E220" t="str">
            <v>LND_DRGTN</v>
          </cell>
          <cell r="Z220" t="str">
            <v>Y</v>
          </cell>
          <cell r="AA220" t="str">
            <v>N</v>
          </cell>
          <cell r="AB220" t="str">
            <v>N</v>
          </cell>
          <cell r="AC220" t="str">
            <v>N</v>
          </cell>
          <cell r="AD220" t="str">
            <v>N</v>
          </cell>
          <cell r="AE220" t="str">
            <v>N</v>
          </cell>
        </row>
        <row r="221">
          <cell r="E221" t="str">
            <v>POCI</v>
          </cell>
          <cell r="Z221" t="str">
            <v>Y</v>
          </cell>
          <cell r="AA221" t="str">
            <v>N</v>
          </cell>
          <cell r="AB221" t="str">
            <v>N</v>
          </cell>
          <cell r="AC221" t="str">
            <v>N</v>
          </cell>
          <cell r="AD221" t="str">
            <v>N</v>
          </cell>
          <cell r="AE221" t="str">
            <v>N</v>
          </cell>
        </row>
        <row r="222">
          <cell r="E222" t="str">
            <v>PRFRMNG_STTS</v>
          </cell>
          <cell r="Z222" t="str">
            <v>Y</v>
          </cell>
          <cell r="AA222" t="str">
            <v>Y</v>
          </cell>
          <cell r="AB222" t="str">
            <v>Y</v>
          </cell>
          <cell r="AC222" t="str">
            <v>N</v>
          </cell>
          <cell r="AD222" t="str">
            <v>N</v>
          </cell>
          <cell r="AE222" t="str">
            <v>Y</v>
          </cell>
        </row>
        <row r="223">
          <cell r="E223" t="str">
            <v>PRFRMNG_STTS_PRVS</v>
          </cell>
          <cell r="Z223" t="str">
            <v>Y</v>
          </cell>
          <cell r="AA223" t="str">
            <v>N</v>
          </cell>
          <cell r="AB223" t="str">
            <v>N</v>
          </cell>
          <cell r="AC223" t="str">
            <v>N</v>
          </cell>
          <cell r="AD223" t="str">
            <v>N</v>
          </cell>
          <cell r="AE223" t="str">
            <v>Y</v>
          </cell>
        </row>
        <row r="224">
          <cell r="E224" t="str">
            <v>PRJCT_FNNC_LN</v>
          </cell>
          <cell r="Z224" t="str">
            <v>Y</v>
          </cell>
          <cell r="AA224" t="str">
            <v>N</v>
          </cell>
          <cell r="AB224" t="str">
            <v>Y</v>
          </cell>
          <cell r="AC224" t="str">
            <v>N</v>
          </cell>
          <cell r="AD224" t="str">
            <v>N</v>
          </cell>
          <cell r="AE224" t="str">
            <v>N</v>
          </cell>
        </row>
        <row r="225">
          <cell r="E225" t="str">
            <v>PRPS</v>
          </cell>
          <cell r="Z225" t="str">
            <v>Y</v>
          </cell>
          <cell r="AA225" t="str">
            <v>N</v>
          </cell>
          <cell r="AB225" t="str">
            <v>N</v>
          </cell>
          <cell r="AC225" t="str">
            <v>N</v>
          </cell>
          <cell r="AD225" t="str">
            <v>N</v>
          </cell>
          <cell r="AE225" t="str">
            <v>Y</v>
          </cell>
        </row>
        <row r="226">
          <cell r="E226" t="str">
            <v>PYMNT_INTRST_ONLY</v>
          </cell>
          <cell r="Z226" t="str">
            <v>Y</v>
          </cell>
          <cell r="AA226" t="str">
            <v>N</v>
          </cell>
          <cell r="AB226" t="str">
            <v>N</v>
          </cell>
          <cell r="AC226" t="str">
            <v>N</v>
          </cell>
          <cell r="AD226" t="str">
            <v>N</v>
          </cell>
          <cell r="AE226" t="str">
            <v>Y</v>
          </cell>
        </row>
        <row r="227">
          <cell r="E227" t="str">
            <v>RCRS</v>
          </cell>
          <cell r="Z227" t="str">
            <v>Y</v>
          </cell>
          <cell r="AA227" t="str">
            <v>N</v>
          </cell>
          <cell r="AB227" t="str">
            <v>N</v>
          </cell>
          <cell r="AC227" t="str">
            <v>N</v>
          </cell>
          <cell r="AD227" t="str">
            <v>N</v>
          </cell>
          <cell r="AE227" t="str">
            <v>N</v>
          </cell>
        </row>
        <row r="228">
          <cell r="E228" t="str">
            <v>RFNNC_PRPS</v>
          </cell>
          <cell r="Z228" t="str">
            <v>Y</v>
          </cell>
          <cell r="AA228" t="str">
            <v>N</v>
          </cell>
          <cell r="AB228" t="str">
            <v>N</v>
          </cell>
          <cell r="AC228" t="str">
            <v>N</v>
          </cell>
          <cell r="AD228" t="str">
            <v>N</v>
          </cell>
          <cell r="AE228" t="str">
            <v>N</v>
          </cell>
        </row>
        <row r="229">
          <cell r="E229" t="str">
            <v>SPCLTV_LNDNG</v>
          </cell>
          <cell r="Z229" t="str">
            <v>Y</v>
          </cell>
          <cell r="AA229" t="str">
            <v>N</v>
          </cell>
          <cell r="AB229" t="str">
            <v>N</v>
          </cell>
          <cell r="AC229" t="str">
            <v>N</v>
          </cell>
          <cell r="AD229" t="str">
            <v>N</v>
          </cell>
          <cell r="AE229" t="str">
            <v>N</v>
          </cell>
        </row>
        <row r="230">
          <cell r="E230" t="str">
            <v>STTS_UNDRWRTTN_TRNSCTN</v>
          </cell>
          <cell r="Z230" t="str">
            <v>Y</v>
          </cell>
          <cell r="AA230" t="str">
            <v>N</v>
          </cell>
          <cell r="AB230" t="str">
            <v>N</v>
          </cell>
          <cell r="AC230" t="str">
            <v>N</v>
          </cell>
          <cell r="AD230" t="str">
            <v>N</v>
          </cell>
          <cell r="AE230" t="str">
            <v>Y</v>
          </cell>
        </row>
        <row r="231">
          <cell r="E231" t="str">
            <v>TRNCH</v>
          </cell>
          <cell r="Z231" t="str">
            <v>Y</v>
          </cell>
          <cell r="AA231" t="str">
            <v>N</v>
          </cell>
          <cell r="AB231" t="str">
            <v>N</v>
          </cell>
          <cell r="AC231" t="str">
            <v>N</v>
          </cell>
          <cell r="AD231" t="str">
            <v>N</v>
          </cell>
          <cell r="AE231" t="str">
            <v>Y</v>
          </cell>
        </row>
        <row r="232">
          <cell r="E232" t="str">
            <v>TYP_AMRTSTN</v>
          </cell>
          <cell r="Z232" t="str">
            <v>Y</v>
          </cell>
          <cell r="AA232" t="str">
            <v>N</v>
          </cell>
          <cell r="AB232" t="str">
            <v>N</v>
          </cell>
          <cell r="AC232" t="str">
            <v>N</v>
          </cell>
          <cell r="AD232" t="str">
            <v>N</v>
          </cell>
          <cell r="AE232" t="str">
            <v>Y</v>
          </cell>
        </row>
        <row r="233">
          <cell r="E233" t="str">
            <v>TYP_INSTRMNT</v>
          </cell>
          <cell r="Z233" t="str">
            <v>Y</v>
          </cell>
          <cell r="AA233" t="str">
            <v>Y</v>
          </cell>
          <cell r="AB233" t="str">
            <v>Y</v>
          </cell>
          <cell r="AC233" t="str">
            <v>N</v>
          </cell>
          <cell r="AD233" t="str">
            <v>N</v>
          </cell>
          <cell r="AE233" t="str">
            <v>Y</v>
          </cell>
        </row>
        <row r="234">
          <cell r="E234" t="str">
            <v>TYP_INTRST_RT</v>
          </cell>
          <cell r="Z234" t="str">
            <v>Y</v>
          </cell>
          <cell r="AA234" t="str">
            <v>N</v>
          </cell>
          <cell r="AB234" t="str">
            <v>N</v>
          </cell>
          <cell r="AC234" t="str">
            <v>N</v>
          </cell>
          <cell r="AD234" t="str">
            <v>N</v>
          </cell>
          <cell r="AE234" t="str">
            <v>N</v>
          </cell>
        </row>
        <row r="235">
          <cell r="E235" t="str">
            <v>TYP_MRTGG</v>
          </cell>
          <cell r="Z235" t="str">
            <v>Y</v>
          </cell>
          <cell r="AA235" t="str">
            <v>N</v>
          </cell>
          <cell r="AB235" t="str">
            <v>N</v>
          </cell>
          <cell r="AC235" t="str">
            <v>N</v>
          </cell>
          <cell r="AD235" t="str">
            <v>N</v>
          </cell>
          <cell r="AE235" t="str">
            <v>N</v>
          </cell>
        </row>
        <row r="236">
          <cell r="E236" t="str">
            <v>TYP_CRE_OPRTN</v>
          </cell>
          <cell r="Z236" t="str">
            <v>Y</v>
          </cell>
          <cell r="AA236" t="str">
            <v>N</v>
          </cell>
          <cell r="AB236" t="str">
            <v>N</v>
          </cell>
          <cell r="AC236" t="str">
            <v>N</v>
          </cell>
          <cell r="AD236" t="str">
            <v>N</v>
          </cell>
          <cell r="AE236" t="str">
            <v>N</v>
          </cell>
        </row>
        <row r="237">
          <cell r="E237" t="str">
            <v>DT_STRT_GP_PPAL</v>
          </cell>
          <cell r="Z237" t="str">
            <v>Y</v>
          </cell>
          <cell r="AA237" t="str">
            <v>N</v>
          </cell>
          <cell r="AB237" t="str">
            <v>N</v>
          </cell>
          <cell r="AC237" t="str">
            <v>N</v>
          </cell>
          <cell r="AD237" t="str">
            <v>N</v>
          </cell>
          <cell r="AE237" t="str">
            <v>N</v>
          </cell>
        </row>
        <row r="238">
          <cell r="E238" t="str">
            <v>GRSS_CRRYNG_AMNT_INSTRMNT</v>
          </cell>
          <cell r="Z238" t="str">
            <v>Y</v>
          </cell>
          <cell r="AA238" t="str">
            <v>Y</v>
          </cell>
          <cell r="AB238" t="str">
            <v>Y</v>
          </cell>
          <cell r="AC238" t="str">
            <v>Y</v>
          </cell>
          <cell r="AD238" t="str">
            <v>Y</v>
          </cell>
          <cell r="AE238" t="str">
            <v>Y</v>
          </cell>
        </row>
        <row r="239">
          <cell r="E239" t="str">
            <v>ACCMLTD_CHNGS_FV_CR_INSTRMNT</v>
          </cell>
          <cell r="Z239" t="str">
            <v>Y</v>
          </cell>
          <cell r="AA239" t="str">
            <v>Y</v>
          </cell>
          <cell r="AB239" t="str">
            <v>Y</v>
          </cell>
          <cell r="AC239" t="str">
            <v>Y</v>
          </cell>
          <cell r="AD239" t="str">
            <v>N</v>
          </cell>
          <cell r="AE239" t="str">
            <v>Y</v>
          </cell>
        </row>
        <row r="240">
          <cell r="E240" t="str">
            <v>ACCNTNG_CLSSFCTN</v>
          </cell>
          <cell r="Z240" t="str">
            <v>Y</v>
          </cell>
          <cell r="AA240" t="str">
            <v>Y</v>
          </cell>
          <cell r="AB240" t="str">
            <v>Y</v>
          </cell>
          <cell r="AC240" t="str">
            <v>N</v>
          </cell>
          <cell r="AD240" t="str">
            <v>N</v>
          </cell>
          <cell r="AE240" t="str">
            <v>Y</v>
          </cell>
        </row>
        <row r="241">
          <cell r="E241" t="str">
            <v>ACCRD_INTRST_INSTRMNT</v>
          </cell>
          <cell r="Z241" t="str">
            <v>Y</v>
          </cell>
          <cell r="AA241" t="str">
            <v>N</v>
          </cell>
          <cell r="AB241" t="str">
            <v>N</v>
          </cell>
          <cell r="AC241" t="str">
            <v>N</v>
          </cell>
          <cell r="AD241" t="str">
            <v>N</v>
          </cell>
          <cell r="AE241" t="str">
            <v>Y</v>
          </cell>
        </row>
        <row r="242">
          <cell r="E242" t="str">
            <v>AMNT_D_AT_MTRTY</v>
          </cell>
          <cell r="Z242" t="str">
            <v>Y</v>
          </cell>
          <cell r="AA242" t="str">
            <v>N</v>
          </cell>
          <cell r="AB242" t="str">
            <v>N</v>
          </cell>
          <cell r="AC242" t="str">
            <v>N</v>
          </cell>
          <cell r="AD242" t="str">
            <v>N</v>
          </cell>
          <cell r="AE242" t="str">
            <v>Y</v>
          </cell>
        </row>
        <row r="243">
          <cell r="E243" t="str">
            <v>CCF</v>
          </cell>
          <cell r="Z243" t="str">
            <v>Y</v>
          </cell>
          <cell r="AA243" t="str">
            <v>Y</v>
          </cell>
          <cell r="AB243" t="str">
            <v>N</v>
          </cell>
          <cell r="AC243" t="str">
            <v>N</v>
          </cell>
          <cell r="AD243" t="str">
            <v>N</v>
          </cell>
          <cell r="AE243" t="str">
            <v>Y</v>
          </cell>
        </row>
        <row r="244">
          <cell r="E244" t="str">
            <v>CMMTMNT_INCPTN_INSTRMNT</v>
          </cell>
          <cell r="Z244" t="str">
            <v>Y</v>
          </cell>
          <cell r="AA244" t="str">
            <v>N</v>
          </cell>
          <cell r="AB244" t="str">
            <v>N</v>
          </cell>
          <cell r="AC244" t="str">
            <v>Y</v>
          </cell>
          <cell r="AD244" t="str">
            <v>N</v>
          </cell>
          <cell r="AE244" t="str">
            <v>Y</v>
          </cell>
        </row>
        <row r="245">
          <cell r="E245" t="str">
            <v>CMMTMNT_INSTRMNT</v>
          </cell>
          <cell r="Z245" t="str">
            <v>Y</v>
          </cell>
          <cell r="AA245" t="str">
            <v>N</v>
          </cell>
          <cell r="AB245" t="str">
            <v>N</v>
          </cell>
          <cell r="AC245" t="str">
            <v>Y</v>
          </cell>
          <cell r="AD245" t="str">
            <v>N</v>
          </cell>
          <cell r="AE245" t="str">
            <v>Y</v>
          </cell>
        </row>
        <row r="246">
          <cell r="E246" t="str">
            <v>CRRYNG_AMNT_INSTRMNT</v>
          </cell>
          <cell r="Z246" t="str">
            <v>Y</v>
          </cell>
          <cell r="AA246" t="str">
            <v>N</v>
          </cell>
          <cell r="AB246" t="str">
            <v>N</v>
          </cell>
          <cell r="AC246" t="str">
            <v>N</v>
          </cell>
          <cell r="AD246" t="str">
            <v>N</v>
          </cell>
          <cell r="AE246" t="str">
            <v>Y</v>
          </cell>
        </row>
        <row r="247">
          <cell r="E247" t="str">
            <v>DBT_YLD</v>
          </cell>
          <cell r="Z247" t="str">
            <v>Y</v>
          </cell>
          <cell r="AA247" t="str">
            <v>N</v>
          </cell>
          <cell r="AB247" t="str">
            <v>N</v>
          </cell>
          <cell r="AC247" t="str">
            <v>N</v>
          </cell>
          <cell r="AD247" t="str">
            <v>N</v>
          </cell>
          <cell r="AE247" t="str">
            <v>N</v>
          </cell>
        </row>
        <row r="248">
          <cell r="E248" t="str">
            <v>DT_LGL_FNL_MTRTY</v>
          </cell>
          <cell r="Z248" t="str">
            <v>Y</v>
          </cell>
          <cell r="AA248" t="str">
            <v>N</v>
          </cell>
          <cell r="AB248" t="str">
            <v>Y</v>
          </cell>
          <cell r="AC248" t="str">
            <v>Y</v>
          </cell>
          <cell r="AD248" t="str">
            <v>N</v>
          </cell>
          <cell r="AE248" t="str">
            <v>Y</v>
          </cell>
        </row>
        <row r="249">
          <cell r="E249" t="str">
            <v>DT_NXT_INTRST_RT_RST</v>
          </cell>
          <cell r="Z249" t="str">
            <v>Y</v>
          </cell>
          <cell r="AA249" t="str">
            <v>N</v>
          </cell>
          <cell r="AB249" t="str">
            <v>N</v>
          </cell>
          <cell r="AC249" t="str">
            <v>N</v>
          </cell>
          <cell r="AD249" t="str">
            <v>N</v>
          </cell>
          <cell r="AE249" t="str">
            <v>N</v>
          </cell>
        </row>
        <row r="250">
          <cell r="E250" t="str">
            <v>DT_ORGNL_MTRTY</v>
          </cell>
          <cell r="Z250" t="str">
            <v>Y</v>
          </cell>
          <cell r="AA250" t="str">
            <v>N</v>
          </cell>
          <cell r="AB250" t="str">
            <v>Y</v>
          </cell>
          <cell r="AC250" t="str">
            <v>Y</v>
          </cell>
          <cell r="AD250" t="str">
            <v>N</v>
          </cell>
          <cell r="AE250" t="str">
            <v>Y</v>
          </cell>
        </row>
        <row r="251">
          <cell r="E251" t="str">
            <v>IFRS9_BHVRL_MTRTY</v>
          </cell>
          <cell r="Z251" t="str">
            <v>Y</v>
          </cell>
          <cell r="AA251" t="str">
            <v>N</v>
          </cell>
          <cell r="AB251" t="str">
            <v>N</v>
          </cell>
          <cell r="AC251" t="str">
            <v>N</v>
          </cell>
          <cell r="AD251" t="str">
            <v>N</v>
          </cell>
          <cell r="AE251" t="str">
            <v>Y</v>
          </cell>
        </row>
        <row r="252">
          <cell r="E252" t="str">
            <v>EAD</v>
          </cell>
          <cell r="Z252" t="str">
            <v>Y</v>
          </cell>
          <cell r="AA252" t="str">
            <v>Y</v>
          </cell>
          <cell r="AB252" t="str">
            <v>N</v>
          </cell>
          <cell r="AC252" t="str">
            <v>N</v>
          </cell>
          <cell r="AD252" t="str">
            <v>Y</v>
          </cell>
          <cell r="AE252" t="str">
            <v>Y</v>
          </cell>
        </row>
        <row r="253">
          <cell r="E253" t="str">
            <v>IFRS9_CCF</v>
          </cell>
          <cell r="Z253" t="str">
            <v>Y</v>
          </cell>
          <cell r="AA253" t="str">
            <v>N</v>
          </cell>
          <cell r="AB253" t="str">
            <v>N</v>
          </cell>
          <cell r="AC253" t="str">
            <v>N</v>
          </cell>
          <cell r="AD253" t="str">
            <v>N</v>
          </cell>
          <cell r="AE253" t="str">
            <v>N</v>
          </cell>
        </row>
        <row r="254">
          <cell r="E254" t="str">
            <v>IFRS9_EAD</v>
          </cell>
          <cell r="Z254" t="str">
            <v>Y</v>
          </cell>
          <cell r="AA254" t="str">
            <v>N</v>
          </cell>
          <cell r="AB254" t="str">
            <v>N</v>
          </cell>
          <cell r="AC254" t="str">
            <v>N</v>
          </cell>
          <cell r="AD254" t="str">
            <v>N</v>
          </cell>
          <cell r="AE254" t="str">
            <v>N</v>
          </cell>
        </row>
        <row r="255">
          <cell r="E255" t="str">
            <v>INSTLMNT_PAY</v>
          </cell>
          <cell r="Z255" t="str">
            <v>Y</v>
          </cell>
          <cell r="AA255" t="str">
            <v>N</v>
          </cell>
          <cell r="AB255" t="str">
            <v>N</v>
          </cell>
          <cell r="AC255" t="str">
            <v>N</v>
          </cell>
          <cell r="AD255" t="str">
            <v>N</v>
          </cell>
          <cell r="AE255" t="str">
            <v>N</v>
          </cell>
        </row>
        <row r="256">
          <cell r="E256" t="str">
            <v>OFF_BLNC_SHT_AMNT_INSTRMNT</v>
          </cell>
          <cell r="Z256" t="str">
            <v>Y</v>
          </cell>
          <cell r="AA256" t="str">
            <v>Y</v>
          </cell>
          <cell r="AB256" t="str">
            <v>N</v>
          </cell>
          <cell r="AC256" t="str">
            <v>Y</v>
          </cell>
          <cell r="AD256" t="str">
            <v>Y</v>
          </cell>
          <cell r="AE256" t="str">
            <v>Y</v>
          </cell>
        </row>
        <row r="257">
          <cell r="E257" t="str">
            <v>OFF_BLNC_SHT_AMNT_INSTRMNT_PRVS</v>
          </cell>
          <cell r="Z257" t="str">
            <v>Y</v>
          </cell>
          <cell r="AA257" t="str">
            <v>N</v>
          </cell>
          <cell r="AB257" t="str">
            <v>N</v>
          </cell>
          <cell r="AC257" t="str">
            <v>N</v>
          </cell>
          <cell r="AD257" t="str">
            <v>N</v>
          </cell>
          <cell r="AE257" t="str">
            <v>N</v>
          </cell>
        </row>
        <row r="258">
          <cell r="E258" t="str">
            <v>OTSTNDNG_NMNL_AMNT_INSTRMNT</v>
          </cell>
          <cell r="Z258" t="str">
            <v>Y</v>
          </cell>
          <cell r="AA258" t="str">
            <v>N</v>
          </cell>
          <cell r="AB258" t="str">
            <v>N</v>
          </cell>
          <cell r="AC258" t="str">
            <v>N</v>
          </cell>
          <cell r="AD258" t="str">
            <v>N</v>
          </cell>
          <cell r="AE258" t="str">
            <v>Y</v>
          </cell>
        </row>
        <row r="259">
          <cell r="E259" t="str">
            <v>OTSTNDNG_NMNL_AMNT_INSTRMNT_PRVS</v>
          </cell>
          <cell r="Z259" t="str">
            <v>Y</v>
          </cell>
          <cell r="AA259" t="str">
            <v>N</v>
          </cell>
          <cell r="AB259" t="str">
            <v>N</v>
          </cell>
          <cell r="AC259" t="str">
            <v>N</v>
          </cell>
          <cell r="AD259" t="str">
            <v>N</v>
          </cell>
          <cell r="AE259" t="str">
            <v>N</v>
          </cell>
        </row>
        <row r="260">
          <cell r="E260" t="str">
            <v>PRVSNS_OFF_BLNC_SHT</v>
          </cell>
          <cell r="Z260" t="str">
            <v>Y</v>
          </cell>
          <cell r="AA260" t="str">
            <v>Y</v>
          </cell>
          <cell r="AB260" t="str">
            <v>N</v>
          </cell>
          <cell r="AC260" t="str">
            <v>Y</v>
          </cell>
          <cell r="AD260" t="str">
            <v>N</v>
          </cell>
          <cell r="AE260" t="str">
            <v>Y</v>
          </cell>
        </row>
        <row r="261">
          <cell r="E261" t="str">
            <v>PYMNT_FRQNCY</v>
          </cell>
          <cell r="Z261" t="str">
            <v>Y</v>
          </cell>
          <cell r="AA261" t="str">
            <v>N</v>
          </cell>
          <cell r="AB261" t="str">
            <v>N</v>
          </cell>
          <cell r="AC261" t="str">
            <v>N</v>
          </cell>
          <cell r="AD261" t="str">
            <v>N</v>
          </cell>
          <cell r="AE261" t="str">
            <v>N</v>
          </cell>
        </row>
        <row r="262">
          <cell r="E262" t="str">
            <v>RTNTN_SHR</v>
          </cell>
          <cell r="Z262" t="str">
            <v>Y</v>
          </cell>
          <cell r="AA262" t="str">
            <v>N</v>
          </cell>
          <cell r="AB262" t="str">
            <v>N</v>
          </cell>
          <cell r="AC262" t="str">
            <v>N</v>
          </cell>
          <cell r="AD262" t="str">
            <v>N</v>
          </cell>
          <cell r="AE262" t="str">
            <v>Y</v>
          </cell>
        </row>
        <row r="263">
          <cell r="E263" t="str">
            <v>RWA</v>
          </cell>
          <cell r="Z263" t="str">
            <v>Y</v>
          </cell>
          <cell r="AA263" t="str">
            <v>Y</v>
          </cell>
          <cell r="AB263" t="str">
            <v>Y</v>
          </cell>
          <cell r="AC263" t="str">
            <v>Y</v>
          </cell>
          <cell r="AD263" t="str">
            <v>N</v>
          </cell>
          <cell r="AE263" t="str">
            <v>Y</v>
          </cell>
        </row>
        <row r="264">
          <cell r="E264" t="str">
            <v>RWA_MTHD</v>
          </cell>
          <cell r="Z264" t="str">
            <v>Y</v>
          </cell>
          <cell r="AA264" t="str">
            <v>N</v>
          </cell>
          <cell r="AB264" t="str">
            <v>N</v>
          </cell>
          <cell r="AC264" t="str">
            <v>N</v>
          </cell>
          <cell r="AD264" t="str">
            <v>N</v>
          </cell>
          <cell r="AE264" t="str">
            <v>Y</v>
          </cell>
        </row>
        <row r="265">
          <cell r="E265" t="str">
            <v>SPNSR_NM</v>
          </cell>
          <cell r="Z265" t="str">
            <v>Y</v>
          </cell>
          <cell r="AA265" t="str">
            <v>N</v>
          </cell>
          <cell r="AB265" t="str">
            <v>N</v>
          </cell>
          <cell r="AC265" t="str">
            <v>N</v>
          </cell>
          <cell r="AD265" t="str">
            <v>N</v>
          </cell>
          <cell r="AE265" t="str">
            <v>Y</v>
          </cell>
        </row>
        <row r="266">
          <cell r="E266" t="str">
            <v>ACCMLTD_IMPRMNT_INSTRMNT</v>
          </cell>
          <cell r="Z266" t="str">
            <v>Y</v>
          </cell>
          <cell r="AA266" t="str">
            <v>Y</v>
          </cell>
          <cell r="AB266" t="str">
            <v>Y</v>
          </cell>
          <cell r="AC266" t="str">
            <v>Y</v>
          </cell>
          <cell r="AD266" t="str">
            <v>N</v>
          </cell>
          <cell r="AE266" t="str">
            <v>Y</v>
          </cell>
        </row>
        <row r="267">
          <cell r="E267" t="str">
            <v>ACCMLTD_IMPRMNT_INSTRMNT_PRVS</v>
          </cell>
          <cell r="Z267" t="str">
            <v>Y</v>
          </cell>
          <cell r="AA267" t="str">
            <v>N</v>
          </cell>
          <cell r="AB267" t="str">
            <v>N</v>
          </cell>
          <cell r="AC267" t="str">
            <v>N</v>
          </cell>
          <cell r="AD267" t="str">
            <v>N</v>
          </cell>
          <cell r="AE267" t="str">
            <v>Y</v>
          </cell>
        </row>
        <row r="268">
          <cell r="E268" t="str">
            <v>ACCMLTD_WRTFFS_INSTRMNT</v>
          </cell>
          <cell r="Z268" t="str">
            <v>Y</v>
          </cell>
          <cell r="AA268" t="str">
            <v>N</v>
          </cell>
          <cell r="AB268" t="str">
            <v>N</v>
          </cell>
          <cell r="AC268" t="str">
            <v>N</v>
          </cell>
          <cell r="AD268" t="str">
            <v>N</v>
          </cell>
          <cell r="AE268" t="str">
            <v>Y</v>
          </cell>
        </row>
        <row r="269">
          <cell r="E269" t="str">
            <v>ARRRS_INSTRMNT</v>
          </cell>
          <cell r="Z269" t="str">
            <v>Y</v>
          </cell>
          <cell r="AA269" t="str">
            <v>N</v>
          </cell>
          <cell r="AB269" t="str">
            <v>N</v>
          </cell>
          <cell r="AC269" t="str">
            <v>N</v>
          </cell>
          <cell r="AD269" t="str">
            <v>N</v>
          </cell>
          <cell r="AE269" t="str">
            <v>Y</v>
          </cell>
        </row>
        <row r="270">
          <cell r="E270" t="str">
            <v>ARRRS_INSTRMNT_12M</v>
          </cell>
          <cell r="Z270" t="str">
            <v>Y</v>
          </cell>
          <cell r="AA270" t="str">
            <v>N</v>
          </cell>
          <cell r="AB270" t="str">
            <v>N</v>
          </cell>
          <cell r="AC270" t="str">
            <v>N</v>
          </cell>
          <cell r="AD270" t="str">
            <v>N</v>
          </cell>
          <cell r="AE270" t="str">
            <v>N</v>
          </cell>
        </row>
        <row r="271">
          <cell r="E271" t="str">
            <v>CMLTV_RCVRS_SNC_DFLT_INSTRMNT</v>
          </cell>
          <cell r="Z271" t="str">
            <v>Y</v>
          </cell>
          <cell r="AA271" t="str">
            <v>N</v>
          </cell>
          <cell r="AB271" t="str">
            <v>N</v>
          </cell>
          <cell r="AC271" t="str">
            <v>N</v>
          </cell>
          <cell r="AD271" t="str">
            <v>N</v>
          </cell>
          <cell r="AE271" t="str">
            <v>N</v>
          </cell>
        </row>
        <row r="272">
          <cell r="E272" t="str">
            <v>DPD</v>
          </cell>
          <cell r="Z272" t="str">
            <v>Y</v>
          </cell>
          <cell r="AA272" t="str">
            <v>N</v>
          </cell>
          <cell r="AB272" t="str">
            <v>N</v>
          </cell>
          <cell r="AC272" t="str">
            <v>N</v>
          </cell>
          <cell r="AD272" t="str">
            <v>N</v>
          </cell>
          <cell r="AE272" t="str">
            <v>Y</v>
          </cell>
        </row>
        <row r="273">
          <cell r="E273" t="str">
            <v>DPD_12M</v>
          </cell>
          <cell r="Z273" t="str">
            <v>Y</v>
          </cell>
          <cell r="AA273" t="str">
            <v>N</v>
          </cell>
          <cell r="AB273" t="str">
            <v>N</v>
          </cell>
          <cell r="AC273" t="str">
            <v>N</v>
          </cell>
          <cell r="AD273" t="str">
            <v>N</v>
          </cell>
          <cell r="AE273" t="str">
            <v>N</v>
          </cell>
        </row>
        <row r="274">
          <cell r="E274" t="str">
            <v>DPD_12M_FRBRNC_STTS</v>
          </cell>
          <cell r="Z274" t="str">
            <v>Y</v>
          </cell>
          <cell r="AA274" t="str">
            <v>N</v>
          </cell>
          <cell r="AB274" t="str">
            <v>N</v>
          </cell>
          <cell r="AC274" t="str">
            <v>N</v>
          </cell>
          <cell r="AD274" t="str">
            <v>N</v>
          </cell>
          <cell r="AE274" t="str">
            <v>N</v>
          </cell>
        </row>
        <row r="275">
          <cell r="E275" t="str">
            <v>DPD_12M_PRFRMNG_STTS</v>
          </cell>
          <cell r="Z275" t="str">
            <v>Y</v>
          </cell>
          <cell r="AA275" t="str">
            <v>N</v>
          </cell>
          <cell r="AB275" t="str">
            <v>N</v>
          </cell>
          <cell r="AC275" t="str">
            <v>N</v>
          </cell>
          <cell r="AD275" t="str">
            <v>N</v>
          </cell>
          <cell r="AE275" t="str">
            <v>N</v>
          </cell>
        </row>
        <row r="276">
          <cell r="E276" t="str">
            <v>DPD_24M_FRBRNC_STTS</v>
          </cell>
          <cell r="Z276" t="str">
            <v>Y</v>
          </cell>
          <cell r="AA276" t="str">
            <v>N</v>
          </cell>
          <cell r="AB276" t="str">
            <v>N</v>
          </cell>
          <cell r="AC276" t="str">
            <v>N</v>
          </cell>
          <cell r="AD276" t="str">
            <v>N</v>
          </cell>
          <cell r="AE276" t="str">
            <v>N</v>
          </cell>
        </row>
        <row r="277">
          <cell r="E277" t="str">
            <v>DPD_24M_PRFRMNG_STTS</v>
          </cell>
          <cell r="Z277" t="str">
            <v>Y</v>
          </cell>
          <cell r="AA277" t="str">
            <v>N</v>
          </cell>
          <cell r="AB277" t="str">
            <v>N</v>
          </cell>
          <cell r="AC277" t="str">
            <v>N</v>
          </cell>
          <cell r="AD277" t="str">
            <v>N</v>
          </cell>
          <cell r="AE277" t="str">
            <v>N</v>
          </cell>
        </row>
        <row r="278">
          <cell r="E278" t="str">
            <v>DPD_FRBRNC_STTS</v>
          </cell>
          <cell r="Z278" t="str">
            <v>Y</v>
          </cell>
          <cell r="AA278" t="str">
            <v>N</v>
          </cell>
          <cell r="AB278" t="str">
            <v>N</v>
          </cell>
          <cell r="AC278" t="str">
            <v>N</v>
          </cell>
          <cell r="AD278" t="str">
            <v>N</v>
          </cell>
          <cell r="AE278" t="str">
            <v>N</v>
          </cell>
        </row>
        <row r="279">
          <cell r="E279" t="str">
            <v>DPD_PRFRMNG_STTS</v>
          </cell>
          <cell r="Z279" t="str">
            <v>Y</v>
          </cell>
          <cell r="AA279" t="str">
            <v>N</v>
          </cell>
          <cell r="AB279" t="str">
            <v>N</v>
          </cell>
          <cell r="AC279" t="str">
            <v>N</v>
          </cell>
          <cell r="AD279" t="str">
            <v>N</v>
          </cell>
          <cell r="AE279" t="str">
            <v>N</v>
          </cell>
        </row>
        <row r="280">
          <cell r="E280" t="str">
            <v>DT_IMPRMNT_STTS</v>
          </cell>
          <cell r="Z280" t="str">
            <v>Y</v>
          </cell>
          <cell r="AA280" t="str">
            <v>N</v>
          </cell>
          <cell r="AB280" t="str">
            <v>N</v>
          </cell>
          <cell r="AC280" t="str">
            <v>N</v>
          </cell>
          <cell r="AD280" t="str">
            <v>N</v>
          </cell>
          <cell r="AE280" t="str">
            <v>Y</v>
          </cell>
        </row>
        <row r="281">
          <cell r="E281" t="str">
            <v>DT_IMPRMNT_STTS_PRVS</v>
          </cell>
          <cell r="Z281" t="str">
            <v>Y</v>
          </cell>
          <cell r="AA281" t="str">
            <v>N</v>
          </cell>
          <cell r="AB281" t="str">
            <v>N</v>
          </cell>
          <cell r="AC281" t="str">
            <v>N</v>
          </cell>
          <cell r="AD281" t="str">
            <v>N</v>
          </cell>
          <cell r="AE281" t="str">
            <v>N</v>
          </cell>
        </row>
        <row r="282">
          <cell r="E282" t="str">
            <v>DT_PST_D</v>
          </cell>
          <cell r="Z282" t="str">
            <v>Y</v>
          </cell>
          <cell r="AA282" t="str">
            <v>N</v>
          </cell>
          <cell r="AB282" t="str">
            <v>N</v>
          </cell>
          <cell r="AC282" t="str">
            <v>N</v>
          </cell>
          <cell r="AD282" t="str">
            <v>N</v>
          </cell>
          <cell r="AE282" t="str">
            <v>Y</v>
          </cell>
        </row>
        <row r="283">
          <cell r="E283" t="str">
            <v>IMPRMNT_ASSSSMNT_MTHD</v>
          </cell>
          <cell r="Z283" t="str">
            <v>Y</v>
          </cell>
          <cell r="AA283" t="str">
            <v>N</v>
          </cell>
          <cell r="AB283" t="str">
            <v>N</v>
          </cell>
          <cell r="AC283" t="str">
            <v>N</v>
          </cell>
          <cell r="AD283" t="str">
            <v>N</v>
          </cell>
          <cell r="AE283" t="str">
            <v>Y</v>
          </cell>
        </row>
        <row r="284">
          <cell r="E284" t="str">
            <v>IMPRMNT_CLCLTN_MTHD</v>
          </cell>
          <cell r="Z284" t="str">
            <v>Y</v>
          </cell>
          <cell r="AA284" t="str">
            <v>N</v>
          </cell>
          <cell r="AB284" t="str">
            <v>N</v>
          </cell>
          <cell r="AC284" t="str">
            <v>N</v>
          </cell>
          <cell r="AD284" t="str">
            <v>N</v>
          </cell>
          <cell r="AE284" t="str">
            <v>N</v>
          </cell>
        </row>
        <row r="285">
          <cell r="E285" t="str">
            <v>NMBR_FRBRNC_MSRS</v>
          </cell>
          <cell r="Z285" t="str">
            <v>Y</v>
          </cell>
          <cell r="AA285" t="str">
            <v>N</v>
          </cell>
          <cell r="AB285" t="str">
            <v>N</v>
          </cell>
          <cell r="AC285" t="str">
            <v>N</v>
          </cell>
          <cell r="AD285" t="str">
            <v>N</v>
          </cell>
          <cell r="AE285" t="str">
            <v>Y</v>
          </cell>
        </row>
        <row r="286">
          <cell r="E286" t="str">
            <v>IFRS9_LGD</v>
          </cell>
          <cell r="Z286" t="str">
            <v>Y</v>
          </cell>
          <cell r="AA286" t="str">
            <v>N</v>
          </cell>
          <cell r="AB286" t="str">
            <v>N</v>
          </cell>
          <cell r="AC286" t="str">
            <v>N</v>
          </cell>
          <cell r="AD286" t="str">
            <v>N</v>
          </cell>
          <cell r="AE286" t="str">
            <v>N</v>
          </cell>
        </row>
        <row r="287">
          <cell r="E287" t="str">
            <v>LGD</v>
          </cell>
          <cell r="Z287" t="str">
            <v>Y</v>
          </cell>
          <cell r="AA287" t="str">
            <v>N</v>
          </cell>
          <cell r="AB287" t="str">
            <v>N</v>
          </cell>
          <cell r="AC287" t="str">
            <v>N</v>
          </cell>
          <cell r="AD287" t="str">
            <v>N</v>
          </cell>
          <cell r="AE287" t="str">
            <v>Y</v>
          </cell>
        </row>
        <row r="288">
          <cell r="E288" t="str">
            <v>LTV</v>
          </cell>
          <cell r="Z288" t="str">
            <v>Y</v>
          </cell>
          <cell r="AA288" t="str">
            <v>N</v>
          </cell>
          <cell r="AB288" t="str">
            <v>Y</v>
          </cell>
          <cell r="AC288" t="str">
            <v>N</v>
          </cell>
          <cell r="AD288" t="str">
            <v>N</v>
          </cell>
          <cell r="AE288" t="str">
            <v>N</v>
          </cell>
        </row>
        <row r="289">
          <cell r="E289" t="str">
            <v>LTV_INCPTN</v>
          </cell>
          <cell r="Z289" t="str">
            <v>Y</v>
          </cell>
          <cell r="AA289" t="str">
            <v>N</v>
          </cell>
          <cell r="AB289" t="str">
            <v>Y</v>
          </cell>
          <cell r="AC289" t="str">
            <v>N</v>
          </cell>
          <cell r="AD289" t="str">
            <v>N</v>
          </cell>
          <cell r="AE289" t="str">
            <v>N</v>
          </cell>
        </row>
        <row r="290">
          <cell r="E290" t="str">
            <v>LTV_NPE</v>
          </cell>
          <cell r="Z290" t="str">
            <v>Y</v>
          </cell>
          <cell r="AA290" t="str">
            <v>N</v>
          </cell>
          <cell r="AB290" t="str">
            <v>N</v>
          </cell>
          <cell r="AC290" t="str">
            <v>N</v>
          </cell>
          <cell r="AD290" t="str">
            <v>N</v>
          </cell>
          <cell r="AE290" t="str">
            <v>N</v>
          </cell>
        </row>
        <row r="291">
          <cell r="E291" t="str">
            <v>PD_CRR_INCPTN</v>
          </cell>
          <cell r="Z291" t="str">
            <v>Y</v>
          </cell>
          <cell r="AA291" t="str">
            <v>N</v>
          </cell>
          <cell r="AB291" t="str">
            <v>N</v>
          </cell>
          <cell r="AC291" t="str">
            <v>N</v>
          </cell>
          <cell r="AD291" t="str">
            <v>N</v>
          </cell>
          <cell r="AE291" t="str">
            <v>Y</v>
          </cell>
        </row>
        <row r="292">
          <cell r="E292" t="str">
            <v>PD_CRR_RD</v>
          </cell>
          <cell r="Z292" t="str">
            <v>Y</v>
          </cell>
          <cell r="AA292" t="str">
            <v>N</v>
          </cell>
          <cell r="AB292" t="str">
            <v>N</v>
          </cell>
          <cell r="AC292" t="str">
            <v>N</v>
          </cell>
          <cell r="AD292" t="str">
            <v>N</v>
          </cell>
          <cell r="AE292" t="str">
            <v>Y</v>
          </cell>
        </row>
        <row r="293">
          <cell r="E293" t="str">
            <v>PD_CRR_RD_T1</v>
          </cell>
          <cell r="Z293" t="str">
            <v>Y</v>
          </cell>
          <cell r="AA293" t="str">
            <v>N</v>
          </cell>
          <cell r="AB293" t="str">
            <v>N</v>
          </cell>
          <cell r="AC293" t="str">
            <v>N</v>
          </cell>
          <cell r="AD293" t="str">
            <v>N</v>
          </cell>
          <cell r="AE293" t="str">
            <v>N</v>
          </cell>
        </row>
        <row r="294">
          <cell r="E294" t="str">
            <v>PD_IFRS9_12M_INCPTN</v>
          </cell>
          <cell r="Z294" t="str">
            <v>Y</v>
          </cell>
          <cell r="AA294" t="str">
            <v>N</v>
          </cell>
          <cell r="AB294" t="str">
            <v>N</v>
          </cell>
          <cell r="AC294" t="str">
            <v>N</v>
          </cell>
          <cell r="AD294" t="str">
            <v>N</v>
          </cell>
          <cell r="AE294" t="str">
            <v>Y</v>
          </cell>
        </row>
        <row r="295">
          <cell r="E295" t="str">
            <v>PD_IFRS9_12M_RD</v>
          </cell>
          <cell r="Z295" t="str">
            <v>Y</v>
          </cell>
          <cell r="AA295" t="str">
            <v>N</v>
          </cell>
          <cell r="AB295" t="str">
            <v>N</v>
          </cell>
          <cell r="AC295" t="str">
            <v>N</v>
          </cell>
          <cell r="AD295" t="str">
            <v>N</v>
          </cell>
          <cell r="AE295" t="str">
            <v>Y</v>
          </cell>
        </row>
        <row r="296">
          <cell r="E296" t="str">
            <v>PD_IFRS9_12M_RD_T1</v>
          </cell>
          <cell r="Z296" t="str">
            <v>Y</v>
          </cell>
          <cell r="AA296" t="str">
            <v>N</v>
          </cell>
          <cell r="AB296" t="str">
            <v>N</v>
          </cell>
          <cell r="AC296" t="str">
            <v>N</v>
          </cell>
          <cell r="AD296" t="str">
            <v>N</v>
          </cell>
          <cell r="AE296" t="str">
            <v>N</v>
          </cell>
        </row>
        <row r="297">
          <cell r="E297" t="str">
            <v>PD_IFRS9_LFTM_INCPTN</v>
          </cell>
          <cell r="Z297" t="str">
            <v>Y</v>
          </cell>
          <cell r="AA297" t="str">
            <v>N</v>
          </cell>
          <cell r="AB297" t="str">
            <v>N</v>
          </cell>
          <cell r="AC297" t="str">
            <v>N</v>
          </cell>
          <cell r="AD297" t="str">
            <v>N</v>
          </cell>
          <cell r="AE297" t="str">
            <v>Y</v>
          </cell>
        </row>
        <row r="298">
          <cell r="E298" t="str">
            <v>PD_IFRS9_RMNNG_LFTM_INCPTN</v>
          </cell>
          <cell r="Z298" t="str">
            <v>Y</v>
          </cell>
          <cell r="AA298" t="str">
            <v>N</v>
          </cell>
          <cell r="AB298" t="str">
            <v>N</v>
          </cell>
          <cell r="AC298" t="str">
            <v>N</v>
          </cell>
          <cell r="AD298" t="str">
            <v>N</v>
          </cell>
          <cell r="AE298" t="str">
            <v>Y</v>
          </cell>
        </row>
        <row r="299">
          <cell r="E299" t="str">
            <v>PD_IFRS9_RMNNG_LFTM_RD</v>
          </cell>
          <cell r="Z299" t="str">
            <v>Y</v>
          </cell>
          <cell r="AA299" t="str">
            <v>N</v>
          </cell>
          <cell r="AB299" t="str">
            <v>N</v>
          </cell>
          <cell r="AC299" t="str">
            <v>N</v>
          </cell>
          <cell r="AD299" t="str">
            <v>N</v>
          </cell>
          <cell r="AE299" t="str">
            <v>Y</v>
          </cell>
        </row>
        <row r="300">
          <cell r="E300" t="str">
            <v>RTNG_MTHD</v>
          </cell>
          <cell r="Z300" t="str">
            <v>Y</v>
          </cell>
          <cell r="AA300" t="str">
            <v>N</v>
          </cell>
          <cell r="AB300" t="str">
            <v>N</v>
          </cell>
          <cell r="AC300" t="str">
            <v>N</v>
          </cell>
          <cell r="AD300" t="str">
            <v>N</v>
          </cell>
          <cell r="AE300" t="str">
            <v>Y</v>
          </cell>
        </row>
        <row r="301">
          <cell r="E301" t="str">
            <v>RTNG_SCL</v>
          </cell>
          <cell r="Z301" t="str">
            <v>Y</v>
          </cell>
          <cell r="AA301" t="str">
            <v>N</v>
          </cell>
          <cell r="AB301" t="str">
            <v>N</v>
          </cell>
          <cell r="AC301" t="str">
            <v>N</v>
          </cell>
          <cell r="AD301" t="str">
            <v>N</v>
          </cell>
          <cell r="AE301" t="str">
            <v>Y</v>
          </cell>
        </row>
        <row r="302">
          <cell r="E302" t="str">
            <v>SICR_ASSSSMNT_MTHD</v>
          </cell>
          <cell r="Z302" t="str">
            <v>Y</v>
          </cell>
          <cell r="AA302" t="str">
            <v>N</v>
          </cell>
          <cell r="AB302" t="str">
            <v>N</v>
          </cell>
          <cell r="AC302" t="str">
            <v>N</v>
          </cell>
          <cell r="AD302" t="str">
            <v>N</v>
          </cell>
          <cell r="AE302" t="str">
            <v>Y</v>
          </cell>
        </row>
        <row r="303">
          <cell r="E303" t="str">
            <v>ANNLSD_AGRD_RT</v>
          </cell>
          <cell r="Z303" t="str">
            <v>Y</v>
          </cell>
          <cell r="AA303" t="str">
            <v>N</v>
          </cell>
          <cell r="AB303" t="str">
            <v>N</v>
          </cell>
          <cell r="AC303" t="str">
            <v>Y</v>
          </cell>
          <cell r="AD303" t="str">
            <v>N</v>
          </cell>
          <cell r="AE303" t="str">
            <v>N</v>
          </cell>
        </row>
        <row r="304">
          <cell r="E304" t="str">
            <v>EIR</v>
          </cell>
          <cell r="Z304" t="str">
            <v>Y</v>
          </cell>
          <cell r="AA304" t="str">
            <v>N</v>
          </cell>
          <cell r="AB304" t="str">
            <v>Y</v>
          </cell>
          <cell r="AC304" t="str">
            <v>N</v>
          </cell>
          <cell r="AD304" t="str">
            <v>N</v>
          </cell>
          <cell r="AE304" t="str">
            <v>Y</v>
          </cell>
        </row>
        <row r="305">
          <cell r="E305" t="str">
            <v>EIR_INCPTN</v>
          </cell>
          <cell r="Z305" t="str">
            <v>Y</v>
          </cell>
          <cell r="AA305" t="str">
            <v>N</v>
          </cell>
          <cell r="AB305" t="str">
            <v>Y</v>
          </cell>
          <cell r="AC305" t="str">
            <v>N</v>
          </cell>
          <cell r="AD305" t="str">
            <v>N</v>
          </cell>
          <cell r="AE305" t="str">
            <v>N</v>
          </cell>
        </row>
        <row r="306">
          <cell r="E306" t="str">
            <v>INTRST_RT_RST_FRQNCY</v>
          </cell>
          <cell r="Z306" t="str">
            <v>Y</v>
          </cell>
          <cell r="AA306" t="str">
            <v>N</v>
          </cell>
          <cell r="AB306" t="str">
            <v>N</v>
          </cell>
          <cell r="AC306" t="str">
            <v>N</v>
          </cell>
          <cell r="AD306" t="str">
            <v>N</v>
          </cell>
          <cell r="AE306" t="str">
            <v>N</v>
          </cell>
        </row>
        <row r="307">
          <cell r="E307" t="str">
            <v>RCVD_AMRTSTN_12M</v>
          </cell>
          <cell r="Z307" t="str">
            <v>Y</v>
          </cell>
          <cell r="AA307" t="str">
            <v>N</v>
          </cell>
          <cell r="AB307" t="str">
            <v>N</v>
          </cell>
          <cell r="AC307" t="str">
            <v>N</v>
          </cell>
          <cell r="AD307" t="str">
            <v>N</v>
          </cell>
          <cell r="AE307" t="str">
            <v>Y</v>
          </cell>
        </row>
        <row r="308">
          <cell r="E308" t="str">
            <v>RCVD_AMRTSTN_24M</v>
          </cell>
          <cell r="Z308" t="str">
            <v>Y</v>
          </cell>
          <cell r="AA308" t="str">
            <v>N</v>
          </cell>
          <cell r="AB308" t="str">
            <v>N</v>
          </cell>
          <cell r="AC308" t="str">
            <v>N</v>
          </cell>
          <cell r="AD308" t="str">
            <v>N</v>
          </cell>
          <cell r="AE308" t="str">
            <v>Y</v>
          </cell>
        </row>
        <row r="309">
          <cell r="E309" t="str">
            <v>RCVD_INTRST_12M</v>
          </cell>
          <cell r="Z309" t="str">
            <v>Y</v>
          </cell>
          <cell r="AA309" t="str">
            <v>N</v>
          </cell>
          <cell r="AB309" t="str">
            <v>N</v>
          </cell>
          <cell r="AC309" t="str">
            <v>N</v>
          </cell>
          <cell r="AD309" t="str">
            <v>N</v>
          </cell>
          <cell r="AE309" t="str">
            <v>Y</v>
          </cell>
        </row>
        <row r="310">
          <cell r="E310" t="str">
            <v>RCVD_INTRST_24M</v>
          </cell>
          <cell r="Z310" t="str">
            <v>Y</v>
          </cell>
          <cell r="AA310" t="str">
            <v>N</v>
          </cell>
          <cell r="AB310" t="str">
            <v>N</v>
          </cell>
          <cell r="AC310" t="str">
            <v>N</v>
          </cell>
          <cell r="AD310" t="str">
            <v>N</v>
          </cell>
          <cell r="AE310" t="str">
            <v>Y</v>
          </cell>
        </row>
        <row r="311">
          <cell r="E311" t="str">
            <v>SYNDCT_RL</v>
          </cell>
          <cell r="Z311" t="str">
            <v>Y</v>
          </cell>
          <cell r="AA311" t="str">
            <v>N</v>
          </cell>
          <cell r="AB311" t="str">
            <v>N</v>
          </cell>
          <cell r="AC311" t="str">
            <v>N</v>
          </cell>
          <cell r="AD311" t="str">
            <v>N</v>
          </cell>
          <cell r="AE311" t="str">
            <v>Y</v>
          </cell>
        </row>
        <row r="312">
          <cell r="E312" t="str">
            <v>SYNDCTD_AGNT</v>
          </cell>
          <cell r="Z312" t="str">
            <v>Y</v>
          </cell>
          <cell r="AA312" t="str">
            <v>N</v>
          </cell>
          <cell r="AB312" t="str">
            <v>N</v>
          </cell>
          <cell r="AC312" t="str">
            <v>Y</v>
          </cell>
          <cell r="AD312" t="str">
            <v>N</v>
          </cell>
          <cell r="AE312" t="str">
            <v>Y</v>
          </cell>
        </row>
        <row r="313">
          <cell r="E313" t="str">
            <v>SYNDCTD_CNTRCT_ID</v>
          </cell>
          <cell r="Z313" t="str">
            <v>Y</v>
          </cell>
          <cell r="AA313" t="str">
            <v>N</v>
          </cell>
          <cell r="AB313" t="str">
            <v>N</v>
          </cell>
          <cell r="AC313" t="str">
            <v>N</v>
          </cell>
          <cell r="AD313" t="str">
            <v>N</v>
          </cell>
          <cell r="AE313" t="str">
            <v>Y</v>
          </cell>
        </row>
        <row r="314">
          <cell r="E314" t="str">
            <v>SYNDCTD_LNDRS</v>
          </cell>
          <cell r="Z314" t="str">
            <v>Y</v>
          </cell>
          <cell r="AA314" t="str">
            <v>N</v>
          </cell>
          <cell r="AB314" t="str">
            <v>N</v>
          </cell>
          <cell r="AC314" t="str">
            <v>N</v>
          </cell>
          <cell r="AD314" t="str">
            <v>N</v>
          </cell>
          <cell r="AE314" t="str">
            <v>Y</v>
          </cell>
        </row>
        <row r="315">
          <cell r="E315" t="str">
            <v>SYNDCTD_SHR</v>
          </cell>
          <cell r="Z315" t="str">
            <v>Y</v>
          </cell>
          <cell r="AA315" t="str">
            <v>N</v>
          </cell>
          <cell r="AB315" t="str">
            <v>N</v>
          </cell>
          <cell r="AC315" t="str">
            <v>Y</v>
          </cell>
          <cell r="AD315" t="str">
            <v>N</v>
          </cell>
          <cell r="AE315" t="str">
            <v>Y</v>
          </cell>
        </row>
        <row r="316">
          <cell r="E316" t="str">
            <v>SYNDCTN_TYP</v>
          </cell>
          <cell r="Z316" t="str">
            <v>Y</v>
          </cell>
          <cell r="AA316" t="str">
            <v>N</v>
          </cell>
          <cell r="AB316" t="str">
            <v>N</v>
          </cell>
          <cell r="AC316" t="str">
            <v>Y</v>
          </cell>
          <cell r="AD316" t="str">
            <v>N</v>
          </cell>
          <cell r="AE316" t="str">
            <v>Y</v>
          </cell>
        </row>
        <row r="317">
          <cell r="E317" t="str">
            <v>EBA_CMPLNT_MRTR_ST_C19</v>
          </cell>
          <cell r="Z317" t="str">
            <v>Y</v>
          </cell>
          <cell r="AA317" t="str">
            <v>N</v>
          </cell>
          <cell r="AB317" t="str">
            <v>N</v>
          </cell>
          <cell r="AC317" t="str">
            <v>N</v>
          </cell>
          <cell r="AD317" t="str">
            <v>N</v>
          </cell>
          <cell r="AE317" t="str">
            <v>N</v>
          </cell>
        </row>
        <row r="318">
          <cell r="E318" t="str">
            <v>DT_CMPLNT_MRTR_STTS_C19</v>
          </cell>
          <cell r="Z318" t="str">
            <v>Y</v>
          </cell>
          <cell r="AA318" t="str">
            <v>N</v>
          </cell>
          <cell r="AB318" t="str">
            <v>N</v>
          </cell>
          <cell r="AC318" t="str">
            <v>N</v>
          </cell>
          <cell r="AD318" t="str">
            <v>N</v>
          </cell>
          <cell r="AE318" t="str">
            <v>N</v>
          </cell>
        </row>
        <row r="319">
          <cell r="E319" t="str">
            <v>DT_CMPLNT_MRTR_STTS_PRVS_C19</v>
          </cell>
          <cell r="Z319" t="str">
            <v>Y</v>
          </cell>
          <cell r="AA319" t="str">
            <v>N</v>
          </cell>
          <cell r="AB319" t="str">
            <v>N</v>
          </cell>
          <cell r="AC319" t="str">
            <v>N</v>
          </cell>
          <cell r="AD319" t="str">
            <v>N</v>
          </cell>
          <cell r="AE319" t="str">
            <v>N</v>
          </cell>
        </row>
        <row r="320">
          <cell r="E320" t="str">
            <v>MTRTY_LTST_MRTR_C19</v>
          </cell>
          <cell r="Z320" t="str">
            <v>Y</v>
          </cell>
          <cell r="AA320" t="str">
            <v>N</v>
          </cell>
          <cell r="AB320" t="str">
            <v>N</v>
          </cell>
          <cell r="AC320" t="str">
            <v>N</v>
          </cell>
          <cell r="AD320" t="str">
            <v>N</v>
          </cell>
          <cell r="AE320" t="str">
            <v>N</v>
          </cell>
        </row>
        <row r="321">
          <cell r="E321" t="str">
            <v>TYP_CMPLNT_MRTR_C19</v>
          </cell>
          <cell r="Z321" t="str">
            <v>Y</v>
          </cell>
          <cell r="AA321" t="str">
            <v>N</v>
          </cell>
          <cell r="AB321" t="str">
            <v>N</v>
          </cell>
          <cell r="AC321" t="str">
            <v>N</v>
          </cell>
          <cell r="AD321" t="str">
            <v>N</v>
          </cell>
          <cell r="AE321" t="str">
            <v>N</v>
          </cell>
        </row>
        <row r="322">
          <cell r="E322" t="str">
            <v>GRC_PRD_CPTL_INTRST_C19</v>
          </cell>
          <cell r="Z322" t="str">
            <v>Y</v>
          </cell>
          <cell r="AA322" t="str">
            <v>N</v>
          </cell>
          <cell r="AB322" t="str">
            <v>N</v>
          </cell>
          <cell r="AC322" t="str">
            <v>N</v>
          </cell>
          <cell r="AD322" t="str">
            <v>N</v>
          </cell>
          <cell r="AE322" t="str">
            <v>N</v>
          </cell>
        </row>
        <row r="323">
          <cell r="E323" t="str">
            <v>CMPLNT_MRTR_C19_NM</v>
          </cell>
          <cell r="Z323" t="str">
            <v>Y</v>
          </cell>
          <cell r="AA323" t="str">
            <v>N</v>
          </cell>
          <cell r="AB323" t="str">
            <v>N</v>
          </cell>
          <cell r="AC323" t="str">
            <v>N</v>
          </cell>
          <cell r="AD323" t="str">
            <v>N</v>
          </cell>
          <cell r="AE323" t="str">
            <v>N</v>
          </cell>
        </row>
        <row r="324">
          <cell r="E324" t="str">
            <v>FRBRNC_STTS_C19</v>
          </cell>
          <cell r="Z324" t="str">
            <v>Y</v>
          </cell>
          <cell r="AA324" t="str">
            <v>N</v>
          </cell>
          <cell r="AB324" t="str">
            <v>N</v>
          </cell>
          <cell r="AC324" t="str">
            <v>N</v>
          </cell>
          <cell r="AD324" t="str">
            <v>N</v>
          </cell>
          <cell r="AE324" t="str">
            <v>N</v>
          </cell>
        </row>
        <row r="325">
          <cell r="E325" t="str">
            <v>DT_FRBRNC_STTS_C19</v>
          </cell>
          <cell r="Z325" t="str">
            <v>Y</v>
          </cell>
          <cell r="AA325" t="str">
            <v>N</v>
          </cell>
          <cell r="AB325" t="str">
            <v>N</v>
          </cell>
          <cell r="AC325" t="str">
            <v>N</v>
          </cell>
          <cell r="AD325" t="str">
            <v>N</v>
          </cell>
          <cell r="AE325" t="str">
            <v>N</v>
          </cell>
        </row>
        <row r="326">
          <cell r="E326" t="str">
            <v>DT_FRBRNC_STTS_PRVS_C19</v>
          </cell>
          <cell r="Z326" t="str">
            <v>Y</v>
          </cell>
          <cell r="AA326" t="str">
            <v>N</v>
          </cell>
          <cell r="AB326" t="str">
            <v>N</v>
          </cell>
          <cell r="AC326" t="str">
            <v>N</v>
          </cell>
          <cell r="AD326" t="str">
            <v>N</v>
          </cell>
          <cell r="AE326" t="str">
            <v>N</v>
          </cell>
        </row>
        <row r="327">
          <cell r="E327" t="str">
            <v>MTRTY_LTST_FRBRNC_MSR_C19</v>
          </cell>
          <cell r="Z327" t="str">
            <v>Y</v>
          </cell>
          <cell r="AA327" t="str">
            <v>N</v>
          </cell>
          <cell r="AB327" t="str">
            <v>N</v>
          </cell>
          <cell r="AC327" t="str">
            <v>N</v>
          </cell>
          <cell r="AD327" t="str">
            <v>N</v>
          </cell>
          <cell r="AE327" t="str">
            <v>N</v>
          </cell>
        </row>
        <row r="328">
          <cell r="E328" t="str">
            <v>DT_END_GP_PPAL_C19</v>
          </cell>
          <cell r="Z328" t="str">
            <v>Y</v>
          </cell>
          <cell r="AA328" t="str">
            <v>N</v>
          </cell>
          <cell r="AB328" t="str">
            <v>N</v>
          </cell>
          <cell r="AC328" t="str">
            <v>N</v>
          </cell>
          <cell r="AD328" t="str">
            <v>N</v>
          </cell>
          <cell r="AE328" t="str">
            <v>N</v>
          </cell>
        </row>
        <row r="329">
          <cell r="E329" t="str">
            <v>DT_END_INTRST_ONLY_C19</v>
          </cell>
          <cell r="Z329" t="str">
            <v>Y</v>
          </cell>
          <cell r="AA329" t="str">
            <v>N</v>
          </cell>
          <cell r="AB329" t="str">
            <v>N</v>
          </cell>
          <cell r="AC329" t="str">
            <v>N</v>
          </cell>
          <cell r="AD329" t="str">
            <v>N</v>
          </cell>
          <cell r="AE329" t="str">
            <v>N</v>
          </cell>
        </row>
        <row r="330">
          <cell r="E330" t="str">
            <v>SBJCT_PBLC_GRNT_SCHM_C19</v>
          </cell>
          <cell r="Z330" t="str">
            <v>Y</v>
          </cell>
          <cell r="AA330" t="str">
            <v>N</v>
          </cell>
          <cell r="AB330" t="str">
            <v>N</v>
          </cell>
          <cell r="AC330" t="str">
            <v>N</v>
          </cell>
          <cell r="AD330" t="str">
            <v>N</v>
          </cell>
          <cell r="AE330" t="str">
            <v>N</v>
          </cell>
        </row>
        <row r="331">
          <cell r="E331" t="str">
            <v>PBLC_GRNT_SCHM_C19_NM</v>
          </cell>
          <cell r="Z331" t="str">
            <v>Y</v>
          </cell>
          <cell r="AA331" t="str">
            <v>N</v>
          </cell>
          <cell r="AB331" t="str">
            <v>N</v>
          </cell>
          <cell r="AC331" t="str">
            <v>N</v>
          </cell>
          <cell r="AD331" t="str">
            <v>N</v>
          </cell>
          <cell r="AE331" t="str">
            <v>N</v>
          </cell>
        </row>
        <row r="332">
          <cell r="E332" t="str">
            <v>PMNT_PBLC_GRNT_SCHM_C19</v>
          </cell>
          <cell r="Z332" t="str">
            <v>Y</v>
          </cell>
          <cell r="AA332" t="str">
            <v>N</v>
          </cell>
          <cell r="AB332" t="str">
            <v>N</v>
          </cell>
          <cell r="AC332" t="str">
            <v>N</v>
          </cell>
          <cell r="AD332" t="str">
            <v>N</v>
          </cell>
          <cell r="AE332" t="str">
            <v>N</v>
          </cell>
        </row>
        <row r="333">
          <cell r="E333" t="str">
            <v>ASST_SCRT_CLSS</v>
          </cell>
          <cell r="Z333" t="str">
            <v>Y</v>
          </cell>
          <cell r="AA333" t="str">
            <v>N</v>
          </cell>
          <cell r="AB333" t="str">
            <v>N</v>
          </cell>
          <cell r="AC333" t="str">
            <v>Y</v>
          </cell>
          <cell r="AD333" t="str">
            <v>N</v>
          </cell>
          <cell r="AE333" t="str">
            <v>N</v>
          </cell>
        </row>
        <row r="334">
          <cell r="E334" t="str">
            <v>CPN_CRRNCY</v>
          </cell>
          <cell r="Z334" t="str">
            <v>Y</v>
          </cell>
          <cell r="AA334" t="str">
            <v>N</v>
          </cell>
          <cell r="AB334" t="str">
            <v>N</v>
          </cell>
          <cell r="AC334" t="str">
            <v>N</v>
          </cell>
          <cell r="AD334" t="str">
            <v>N</v>
          </cell>
          <cell r="AE334" t="str">
            <v>N</v>
          </cell>
        </row>
        <row r="335">
          <cell r="E335" t="str">
            <v>CPN_RT_FXD</v>
          </cell>
          <cell r="Z335" t="str">
            <v>Y</v>
          </cell>
          <cell r="AA335" t="str">
            <v>N</v>
          </cell>
          <cell r="AB335" t="str">
            <v>N</v>
          </cell>
          <cell r="AC335" t="str">
            <v>N</v>
          </cell>
          <cell r="AD335" t="str">
            <v>N</v>
          </cell>
          <cell r="AE335" t="str">
            <v>N</v>
          </cell>
        </row>
        <row r="336">
          <cell r="E336" t="str">
            <v>DT_VLTN</v>
          </cell>
          <cell r="Z336" t="str">
            <v>Y</v>
          </cell>
          <cell r="AA336" t="str">
            <v>N</v>
          </cell>
          <cell r="AB336" t="str">
            <v>N</v>
          </cell>
          <cell r="AC336" t="str">
            <v>N</v>
          </cell>
          <cell r="AD336" t="str">
            <v>N</v>
          </cell>
          <cell r="AE336" t="str">
            <v>N</v>
          </cell>
        </row>
        <row r="337">
          <cell r="E337" t="str">
            <v>ELGBLTY_ECB</v>
          </cell>
          <cell r="Z337" t="str">
            <v>Y</v>
          </cell>
          <cell r="AA337" t="str">
            <v>N</v>
          </cell>
          <cell r="AB337" t="str">
            <v>N</v>
          </cell>
          <cell r="AC337" t="str">
            <v>N</v>
          </cell>
          <cell r="AD337" t="str">
            <v>N</v>
          </cell>
          <cell r="AE337" t="str">
            <v>N</v>
          </cell>
        </row>
        <row r="338">
          <cell r="E338" t="str">
            <v>GRNTR_ID</v>
          </cell>
          <cell r="Z338" t="str">
            <v>Y</v>
          </cell>
          <cell r="AA338" t="str">
            <v>N</v>
          </cell>
          <cell r="AB338" t="str">
            <v>N</v>
          </cell>
          <cell r="AC338" t="str">
            <v>N</v>
          </cell>
          <cell r="AD338" t="str">
            <v>N</v>
          </cell>
          <cell r="AE338" t="str">
            <v>N</v>
          </cell>
        </row>
        <row r="339">
          <cell r="E339" t="str">
            <v>GRNTR_ID_TYP</v>
          </cell>
          <cell r="Z339" t="str">
            <v>Y</v>
          </cell>
          <cell r="AA339" t="str">
            <v>N</v>
          </cell>
          <cell r="AB339" t="str">
            <v>N</v>
          </cell>
          <cell r="AC339" t="str">
            <v>N</v>
          </cell>
          <cell r="AD339" t="str">
            <v>N</v>
          </cell>
          <cell r="AE339" t="str">
            <v>N</v>
          </cell>
        </row>
        <row r="340">
          <cell r="E340" t="str">
            <v>HEDGE_ID</v>
          </cell>
          <cell r="Z340" t="str">
            <v>Y</v>
          </cell>
          <cell r="AA340" t="str">
            <v>N</v>
          </cell>
          <cell r="AB340" t="str">
            <v>N</v>
          </cell>
          <cell r="AC340" t="str">
            <v>N</v>
          </cell>
          <cell r="AD340" t="str">
            <v>N</v>
          </cell>
          <cell r="AE340" t="str">
            <v>N</v>
          </cell>
        </row>
        <row r="341">
          <cell r="E341" t="str">
            <v>INSTR_SNRTY_CLSS</v>
          </cell>
          <cell r="Z341" t="str">
            <v>Y</v>
          </cell>
          <cell r="AA341" t="str">
            <v>N</v>
          </cell>
          <cell r="AB341" t="str">
            <v>N</v>
          </cell>
          <cell r="AC341" t="str">
            <v>N</v>
          </cell>
          <cell r="AD341" t="str">
            <v>N</v>
          </cell>
          <cell r="AE341" t="str">
            <v>Y</v>
          </cell>
        </row>
        <row r="342">
          <cell r="E342" t="str">
            <v>INSTRMNT_CLSS</v>
          </cell>
          <cell r="Z342" t="str">
            <v>Y</v>
          </cell>
          <cell r="AA342" t="str">
            <v>N</v>
          </cell>
          <cell r="AB342" t="str">
            <v>N</v>
          </cell>
          <cell r="AC342" t="str">
            <v>N</v>
          </cell>
          <cell r="AD342" t="str">
            <v>N</v>
          </cell>
          <cell r="AE342" t="str">
            <v>N</v>
          </cell>
        </row>
        <row r="343">
          <cell r="E343" t="str">
            <v>ISIN</v>
          </cell>
          <cell r="Z343" t="str">
            <v>Y</v>
          </cell>
          <cell r="AA343" t="str">
            <v>N</v>
          </cell>
          <cell r="AB343" t="str">
            <v>N</v>
          </cell>
          <cell r="AC343" t="str">
            <v>N</v>
          </cell>
          <cell r="AD343" t="str">
            <v>N</v>
          </cell>
          <cell r="AE343" t="str">
            <v>N</v>
          </cell>
        </row>
        <row r="344">
          <cell r="E344" t="str">
            <v>ISSR_CNTRY</v>
          </cell>
          <cell r="Z344" t="str">
            <v>Y</v>
          </cell>
          <cell r="AA344" t="str">
            <v>N</v>
          </cell>
          <cell r="AB344" t="str">
            <v>Y</v>
          </cell>
          <cell r="AC344" t="str">
            <v>N</v>
          </cell>
          <cell r="AD344" t="str">
            <v>N</v>
          </cell>
          <cell r="AE344" t="str">
            <v>N</v>
          </cell>
        </row>
        <row r="345">
          <cell r="E345" t="str">
            <v>ISSR_ESA_2010</v>
          </cell>
          <cell r="Z345" t="str">
            <v>Y</v>
          </cell>
          <cell r="AA345" t="str">
            <v>N</v>
          </cell>
          <cell r="AB345" t="str">
            <v>N</v>
          </cell>
          <cell r="AC345" t="str">
            <v>N</v>
          </cell>
          <cell r="AD345" t="str">
            <v>N</v>
          </cell>
          <cell r="AE345" t="str">
            <v>N</v>
          </cell>
        </row>
        <row r="346">
          <cell r="E346" t="str">
            <v>ISSR_ID</v>
          </cell>
          <cell r="Z346" t="str">
            <v>Y</v>
          </cell>
          <cell r="AA346" t="str">
            <v>N</v>
          </cell>
          <cell r="AB346" t="str">
            <v>N</v>
          </cell>
          <cell r="AC346" t="str">
            <v>N</v>
          </cell>
          <cell r="AD346" t="str">
            <v>N</v>
          </cell>
          <cell r="AE346" t="str">
            <v>N</v>
          </cell>
        </row>
        <row r="347">
          <cell r="E347" t="str">
            <v>ISSR_ID_TYP</v>
          </cell>
          <cell r="Z347" t="str">
            <v>Y</v>
          </cell>
          <cell r="AA347" t="str">
            <v>N</v>
          </cell>
          <cell r="AB347" t="str">
            <v>N</v>
          </cell>
          <cell r="AC347" t="str">
            <v>N</v>
          </cell>
          <cell r="AD347" t="str">
            <v>N</v>
          </cell>
          <cell r="AE347" t="str">
            <v>N</v>
          </cell>
        </row>
        <row r="348">
          <cell r="E348" t="str">
            <v>ISSR_NACE_SCTR</v>
          </cell>
          <cell r="Z348" t="str">
            <v>Y</v>
          </cell>
          <cell r="AA348" t="str">
            <v>N</v>
          </cell>
          <cell r="AB348" t="str">
            <v>Y</v>
          </cell>
          <cell r="AC348" t="str">
            <v>N</v>
          </cell>
          <cell r="AD348" t="str">
            <v>N</v>
          </cell>
          <cell r="AE348" t="str">
            <v>N</v>
          </cell>
        </row>
        <row r="349">
          <cell r="E349" t="str">
            <v>ISSR_RTNG</v>
          </cell>
          <cell r="Z349" t="str">
            <v>Y</v>
          </cell>
          <cell r="AA349" t="str">
            <v>N</v>
          </cell>
          <cell r="AB349" t="str">
            <v>N</v>
          </cell>
          <cell r="AC349" t="str">
            <v>N</v>
          </cell>
          <cell r="AD349" t="str">
            <v>N</v>
          </cell>
          <cell r="AE349" t="str">
            <v>N</v>
          </cell>
        </row>
        <row r="350">
          <cell r="E350" t="str">
            <v>ISSR_RTNG_SRC</v>
          </cell>
          <cell r="Z350" t="str">
            <v>Y</v>
          </cell>
          <cell r="AA350" t="str">
            <v>N</v>
          </cell>
          <cell r="AB350" t="str">
            <v>N</v>
          </cell>
          <cell r="AC350" t="str">
            <v>N</v>
          </cell>
          <cell r="AD350" t="str">
            <v>N</v>
          </cell>
          <cell r="AE350" t="str">
            <v>N</v>
          </cell>
        </row>
        <row r="351">
          <cell r="E351" t="str">
            <v>ISSR_TYP</v>
          </cell>
          <cell r="Z351" t="str">
            <v>Y</v>
          </cell>
          <cell r="AA351" t="str">
            <v>N</v>
          </cell>
          <cell r="AB351" t="str">
            <v>N</v>
          </cell>
          <cell r="AC351" t="str">
            <v>N</v>
          </cell>
          <cell r="AD351" t="str">
            <v>N</v>
          </cell>
          <cell r="AE351" t="str">
            <v>N</v>
          </cell>
        </row>
        <row r="352">
          <cell r="E352" t="str">
            <v>LCR_BFFR_CTGRY</v>
          </cell>
          <cell r="Z352" t="str">
            <v>Y</v>
          </cell>
          <cell r="AA352" t="str">
            <v>N</v>
          </cell>
          <cell r="AB352" t="str">
            <v>N</v>
          </cell>
          <cell r="AC352" t="str">
            <v>N</v>
          </cell>
          <cell r="AD352" t="str">
            <v>N</v>
          </cell>
          <cell r="AE352" t="str">
            <v>N</v>
          </cell>
        </row>
        <row r="353">
          <cell r="E353" t="str">
            <v>PRCH_UNDR_RSL_AGR</v>
          </cell>
          <cell r="Z353" t="str">
            <v>Y</v>
          </cell>
          <cell r="AA353" t="str">
            <v>N</v>
          </cell>
          <cell r="AB353" t="str">
            <v>N</v>
          </cell>
          <cell r="AC353" t="str">
            <v>N</v>
          </cell>
          <cell r="AD353" t="str">
            <v>N</v>
          </cell>
          <cell r="AE353" t="str">
            <v>N</v>
          </cell>
        </row>
        <row r="354">
          <cell r="E354" t="str">
            <v>PRDNTL_PRTFL</v>
          </cell>
          <cell r="Z354" t="str">
            <v>Y</v>
          </cell>
          <cell r="AA354" t="str">
            <v>N</v>
          </cell>
          <cell r="AB354" t="str">
            <v>N</v>
          </cell>
          <cell r="AC354" t="str">
            <v>N</v>
          </cell>
          <cell r="AD354" t="str">
            <v>N</v>
          </cell>
          <cell r="AE354" t="str">
            <v>Y</v>
          </cell>
        </row>
        <row r="355">
          <cell r="E355" t="str">
            <v>PRMRY_ASST_CLSSF</v>
          </cell>
          <cell r="Z355" t="str">
            <v>Y</v>
          </cell>
          <cell r="AA355" t="str">
            <v>N</v>
          </cell>
          <cell r="AB355" t="str">
            <v>Y</v>
          </cell>
          <cell r="AC355" t="str">
            <v>N</v>
          </cell>
          <cell r="AD355" t="str">
            <v>N</v>
          </cell>
          <cell r="AE355" t="str">
            <v>N</v>
          </cell>
        </row>
        <row r="356">
          <cell r="E356" t="str">
            <v>PRT_LCR_BFFR</v>
          </cell>
          <cell r="Z356" t="str">
            <v>Y</v>
          </cell>
          <cell r="AA356" t="str">
            <v>N</v>
          </cell>
          <cell r="AB356" t="str">
            <v>N</v>
          </cell>
          <cell r="AC356" t="str">
            <v>N</v>
          </cell>
          <cell r="AD356" t="str">
            <v>N</v>
          </cell>
          <cell r="AE356" t="str">
            <v>N</v>
          </cell>
        </row>
        <row r="357">
          <cell r="E357" t="str">
            <v>CPN_RT_FLTNG</v>
          </cell>
          <cell r="Z357" t="str">
            <v>Y</v>
          </cell>
          <cell r="AA357" t="str">
            <v>N</v>
          </cell>
          <cell r="AB357" t="str">
            <v>N</v>
          </cell>
          <cell r="AC357" t="str">
            <v>N</v>
          </cell>
          <cell r="AD357" t="str">
            <v>N</v>
          </cell>
          <cell r="AE357" t="str">
            <v>N</v>
          </cell>
        </row>
        <row r="358">
          <cell r="E358" t="str">
            <v>SPRD</v>
          </cell>
          <cell r="Z358" t="str">
            <v>Y</v>
          </cell>
          <cell r="AA358" t="str">
            <v>N</v>
          </cell>
          <cell r="AB358" t="str">
            <v>N</v>
          </cell>
          <cell r="AC358" t="str">
            <v>N</v>
          </cell>
          <cell r="AD358" t="str">
            <v>N</v>
          </cell>
          <cell r="AE358" t="str">
            <v>N</v>
          </cell>
        </row>
        <row r="359">
          <cell r="E359" t="str">
            <v>SRCS_ENCMBRNC</v>
          </cell>
          <cell r="Z359" t="str">
            <v>Y</v>
          </cell>
          <cell r="AA359" t="str">
            <v>N</v>
          </cell>
          <cell r="AB359" t="str">
            <v>N</v>
          </cell>
          <cell r="AC359" t="str">
            <v>N</v>
          </cell>
          <cell r="AD359" t="str">
            <v>N</v>
          </cell>
          <cell r="AE359" t="str">
            <v>N</v>
          </cell>
        </row>
        <row r="360">
          <cell r="E360" t="str">
            <v>TYPE_OF_PLCMNT</v>
          </cell>
          <cell r="Z360" t="str">
            <v>Y</v>
          </cell>
          <cell r="AA360" t="str">
            <v>N</v>
          </cell>
          <cell r="AB360" t="str">
            <v>N</v>
          </cell>
          <cell r="AC360" t="str">
            <v>N</v>
          </cell>
          <cell r="AD360" t="str">
            <v>N</v>
          </cell>
          <cell r="AE360" t="str">
            <v>N</v>
          </cell>
        </row>
        <row r="361">
          <cell r="E361" t="str">
            <v>VLTN_CRRNCY</v>
          </cell>
          <cell r="Z361" t="str">
            <v>Y</v>
          </cell>
          <cell r="AA361" t="str">
            <v>N</v>
          </cell>
          <cell r="AB361" t="str">
            <v>N</v>
          </cell>
          <cell r="AC361" t="str">
            <v>N</v>
          </cell>
          <cell r="AD361" t="str">
            <v>N</v>
          </cell>
          <cell r="AE361" t="str">
            <v>N</v>
          </cell>
        </row>
        <row r="362">
          <cell r="E362" t="str">
            <v>VLTN_TYP</v>
          </cell>
          <cell r="Z362" t="str">
            <v>Y</v>
          </cell>
          <cell r="AA362" t="str">
            <v>N</v>
          </cell>
          <cell r="AB362" t="str">
            <v>N</v>
          </cell>
          <cell r="AC362" t="str">
            <v>N</v>
          </cell>
          <cell r="AD362" t="str">
            <v>N</v>
          </cell>
          <cell r="AE362" t="str">
            <v>N</v>
          </cell>
        </row>
        <row r="363">
          <cell r="E363" t="str">
            <v>LVRG_FNNC_FLG</v>
          </cell>
          <cell r="Z363" t="str">
            <v>Y</v>
          </cell>
          <cell r="AA363" t="str">
            <v>N</v>
          </cell>
          <cell r="AB363" t="str">
            <v>N</v>
          </cell>
          <cell r="AC363" t="str">
            <v>N</v>
          </cell>
          <cell r="AD363" t="str">
            <v>N</v>
          </cell>
          <cell r="AE363" t="str">
            <v>Y</v>
          </cell>
        </row>
        <row r="364">
          <cell r="E364" t="str">
            <v>INTRNL_SGMNT_IFRS9</v>
          </cell>
          <cell r="Z364" t="str">
            <v>Y</v>
          </cell>
          <cell r="AA364" t="str">
            <v>N</v>
          </cell>
          <cell r="AB364" t="str">
            <v>N</v>
          </cell>
          <cell r="AC364" t="str">
            <v>N</v>
          </cell>
          <cell r="AD364" t="str">
            <v>N</v>
          </cell>
          <cell r="AE364" t="str">
            <v>N</v>
          </cell>
        </row>
        <row r="365">
          <cell r="E365" t="str">
            <v>INTRNL_SGMNT_CAT_MSTA</v>
          </cell>
          <cell r="Z365" t="str">
            <v>Y</v>
          </cell>
          <cell r="AA365" t="str">
            <v>N</v>
          </cell>
          <cell r="AB365" t="str">
            <v>N</v>
          </cell>
          <cell r="AC365" t="str">
            <v>N</v>
          </cell>
          <cell r="AD365" t="str">
            <v>Y</v>
          </cell>
          <cell r="AE365" t="str">
            <v>N</v>
          </cell>
        </row>
        <row r="366">
          <cell r="E366" t="str">
            <v>INTRNL_SGMNT_CATGSUB</v>
          </cell>
          <cell r="Z366" t="str">
            <v>Y</v>
          </cell>
          <cell r="AA366" t="str">
            <v>N</v>
          </cell>
          <cell r="AB366" t="str">
            <v>N</v>
          </cell>
          <cell r="AC366" t="str">
            <v>N</v>
          </cell>
          <cell r="AD366" t="str">
            <v>Y</v>
          </cell>
          <cell r="AE366" t="str">
            <v>N</v>
          </cell>
        </row>
        <row r="367">
          <cell r="E367" t="str">
            <v>CRRLTN_CFFCNT</v>
          </cell>
          <cell r="Z367" t="str">
            <v>Y</v>
          </cell>
          <cell r="AA367" t="str">
            <v>N</v>
          </cell>
          <cell r="AB367" t="str">
            <v>N</v>
          </cell>
          <cell r="AC367" t="str">
            <v>N</v>
          </cell>
          <cell r="AD367" t="str">
            <v>N</v>
          </cell>
          <cell r="AE367" t="str">
            <v>N</v>
          </cell>
        </row>
        <row r="368">
          <cell r="E368" t="str">
            <v>ISIN_SCRTSTN</v>
          </cell>
          <cell r="Z368" t="str">
            <v>Y</v>
          </cell>
          <cell r="AA368" t="str">
            <v>N</v>
          </cell>
          <cell r="AB368" t="str">
            <v>N</v>
          </cell>
          <cell r="AC368" t="str">
            <v>N</v>
          </cell>
          <cell r="AD368" t="str">
            <v>N</v>
          </cell>
          <cell r="AE368" t="str">
            <v>N</v>
          </cell>
        </row>
        <row r="369">
          <cell r="E369" t="str">
            <v>CNTRCT_ID_BDR</v>
          </cell>
          <cell r="Z369" t="str">
            <v>Y</v>
          </cell>
          <cell r="AA369" t="str">
            <v>N</v>
          </cell>
          <cell r="AB369" t="str">
            <v>N</v>
          </cell>
          <cell r="AC369" t="str">
            <v>Y</v>
          </cell>
          <cell r="AD369" t="str">
            <v>N</v>
          </cell>
          <cell r="AE369" t="str">
            <v>N</v>
          </cell>
        </row>
        <row r="370">
          <cell r="E370" t="str">
            <v>COD_SOC_INTRGRP</v>
          </cell>
          <cell r="Z370" t="str">
            <v>Y</v>
          </cell>
          <cell r="AA370" t="str">
            <v>Y</v>
          </cell>
          <cell r="AB370" t="str">
            <v>Y</v>
          </cell>
          <cell r="AC370" t="str">
            <v>N</v>
          </cell>
          <cell r="AD370" t="str">
            <v>N</v>
          </cell>
          <cell r="AE370" t="str">
            <v>N</v>
          </cell>
        </row>
        <row r="371">
          <cell r="E371" t="str">
            <v>LCL_INSTMRNT_ID</v>
          </cell>
          <cell r="Z371" t="str">
            <v>Y</v>
          </cell>
          <cell r="AA371" t="str">
            <v>Y</v>
          </cell>
          <cell r="AB371" t="str">
            <v>Y</v>
          </cell>
          <cell r="AC371" t="str">
            <v>N</v>
          </cell>
          <cell r="AD371" t="str">
            <v>N</v>
          </cell>
          <cell r="AE371" t="str">
            <v>N</v>
          </cell>
        </row>
        <row r="372">
          <cell r="E372" t="str">
            <v>SSTNBL_INDCTR</v>
          </cell>
          <cell r="Z372" t="str">
            <v>N</v>
          </cell>
          <cell r="AA372" t="str">
            <v>Y</v>
          </cell>
          <cell r="AB372" t="str">
            <v>Y</v>
          </cell>
          <cell r="AC372" t="str">
            <v>Y</v>
          </cell>
          <cell r="AD372" t="str">
            <v>N</v>
          </cell>
          <cell r="AE372" t="str">
            <v>N</v>
          </cell>
        </row>
        <row r="373">
          <cell r="E373" t="str">
            <v>SSTNBL_CTGRY</v>
          </cell>
          <cell r="Z373" t="str">
            <v>N</v>
          </cell>
          <cell r="AA373" t="str">
            <v>Y</v>
          </cell>
          <cell r="AB373" t="str">
            <v>Y</v>
          </cell>
          <cell r="AC373" t="str">
            <v>Y</v>
          </cell>
          <cell r="AD373" t="str">
            <v>N</v>
          </cell>
          <cell r="AE373" t="str">
            <v>N</v>
          </cell>
        </row>
        <row r="374">
          <cell r="E374" t="str">
            <v>AVRG_BLNC</v>
          </cell>
          <cell r="Z374" t="str">
            <v>N</v>
          </cell>
          <cell r="AA374" t="str">
            <v>Y</v>
          </cell>
          <cell r="AB374" t="str">
            <v>N</v>
          </cell>
          <cell r="AC374" t="str">
            <v>Y</v>
          </cell>
          <cell r="AD374" t="str">
            <v>N</v>
          </cell>
          <cell r="AE374" t="str">
            <v>N</v>
          </cell>
        </row>
        <row r="375">
          <cell r="E375" t="str">
            <v>NW_BSNSS</v>
          </cell>
          <cell r="Z375" t="str">
            <v>N</v>
          </cell>
          <cell r="AA375" t="str">
            <v>Y</v>
          </cell>
          <cell r="AB375" t="str">
            <v>Y</v>
          </cell>
          <cell r="AC375" t="str">
            <v>Y</v>
          </cell>
          <cell r="AD375" t="str">
            <v>N</v>
          </cell>
          <cell r="AE375" t="str">
            <v>N</v>
          </cell>
        </row>
        <row r="376">
          <cell r="E376" t="str">
            <v>GRSS_INTRST_INCM</v>
          </cell>
          <cell r="Z376" t="str">
            <v>N</v>
          </cell>
          <cell r="AA376" t="str">
            <v>Y</v>
          </cell>
          <cell r="AB376" t="str">
            <v>Y</v>
          </cell>
          <cell r="AC376" t="str">
            <v>Y</v>
          </cell>
          <cell r="AD376" t="str">
            <v>N</v>
          </cell>
          <cell r="AE376" t="str">
            <v>N</v>
          </cell>
        </row>
        <row r="377">
          <cell r="E377" t="str">
            <v>GRSS_CMMSSN_INCM</v>
          </cell>
          <cell r="Z377" t="str">
            <v>N</v>
          </cell>
          <cell r="AA377" t="str">
            <v>Y</v>
          </cell>
          <cell r="AB377" t="str">
            <v>Y</v>
          </cell>
          <cell r="AC377" t="str">
            <v>Y</v>
          </cell>
          <cell r="AD377" t="str">
            <v>N</v>
          </cell>
          <cell r="AE377" t="str">
            <v>N</v>
          </cell>
        </row>
        <row r="378">
          <cell r="E378" t="str">
            <v>INTRNL_TRNSFR_RT</v>
          </cell>
          <cell r="Z378" t="str">
            <v>N</v>
          </cell>
          <cell r="AA378" t="str">
            <v>Y</v>
          </cell>
          <cell r="AB378" t="str">
            <v>N</v>
          </cell>
          <cell r="AC378" t="str">
            <v>Y</v>
          </cell>
          <cell r="AD378" t="str">
            <v>N</v>
          </cell>
          <cell r="AE378" t="str">
            <v>N</v>
          </cell>
        </row>
        <row r="379">
          <cell r="E379" t="str">
            <v>NT_LN_LSS_PRVSN</v>
          </cell>
          <cell r="Z379" t="str">
            <v>N</v>
          </cell>
          <cell r="AA379" t="str">
            <v>Y</v>
          </cell>
          <cell r="AB379" t="str">
            <v>N</v>
          </cell>
          <cell r="AC379" t="str">
            <v>Y</v>
          </cell>
          <cell r="AD379" t="str">
            <v>N</v>
          </cell>
          <cell r="AE379" t="str">
            <v>N</v>
          </cell>
        </row>
        <row r="380">
          <cell r="E380" t="str">
            <v>BSNSS_AREA</v>
          </cell>
          <cell r="Z380" t="str">
            <v>N</v>
          </cell>
          <cell r="AA380" t="str">
            <v>Y</v>
          </cell>
          <cell r="AB380" t="str">
            <v>N</v>
          </cell>
          <cell r="AC380" t="str">
            <v>Y</v>
          </cell>
          <cell r="AD380" t="str">
            <v>N</v>
          </cell>
          <cell r="AE380" t="str">
            <v>N</v>
          </cell>
        </row>
        <row r="381">
          <cell r="E381" t="str">
            <v>MNGMNT_PRDCT</v>
          </cell>
          <cell r="Z381" t="str">
            <v>N</v>
          </cell>
          <cell r="AA381" t="str">
            <v>Y</v>
          </cell>
          <cell r="AB381" t="str">
            <v>N</v>
          </cell>
          <cell r="AC381" t="str">
            <v>Y</v>
          </cell>
          <cell r="AD381" t="str">
            <v>N</v>
          </cell>
          <cell r="AE381" t="str">
            <v>N</v>
          </cell>
        </row>
        <row r="382">
          <cell r="E382" t="str">
            <v>GRSS_CMMSSN_EXPNS</v>
          </cell>
          <cell r="Z382" t="str">
            <v>N</v>
          </cell>
          <cell r="AA382" t="str">
            <v>Y</v>
          </cell>
          <cell r="AB382" t="str">
            <v>N</v>
          </cell>
          <cell r="AC382" t="str">
            <v>Y</v>
          </cell>
          <cell r="AD382" t="str">
            <v>N</v>
          </cell>
          <cell r="AE382" t="str">
            <v>N</v>
          </cell>
        </row>
        <row r="383">
          <cell r="E383" t="str">
            <v>GNS_FNNCL_TRNSCTN_EXCHNG_DFFRNCS</v>
          </cell>
          <cell r="Z383" t="str">
            <v>N</v>
          </cell>
          <cell r="AA383" t="str">
            <v>Y</v>
          </cell>
          <cell r="AB383" t="str">
            <v>N</v>
          </cell>
          <cell r="AC383" t="str">
            <v>Y</v>
          </cell>
          <cell r="AD383" t="str">
            <v>N</v>
          </cell>
          <cell r="AE383" t="str">
            <v>N</v>
          </cell>
        </row>
        <row r="384">
          <cell r="E384" t="str">
            <v>FLG_INTRBSNSS</v>
          </cell>
          <cell r="Z384" t="str">
            <v>N</v>
          </cell>
          <cell r="AA384" t="str">
            <v>Y</v>
          </cell>
          <cell r="AB384" t="str">
            <v>N</v>
          </cell>
          <cell r="AC384" t="str">
            <v>N</v>
          </cell>
          <cell r="AD384" t="str">
            <v>N</v>
          </cell>
          <cell r="AE384" t="str">
            <v>N</v>
          </cell>
        </row>
        <row r="385">
          <cell r="E385" t="str">
            <v>INTRBSNSS_ADJ_COD</v>
          </cell>
          <cell r="Z385" t="str">
            <v>N</v>
          </cell>
          <cell r="AA385" t="str">
            <v>Y</v>
          </cell>
          <cell r="AB385" t="str">
            <v>N</v>
          </cell>
          <cell r="AC385" t="str">
            <v>N</v>
          </cell>
          <cell r="AD385" t="str">
            <v>N</v>
          </cell>
          <cell r="AE385" t="str">
            <v>N</v>
          </cell>
        </row>
        <row r="386">
          <cell r="E386" t="str">
            <v>COD_SOC_DSTNTN</v>
          </cell>
          <cell r="Z386" t="str">
            <v>N</v>
          </cell>
          <cell r="AA386" t="str">
            <v>Y</v>
          </cell>
          <cell r="AB386" t="str">
            <v>N</v>
          </cell>
          <cell r="AC386" t="str">
            <v>N</v>
          </cell>
          <cell r="AD386" t="str">
            <v>N</v>
          </cell>
          <cell r="AE386" t="str">
            <v>N</v>
          </cell>
        </row>
        <row r="387">
          <cell r="E387" t="str">
            <v>BSNSS_AREA_DSTNTN</v>
          </cell>
          <cell r="Z387" t="str">
            <v>N</v>
          </cell>
          <cell r="AA387" t="str">
            <v>Y</v>
          </cell>
          <cell r="AB387" t="str">
            <v>N</v>
          </cell>
          <cell r="AC387" t="str">
            <v>N</v>
          </cell>
          <cell r="AD387" t="str">
            <v>N</v>
          </cell>
          <cell r="AE387" t="str">
            <v>N</v>
          </cell>
        </row>
        <row r="388">
          <cell r="E388" t="str">
            <v>AVRG_BLNC_OFF_BLNC</v>
          </cell>
          <cell r="Z388" t="str">
            <v>N</v>
          </cell>
          <cell r="AA388" t="str">
            <v>Y</v>
          </cell>
          <cell r="AB388" t="str">
            <v>N</v>
          </cell>
          <cell r="AC388" t="str">
            <v>N</v>
          </cell>
          <cell r="AD388" t="str">
            <v>N</v>
          </cell>
          <cell r="AE388" t="str">
            <v>N</v>
          </cell>
        </row>
        <row r="389">
          <cell r="E389" t="str">
            <v>INTRNL_TRNSFR_RT_OFF_BLNC</v>
          </cell>
          <cell r="Z389" t="str">
            <v>N</v>
          </cell>
          <cell r="AA389" t="str">
            <v>Y</v>
          </cell>
          <cell r="AB389" t="str">
            <v>N</v>
          </cell>
          <cell r="AC389" t="str">
            <v>Y</v>
          </cell>
          <cell r="AD389" t="str">
            <v>N</v>
          </cell>
          <cell r="AE389" t="str">
            <v>N</v>
          </cell>
        </row>
        <row r="390">
          <cell r="E390" t="str">
            <v>GRSS_CMMSSN_INCM_OFF_BLNC</v>
          </cell>
          <cell r="Z390" t="str">
            <v>N</v>
          </cell>
          <cell r="AA390" t="str">
            <v>Y</v>
          </cell>
          <cell r="AB390" t="str">
            <v>Y</v>
          </cell>
          <cell r="AC390" t="str">
            <v>Y</v>
          </cell>
          <cell r="AD390" t="str">
            <v>N</v>
          </cell>
          <cell r="AE390" t="str">
            <v>N</v>
          </cell>
        </row>
        <row r="391">
          <cell r="E391" t="str">
            <v>GRSS_CMMSSN_EXPNS_OFF_BLNC</v>
          </cell>
          <cell r="Z391" t="str">
            <v>N</v>
          </cell>
          <cell r="AA391" t="str">
            <v>Y</v>
          </cell>
          <cell r="AB391" t="str">
            <v>N</v>
          </cell>
          <cell r="AC391" t="str">
            <v>Y</v>
          </cell>
          <cell r="AD391" t="str">
            <v>N</v>
          </cell>
          <cell r="AE391" t="str">
            <v>N</v>
          </cell>
        </row>
        <row r="392">
          <cell r="E392" t="str">
            <v>RWA_OFF_BLNC</v>
          </cell>
          <cell r="Z392" t="str">
            <v>N</v>
          </cell>
          <cell r="AA392" t="str">
            <v>Y</v>
          </cell>
          <cell r="AB392" t="str">
            <v>N</v>
          </cell>
          <cell r="AC392" t="str">
            <v>N</v>
          </cell>
          <cell r="AD392" t="str">
            <v>N</v>
          </cell>
          <cell r="AE392" t="str">
            <v>N</v>
          </cell>
        </row>
        <row r="393">
          <cell r="E393" t="str">
            <v>GRSS_INTRST_EXPNS</v>
          </cell>
          <cell r="Z393" t="str">
            <v>N</v>
          </cell>
          <cell r="AA393" t="str">
            <v>Y</v>
          </cell>
          <cell r="AB393" t="str">
            <v>N</v>
          </cell>
          <cell r="AC393" t="str">
            <v>Y</v>
          </cell>
          <cell r="AD393" t="str">
            <v>N</v>
          </cell>
          <cell r="AE393" t="str">
            <v>N</v>
          </cell>
        </row>
        <row r="394">
          <cell r="E394" t="str">
            <v>NT_LN_LSS_PRVSN_OFF_BLNC</v>
          </cell>
          <cell r="Z394" t="str">
            <v>N</v>
          </cell>
          <cell r="AA394" t="str">
            <v>Y</v>
          </cell>
          <cell r="AB394" t="str">
            <v>N</v>
          </cell>
          <cell r="AC394" t="str">
            <v>Y</v>
          </cell>
          <cell r="AD394" t="str">
            <v>N</v>
          </cell>
          <cell r="AE394" t="str">
            <v>N</v>
          </cell>
        </row>
        <row r="395">
          <cell r="E395" t="str">
            <v>GRSS_INTRST_INCM_CCRR</v>
          </cell>
          <cell r="Z395" t="str">
            <v>N</v>
          </cell>
          <cell r="AA395" t="str">
            <v>Y</v>
          </cell>
          <cell r="AB395" t="str">
            <v>N</v>
          </cell>
          <cell r="AC395" t="str">
            <v>Y</v>
          </cell>
          <cell r="AD395" t="str">
            <v>N</v>
          </cell>
          <cell r="AE395" t="str">
            <v>N</v>
          </cell>
        </row>
        <row r="396">
          <cell r="E396" t="str">
            <v>GRSS_INTRST_EXPNS_CCRR</v>
          </cell>
          <cell r="Z396" t="str">
            <v>N</v>
          </cell>
          <cell r="AA396" t="str">
            <v>Y</v>
          </cell>
          <cell r="AB396" t="str">
            <v>N</v>
          </cell>
          <cell r="AC396" t="str">
            <v>Y</v>
          </cell>
          <cell r="AD396" t="str">
            <v>N</v>
          </cell>
          <cell r="AE396" t="str">
            <v>N</v>
          </cell>
        </row>
        <row r="397">
          <cell r="E397" t="str">
            <v>GRSS_CMMSSN_INCM_CCRR</v>
          </cell>
          <cell r="Z397" t="str">
            <v>N</v>
          </cell>
          <cell r="AA397" t="str">
            <v>Y</v>
          </cell>
          <cell r="AB397" t="str">
            <v>N</v>
          </cell>
          <cell r="AC397" t="str">
            <v>Y</v>
          </cell>
          <cell r="AD397" t="str">
            <v>N</v>
          </cell>
          <cell r="AE397" t="str">
            <v>N</v>
          </cell>
        </row>
        <row r="398">
          <cell r="E398" t="str">
            <v>GRSS_CMMSSN_EXPNS_CCRR</v>
          </cell>
          <cell r="Z398" t="str">
            <v>N</v>
          </cell>
          <cell r="AA398" t="str">
            <v>Y</v>
          </cell>
          <cell r="AB398" t="str">
            <v>N</v>
          </cell>
          <cell r="AC398" t="str">
            <v>Y</v>
          </cell>
          <cell r="AD398" t="str">
            <v>N</v>
          </cell>
          <cell r="AE398" t="str">
            <v>N</v>
          </cell>
        </row>
        <row r="399">
          <cell r="E399" t="str">
            <v>GNS_FNNCL_TRNSCTN_EXCHNG_CCRR</v>
          </cell>
          <cell r="Z399" t="str">
            <v>N</v>
          </cell>
          <cell r="AA399" t="str">
            <v>Y</v>
          </cell>
          <cell r="AB399" t="str">
            <v>N</v>
          </cell>
          <cell r="AC399" t="str">
            <v>Y</v>
          </cell>
          <cell r="AD399" t="str">
            <v>N</v>
          </cell>
          <cell r="AE399" t="str">
            <v>N</v>
          </cell>
        </row>
        <row r="400">
          <cell r="E400" t="str">
            <v>BSNSS_AREA_CCRR</v>
          </cell>
          <cell r="Z400" t="str">
            <v>N</v>
          </cell>
          <cell r="AA400" t="str">
            <v>Y</v>
          </cell>
          <cell r="AB400" t="str">
            <v>N</v>
          </cell>
          <cell r="AC400" t="str">
            <v>N</v>
          </cell>
          <cell r="AD400" t="str">
            <v>N</v>
          </cell>
          <cell r="AE400" t="str">
            <v>N</v>
          </cell>
        </row>
        <row r="401">
          <cell r="E401" t="str">
            <v>GRSS_CMMSSN_INCM_OFF_BLNC_CCRR</v>
          </cell>
          <cell r="Z401" t="str">
            <v>N</v>
          </cell>
          <cell r="AA401" t="str">
            <v>Y</v>
          </cell>
          <cell r="AB401" t="str">
            <v>N</v>
          </cell>
          <cell r="AC401" t="str">
            <v>Y</v>
          </cell>
          <cell r="AD401" t="str">
            <v>N</v>
          </cell>
          <cell r="AE401" t="str">
            <v>N</v>
          </cell>
        </row>
        <row r="402">
          <cell r="E402" t="str">
            <v>GRSS_CMMSSN_EXPNS_OFF_BLNC_CCRR</v>
          </cell>
          <cell r="Z402" t="str">
            <v>N</v>
          </cell>
          <cell r="AA402" t="str">
            <v>Y</v>
          </cell>
          <cell r="AB402" t="str">
            <v>N</v>
          </cell>
          <cell r="AC402" t="str">
            <v>Y</v>
          </cell>
          <cell r="AD402" t="str">
            <v>N</v>
          </cell>
          <cell r="AE402" t="str">
            <v>N</v>
          </cell>
        </row>
        <row r="403">
          <cell r="E403" t="str">
            <v>ENVRNMNTL_OBJCTV</v>
          </cell>
          <cell r="Z403" t="str">
            <v>N</v>
          </cell>
          <cell r="AA403" t="str">
            <v>N</v>
          </cell>
          <cell r="AB403" t="str">
            <v>Y</v>
          </cell>
          <cell r="AC403" t="str">
            <v>N</v>
          </cell>
          <cell r="AD403" t="str">
            <v>N</v>
          </cell>
          <cell r="AE403" t="str">
            <v>N</v>
          </cell>
        </row>
        <row r="404">
          <cell r="E404" t="str">
            <v>RSK_MTGTD_CCT</v>
          </cell>
          <cell r="Z404" t="str">
            <v>N</v>
          </cell>
          <cell r="AA404" t="str">
            <v>N</v>
          </cell>
          <cell r="AB404" t="str">
            <v>Y</v>
          </cell>
          <cell r="AC404" t="str">
            <v>N</v>
          </cell>
          <cell r="AD404" t="str">
            <v>N</v>
          </cell>
          <cell r="AE404" t="str">
            <v>N</v>
          </cell>
        </row>
        <row r="405">
          <cell r="E405" t="str">
            <v>RSK_MTGTD_CCP</v>
          </cell>
          <cell r="Z405" t="str">
            <v>N</v>
          </cell>
          <cell r="AA405" t="str">
            <v>N</v>
          </cell>
          <cell r="AB405" t="str">
            <v>Y</v>
          </cell>
          <cell r="AC405" t="str">
            <v>N</v>
          </cell>
          <cell r="AD405" t="str">
            <v>N</v>
          </cell>
          <cell r="AE405" t="str">
            <v>N</v>
          </cell>
        </row>
        <row r="406">
          <cell r="E406" t="str">
            <v>TYP_ACTVTY</v>
          </cell>
          <cell r="Z406" t="str">
            <v>N</v>
          </cell>
          <cell r="AA406" t="str">
            <v>N</v>
          </cell>
          <cell r="AB406" t="str">
            <v>Y</v>
          </cell>
          <cell r="AC406" t="str">
            <v>N</v>
          </cell>
          <cell r="AD406" t="str">
            <v>N</v>
          </cell>
          <cell r="AE406" t="str">
            <v>N</v>
          </cell>
        </row>
        <row r="407">
          <cell r="E407" t="str">
            <v>LNS_CLLTRLZD_CLSSFCTN</v>
          </cell>
          <cell r="Z407" t="str">
            <v>N</v>
          </cell>
          <cell r="AA407" t="str">
            <v>N</v>
          </cell>
          <cell r="AB407" t="str">
            <v>Y</v>
          </cell>
          <cell r="AC407" t="str">
            <v>N</v>
          </cell>
          <cell r="AD407" t="str">
            <v>N</v>
          </cell>
          <cell r="AE407" t="str">
            <v>N</v>
          </cell>
        </row>
        <row r="408">
          <cell r="E408" t="str">
            <v>MTHD_USD_INSTRMNT_SCP_1</v>
          </cell>
          <cell r="Z408" t="str">
            <v>N</v>
          </cell>
          <cell r="AA408" t="str">
            <v>N</v>
          </cell>
          <cell r="AB408" t="str">
            <v>Y</v>
          </cell>
          <cell r="AC408" t="str">
            <v>N</v>
          </cell>
          <cell r="AD408" t="str">
            <v>N</v>
          </cell>
          <cell r="AE408" t="str">
            <v>N</v>
          </cell>
        </row>
        <row r="409">
          <cell r="E409" t="str">
            <v>MTHD_USD_INSTRMNT_SCP_2</v>
          </cell>
          <cell r="Z409" t="str">
            <v>N</v>
          </cell>
          <cell r="AA409" t="str">
            <v>N</v>
          </cell>
          <cell r="AB409" t="str">
            <v>Y</v>
          </cell>
          <cell r="AC409" t="str">
            <v>N</v>
          </cell>
          <cell r="AD409" t="str">
            <v>N</v>
          </cell>
          <cell r="AE409" t="str">
            <v>N</v>
          </cell>
        </row>
        <row r="410">
          <cell r="E410" t="str">
            <v>MTHD_USD_INSTRMNT_SCP_3</v>
          </cell>
          <cell r="Z410" t="str">
            <v>N</v>
          </cell>
          <cell r="AA410" t="str">
            <v>N</v>
          </cell>
          <cell r="AB410" t="str">
            <v>Y</v>
          </cell>
          <cell r="AC410" t="str">
            <v>N</v>
          </cell>
          <cell r="AD410" t="str">
            <v>N</v>
          </cell>
          <cell r="AE410" t="str">
            <v>N</v>
          </cell>
        </row>
        <row r="411">
          <cell r="E411" t="str">
            <v>CNCLLD_INSTRMNT_STTS</v>
          </cell>
          <cell r="Z411" t="str">
            <v>N</v>
          </cell>
          <cell r="AA411" t="str">
            <v>Y</v>
          </cell>
          <cell r="AB411" t="str">
            <v>Y</v>
          </cell>
          <cell r="AC411" t="str">
            <v>Y</v>
          </cell>
          <cell r="AD411" t="str">
            <v>N</v>
          </cell>
          <cell r="AE411" t="str">
            <v>N</v>
          </cell>
        </row>
        <row r="412">
          <cell r="E412" t="str">
            <v>IDCMB</v>
          </cell>
          <cell r="Z412" t="str">
            <v>Y</v>
          </cell>
          <cell r="AA412" t="str">
            <v>Y</v>
          </cell>
          <cell r="AB412" t="str">
            <v>Y</v>
          </cell>
          <cell r="AC412" t="str">
            <v>Y</v>
          </cell>
          <cell r="AD412" t="str">
            <v>Y</v>
          </cell>
          <cell r="AE412" t="str">
            <v>Y</v>
          </cell>
        </row>
        <row r="413">
          <cell r="E413" t="str">
            <v>EXPCTD_LSS_CRR</v>
          </cell>
          <cell r="Z413" t="str">
            <v>Y</v>
          </cell>
          <cell r="AA413" t="str">
            <v>N</v>
          </cell>
          <cell r="AB413" t="str">
            <v>N</v>
          </cell>
          <cell r="AC413" t="str">
            <v>N</v>
          </cell>
          <cell r="AD413" t="str">
            <v>N</v>
          </cell>
          <cell r="AE413" t="str">
            <v>N</v>
          </cell>
        </row>
        <row r="414">
          <cell r="E414" t="str">
            <v>LSTI</v>
          </cell>
          <cell r="Z414" t="str">
            <v>Y</v>
          </cell>
          <cell r="AA414" t="str">
            <v>N</v>
          </cell>
          <cell r="AB414" t="str">
            <v>N</v>
          </cell>
          <cell r="AC414" t="str">
            <v>N</v>
          </cell>
          <cell r="AD414" t="str">
            <v>N</v>
          </cell>
          <cell r="AE414" t="str">
            <v>N</v>
          </cell>
        </row>
        <row r="415">
          <cell r="E415" t="str">
            <v>DSTI</v>
          </cell>
          <cell r="Z415" t="str">
            <v>Y</v>
          </cell>
          <cell r="AA415" t="str">
            <v>N</v>
          </cell>
          <cell r="AB415" t="str">
            <v>N</v>
          </cell>
          <cell r="AC415" t="str">
            <v>N</v>
          </cell>
          <cell r="AD415" t="str">
            <v>N</v>
          </cell>
          <cell r="AE415" t="str">
            <v>N</v>
          </cell>
        </row>
        <row r="416">
          <cell r="E416" t="str">
            <v>LTI_INSTRMNT</v>
          </cell>
          <cell r="Z416" t="str">
            <v>Y</v>
          </cell>
          <cell r="AA416" t="str">
            <v>N</v>
          </cell>
          <cell r="AB416" t="str">
            <v>N</v>
          </cell>
          <cell r="AC416" t="str">
            <v>N</v>
          </cell>
          <cell r="AD416" t="str">
            <v>N</v>
          </cell>
          <cell r="AE416" t="str">
            <v>N</v>
          </cell>
        </row>
        <row r="417">
          <cell r="E417" t="str">
            <v>SSTNBL_CTGRY_TXNMY</v>
          </cell>
          <cell r="Z417" t="str">
            <v>N</v>
          </cell>
          <cell r="AA417" t="str">
            <v>N</v>
          </cell>
          <cell r="AB417" t="str">
            <v>Y</v>
          </cell>
          <cell r="AC417" t="str">
            <v>N</v>
          </cell>
          <cell r="AD417" t="str">
            <v>N</v>
          </cell>
          <cell r="AE417" t="str">
            <v>N</v>
          </cell>
        </row>
        <row r="418">
          <cell r="E418" t="str">
            <v>INTRST_RT_CP</v>
          </cell>
          <cell r="Z418" t="str">
            <v>Y</v>
          </cell>
          <cell r="AA418" t="str">
            <v>N</v>
          </cell>
          <cell r="AB418" t="str">
            <v>N</v>
          </cell>
          <cell r="AC418" t="str">
            <v>N</v>
          </cell>
          <cell r="AD418" t="str">
            <v>N</v>
          </cell>
          <cell r="AE418" t="str">
            <v>N</v>
          </cell>
        </row>
        <row r="419">
          <cell r="E419" t="str">
            <v>INTRST_RT_FLR</v>
          </cell>
          <cell r="Z419" t="str">
            <v>Y</v>
          </cell>
          <cell r="AA419" t="str">
            <v>N</v>
          </cell>
          <cell r="AB419" t="str">
            <v>N</v>
          </cell>
          <cell r="AC419" t="str">
            <v>N</v>
          </cell>
          <cell r="AD419" t="str">
            <v>N</v>
          </cell>
          <cell r="AE419" t="str">
            <v>N</v>
          </cell>
        </row>
        <row r="420">
          <cell r="E420" t="str">
            <v>NMNL_INTRST_RT_FEE</v>
          </cell>
          <cell r="Z420" t="str">
            <v>Y</v>
          </cell>
          <cell r="AA420" t="str">
            <v>N</v>
          </cell>
          <cell r="AB420" t="str">
            <v>N</v>
          </cell>
          <cell r="AC420" t="str">
            <v>N</v>
          </cell>
          <cell r="AD420" t="str">
            <v>N</v>
          </cell>
          <cell r="AE420" t="str">
            <v>N</v>
          </cell>
        </row>
        <row r="421">
          <cell r="E421" t="str">
            <v>RFRNC_RT</v>
          </cell>
          <cell r="Z421" t="str">
            <v>Y</v>
          </cell>
          <cell r="AA421" t="str">
            <v>N</v>
          </cell>
          <cell r="AB421" t="str">
            <v>N</v>
          </cell>
          <cell r="AC421" t="str">
            <v>N</v>
          </cell>
          <cell r="AD421" t="str">
            <v>N</v>
          </cell>
          <cell r="AE421" t="str">
            <v>N</v>
          </cell>
        </row>
        <row r="422">
          <cell r="E422" t="str">
            <v>DT_STTLMNT</v>
          </cell>
          <cell r="Z422" t="str">
            <v>Y</v>
          </cell>
          <cell r="AA422" t="str">
            <v>N</v>
          </cell>
          <cell r="AB422" t="str">
            <v>N</v>
          </cell>
          <cell r="AC422" t="str">
            <v>N</v>
          </cell>
          <cell r="AD422" t="str">
            <v>N</v>
          </cell>
          <cell r="AE422" t="str">
            <v>N</v>
          </cell>
        </row>
        <row r="423">
          <cell r="E423" t="str">
            <v>TRNSFRRD_AMNT</v>
          </cell>
          <cell r="Z423" t="str">
            <v>Y</v>
          </cell>
          <cell r="AA423" t="str">
            <v>N</v>
          </cell>
          <cell r="AB423" t="str">
            <v>N</v>
          </cell>
          <cell r="AC423" t="str">
            <v>N</v>
          </cell>
          <cell r="AD423" t="str">
            <v>N</v>
          </cell>
          <cell r="AE423" t="str">
            <v>N</v>
          </cell>
        </row>
        <row r="424">
          <cell r="E424" t="str">
            <v>TYP_SCRTZTN</v>
          </cell>
          <cell r="Z424" t="str">
            <v>Y</v>
          </cell>
          <cell r="AA424" t="str">
            <v>N</v>
          </cell>
          <cell r="AB424" t="str">
            <v>N</v>
          </cell>
          <cell r="AC424" t="str">
            <v>Y</v>
          </cell>
          <cell r="AD424" t="str">
            <v>N</v>
          </cell>
          <cell r="AE424" t="str">
            <v>N</v>
          </cell>
        </row>
        <row r="425">
          <cell r="E425" t="str">
            <v>TYP_OFF_BLNC_PRDCT</v>
          </cell>
          <cell r="Z425" t="str">
            <v>Y</v>
          </cell>
          <cell r="AA425" t="str">
            <v>Y</v>
          </cell>
          <cell r="AB425" t="str">
            <v>Y</v>
          </cell>
          <cell r="AC425" t="str">
            <v>N</v>
          </cell>
          <cell r="AD425" t="str">
            <v>N</v>
          </cell>
          <cell r="AE425" t="str">
            <v>Y</v>
          </cell>
        </row>
        <row r="426">
          <cell r="E426" t="str">
            <v>BLNC_SHT_RCGNTN</v>
          </cell>
          <cell r="Z426" t="str">
            <v>Y</v>
          </cell>
          <cell r="AA426" t="str">
            <v>N</v>
          </cell>
          <cell r="AB426" t="str">
            <v>N</v>
          </cell>
          <cell r="AC426" t="str">
            <v>N</v>
          </cell>
          <cell r="AD426" t="str">
            <v>N</v>
          </cell>
          <cell r="AE426" t="str">
            <v>N</v>
          </cell>
        </row>
        <row r="427">
          <cell r="E427" t="str">
            <v>FLG_DFLT</v>
          </cell>
          <cell r="Z427" t="str">
            <v>Y</v>
          </cell>
          <cell r="AA427" t="str">
            <v>N</v>
          </cell>
          <cell r="AB427" t="str">
            <v>N</v>
          </cell>
          <cell r="AC427" t="str">
            <v>N</v>
          </cell>
          <cell r="AD427" t="str">
            <v>N</v>
          </cell>
          <cell r="AE427" t="str">
            <v>N</v>
          </cell>
        </row>
        <row r="428">
          <cell r="E428" t="str">
            <v>FLG_HGH_RSK</v>
          </cell>
          <cell r="Z428" t="str">
            <v>Y</v>
          </cell>
          <cell r="AA428" t="str">
            <v>N</v>
          </cell>
          <cell r="AB428" t="str">
            <v>N</v>
          </cell>
          <cell r="AC428" t="str">
            <v>N</v>
          </cell>
          <cell r="AD428" t="str">
            <v>N</v>
          </cell>
          <cell r="AE428" t="str">
            <v>N</v>
          </cell>
        </row>
        <row r="429">
          <cell r="E429" t="str">
            <v>EXCLDD_LF</v>
          </cell>
          <cell r="Z429" t="str">
            <v>N</v>
          </cell>
          <cell r="AA429" t="str">
            <v>N</v>
          </cell>
          <cell r="AB429" t="str">
            <v>N</v>
          </cell>
          <cell r="AC429" t="str">
            <v>N</v>
          </cell>
          <cell r="AD429" t="str">
            <v>N</v>
          </cell>
          <cell r="AE429" t="str">
            <v>Y</v>
          </cell>
        </row>
        <row r="430">
          <cell r="E430" t="str">
            <v>RWA_MTGTN</v>
          </cell>
          <cell r="Z430" t="str">
            <v>N</v>
          </cell>
          <cell r="AA430" t="str">
            <v>N</v>
          </cell>
          <cell r="AB430" t="str">
            <v>N</v>
          </cell>
          <cell r="AC430" t="str">
            <v>N</v>
          </cell>
          <cell r="AD430" t="str">
            <v>N</v>
          </cell>
          <cell r="AE430" t="str">
            <v>Y</v>
          </cell>
        </row>
        <row r="431">
          <cell r="E431" t="str">
            <v>RWA_PRMTGTN</v>
          </cell>
          <cell r="Z431" t="str">
            <v>N</v>
          </cell>
          <cell r="AA431" t="str">
            <v>N</v>
          </cell>
          <cell r="AB431" t="str">
            <v>N</v>
          </cell>
          <cell r="AC431" t="str">
            <v>N</v>
          </cell>
          <cell r="AD431" t="str">
            <v>N</v>
          </cell>
          <cell r="AE431" t="str">
            <v>Y</v>
          </cell>
        </row>
        <row r="432">
          <cell r="E432" t="str">
            <v>US_PRCDS</v>
          </cell>
          <cell r="Z432" t="str">
            <v>N</v>
          </cell>
          <cell r="AA432" t="str">
            <v>N</v>
          </cell>
          <cell r="AB432" t="str">
            <v>N</v>
          </cell>
          <cell r="AC432" t="str">
            <v>N</v>
          </cell>
          <cell r="AD432" t="str">
            <v>N</v>
          </cell>
          <cell r="AE432" t="str">
            <v>Y</v>
          </cell>
        </row>
        <row r="433">
          <cell r="E433" t="str">
            <v>TTL_LVRG_RT_INCPTN</v>
          </cell>
          <cell r="Z433" t="str">
            <v>N</v>
          </cell>
          <cell r="AA433" t="str">
            <v>N</v>
          </cell>
          <cell r="AB433" t="str">
            <v>N</v>
          </cell>
          <cell r="AC433" t="str">
            <v>N</v>
          </cell>
          <cell r="AD433" t="str">
            <v>N</v>
          </cell>
          <cell r="AE433" t="str">
            <v>Y</v>
          </cell>
        </row>
        <row r="434">
          <cell r="E434" t="str">
            <v>TYP_FCLTY</v>
          </cell>
          <cell r="Z434" t="str">
            <v>N</v>
          </cell>
          <cell r="AA434" t="str">
            <v>N</v>
          </cell>
          <cell r="AB434" t="str">
            <v>N</v>
          </cell>
          <cell r="AC434" t="str">
            <v>N</v>
          </cell>
          <cell r="AD434" t="str">
            <v>N</v>
          </cell>
          <cell r="AE434" t="str">
            <v>Y</v>
          </cell>
        </row>
        <row r="435">
          <cell r="E435" t="str">
            <v>TYP_CL</v>
          </cell>
          <cell r="Z435" t="str">
            <v>N</v>
          </cell>
          <cell r="AA435" t="str">
            <v>N</v>
          </cell>
          <cell r="AB435" t="str">
            <v>N</v>
          </cell>
          <cell r="AC435" t="str">
            <v>N</v>
          </cell>
          <cell r="AD435" t="str">
            <v>N</v>
          </cell>
          <cell r="AE435" t="str">
            <v>Y</v>
          </cell>
        </row>
        <row r="436">
          <cell r="E436" t="str">
            <v>FLG_MNMM_SFGRDS</v>
          </cell>
          <cell r="Z436" t="str">
            <v>N</v>
          </cell>
          <cell r="AA436" t="str">
            <v>N</v>
          </cell>
          <cell r="AB436" t="str">
            <v>Y</v>
          </cell>
          <cell r="AC436" t="str">
            <v>N</v>
          </cell>
          <cell r="AD436" t="str">
            <v>Y</v>
          </cell>
          <cell r="AE436" t="str">
            <v>N</v>
          </cell>
        </row>
        <row r="437">
          <cell r="E437" t="str">
            <v>RORAC</v>
          </cell>
          <cell r="Z437" t="str">
            <v>N</v>
          </cell>
          <cell r="AA437" t="str">
            <v>N</v>
          </cell>
          <cell r="AB437" t="str">
            <v>N</v>
          </cell>
          <cell r="AC437" t="str">
            <v>N</v>
          </cell>
          <cell r="AD437" t="str">
            <v>N</v>
          </cell>
          <cell r="AE437" t="str">
            <v>Y</v>
          </cell>
        </row>
        <row r="438">
          <cell r="E438" t="str">
            <v>RORWA</v>
          </cell>
          <cell r="Z438" t="str">
            <v>N</v>
          </cell>
          <cell r="AA438" t="str">
            <v>N</v>
          </cell>
          <cell r="AB438" t="str">
            <v>N</v>
          </cell>
          <cell r="AC438" t="str">
            <v>Y</v>
          </cell>
          <cell r="AD438" t="str">
            <v>N</v>
          </cell>
          <cell r="AE438" t="str">
            <v>Y</v>
          </cell>
        </row>
        <row r="439">
          <cell r="E439" t="str">
            <v>TYP_DL</v>
          </cell>
          <cell r="Z439" t="str">
            <v>N</v>
          </cell>
          <cell r="AA439" t="str">
            <v>N</v>
          </cell>
          <cell r="AB439" t="str">
            <v>N</v>
          </cell>
          <cell r="AC439" t="str">
            <v>N</v>
          </cell>
          <cell r="AD439" t="str">
            <v>N</v>
          </cell>
          <cell r="AE439" t="str">
            <v>Y</v>
          </cell>
        </row>
        <row r="440">
          <cell r="E440" t="str">
            <v>DSTNTN_FNDS</v>
          </cell>
          <cell r="Z440" t="str">
            <v>N</v>
          </cell>
          <cell r="AA440" t="str">
            <v>N</v>
          </cell>
          <cell r="AB440" t="str">
            <v>N</v>
          </cell>
          <cell r="AC440" t="str">
            <v>N</v>
          </cell>
          <cell r="AD440" t="str">
            <v>N</v>
          </cell>
          <cell r="AE440" t="str">
            <v>Y</v>
          </cell>
        </row>
        <row r="441">
          <cell r="E441" t="str">
            <v>PRTNR</v>
          </cell>
          <cell r="Z441" t="str">
            <v>N</v>
          </cell>
          <cell r="AA441" t="str">
            <v>N</v>
          </cell>
          <cell r="AB441" t="str">
            <v>N</v>
          </cell>
          <cell r="AC441" t="str">
            <v>Y</v>
          </cell>
          <cell r="AD441" t="str">
            <v>N</v>
          </cell>
          <cell r="AE441" t="str">
            <v>N</v>
          </cell>
        </row>
        <row r="442">
          <cell r="E442" t="str">
            <v>INCNTVS</v>
          </cell>
          <cell r="Z442" t="str">
            <v>N</v>
          </cell>
          <cell r="AA442" t="str">
            <v>N</v>
          </cell>
          <cell r="AB442" t="str">
            <v>N</v>
          </cell>
          <cell r="AC442" t="str">
            <v>Y</v>
          </cell>
          <cell r="AD442" t="str">
            <v>N</v>
          </cell>
          <cell r="AE442" t="str">
            <v>N</v>
          </cell>
        </row>
        <row r="443">
          <cell r="E443" t="str">
            <v>OTHR_OPRTNG_INCM</v>
          </cell>
          <cell r="Z443" t="str">
            <v>N</v>
          </cell>
          <cell r="AA443" t="str">
            <v>N</v>
          </cell>
          <cell r="AB443" t="str">
            <v>N</v>
          </cell>
          <cell r="AC443" t="str">
            <v>Y</v>
          </cell>
          <cell r="AD443" t="str">
            <v>N</v>
          </cell>
          <cell r="AE443" t="str">
            <v>N</v>
          </cell>
        </row>
        <row r="444">
          <cell r="E444" t="str">
            <v>RFRRL_FS</v>
          </cell>
          <cell r="Z444" t="str">
            <v>N</v>
          </cell>
          <cell r="AA444" t="str">
            <v>N</v>
          </cell>
          <cell r="AB444" t="str">
            <v>N</v>
          </cell>
          <cell r="AC444" t="str">
            <v>Y</v>
          </cell>
          <cell r="AD444" t="str">
            <v>N</v>
          </cell>
          <cell r="AE444" t="str">
            <v>N</v>
          </cell>
        </row>
        <row r="445">
          <cell r="E445" t="str">
            <v>INSRNC_CMSSNS</v>
          </cell>
          <cell r="Z445" t="str">
            <v>N</v>
          </cell>
          <cell r="AA445" t="str">
            <v>N</v>
          </cell>
          <cell r="AB445" t="str">
            <v>N</v>
          </cell>
          <cell r="AC445" t="str">
            <v>Y</v>
          </cell>
          <cell r="AD445" t="str">
            <v>N</v>
          </cell>
          <cell r="AE445" t="str">
            <v>N</v>
          </cell>
        </row>
        <row r="446">
          <cell r="E446" t="str">
            <v>OTHR_INCM_AND_CHRGS</v>
          </cell>
          <cell r="Z446" t="str">
            <v>N</v>
          </cell>
          <cell r="AA446" t="str">
            <v>N</v>
          </cell>
          <cell r="AB446" t="str">
            <v>N</v>
          </cell>
          <cell r="AC446" t="str">
            <v>Y</v>
          </cell>
          <cell r="AD446" t="str">
            <v>N</v>
          </cell>
          <cell r="AE446" t="str">
            <v>N</v>
          </cell>
        </row>
        <row r="447">
          <cell r="E447" t="str">
            <v>TX_ON_PRFT</v>
          </cell>
          <cell r="Z447" t="str">
            <v>N</v>
          </cell>
          <cell r="AA447" t="str">
            <v>N</v>
          </cell>
          <cell r="AB447" t="str">
            <v>N</v>
          </cell>
          <cell r="AC447" t="str">
            <v>Y</v>
          </cell>
          <cell r="AD447" t="str">
            <v>N</v>
          </cell>
          <cell r="AE447" t="str">
            <v>N</v>
          </cell>
        </row>
        <row r="448">
          <cell r="E448" t="str">
            <v>PD_EC_INCPTN PD_EC_MDFCTN</v>
          </cell>
          <cell r="Z448" t="str">
            <v>N</v>
          </cell>
          <cell r="AA448" t="str">
            <v>N</v>
          </cell>
          <cell r="AB448" t="str">
            <v>N</v>
          </cell>
          <cell r="AC448" t="str">
            <v>N</v>
          </cell>
          <cell r="AD448" t="str">
            <v>N</v>
          </cell>
          <cell r="AE448" t="str">
            <v>Y</v>
          </cell>
        </row>
        <row r="449">
          <cell r="E449" t="str">
            <v>PD_EC_RD</v>
          </cell>
          <cell r="Z449" t="str">
            <v>Y</v>
          </cell>
          <cell r="AA449" t="str">
            <v>N</v>
          </cell>
          <cell r="AB449" t="str">
            <v>N</v>
          </cell>
          <cell r="AC449" t="str">
            <v>N</v>
          </cell>
          <cell r="AD449" t="str">
            <v>N</v>
          </cell>
          <cell r="AE449" t="str">
            <v>Y</v>
          </cell>
        </row>
        <row r="450">
          <cell r="E450" t="str">
            <v>TTL_LVRG_RT_INCPTN_HLT</v>
          </cell>
          <cell r="Z450" t="str">
            <v>N</v>
          </cell>
          <cell r="AA450" t="str">
            <v>N</v>
          </cell>
          <cell r="AB450" t="str">
            <v>N</v>
          </cell>
          <cell r="AC450" t="str">
            <v>N</v>
          </cell>
          <cell r="AD450" t="str">
            <v>N</v>
          </cell>
          <cell r="AE450" t="str">
            <v>Y</v>
          </cell>
        </row>
        <row r="451">
          <cell r="E451" t="str">
            <v>DT_MDFCTN</v>
          </cell>
          <cell r="Z451" t="str">
            <v>Y</v>
          </cell>
          <cell r="AA451" t="str">
            <v>N</v>
          </cell>
          <cell r="AB451" t="str">
            <v>N</v>
          </cell>
          <cell r="AC451" t="str">
            <v>N</v>
          </cell>
          <cell r="AD451" t="str">
            <v>N</v>
          </cell>
          <cell r="AE451" t="str">
            <v>Y</v>
          </cell>
        </row>
        <row r="452">
          <cell r="E452" t="str">
            <v>ACCNTNG_SCTR</v>
          </cell>
          <cell r="Z452" t="str">
            <v>Y</v>
          </cell>
          <cell r="AA452" t="str">
            <v>Y</v>
          </cell>
          <cell r="AB452" t="str">
            <v>Y</v>
          </cell>
          <cell r="AC452" t="str">
            <v>Y</v>
          </cell>
          <cell r="AD452" t="str">
            <v>Y</v>
          </cell>
          <cell r="AE452" t="str">
            <v>Y</v>
          </cell>
        </row>
        <row r="453">
          <cell r="E453" t="str">
            <v>SSTNBL_CLSSFCTN_MTHD</v>
          </cell>
          <cell r="Z453" t="str">
            <v>N</v>
          </cell>
          <cell r="AA453" t="str">
            <v>N</v>
          </cell>
          <cell r="AB453" t="str">
            <v>N</v>
          </cell>
          <cell r="AC453" t="str">
            <v>Y</v>
          </cell>
          <cell r="AD453" t="str">
            <v>N</v>
          </cell>
          <cell r="AE453" t="str">
            <v>N</v>
          </cell>
        </row>
        <row r="454">
          <cell r="E454" t="str">
            <v>DT_SSTNBL_CLSSFCTN</v>
          </cell>
          <cell r="Z454" t="str">
            <v>N</v>
          </cell>
          <cell r="AA454" t="str">
            <v>N</v>
          </cell>
          <cell r="AB454" t="str">
            <v>N</v>
          </cell>
          <cell r="AC454" t="str">
            <v>Y</v>
          </cell>
          <cell r="AD454" t="str">
            <v>N</v>
          </cell>
          <cell r="AE454" t="str">
            <v>N</v>
          </cell>
        </row>
        <row r="455">
          <cell r="E455" t="str">
            <v>TTL_LVRG_RT_ MDFCTN</v>
          </cell>
          <cell r="Z455" t="str">
            <v>N</v>
          </cell>
          <cell r="AA455" t="str">
            <v>N</v>
          </cell>
          <cell r="AB455" t="str">
            <v>N</v>
          </cell>
          <cell r="AC455" t="str">
            <v>N</v>
          </cell>
          <cell r="AD455" t="str">
            <v>N</v>
          </cell>
          <cell r="AE455" t="str">
            <v>Y</v>
          </cell>
        </row>
        <row r="456">
          <cell r="E456" t="str">
            <v>TTL_LVRG_RT_ MDFCTN_HLT</v>
          </cell>
          <cell r="Z456" t="str">
            <v>N</v>
          </cell>
          <cell r="AA456" t="str">
            <v>N</v>
          </cell>
          <cell r="AB456" t="str">
            <v>N</v>
          </cell>
          <cell r="AC456" t="str">
            <v>N</v>
          </cell>
          <cell r="AD456" t="str">
            <v>N</v>
          </cell>
          <cell r="AE456" t="str">
            <v>Y</v>
          </cell>
        </row>
        <row r="457">
          <cell r="E457" t="str">
            <v>COD_SOC</v>
          </cell>
          <cell r="Z457" t="str">
            <v>Y</v>
          </cell>
          <cell r="AA457" t="str">
            <v>Y</v>
          </cell>
          <cell r="AB457" t="str">
            <v>Y</v>
          </cell>
          <cell r="AC457" t="str">
            <v>N</v>
          </cell>
          <cell r="AD457" t="str">
            <v>N</v>
          </cell>
          <cell r="AE457" t="str">
            <v>Y</v>
          </cell>
        </row>
        <row r="458">
          <cell r="E458" t="str">
            <v>DT_RFRNC</v>
          </cell>
          <cell r="Z458" t="str">
            <v>Y</v>
          </cell>
          <cell r="AA458" t="str">
            <v>Y</v>
          </cell>
          <cell r="AB458" t="str">
            <v>Y</v>
          </cell>
          <cell r="AC458" t="str">
            <v>N</v>
          </cell>
          <cell r="AD458" t="str">
            <v>N</v>
          </cell>
          <cell r="AE458" t="str">
            <v>Y</v>
          </cell>
        </row>
        <row r="459">
          <cell r="E459" t="str">
            <v>INSTRMNT_ID</v>
          </cell>
          <cell r="Z459" t="str">
            <v>Y</v>
          </cell>
          <cell r="AA459" t="str">
            <v>Y</v>
          </cell>
          <cell r="AB459" t="str">
            <v>Y</v>
          </cell>
          <cell r="AC459" t="str">
            <v>N</v>
          </cell>
          <cell r="AD459" t="str">
            <v>N</v>
          </cell>
          <cell r="AE459" t="str">
            <v>Y</v>
          </cell>
        </row>
        <row r="460">
          <cell r="E460" t="str">
            <v>PRTCTN_ID</v>
          </cell>
          <cell r="Z460" t="str">
            <v>Y</v>
          </cell>
          <cell r="AA460" t="str">
            <v>Y</v>
          </cell>
          <cell r="AB460" t="str">
            <v>Y</v>
          </cell>
          <cell r="AC460" t="str">
            <v>N</v>
          </cell>
          <cell r="AD460" t="str">
            <v>N</v>
          </cell>
          <cell r="AE460" t="str">
            <v>Y</v>
          </cell>
        </row>
        <row r="461">
          <cell r="E461" t="str">
            <v>PRTCTN_ALLCTD_VL</v>
          </cell>
          <cell r="Z461" t="str">
            <v>Y</v>
          </cell>
          <cell r="AA461" t="str">
            <v>N</v>
          </cell>
          <cell r="AB461" t="str">
            <v>Y</v>
          </cell>
          <cell r="AC461" t="str">
            <v>N</v>
          </cell>
          <cell r="AD461" t="str">
            <v>N</v>
          </cell>
          <cell r="AE461" t="str">
            <v>N</v>
          </cell>
        </row>
        <row r="462">
          <cell r="E462" t="str">
            <v>THRD_PRTY_PRRTY_CLMS</v>
          </cell>
          <cell r="Z462" t="str">
            <v>Y</v>
          </cell>
          <cell r="AA462" t="str">
            <v>N</v>
          </cell>
          <cell r="AB462" t="str">
            <v>N</v>
          </cell>
          <cell r="AC462" t="str">
            <v>N</v>
          </cell>
          <cell r="AD462" t="str">
            <v>N</v>
          </cell>
          <cell r="AE462" t="str">
            <v>N</v>
          </cell>
        </row>
        <row r="463">
          <cell r="E463" t="str">
            <v>TYP_RLTN</v>
          </cell>
          <cell r="Z463" t="str">
            <v>N</v>
          </cell>
          <cell r="AA463" t="str">
            <v>Y</v>
          </cell>
          <cell r="AB463" t="str">
            <v>Y</v>
          </cell>
          <cell r="AC463" t="str">
            <v>N</v>
          </cell>
          <cell r="AD463" t="str">
            <v>N</v>
          </cell>
          <cell r="AE463" t="str">
            <v>N</v>
          </cell>
        </row>
        <row r="464">
          <cell r="E464" t="str">
            <v>GRP_SPPRT</v>
          </cell>
          <cell r="Z464" t="str">
            <v>Y</v>
          </cell>
          <cell r="AA464" t="str">
            <v>N</v>
          </cell>
          <cell r="AB464" t="str">
            <v>N</v>
          </cell>
          <cell r="AC464" t="str">
            <v>N</v>
          </cell>
          <cell r="AD464" t="str">
            <v>N</v>
          </cell>
          <cell r="AE464" t="str">
            <v>Y</v>
          </cell>
        </row>
        <row r="465">
          <cell r="E465" t="str">
            <v>COD_SOC</v>
          </cell>
          <cell r="Z465" t="str">
            <v>Y</v>
          </cell>
          <cell r="AA465" t="str">
            <v>Y</v>
          </cell>
          <cell r="AB465" t="str">
            <v>Y</v>
          </cell>
          <cell r="AC465" t="str">
            <v>N</v>
          </cell>
          <cell r="AD465" t="str">
            <v>Y</v>
          </cell>
          <cell r="AE465" t="str">
            <v>N</v>
          </cell>
        </row>
        <row r="466">
          <cell r="E466" t="str">
            <v>DT_MTRTY_PRTCTN</v>
          </cell>
          <cell r="Z466" t="str">
            <v>Y</v>
          </cell>
          <cell r="AA466" t="str">
            <v>N</v>
          </cell>
          <cell r="AB466" t="str">
            <v>N</v>
          </cell>
          <cell r="AC466" t="str">
            <v>N</v>
          </cell>
          <cell r="AD466" t="str">
            <v>N</v>
          </cell>
          <cell r="AE466" t="str">
            <v>N</v>
          </cell>
        </row>
        <row r="467">
          <cell r="E467" t="str">
            <v>DT_RFRNC</v>
          </cell>
          <cell r="Z467" t="str">
            <v>Y</v>
          </cell>
          <cell r="AA467" t="str">
            <v>Y</v>
          </cell>
          <cell r="AB467" t="str">
            <v>Y</v>
          </cell>
          <cell r="AC467" t="str">
            <v>N</v>
          </cell>
          <cell r="AD467" t="str">
            <v>Y</v>
          </cell>
          <cell r="AE467" t="str">
            <v>N</v>
          </cell>
        </row>
        <row r="468">
          <cell r="E468" t="str">
            <v>NTNL_ID</v>
          </cell>
          <cell r="Z468" t="str">
            <v>Y</v>
          </cell>
          <cell r="AA468" t="str">
            <v>N</v>
          </cell>
          <cell r="AB468" t="str">
            <v>N</v>
          </cell>
          <cell r="AC468" t="str">
            <v>N</v>
          </cell>
          <cell r="AD468" t="str">
            <v>N</v>
          </cell>
          <cell r="AE468" t="str">
            <v>N</v>
          </cell>
        </row>
        <row r="469">
          <cell r="E469" t="str">
            <v>PRTCTN_ID</v>
          </cell>
          <cell r="Z469" t="str">
            <v>Y</v>
          </cell>
          <cell r="AA469" t="str">
            <v>Y</v>
          </cell>
          <cell r="AB469" t="str">
            <v>Y</v>
          </cell>
          <cell r="AC469" t="str">
            <v>N</v>
          </cell>
          <cell r="AD469" t="str">
            <v>Y</v>
          </cell>
          <cell r="AE469" t="str">
            <v>N</v>
          </cell>
        </row>
        <row r="470">
          <cell r="E470" t="str">
            <v>PRTCTN_PRVDR_ID</v>
          </cell>
          <cell r="Z470" t="str">
            <v>Y</v>
          </cell>
          <cell r="AA470" t="str">
            <v>N</v>
          </cell>
          <cell r="AB470" t="str">
            <v>N</v>
          </cell>
          <cell r="AC470" t="str">
            <v>N</v>
          </cell>
          <cell r="AD470" t="str">
            <v>N</v>
          </cell>
          <cell r="AE470" t="str">
            <v>N</v>
          </cell>
        </row>
        <row r="471">
          <cell r="E471" t="str">
            <v>RL_ESTT_ADDRSS</v>
          </cell>
          <cell r="Z471" t="str">
            <v>Y</v>
          </cell>
          <cell r="AA471" t="str">
            <v>N</v>
          </cell>
          <cell r="AB471" t="str">
            <v>N</v>
          </cell>
          <cell r="AC471" t="str">
            <v>N</v>
          </cell>
          <cell r="AD471" t="str">
            <v>Y</v>
          </cell>
          <cell r="AE471" t="str">
            <v>N</v>
          </cell>
        </row>
        <row r="472">
          <cell r="E472" t="str">
            <v>RL_ESTT_CLLTRL_LCTN</v>
          </cell>
          <cell r="Z472" t="str">
            <v>Y</v>
          </cell>
          <cell r="AA472" t="str">
            <v>N</v>
          </cell>
          <cell r="AB472" t="str">
            <v>Y</v>
          </cell>
          <cell r="AC472" t="str">
            <v>N</v>
          </cell>
          <cell r="AD472" t="str">
            <v>Y</v>
          </cell>
          <cell r="AE472" t="str">
            <v>N</v>
          </cell>
        </row>
        <row r="473">
          <cell r="E473" t="str">
            <v>RL_ESTT_CLLTRL_LCTN_INT</v>
          </cell>
          <cell r="Z473" t="str">
            <v>Y</v>
          </cell>
          <cell r="AA473" t="str">
            <v>N</v>
          </cell>
          <cell r="AB473" t="str">
            <v>N</v>
          </cell>
          <cell r="AC473" t="str">
            <v>N</v>
          </cell>
          <cell r="AD473" t="str">
            <v>Y</v>
          </cell>
          <cell r="AE473" t="str">
            <v>N</v>
          </cell>
        </row>
        <row r="474">
          <cell r="E474" t="str">
            <v>RL_ESTT_CTY</v>
          </cell>
          <cell r="Z474" t="str">
            <v>Y</v>
          </cell>
          <cell r="AA474" t="str">
            <v>N</v>
          </cell>
          <cell r="AB474" t="str">
            <v>N</v>
          </cell>
          <cell r="AC474" t="str">
            <v>N</v>
          </cell>
          <cell r="AD474" t="str">
            <v>Y</v>
          </cell>
          <cell r="AE474" t="str">
            <v>N</v>
          </cell>
        </row>
        <row r="475">
          <cell r="E475" t="str">
            <v>RL_ESTT_PST_CD</v>
          </cell>
          <cell r="Z475" t="str">
            <v>Y</v>
          </cell>
          <cell r="AA475" t="str">
            <v>N</v>
          </cell>
          <cell r="AB475" t="str">
            <v>Y</v>
          </cell>
          <cell r="AC475" t="str">
            <v>N</v>
          </cell>
          <cell r="AD475" t="str">
            <v>Y</v>
          </cell>
          <cell r="AE475" t="str">
            <v>N</v>
          </cell>
        </row>
        <row r="476">
          <cell r="E476" t="str">
            <v>HRCT_MV</v>
          </cell>
          <cell r="Z476" t="str">
            <v>Y</v>
          </cell>
          <cell r="AA476" t="str">
            <v>N</v>
          </cell>
          <cell r="AB476" t="str">
            <v>N</v>
          </cell>
          <cell r="AC476" t="str">
            <v>N</v>
          </cell>
          <cell r="AD476" t="str">
            <v>N</v>
          </cell>
          <cell r="AE476" t="str">
            <v>N</v>
          </cell>
        </row>
        <row r="477">
          <cell r="E477" t="str">
            <v>PRTCTN_CLLD</v>
          </cell>
          <cell r="Z477" t="str">
            <v>Y</v>
          </cell>
          <cell r="AA477" t="str">
            <v>N</v>
          </cell>
          <cell r="AB477" t="str">
            <v>N</v>
          </cell>
          <cell r="AC477" t="str">
            <v>N</v>
          </cell>
          <cell r="AD477" t="str">
            <v>N</v>
          </cell>
          <cell r="AE477" t="str">
            <v>N</v>
          </cell>
        </row>
        <row r="478">
          <cell r="E478" t="str">
            <v>TYP_PRTCTN</v>
          </cell>
          <cell r="Z478" t="str">
            <v>Y</v>
          </cell>
          <cell r="AA478" t="str">
            <v>Y</v>
          </cell>
          <cell r="AB478" t="str">
            <v>Y</v>
          </cell>
          <cell r="AC478" t="str">
            <v>N</v>
          </cell>
          <cell r="AD478" t="str">
            <v>Y</v>
          </cell>
          <cell r="AE478" t="str">
            <v>N</v>
          </cell>
        </row>
        <row r="479">
          <cell r="E479" t="str">
            <v>TYP_PRTCTN_INTRNL</v>
          </cell>
          <cell r="Z479" t="str">
            <v>Y</v>
          </cell>
          <cell r="AA479" t="str">
            <v>N</v>
          </cell>
          <cell r="AB479" t="str">
            <v>N</v>
          </cell>
          <cell r="AC479" t="str">
            <v>N</v>
          </cell>
          <cell r="AD479" t="str">
            <v>N</v>
          </cell>
          <cell r="AE479" t="str">
            <v>N</v>
          </cell>
        </row>
        <row r="480">
          <cell r="E480" t="str">
            <v>TYP_PRTCTN_VL</v>
          </cell>
          <cell r="Z480" t="str">
            <v>Y</v>
          </cell>
          <cell r="AA480" t="str">
            <v>N</v>
          </cell>
          <cell r="AB480" t="str">
            <v>N</v>
          </cell>
          <cell r="AC480" t="str">
            <v>N</v>
          </cell>
          <cell r="AD480" t="str">
            <v>N</v>
          </cell>
          <cell r="AE480" t="str">
            <v>N</v>
          </cell>
        </row>
        <row r="481">
          <cell r="E481" t="str">
            <v>APPRSL_CRRNCY</v>
          </cell>
          <cell r="Z481" t="str">
            <v>Y</v>
          </cell>
          <cell r="AA481" t="str">
            <v>N</v>
          </cell>
          <cell r="AB481" t="str">
            <v>N</v>
          </cell>
          <cell r="AC481" t="str">
            <v>N</v>
          </cell>
          <cell r="AD481" t="str">
            <v>N</v>
          </cell>
          <cell r="AE481" t="str">
            <v>N</v>
          </cell>
        </row>
        <row r="482">
          <cell r="E482" t="str">
            <v>APPRSR</v>
          </cell>
          <cell r="Z482" t="str">
            <v>Y</v>
          </cell>
          <cell r="AA482" t="str">
            <v>N</v>
          </cell>
          <cell r="AB482" t="str">
            <v>N</v>
          </cell>
          <cell r="AC482" t="str">
            <v>N</v>
          </cell>
          <cell r="AD482" t="str">
            <v>N</v>
          </cell>
          <cell r="AE482" t="str">
            <v>N</v>
          </cell>
        </row>
        <row r="483">
          <cell r="E483" t="str">
            <v>DT_LST_FLL_APPRSL</v>
          </cell>
          <cell r="Z483" t="str">
            <v>Y</v>
          </cell>
          <cell r="AA483" t="str">
            <v>N</v>
          </cell>
          <cell r="AB483" t="str">
            <v>N</v>
          </cell>
          <cell r="AC483" t="str">
            <v>N</v>
          </cell>
          <cell r="AD483" t="str">
            <v>N</v>
          </cell>
          <cell r="AE483" t="str">
            <v>N</v>
          </cell>
        </row>
        <row r="484">
          <cell r="E484" t="str">
            <v>DT_ORGNL_PRTCTN_VL</v>
          </cell>
          <cell r="Z484" t="str">
            <v>Y</v>
          </cell>
          <cell r="AA484" t="str">
            <v>N</v>
          </cell>
          <cell r="AB484" t="str">
            <v>N</v>
          </cell>
          <cell r="AC484" t="str">
            <v>N</v>
          </cell>
          <cell r="AD484" t="str">
            <v>N</v>
          </cell>
          <cell r="AE484" t="str">
            <v>N</v>
          </cell>
        </row>
        <row r="485">
          <cell r="E485" t="str">
            <v>DT_PRTCTN_VL</v>
          </cell>
          <cell r="Z485" t="str">
            <v>Y</v>
          </cell>
          <cell r="AA485" t="str">
            <v>N</v>
          </cell>
          <cell r="AB485" t="str">
            <v>N</v>
          </cell>
          <cell r="AC485" t="str">
            <v>N</v>
          </cell>
          <cell r="AD485" t="str">
            <v>N</v>
          </cell>
          <cell r="AE485" t="str">
            <v>N</v>
          </cell>
        </row>
        <row r="486">
          <cell r="E486" t="str">
            <v>ORGNL_PRTCTN_VL</v>
          </cell>
          <cell r="Z486" t="str">
            <v>Y</v>
          </cell>
          <cell r="AA486" t="str">
            <v>N</v>
          </cell>
          <cell r="AB486" t="str">
            <v>Y</v>
          </cell>
          <cell r="AC486" t="str">
            <v>N</v>
          </cell>
          <cell r="AD486" t="str">
            <v>N</v>
          </cell>
          <cell r="AE486" t="str">
            <v>N</v>
          </cell>
        </row>
        <row r="487">
          <cell r="E487" t="str">
            <v>PRTCTN_FRCD_SL_VL</v>
          </cell>
          <cell r="Z487" t="str">
            <v>Y</v>
          </cell>
          <cell r="AA487" t="str">
            <v>N</v>
          </cell>
          <cell r="AB487" t="str">
            <v>N</v>
          </cell>
          <cell r="AC487" t="str">
            <v>N</v>
          </cell>
          <cell r="AD487" t="str">
            <v>N</v>
          </cell>
          <cell r="AE487" t="str">
            <v>N</v>
          </cell>
        </row>
        <row r="488">
          <cell r="E488" t="str">
            <v>PRTCTN_VL</v>
          </cell>
          <cell r="Z488" t="str">
            <v>Y</v>
          </cell>
          <cell r="AA488" t="str">
            <v>Y</v>
          </cell>
          <cell r="AB488" t="str">
            <v>Y</v>
          </cell>
          <cell r="AC488" t="str">
            <v>N</v>
          </cell>
          <cell r="AD488" t="str">
            <v>N</v>
          </cell>
          <cell r="AE488" t="str">
            <v>N</v>
          </cell>
        </row>
        <row r="489">
          <cell r="E489" t="str">
            <v>PRTCTN_VL_NPE</v>
          </cell>
          <cell r="Z489" t="str">
            <v>Y</v>
          </cell>
          <cell r="AA489" t="str">
            <v>N</v>
          </cell>
          <cell r="AB489" t="str">
            <v>N</v>
          </cell>
          <cell r="AC489" t="str">
            <v>N</v>
          </cell>
          <cell r="AD489" t="str">
            <v>N</v>
          </cell>
          <cell r="AE489" t="str">
            <v>N</v>
          </cell>
        </row>
        <row r="490">
          <cell r="E490" t="str">
            <v>PRTCTN_VLTN_APPRCH</v>
          </cell>
          <cell r="Z490" t="str">
            <v>Y</v>
          </cell>
          <cell r="AA490" t="str">
            <v>N</v>
          </cell>
          <cell r="AB490" t="str">
            <v>N</v>
          </cell>
          <cell r="AC490" t="str">
            <v>N</v>
          </cell>
          <cell r="AD490" t="str">
            <v>N</v>
          </cell>
          <cell r="AE490" t="str">
            <v>N</v>
          </cell>
        </row>
        <row r="491">
          <cell r="E491" t="str">
            <v>DT_APPRSL_PRVS</v>
          </cell>
          <cell r="Z491" t="str">
            <v>Y</v>
          </cell>
          <cell r="AA491" t="str">
            <v>N</v>
          </cell>
          <cell r="AB491" t="str">
            <v>N</v>
          </cell>
          <cell r="AC491" t="str">
            <v>N</v>
          </cell>
          <cell r="AD491" t="str">
            <v>N</v>
          </cell>
          <cell r="AE491" t="str">
            <v>N</v>
          </cell>
        </row>
        <row r="492">
          <cell r="E492" t="str">
            <v>PRTCTN_VL_PRVS</v>
          </cell>
          <cell r="Z492" t="str">
            <v>Y</v>
          </cell>
          <cell r="AA492" t="str">
            <v>N</v>
          </cell>
          <cell r="AB492" t="str">
            <v>N</v>
          </cell>
          <cell r="AC492" t="str">
            <v>N</v>
          </cell>
          <cell r="AD492" t="str">
            <v>N</v>
          </cell>
          <cell r="AE492" t="str">
            <v>N</v>
          </cell>
        </row>
        <row r="493">
          <cell r="E493" t="str">
            <v>CNSTRCTN_STTS</v>
          </cell>
          <cell r="Z493" t="str">
            <v>Y</v>
          </cell>
          <cell r="AA493" t="str">
            <v>N</v>
          </cell>
          <cell r="AB493" t="str">
            <v>N</v>
          </cell>
          <cell r="AC493" t="str">
            <v>N</v>
          </cell>
          <cell r="AD493" t="str">
            <v>N</v>
          </cell>
          <cell r="AE493" t="str">
            <v>N</v>
          </cell>
        </row>
        <row r="494">
          <cell r="E494" t="str">
            <v>DT_CNSTRCTN_STTS</v>
          </cell>
          <cell r="Z494" t="str">
            <v>Y</v>
          </cell>
          <cell r="AA494" t="str">
            <v>N</v>
          </cell>
          <cell r="AB494" t="str">
            <v>N</v>
          </cell>
          <cell r="AC494" t="str">
            <v>N</v>
          </cell>
          <cell r="AD494" t="str">
            <v>N</v>
          </cell>
          <cell r="AE494" t="str">
            <v>N</v>
          </cell>
        </row>
        <row r="495">
          <cell r="E495" t="str">
            <v>DT_FRST_USG</v>
          </cell>
          <cell r="Z495" t="str">
            <v>Y</v>
          </cell>
          <cell r="AA495" t="str">
            <v>N</v>
          </cell>
          <cell r="AB495" t="str">
            <v>N</v>
          </cell>
          <cell r="AC495" t="str">
            <v>N</v>
          </cell>
          <cell r="AD495" t="str">
            <v>N</v>
          </cell>
          <cell r="AE495" t="str">
            <v>N</v>
          </cell>
        </row>
        <row r="496">
          <cell r="E496" t="str">
            <v>DVLPMNT_STTS</v>
          </cell>
          <cell r="Z496" t="str">
            <v>Y</v>
          </cell>
          <cell r="AA496" t="str">
            <v>N</v>
          </cell>
          <cell r="AB496" t="str">
            <v>N</v>
          </cell>
          <cell r="AC496" t="str">
            <v>N</v>
          </cell>
          <cell r="AD496" t="str">
            <v>N</v>
          </cell>
          <cell r="AE496" t="str">
            <v>N</v>
          </cell>
        </row>
        <row r="497">
          <cell r="E497" t="str">
            <v>MN_PRPS</v>
          </cell>
          <cell r="Z497" t="str">
            <v>Y</v>
          </cell>
          <cell r="AA497" t="str">
            <v>N</v>
          </cell>
          <cell r="AB497" t="str">
            <v>N</v>
          </cell>
          <cell r="AC497" t="str">
            <v>N</v>
          </cell>
          <cell r="AD497" t="str">
            <v>N</v>
          </cell>
          <cell r="AE497" t="str">
            <v>N</v>
          </cell>
        </row>
        <row r="498">
          <cell r="E498" t="str">
            <v>PRM_LCTN</v>
          </cell>
          <cell r="Z498" t="str">
            <v>Y</v>
          </cell>
          <cell r="AA498" t="str">
            <v>N</v>
          </cell>
          <cell r="AB498" t="str">
            <v>N</v>
          </cell>
          <cell r="AC498" t="str">
            <v>N</v>
          </cell>
          <cell r="AD498" t="str">
            <v>N</v>
          </cell>
          <cell r="AE498" t="str">
            <v>N</v>
          </cell>
        </row>
        <row r="499">
          <cell r="E499" t="str">
            <v>CRE_INCM_CRRNCY</v>
          </cell>
          <cell r="Z499" t="str">
            <v>Y</v>
          </cell>
          <cell r="AA499" t="str">
            <v>N</v>
          </cell>
          <cell r="AB499" t="str">
            <v>N</v>
          </cell>
          <cell r="AC499" t="str">
            <v>N</v>
          </cell>
          <cell r="AD499" t="str">
            <v>N</v>
          </cell>
          <cell r="AE499" t="str">
            <v>N</v>
          </cell>
        </row>
        <row r="500">
          <cell r="E500" t="str">
            <v>CRE_YRLY_EXPNSS</v>
          </cell>
          <cell r="Z500" t="str">
            <v>Y</v>
          </cell>
          <cell r="AA500" t="str">
            <v>N</v>
          </cell>
          <cell r="AB500" t="str">
            <v>N</v>
          </cell>
          <cell r="AC500" t="str">
            <v>N</v>
          </cell>
          <cell r="AD500" t="str">
            <v>N</v>
          </cell>
          <cell r="AE500" t="str">
            <v>N</v>
          </cell>
        </row>
        <row r="501">
          <cell r="E501" t="str">
            <v>CRE_YRLY_INCM</v>
          </cell>
          <cell r="Z501" t="str">
            <v>Y</v>
          </cell>
          <cell r="AA501" t="str">
            <v>N</v>
          </cell>
          <cell r="AB501" t="str">
            <v>N</v>
          </cell>
          <cell r="AC501" t="str">
            <v>N</v>
          </cell>
          <cell r="AD501" t="str">
            <v>N</v>
          </cell>
          <cell r="AE501" t="str">
            <v>N</v>
          </cell>
        </row>
        <row r="502">
          <cell r="E502" t="str">
            <v>PRTCTN_TYP_PBLC_GRNT_SCHM_C19</v>
          </cell>
          <cell r="Z502" t="str">
            <v>Y</v>
          </cell>
          <cell r="AA502" t="str">
            <v>N</v>
          </cell>
          <cell r="AB502" t="str">
            <v>N</v>
          </cell>
          <cell r="AC502" t="str">
            <v>N</v>
          </cell>
          <cell r="AD502" t="str">
            <v>N</v>
          </cell>
          <cell r="AE502" t="str">
            <v>N</v>
          </cell>
        </row>
        <row r="503">
          <cell r="E503" t="str">
            <v>TAX_ID</v>
          </cell>
          <cell r="Z503" t="str">
            <v>Y</v>
          </cell>
          <cell r="AA503" t="str">
            <v>N</v>
          </cell>
          <cell r="AB503" t="str">
            <v>N</v>
          </cell>
          <cell r="AC503" t="str">
            <v>N</v>
          </cell>
          <cell r="AD503" t="str">
            <v>N</v>
          </cell>
          <cell r="AE503" t="str">
            <v>N</v>
          </cell>
        </row>
        <row r="504">
          <cell r="E504" t="str">
            <v>TYP_EP_SCR</v>
          </cell>
          <cell r="Z504" t="str">
            <v>N</v>
          </cell>
          <cell r="AA504" t="str">
            <v>N</v>
          </cell>
          <cell r="AB504" t="str">
            <v>Y</v>
          </cell>
          <cell r="AC504" t="str">
            <v>N</v>
          </cell>
          <cell r="AD504" t="str">
            <v>Y</v>
          </cell>
          <cell r="AE504" t="str">
            <v>N</v>
          </cell>
        </row>
        <row r="505">
          <cell r="E505" t="str">
            <v>EP_SCR</v>
          </cell>
          <cell r="Z505" t="str">
            <v>N</v>
          </cell>
          <cell r="AA505" t="str">
            <v>N</v>
          </cell>
          <cell r="AB505" t="str">
            <v>Y</v>
          </cell>
          <cell r="AC505" t="str">
            <v>N</v>
          </cell>
          <cell r="AD505" t="str">
            <v>Y</v>
          </cell>
          <cell r="AE505" t="str">
            <v>N</v>
          </cell>
        </row>
        <row r="506">
          <cell r="E506" t="str">
            <v>TYP_EPC_LBL</v>
          </cell>
          <cell r="Z506" t="str">
            <v>N</v>
          </cell>
          <cell r="AA506" t="str">
            <v>N</v>
          </cell>
          <cell r="AB506" t="str">
            <v>Y</v>
          </cell>
          <cell r="AC506" t="str">
            <v>N</v>
          </cell>
          <cell r="AD506" t="str">
            <v>Y</v>
          </cell>
          <cell r="AE506" t="str">
            <v>N</v>
          </cell>
        </row>
        <row r="507">
          <cell r="E507" t="str">
            <v>EPC_LBL</v>
          </cell>
          <cell r="Z507" t="str">
            <v>N</v>
          </cell>
          <cell r="AA507" t="str">
            <v>N</v>
          </cell>
          <cell r="AB507" t="str">
            <v>Y</v>
          </cell>
          <cell r="AC507" t="str">
            <v>N</v>
          </cell>
          <cell r="AD507" t="str">
            <v>Y</v>
          </cell>
          <cell r="AE507" t="str">
            <v>N</v>
          </cell>
        </row>
        <row r="508">
          <cell r="E508" t="str">
            <v>TYP_EMSSNS_LBL</v>
          </cell>
          <cell r="Z508" t="str">
            <v>N</v>
          </cell>
          <cell r="AA508" t="str">
            <v>N</v>
          </cell>
          <cell r="AB508" t="str">
            <v>N</v>
          </cell>
          <cell r="AC508" t="str">
            <v>N</v>
          </cell>
          <cell r="AD508" t="str">
            <v>Y</v>
          </cell>
          <cell r="AE508" t="str">
            <v>N</v>
          </cell>
        </row>
        <row r="509">
          <cell r="E509" t="str">
            <v>EPC_EMSSNS_LBL</v>
          </cell>
          <cell r="Z509" t="str">
            <v>N</v>
          </cell>
          <cell r="AA509" t="str">
            <v>N</v>
          </cell>
          <cell r="AB509" t="str">
            <v>N</v>
          </cell>
          <cell r="AC509" t="str">
            <v>N</v>
          </cell>
          <cell r="AD509" t="str">
            <v>Y</v>
          </cell>
          <cell r="AE509" t="str">
            <v>N</v>
          </cell>
        </row>
        <row r="510">
          <cell r="E510" t="str">
            <v>VHCL_EMSSNS_LBL</v>
          </cell>
          <cell r="Z510" t="str">
            <v>N</v>
          </cell>
          <cell r="AA510" t="str">
            <v>N</v>
          </cell>
          <cell r="AB510" t="str">
            <v>N</v>
          </cell>
          <cell r="AC510" t="str">
            <v>N</v>
          </cell>
          <cell r="AD510" t="str">
            <v>Y</v>
          </cell>
          <cell r="AE510" t="str">
            <v>N</v>
          </cell>
        </row>
        <row r="511">
          <cell r="E511" t="str">
            <v>TYP_EMSSNS_SCR</v>
          </cell>
          <cell r="Z511" t="str">
            <v>N</v>
          </cell>
          <cell r="AA511" t="str">
            <v>N</v>
          </cell>
          <cell r="AB511" t="str">
            <v>N</v>
          </cell>
          <cell r="AC511" t="str">
            <v>N</v>
          </cell>
          <cell r="AD511" t="str">
            <v>Y</v>
          </cell>
          <cell r="AE511" t="str">
            <v>N</v>
          </cell>
        </row>
        <row r="512">
          <cell r="E512" t="str">
            <v>EPC_EMSSNS_SCR</v>
          </cell>
          <cell r="Z512" t="str">
            <v>N</v>
          </cell>
          <cell r="AA512" t="str">
            <v>N</v>
          </cell>
          <cell r="AB512" t="str">
            <v>N</v>
          </cell>
          <cell r="AC512" t="str">
            <v>N</v>
          </cell>
          <cell r="AD512" t="str">
            <v>Y</v>
          </cell>
          <cell r="AE512" t="str">
            <v>N</v>
          </cell>
        </row>
        <row r="513">
          <cell r="E513" t="str">
            <v>VHCL_EMSSNS_SCR</v>
          </cell>
          <cell r="Z513" t="str">
            <v>N</v>
          </cell>
          <cell r="AA513" t="str">
            <v>N</v>
          </cell>
          <cell r="AB513" t="str">
            <v>N</v>
          </cell>
          <cell r="AC513" t="str">
            <v>N</v>
          </cell>
          <cell r="AD513" t="str">
            <v>Y</v>
          </cell>
          <cell r="AE513" t="str">
            <v>N</v>
          </cell>
        </row>
        <row r="514">
          <cell r="E514" t="str">
            <v>EMSSNS_SCP1_PRTCTN</v>
          </cell>
          <cell r="Z514" t="str">
            <v>N</v>
          </cell>
          <cell r="AA514" t="str">
            <v>N</v>
          </cell>
          <cell r="AB514" t="str">
            <v>Y</v>
          </cell>
          <cell r="AC514" t="str">
            <v>N</v>
          </cell>
          <cell r="AD514" t="str">
            <v>Y</v>
          </cell>
          <cell r="AE514" t="str">
            <v>N</v>
          </cell>
        </row>
        <row r="515">
          <cell r="E515" t="str">
            <v>EMSSNS_SCP2_PRTCTN</v>
          </cell>
          <cell r="Z515" t="str">
            <v>N</v>
          </cell>
          <cell r="AA515" t="str">
            <v>N</v>
          </cell>
          <cell r="AB515" t="str">
            <v>Y</v>
          </cell>
          <cell r="AC515" t="str">
            <v>N</v>
          </cell>
          <cell r="AD515" t="str">
            <v>Y</v>
          </cell>
          <cell r="AE515" t="str">
            <v>N</v>
          </cell>
        </row>
        <row r="516">
          <cell r="E516" t="str">
            <v>EMSSNS_SCP3_PRTCTN</v>
          </cell>
          <cell r="Z516" t="str">
            <v>N</v>
          </cell>
          <cell r="AA516" t="str">
            <v>N</v>
          </cell>
          <cell r="AB516" t="str">
            <v>Y</v>
          </cell>
          <cell r="AC516" t="str">
            <v>N</v>
          </cell>
          <cell r="AD516" t="str">
            <v>Y</v>
          </cell>
          <cell r="AE516" t="str">
            <v>N</v>
          </cell>
        </row>
        <row r="517">
          <cell r="E517" t="str">
            <v>MTHD_USD_PRTCTN_SCP_1</v>
          </cell>
          <cell r="Z517" t="str">
            <v>N</v>
          </cell>
          <cell r="AA517" t="str">
            <v>N</v>
          </cell>
          <cell r="AB517" t="str">
            <v>Y</v>
          </cell>
          <cell r="AC517" t="str">
            <v>N</v>
          </cell>
          <cell r="AD517" t="str">
            <v>Y</v>
          </cell>
          <cell r="AE517" t="str">
            <v>N</v>
          </cell>
        </row>
        <row r="518">
          <cell r="E518" t="str">
            <v>MTHD_USD_PRTCTN_SCP_2</v>
          </cell>
          <cell r="Z518" t="str">
            <v>N</v>
          </cell>
          <cell r="AA518" t="str">
            <v>N</v>
          </cell>
          <cell r="AB518" t="str">
            <v>Y</v>
          </cell>
          <cell r="AC518" t="str">
            <v>N</v>
          </cell>
          <cell r="AD518" t="str">
            <v>Y</v>
          </cell>
          <cell r="AE518" t="str">
            <v>N</v>
          </cell>
        </row>
        <row r="519">
          <cell r="E519" t="str">
            <v>MTHD_USD_PRTCTN_SCP_3</v>
          </cell>
          <cell r="Z519" t="str">
            <v>N</v>
          </cell>
          <cell r="AA519" t="str">
            <v>N</v>
          </cell>
          <cell r="AB519" t="str">
            <v>Y</v>
          </cell>
          <cell r="AC519" t="str">
            <v>N</v>
          </cell>
          <cell r="AD519" t="str">
            <v>Y</v>
          </cell>
          <cell r="AE519" t="str">
            <v>N</v>
          </cell>
        </row>
        <row r="520">
          <cell r="E520" t="str">
            <v>FLG_ACT_PHYSCL_RSK</v>
          </cell>
          <cell r="Z520" t="str">
            <v>N</v>
          </cell>
          <cell r="AA520" t="str">
            <v>N</v>
          </cell>
          <cell r="AB520" t="str">
            <v>Y</v>
          </cell>
          <cell r="AC520" t="str">
            <v>N</v>
          </cell>
          <cell r="AD520" t="str">
            <v>N</v>
          </cell>
          <cell r="AE520" t="str">
            <v>N</v>
          </cell>
        </row>
        <row r="521">
          <cell r="E521" t="str">
            <v>FLG_CHRNC_PHYSCL_RSK</v>
          </cell>
          <cell r="Z521" t="str">
            <v>N</v>
          </cell>
          <cell r="AA521" t="str">
            <v>N</v>
          </cell>
          <cell r="AB521" t="str">
            <v>Y</v>
          </cell>
          <cell r="AC521" t="str">
            <v>N</v>
          </cell>
          <cell r="AD521" t="str">
            <v>N</v>
          </cell>
          <cell r="AE521" t="str">
            <v>N</v>
          </cell>
        </row>
        <row r="522">
          <cell r="E522" t="str">
            <v>INSRNC_ID</v>
          </cell>
          <cell r="Z522" t="str">
            <v>N</v>
          </cell>
          <cell r="AA522" t="str">
            <v>N</v>
          </cell>
          <cell r="AB522" t="str">
            <v>N</v>
          </cell>
          <cell r="AC522" t="str">
            <v>N</v>
          </cell>
          <cell r="AD522" t="str">
            <v>Y</v>
          </cell>
          <cell r="AE522" t="str">
            <v>N</v>
          </cell>
        </row>
        <row r="523">
          <cell r="E523" t="str">
            <v>TYP_HZRDS_INSRD</v>
          </cell>
          <cell r="Z523" t="str">
            <v>N</v>
          </cell>
          <cell r="AA523" t="str">
            <v>N</v>
          </cell>
          <cell r="AB523" t="str">
            <v>N</v>
          </cell>
          <cell r="AC523" t="str">
            <v>N</v>
          </cell>
          <cell r="AD523" t="str">
            <v>Y</v>
          </cell>
          <cell r="AE523" t="str">
            <v>N</v>
          </cell>
        </row>
        <row r="524">
          <cell r="E524" t="str">
            <v>AMNT_CVRD_INSRNC</v>
          </cell>
          <cell r="Z524" t="str">
            <v>N</v>
          </cell>
          <cell r="AA524" t="str">
            <v>N</v>
          </cell>
          <cell r="AB524" t="str">
            <v>N</v>
          </cell>
          <cell r="AC524" t="str">
            <v>N</v>
          </cell>
          <cell r="AD524" t="str">
            <v>Y</v>
          </cell>
          <cell r="AE524" t="str">
            <v>N</v>
          </cell>
        </row>
        <row r="525">
          <cell r="E525" t="str">
            <v>DT_MTRTY_INSRNC</v>
          </cell>
          <cell r="Z525" t="str">
            <v>N</v>
          </cell>
          <cell r="AA525" t="str">
            <v>N</v>
          </cell>
          <cell r="AB525" t="str">
            <v>N</v>
          </cell>
          <cell r="AC525" t="str">
            <v>N</v>
          </cell>
          <cell r="AD525" t="str">
            <v>Y</v>
          </cell>
          <cell r="AE525" t="str">
            <v>N</v>
          </cell>
        </row>
        <row r="526">
          <cell r="E526" t="str">
            <v>FLG_FRST_HM</v>
          </cell>
          <cell r="Z526" t="str">
            <v>N</v>
          </cell>
          <cell r="AA526" t="str">
            <v>N</v>
          </cell>
          <cell r="AB526" t="str">
            <v>N</v>
          </cell>
          <cell r="AC526" t="str">
            <v>N</v>
          </cell>
          <cell r="AD526" t="str">
            <v>Y</v>
          </cell>
          <cell r="AE526" t="str">
            <v>N</v>
          </cell>
        </row>
        <row r="527">
          <cell r="E527" t="str">
            <v>YR_CNSTRCTN</v>
          </cell>
          <cell r="Z527" t="str">
            <v>Y</v>
          </cell>
          <cell r="AA527" t="str">
            <v>N</v>
          </cell>
          <cell r="AB527" t="str">
            <v>Y</v>
          </cell>
          <cell r="AC527" t="str">
            <v>N</v>
          </cell>
          <cell r="AD527" t="str">
            <v>Y</v>
          </cell>
          <cell r="AE527" t="str">
            <v>N</v>
          </cell>
        </row>
        <row r="528">
          <cell r="E528" t="str">
            <v>BLDNG_AR</v>
          </cell>
          <cell r="Z528" t="str">
            <v>N</v>
          </cell>
          <cell r="AA528" t="str">
            <v>N</v>
          </cell>
          <cell r="AB528" t="str">
            <v>Y</v>
          </cell>
          <cell r="AC528" t="str">
            <v>N</v>
          </cell>
          <cell r="AD528" t="str">
            <v>Y</v>
          </cell>
          <cell r="AE528" t="str">
            <v>N</v>
          </cell>
        </row>
        <row r="529">
          <cell r="E529" t="str">
            <v>LND_AR</v>
          </cell>
          <cell r="Z529" t="str">
            <v>Y</v>
          </cell>
          <cell r="AA529" t="str">
            <v>N</v>
          </cell>
          <cell r="AB529" t="str">
            <v>N</v>
          </cell>
          <cell r="AC529" t="str">
            <v>N</v>
          </cell>
          <cell r="AD529" t="str">
            <v>N</v>
          </cell>
          <cell r="AE529" t="str">
            <v>N</v>
          </cell>
        </row>
        <row r="530">
          <cell r="E530" t="str">
            <v>LN_PSTN</v>
          </cell>
          <cell r="Z530" t="str">
            <v>Y</v>
          </cell>
          <cell r="AA530" t="str">
            <v>N</v>
          </cell>
          <cell r="AB530" t="str">
            <v>N</v>
          </cell>
          <cell r="AC530" t="str">
            <v>N</v>
          </cell>
          <cell r="AD530" t="str">
            <v>N</v>
          </cell>
          <cell r="AE530" t="str">
            <v>N</v>
          </cell>
        </row>
        <row r="531">
          <cell r="E531" t="str">
            <v>RL_ESTT_CRTFCTN</v>
          </cell>
          <cell r="Z531" t="str">
            <v>N</v>
          </cell>
          <cell r="AA531" t="str">
            <v>N</v>
          </cell>
          <cell r="AB531" t="str">
            <v>Y</v>
          </cell>
          <cell r="AC531" t="str">
            <v>N</v>
          </cell>
          <cell r="AD531" t="str">
            <v>Y</v>
          </cell>
          <cell r="AE531" t="str">
            <v>N</v>
          </cell>
        </row>
        <row r="532">
          <cell r="E532" t="str">
            <v>TYP_VHCL</v>
          </cell>
          <cell r="Z532" t="str">
            <v>N</v>
          </cell>
          <cell r="AA532" t="str">
            <v>Y</v>
          </cell>
          <cell r="AB532" t="str">
            <v>Y</v>
          </cell>
          <cell r="AC532" t="str">
            <v>N</v>
          </cell>
          <cell r="AD532" t="str">
            <v>Y</v>
          </cell>
          <cell r="AE532" t="str">
            <v>N</v>
          </cell>
        </row>
        <row r="533">
          <cell r="E533" t="str">
            <v>DT_RGSTRTN</v>
          </cell>
          <cell r="Z533" t="str">
            <v>N</v>
          </cell>
          <cell r="AA533" t="str">
            <v>N</v>
          </cell>
          <cell r="AB533" t="str">
            <v>Y</v>
          </cell>
          <cell r="AC533" t="str">
            <v>N</v>
          </cell>
          <cell r="AD533" t="str">
            <v>Y</v>
          </cell>
          <cell r="AE533" t="str">
            <v>N</v>
          </cell>
        </row>
        <row r="534">
          <cell r="E534" t="str">
            <v>PRMRY_ENRGY_DMND_NN_RNWBL</v>
          </cell>
          <cell r="Z534" t="str">
            <v>N</v>
          </cell>
          <cell r="AA534" t="str">
            <v>N</v>
          </cell>
          <cell r="AB534" t="str">
            <v>Y</v>
          </cell>
          <cell r="AC534" t="str">
            <v>N</v>
          </cell>
          <cell r="AD534" t="str">
            <v>Y</v>
          </cell>
          <cell r="AE534" t="str">
            <v>N</v>
          </cell>
        </row>
        <row r="535">
          <cell r="E535" t="str">
            <v>PRMRY_ENRGY_DMND_TTL</v>
          </cell>
          <cell r="Z535" t="str">
            <v>N</v>
          </cell>
          <cell r="AA535" t="str">
            <v>N</v>
          </cell>
          <cell r="AB535" t="str">
            <v>Y</v>
          </cell>
          <cell r="AC535" t="str">
            <v>N</v>
          </cell>
          <cell r="AD535" t="str">
            <v>Y</v>
          </cell>
          <cell r="AE535" t="str">
            <v>N</v>
          </cell>
        </row>
        <row r="536">
          <cell r="E536" t="str">
            <v>PRMRY_ENRGY_DMND_RFRNC_VL</v>
          </cell>
          <cell r="Z536" t="str">
            <v>N</v>
          </cell>
          <cell r="AA536" t="str">
            <v>N</v>
          </cell>
          <cell r="AB536" t="str">
            <v>Y</v>
          </cell>
          <cell r="AC536" t="str">
            <v>N</v>
          </cell>
          <cell r="AD536" t="str">
            <v>Y</v>
          </cell>
          <cell r="AE536" t="str">
            <v>N</v>
          </cell>
        </row>
        <row r="537">
          <cell r="E537" t="str">
            <v>RL_ESTT_CLMT_ZN</v>
          </cell>
          <cell r="Z537" t="str">
            <v>N</v>
          </cell>
          <cell r="AA537" t="str">
            <v>N</v>
          </cell>
          <cell r="AB537" t="str">
            <v>Y</v>
          </cell>
          <cell r="AC537" t="str">
            <v>N</v>
          </cell>
          <cell r="AD537" t="str">
            <v>Y</v>
          </cell>
          <cell r="AE537" t="str">
            <v>N</v>
          </cell>
        </row>
        <row r="538">
          <cell r="E538" t="str">
            <v>RL_ESTT_LNGTD</v>
          </cell>
          <cell r="Z538" t="str">
            <v>Y</v>
          </cell>
          <cell r="AA538" t="str">
            <v>N</v>
          </cell>
          <cell r="AB538" t="str">
            <v>N</v>
          </cell>
          <cell r="AC538" t="str">
            <v>N</v>
          </cell>
          <cell r="AD538" t="str">
            <v>N</v>
          </cell>
          <cell r="AE538" t="str">
            <v>N</v>
          </cell>
        </row>
        <row r="539">
          <cell r="E539" t="str">
            <v>RL_ESTT_LTTD</v>
          </cell>
          <cell r="Z539" t="str">
            <v>Y</v>
          </cell>
          <cell r="AA539" t="str">
            <v>N</v>
          </cell>
          <cell r="AB539" t="str">
            <v>N</v>
          </cell>
          <cell r="AC539" t="str">
            <v>N</v>
          </cell>
          <cell r="AD539" t="str">
            <v>N</v>
          </cell>
          <cell r="AE539" t="str">
            <v>N</v>
          </cell>
        </row>
        <row r="540">
          <cell r="E540" t="str">
            <v>FLG_ELCTRC_VHCL</v>
          </cell>
          <cell r="Z540" t="str">
            <v>N</v>
          </cell>
          <cell r="AA540" t="str">
            <v>Y</v>
          </cell>
          <cell r="AB540" t="str">
            <v>N</v>
          </cell>
          <cell r="AC540" t="str">
            <v>N</v>
          </cell>
          <cell r="AD540" t="str">
            <v>N</v>
          </cell>
          <cell r="AE540" t="str">
            <v>N</v>
          </cell>
        </row>
        <row r="541">
          <cell r="E541" t="str">
            <v>COD_SOC</v>
          </cell>
          <cell r="Z541" t="str">
            <v>N</v>
          </cell>
          <cell r="AA541" t="str">
            <v>Y</v>
          </cell>
          <cell r="AB541" t="str">
            <v>Y</v>
          </cell>
          <cell r="AC541" t="str">
            <v>Y</v>
          </cell>
          <cell r="AD541" t="str">
            <v>N</v>
          </cell>
          <cell r="AE541" t="str">
            <v>N</v>
          </cell>
        </row>
        <row r="542">
          <cell r="E542" t="str">
            <v>DT_RFRNC</v>
          </cell>
          <cell r="Z542" t="str">
            <v>N</v>
          </cell>
          <cell r="AA542" t="str">
            <v>Y</v>
          </cell>
          <cell r="AB542" t="str">
            <v>Y</v>
          </cell>
          <cell r="AC542" t="str">
            <v>Y</v>
          </cell>
          <cell r="AD542" t="str">
            <v>N</v>
          </cell>
          <cell r="AE542" t="str">
            <v>N</v>
          </cell>
        </row>
        <row r="543">
          <cell r="E543" t="str">
            <v>INSTRMNT_ID</v>
          </cell>
          <cell r="Z543" t="str">
            <v>N</v>
          </cell>
          <cell r="AA543" t="str">
            <v>Y</v>
          </cell>
          <cell r="AB543" t="str">
            <v>Y</v>
          </cell>
          <cell r="AC543" t="str">
            <v>Y</v>
          </cell>
          <cell r="AD543" t="str">
            <v>N</v>
          </cell>
          <cell r="AE543" t="str">
            <v>N</v>
          </cell>
        </row>
        <row r="544">
          <cell r="E544" t="str">
            <v>SSTNBL_CTGRY</v>
          </cell>
          <cell r="Z544" t="str">
            <v>N</v>
          </cell>
          <cell r="AA544" t="str">
            <v>Y</v>
          </cell>
          <cell r="AB544" t="str">
            <v>Y</v>
          </cell>
          <cell r="AC544" t="str">
            <v>Y</v>
          </cell>
          <cell r="AD544" t="str">
            <v>N</v>
          </cell>
          <cell r="AE544" t="str">
            <v>N</v>
          </cell>
        </row>
        <row r="545">
          <cell r="E545" t="str">
            <v>PRCNTG_ACTVTY</v>
          </cell>
          <cell r="Z545" t="str">
            <v>N</v>
          </cell>
          <cell r="AA545" t="str">
            <v>Y</v>
          </cell>
          <cell r="AB545" t="str">
            <v>Y</v>
          </cell>
          <cell r="AC545" t="str">
            <v>Y</v>
          </cell>
          <cell r="AD545" t="str">
            <v>N</v>
          </cell>
          <cell r="AE545" t="str">
            <v>N</v>
          </cell>
        </row>
        <row r="546">
          <cell r="E546" t="str">
            <v>ENVRNMNTL_OBJCTV</v>
          </cell>
          <cell r="Z546" t="str">
            <v>N</v>
          </cell>
          <cell r="AA546" t="str">
            <v>N</v>
          </cell>
          <cell r="AB546" t="str">
            <v>Y</v>
          </cell>
          <cell r="AC546" t="str">
            <v>N</v>
          </cell>
          <cell r="AD546" t="str">
            <v>N</v>
          </cell>
          <cell r="AE546" t="str">
            <v>N</v>
          </cell>
        </row>
        <row r="547">
          <cell r="E547" t="str">
            <v>TYP_ACTVTY</v>
          </cell>
          <cell r="Z547" t="str">
            <v>N</v>
          </cell>
          <cell r="AA547" t="str">
            <v>N</v>
          </cell>
          <cell r="AB547" t="str">
            <v>Y</v>
          </cell>
          <cell r="AC547" t="str">
            <v>N</v>
          </cell>
          <cell r="AD547" t="str">
            <v>N</v>
          </cell>
          <cell r="AE547" t="str">
            <v>N</v>
          </cell>
        </row>
        <row r="548">
          <cell r="E548" t="str">
            <v>SSTNBL_INDCTR</v>
          </cell>
          <cell r="Z548" t="str">
            <v>N</v>
          </cell>
          <cell r="AA548" t="str">
            <v>Y</v>
          </cell>
          <cell r="AB548" t="str">
            <v>Y</v>
          </cell>
          <cell r="AC548" t="str">
            <v>Y</v>
          </cell>
          <cell r="AD548" t="str">
            <v>N</v>
          </cell>
          <cell r="AE548" t="str">
            <v>N</v>
          </cell>
        </row>
        <row r="549">
          <cell r="E549" t="str">
            <v>FLG_SBSTNTL_CNTRBTN</v>
          </cell>
          <cell r="Z549" t="str">
            <v>N</v>
          </cell>
          <cell r="AA549" t="str">
            <v>N</v>
          </cell>
          <cell r="AB549" t="str">
            <v>Y</v>
          </cell>
          <cell r="AC549" t="str">
            <v>N</v>
          </cell>
          <cell r="AD549" t="str">
            <v>N</v>
          </cell>
          <cell r="AE549" t="str">
            <v>N</v>
          </cell>
        </row>
        <row r="550">
          <cell r="E550" t="str">
            <v>FLG_DNSH_CMPLNC</v>
          </cell>
          <cell r="Z550" t="str">
            <v>N</v>
          </cell>
          <cell r="AA550" t="str">
            <v>N</v>
          </cell>
          <cell r="AB550" t="str">
            <v>Y</v>
          </cell>
          <cell r="AC550" t="str">
            <v>N</v>
          </cell>
          <cell r="AD550" t="str">
            <v>N</v>
          </cell>
          <cell r="AE550" t="str">
            <v>N</v>
          </cell>
        </row>
        <row r="551">
          <cell r="E551" t="str">
            <v>DNSH_DTL</v>
          </cell>
          <cell r="Z551" t="str">
            <v>N</v>
          </cell>
          <cell r="AA551" t="str">
            <v>N</v>
          </cell>
          <cell r="AB551" t="str">
            <v>Y</v>
          </cell>
          <cell r="AC551" t="str">
            <v>N</v>
          </cell>
          <cell r="AD551" t="str">
            <v>N</v>
          </cell>
          <cell r="AE551" t="str">
            <v>N</v>
          </cell>
        </row>
      </sheetData>
      <sheetData sheetId="3" refreshError="1"/>
      <sheetData sheetId="4" refreshError="1"/>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598495371" createdVersion="8" refreshedVersion="8" minRefreshableVersion="3" recordCount="379" xr:uid="{CF0CA261-5F75-4F99-8352-670AEF063F36}">
  <cacheSource type="worksheet">
    <worksheetSource ref="B5:X384" sheet="Detalhe"/>
  </cacheSource>
  <cacheFields count="23">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ontainsBlank="1"/>
    </cacheField>
    <cacheField name="Descrição" numFmtId="0">
      <sharedItems containsBlank="1" longText="1"/>
    </cacheField>
    <cacheField name="Detalhe" numFmtId="0">
      <sharedItems containsBlank="1" longText="1"/>
    </cacheField>
    <cacheField name="Quick-win" numFmtId="0">
      <sharedItems count="3">
        <s v="Campo Fechado"/>
        <s v="Sim"/>
        <s v="Não"/>
      </sharedItems>
    </cacheField>
    <cacheField name="Data alteração status" numFmtId="14">
      <sharedItems containsSemiMixedTypes="0" containsNonDate="0" containsDate="1" containsString="0" minDate="2024-06-07T00:00:00" maxDate="2025-01-14T00:00:00"/>
    </cacheField>
    <cacheField name="Status Atual" numFmtId="0">
      <sharedItems count="10">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ntainsBlank="1"/>
    </cacheField>
    <cacheField name="Structural _x000a_ECB Loan Tape" numFmtId="0">
      <sharedItems/>
    </cacheField>
    <cacheField name="Green _x000a_Dashboard" numFmtId="0">
      <sharedItems/>
    </cacheField>
    <cacheField name="Pillar III ESG" numFmtId="0">
      <sharedItems/>
    </cacheField>
    <cacheField name="Green Finance" numFmtId="0">
      <sharedItems/>
    </cacheField>
    <cacheField name="ESG Risks" numFmtId="0">
      <sharedItems/>
    </cacheField>
    <cacheField name="Leveraged Finance" numFmtId="0">
      <sharedItems/>
    </cacheField>
    <cacheField name="Âmbito (Projeto) " numFmtId="0">
      <sharedItems count="4">
        <s v="PM"/>
        <s v="LF"/>
        <s v="PM &amp; LF"/>
        <s v="PM - Novos Campos"/>
      </sharedItems>
    </cacheField>
    <cacheField name="STREAM"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600115742" createdVersion="8" refreshedVersion="8" minRefreshableVersion="3" recordCount="346" xr:uid="{00000000-000A-0000-FFFF-FFFF06000000}">
  <cacheSource type="worksheet">
    <worksheetSource ref="B5:P351" sheet="Detalhe"/>
  </cacheSource>
  <cacheFields count="15">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acheField>
    <cacheField name="Descrição" numFmtId="0">
      <sharedItems containsBlank="1" longText="1"/>
    </cacheField>
    <cacheField name="Detalhe" numFmtId="0">
      <sharedItems containsBlank="1" longText="1"/>
    </cacheField>
    <cacheField name="Quick-win" numFmtId="0">
      <sharedItems/>
    </cacheField>
    <cacheField name="Data alteração status" numFmtId="14">
      <sharedItems containsSemiMixedTypes="0" containsNonDate="0" containsDate="1" containsString="0" minDate="2024-06-07T00:00:00" maxDate="2025-01-14T00:00:00"/>
    </cacheField>
    <cacheField name="Status Atual" numFmtId="0">
      <sharedItems count="15">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 v="4.2 Em implementação - Incidência" u="1"/>
        <s v="6. Incidência" u="1"/>
        <s v="4. Em implementação" u="1"/>
        <s v="5. Em testes" u="1"/>
        <s v="10. Em correção de incidência" u="1"/>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unt="20">
        <s v="Campo concluido"/>
        <s v="Necessidade de correção de erros"/>
        <s v="Melhorias estruturais (garantir coerência entre campos)"/>
        <s v="Alteração de especificação por parte do BCE"/>
        <s v="Novo campo"/>
        <s v="Pendente de decisão"/>
        <s v="Analisar controlos NOK"/>
        <s v="Campo concluído, mas sem ou pouca informação na fonte"/>
        <s v="-" u="1"/>
        <s v="Campo concluído, sem informação na fonte" u="1"/>
        <s v="Campo concluído, mas com pouca qualidade de dados" u="1"/>
        <s v="?" u="1"/>
        <s v="Alteração de especificação por parte da área" u="1"/>
        <s v="Especificar, informação começou a ser produzida em 2024" u="1"/>
        <s v="Avaliar necessidade de alteração da fonte para fins de reconciliação" u="1"/>
        <s v="Avaliar necessidade de alteração da fonte dos 1ºs titulares para fins de reconciliação" u="1"/>
        <s v="Alteração de especificação com base nas melhorias efetuadas ao MUG" u="1"/>
        <s v=" Alteração de especificação com base nas melhorias efetuadas ao MUG" u="1"/>
        <s v="Necessidade de correção de incidências" u="1"/>
        <s v="Em implementação"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INSTRUMENT"/>
    <s v="ACCMLTD_CHNGS_FV_CR_INSTRMNT"/>
    <x v="0"/>
    <s v="9. Concluído"/>
    <s v="OK"/>
    <s v="Concluido, controlos OK"/>
    <m/>
    <x v="0"/>
    <d v="2024-06-07T00:00:00"/>
    <x v="0"/>
    <s v="OK"/>
    <m/>
    <m/>
    <m/>
    <s v="Campo concluido"/>
    <s v="Y"/>
    <s v="Y"/>
    <s v="Y"/>
    <s v="N"/>
    <s v="N"/>
    <s v="N"/>
    <x v="0"/>
    <n v="0"/>
  </r>
  <r>
    <s v="INSTRUMENT"/>
    <s v="ACCMLTD_IMPRMNT_INSTRMNT"/>
    <x v="0"/>
    <s v="9. Concluído"/>
    <s v="OK"/>
    <s v="Concluido, controlos OK"/>
    <m/>
    <x v="0"/>
    <d v="2024-06-07T00:00:00"/>
    <x v="0"/>
    <s v="OK"/>
    <m/>
    <m/>
    <m/>
    <s v="Campo concluido"/>
    <s v="Y"/>
    <s v="Y"/>
    <s v="Y"/>
    <s v="N"/>
    <s v="N"/>
    <s v="Y"/>
    <x v="0"/>
    <s v="6.1. Fora âmbito | Campos concluídos - Sem necessidade de espec."/>
  </r>
  <r>
    <s v="INSTRUMENT"/>
    <s v="ACCMLTD_IMPRMNT_INSTRMNT_PRVS"/>
    <x v="0"/>
    <s v="5.2 Em testes - Incidência"/>
    <s v="OK"/>
    <s v="Campo com incidência. Verificar fonte LT"/>
    <m/>
    <x v="1"/>
    <d v="2024-06-07T00:00:00"/>
    <x v="1"/>
    <s v="OK"/>
    <m/>
    <m/>
    <m/>
    <s v="Necessidade de correção de erros"/>
    <s v="Y"/>
    <s v="N"/>
    <s v="N"/>
    <s v="N"/>
    <s v="N"/>
    <s v="Y"/>
    <x v="1"/>
    <s v="3. Campos em testes ou c/ incidências"/>
  </r>
  <r>
    <s v="INSTRUMENT"/>
    <s v="ACCMLTD_WRTFFS_INSTRMNT"/>
    <x v="0"/>
    <s v="9. Concluído"/>
    <s v="OK"/>
    <s v="Concluido, controlos OK"/>
    <m/>
    <x v="0"/>
    <d v="2024-06-07T00:00:00"/>
    <x v="0"/>
    <s v="OK"/>
    <m/>
    <m/>
    <m/>
    <s v="Campo concluido"/>
    <s v="Y"/>
    <s v="N"/>
    <s v="N"/>
    <s v="N"/>
    <s v="N"/>
    <s v="Y"/>
    <x v="0"/>
    <s v="6.1. Fora âmbito | Campos concluídos - Sem necessidade de espec."/>
  </r>
  <r>
    <s v="INSTRUMENT"/>
    <s v="ACCNTNG_CLSSFCTN"/>
    <x v="0"/>
    <s v="9. Concluído"/>
    <s v="OK"/>
    <s v="Concluido, controlos OK"/>
    <m/>
    <x v="0"/>
    <d v="2024-06-07T00:00:00"/>
    <x v="0"/>
    <s v="OK"/>
    <m/>
    <m/>
    <m/>
    <s v="Campo concluido"/>
    <s v="Y"/>
    <s v="Y"/>
    <s v="Y"/>
    <s v="N"/>
    <s v="N"/>
    <s v="Y"/>
    <x v="0"/>
    <s v="6.1. Fora âmbito | Campos concluídos - Sem necessidade de espec."/>
  </r>
  <r>
    <s v="ENTITY"/>
    <s v="ACCNTNG_FRMWRK_SL"/>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TYP_MRTGG"/>
    <x v="0"/>
    <s v="3. Pendente de decisão"/>
    <s v="NOK"/>
    <s v="Alteração da Code list por parte do BCE"/>
    <m/>
    <x v="1"/>
    <d v="2024-10-03T00:00:00"/>
    <x v="2"/>
    <s v="NOK"/>
    <s v="Alterar especificação de acordo com codelist atual. No MUG existem apenas garantias elegiveis para cálculo de capital? Se sim, TYP_MRTGG irá assumir os valores 1, 5 e N/A. Caso contrário assumirá os valores  1, 5, 6 e N/A."/>
    <m/>
    <m/>
    <s v="Alteração de especificação por parte do BCE"/>
    <s v="Y"/>
    <s v="N"/>
    <s v="N"/>
    <s v="N"/>
    <s v="N"/>
    <s v="N"/>
    <x v="0"/>
    <n v="0"/>
  </r>
  <r>
    <s v="INSTRUMENT"/>
    <s v="AMNT_D_AT_MTRTY"/>
    <x v="0"/>
    <s v="1. Especificar"/>
    <s v="NOK"/>
    <s v="Em especificação"/>
    <m/>
    <x v="2"/>
    <d v="2024-06-07T00:00:00"/>
    <x v="3"/>
    <s v="NOK"/>
    <m/>
    <m/>
    <m/>
    <s v="Novo campo"/>
    <s v="Y"/>
    <s v="N"/>
    <s v="N"/>
    <s v="N"/>
    <s v="N"/>
    <s v="Y"/>
    <x v="1"/>
    <s v="2.2 Re-especificação de campos complexos - Resto"/>
  </r>
  <r>
    <s v="ENTITY"/>
    <s v="ANNL_TRNVR_LE"/>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ANNL_TRNVR_LE_BDR"/>
    <x v="1"/>
    <s v="9. Concluído"/>
    <s v="OK"/>
    <s v="Concluido, controlos OK"/>
    <m/>
    <x v="0"/>
    <d v="2024-06-07T00:00:00"/>
    <x v="0"/>
    <s v="OK"/>
    <m/>
    <m/>
    <m/>
    <s v="Campo concluido"/>
    <s v="Y"/>
    <s v="N"/>
    <s v="N"/>
    <s v="N"/>
    <s v="N"/>
    <s v="N"/>
    <x v="0"/>
    <n v="0"/>
  </r>
  <r>
    <s v="ENTITY"/>
    <s v="ANNL_TRNVR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ANNL_TRNVR_PRVS_BDR"/>
    <x v="1"/>
    <s v="9. Concluído"/>
    <s v="OK"/>
    <s v="Concluido, controlos OK"/>
    <m/>
    <x v="0"/>
    <d v="2024-06-07T00:00:00"/>
    <x v="0"/>
    <s v="OK"/>
    <m/>
    <m/>
    <m/>
    <s v="Campo concluido"/>
    <s v="Y"/>
    <s v="N"/>
    <s v="N"/>
    <s v="N"/>
    <s v="N"/>
    <s v="N"/>
    <x v="0"/>
    <n v="0"/>
  </r>
  <r>
    <s v="INSTRUMENT"/>
    <s v="ANNLSD_AGRD_RT"/>
    <x v="0"/>
    <s v="3. Pendente de decisão"/>
    <s v="OK"/>
    <s v="Verificar necessidade de alteração da fonte para fins de reconciliação. Rever Fonte"/>
    <s v="Rever se devemos utilizar a informação de IFRS9 ou manter a de alm"/>
    <x v="1"/>
    <d v="2024-06-07T00:00:00"/>
    <x v="4"/>
    <s v="OK"/>
    <m/>
    <m/>
    <m/>
    <s v="Pendente de decisão"/>
    <s v="Y"/>
    <s v="N"/>
    <s v="Y"/>
    <s v="N"/>
    <s v="N"/>
    <s v="N"/>
    <x v="0"/>
    <n v="0"/>
  </r>
  <r>
    <s v="PROTECTION"/>
    <s v="APPRSL_CRRNCY"/>
    <x v="0"/>
    <s v="7. Analisar controlos e completude"/>
    <s v="NOK"/>
    <s v="Controlos NOK"/>
    <m/>
    <x v="2"/>
    <d v="2024-06-07T00:00:00"/>
    <x v="5"/>
    <s v="NOK"/>
    <m/>
    <m/>
    <m/>
    <s v="Analisar controlos NOK"/>
    <s v="Y"/>
    <s v="N"/>
    <s v="N"/>
    <s v="N"/>
    <s v="N"/>
    <s v="N"/>
    <x v="0"/>
    <n v="0"/>
  </r>
  <r>
    <s v="PROTECTION"/>
    <s v="APPRSR"/>
    <x v="0"/>
    <s v="7. Analisar controlos e completude"/>
    <s v="NOK"/>
    <s v="Controlos NOK"/>
    <m/>
    <x v="2"/>
    <d v="2024-06-07T00:00:00"/>
    <x v="5"/>
    <s v="NOK"/>
    <m/>
    <m/>
    <m/>
    <s v="Analisar controlos NOK"/>
    <s v="Y"/>
    <s v="N"/>
    <s v="N"/>
    <s v="N"/>
    <s v="N"/>
    <s v="N"/>
    <x v="0"/>
    <n v="0"/>
  </r>
  <r>
    <s v="INSTRUMENT"/>
    <s v="ARRRS_INSTRMNT"/>
    <x v="0"/>
    <s v="7. Analisar controlos e completude"/>
    <s v="NOK"/>
    <s v="Controlos NOK"/>
    <m/>
    <x v="2"/>
    <d v="2024-06-07T00:00:00"/>
    <x v="5"/>
    <s v="NOK"/>
    <m/>
    <m/>
    <m/>
    <s v="Analisar controlos NOK"/>
    <s v="Y"/>
    <s v="N"/>
    <s v="N"/>
    <s v="N"/>
    <s v="N"/>
    <s v="Y"/>
    <x v="1"/>
    <s v="4. Campos com NOK controlos Corporativos"/>
  </r>
  <r>
    <s v="INSTRUMENT"/>
    <s v="ARRRS_INSTRMNT_12M"/>
    <x v="0"/>
    <s v="7. Analisar controlos e completude"/>
    <s v="NOK"/>
    <s v="Controlos NOK"/>
    <m/>
    <x v="2"/>
    <d v="2024-06-07T00:00:00"/>
    <x v="5"/>
    <s v="NOK"/>
    <m/>
    <m/>
    <m/>
    <s v="Analisar controlos NOK"/>
    <s v="Y"/>
    <s v="N"/>
    <s v="N"/>
    <s v="N"/>
    <s v="N"/>
    <s v="N"/>
    <x v="0"/>
    <n v="0"/>
  </r>
  <r>
    <s v="INSTRUMENT"/>
    <s v="ASST_SCRT_CLSS"/>
    <x v="1"/>
    <s v="9. Concluído"/>
    <s v="OK"/>
    <s v="Concluido, controlos OK"/>
    <m/>
    <x v="0"/>
    <d v="2024-06-07T00:00:00"/>
    <x v="0"/>
    <s v="OK"/>
    <m/>
    <m/>
    <m/>
    <s v="Campo concluido"/>
    <s v="Y"/>
    <s v="N"/>
    <s v="N"/>
    <s v="N"/>
    <s v="N"/>
    <s v="N"/>
    <x v="0"/>
    <n v="0"/>
  </r>
  <r>
    <s v="INSTRUMENT"/>
    <s v="BRCHD_CVNNTS"/>
    <x v="0"/>
    <s v="8. Concluído - sem dados"/>
    <s v="OK"/>
    <s v="Campo especificado, mas sem dados. Campo marcado com MISS ou NA"/>
    <m/>
    <x v="0"/>
    <d v="2024-06-07T00:00:00"/>
    <x v="6"/>
    <s v="OK"/>
    <m/>
    <m/>
    <m/>
    <s v="Campo concluído, mas sem ou pouca informação na fonte"/>
    <s v="Y"/>
    <s v="N"/>
    <s v="N"/>
    <s v="N"/>
    <s v="N"/>
    <s v="Y"/>
    <x v="0"/>
    <s v="6.1. Fora âmbito | Campos concluídos - Sem necessidade de espec."/>
  </r>
  <r>
    <s v="ENTITY"/>
    <s v="CAPEX"/>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APEX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CF"/>
    <x v="0"/>
    <s v="9. Concluído"/>
    <s v="OK"/>
    <s v="Concluido, controlos OK"/>
    <m/>
    <x v="0"/>
    <d v="2024-06-07T00:00:00"/>
    <x v="0"/>
    <s v="OK"/>
    <m/>
    <m/>
    <m/>
    <s v="Campo concluido"/>
    <s v="Y"/>
    <s v="Y"/>
    <s v="N"/>
    <s v="N"/>
    <s v="N"/>
    <s v="Y"/>
    <x v="0"/>
    <s v="6.1. Fora âmbito | Campos concluídos - Sem necessidade de espec."/>
  </r>
  <r>
    <s v="INSTRUMENT"/>
    <s v="CHNNL_ORGNTN"/>
    <x v="1"/>
    <s v="4.1 Em implementação - Re-especificação"/>
    <s v="NOK"/>
    <s v="Aguarda implementação de IT"/>
    <m/>
    <x v="2"/>
    <d v="2024-06-07T00:00:00"/>
    <x v="7"/>
    <s v="NOK"/>
    <m/>
    <d v="2024-01-05T00:00:00"/>
    <m/>
    <s v="Melhorias estruturais (garantir coerência entre campos)"/>
    <s v="Y"/>
    <s v="N"/>
    <s v="N"/>
    <s v="N"/>
    <s v="N"/>
    <s v="N"/>
    <x v="0"/>
    <n v="0"/>
  </r>
  <r>
    <s v="ENTITY"/>
    <s v="CLLCTN_MD"/>
    <x v="1"/>
    <s v="9. Concluído"/>
    <s v="OK"/>
    <s v="Concluido, controlos OK"/>
    <m/>
    <x v="0"/>
    <d v="2024-06-07T00:00:00"/>
    <x v="0"/>
    <s v="OK"/>
    <m/>
    <m/>
    <m/>
    <s v="Campo concluido"/>
    <s v="Y"/>
    <s v="N"/>
    <s v="N"/>
    <s v="N"/>
    <s v="N"/>
    <s v="N"/>
    <x v="0"/>
    <n v="0"/>
  </r>
  <r>
    <s v="ENTITY"/>
    <s v="TTL_INTRST_PD"/>
    <x v="1"/>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CMMTMNT_INCPTN_INSTRMNT"/>
    <x v="0"/>
    <s v="7. Analisar controlos e completude"/>
    <s v="NOK"/>
    <s v="Analisar controlos e completude"/>
    <m/>
    <x v="2"/>
    <d v="2024-06-07T00:00:00"/>
    <x v="5"/>
    <s v="NOK"/>
    <m/>
    <m/>
    <m/>
    <s v="Analisar controlos NOK"/>
    <s v="Y"/>
    <s v="N"/>
    <s v="N"/>
    <s v="N"/>
    <s v="N"/>
    <s v="N"/>
    <x v="0"/>
    <n v="0"/>
  </r>
  <r>
    <s v="PROTECTION"/>
    <s v="RL_ESTT_CLLTRL_LCTN"/>
    <x v="0"/>
    <s v="2. Alterar especificação"/>
    <s v="NOK"/>
    <s v="Alterados 3 casos. Campo está a devolver PT para todas as proteções, no entanto estas não estão localizadas em PT e alterou-se a localização para os respetivos paises."/>
    <m/>
    <x v="2"/>
    <d v="2024-06-07T00:00:00"/>
    <x v="2"/>
    <s v="NOK"/>
    <m/>
    <m/>
    <m/>
    <s v="Melhorias estruturais (garantir coerência entre campos)"/>
    <s v="Y"/>
    <s v="N"/>
    <s v="Y"/>
    <s v="N"/>
    <s v="Y"/>
    <s v="N"/>
    <x v="0"/>
    <n v="0"/>
  </r>
  <r>
    <s v="INSTRUMENT"/>
    <s v="CMPLNT_MRTR_C19_NM"/>
    <x v="1"/>
    <s v="9. Concluído"/>
    <s v="OK"/>
    <s v="Concluido, controlos OK"/>
    <m/>
    <x v="0"/>
    <d v="2024-06-07T00:00:00"/>
    <x v="0"/>
    <s v="OK"/>
    <m/>
    <m/>
    <m/>
    <s v="Campo concluido"/>
    <s v="Y"/>
    <s v="N"/>
    <s v="N"/>
    <s v="N"/>
    <s v="N"/>
    <s v="N"/>
    <x v="0"/>
    <n v="0"/>
  </r>
  <r>
    <s v="INSTRUMENT"/>
    <s v="CNSMPTN_FNRP18"/>
    <x v="1"/>
    <s v="9. Concluído"/>
    <s v="OK"/>
    <s v="Concluido, controlos OK"/>
    <m/>
    <x v="0"/>
    <d v="2024-06-07T00:00:00"/>
    <x v="0"/>
    <s v="OK"/>
    <m/>
    <m/>
    <m/>
    <s v="Campo concluido"/>
    <s v="Y"/>
    <s v="N"/>
    <s v="N"/>
    <s v="N"/>
    <s v="N"/>
    <s v="N"/>
    <x v="0"/>
    <n v="0"/>
  </r>
  <r>
    <s v="PROTECTION"/>
    <s v="DT_APPRSL_PRVS"/>
    <x v="0"/>
    <s v="5.2 Em testes - Incidência"/>
    <s v="NOK"/>
    <s v="Campo com incidência e controlos NOK"/>
    <s v="1) Campo com incidência, data igual à data da protection_vl 2) Alteração de formatos MISS"/>
    <x v="0"/>
    <d v="2025-01-13T00:00:00"/>
    <x v="0"/>
    <s v="OK"/>
    <s v="Alteraração da definição do campo no Guia da Corporação. Campo passou a reportar a data da avaliação completa anterior à data da última avaliação  completa._x000a_"/>
    <d v="2024-07-12T00:00:00"/>
    <d v="2024-12-20T00:00:00"/>
    <s v="Alteração de especificação por parte do BCE"/>
    <s v="Y"/>
    <s v="N"/>
    <s v="N"/>
    <s v="N"/>
    <s v="N"/>
    <s v="N"/>
    <x v="0"/>
    <n v="0"/>
  </r>
  <r>
    <s v="INSTRUMENT"/>
    <s v="CNTRCT_ID"/>
    <x v="0"/>
    <s v="9. Concluído"/>
    <s v="OK"/>
    <s v="Concluido, controlos OK"/>
    <m/>
    <x v="0"/>
    <d v="2024-06-07T00:00:00"/>
    <x v="0"/>
    <s v="OK"/>
    <m/>
    <m/>
    <m/>
    <s v="Campo concluido"/>
    <s v="Y"/>
    <s v="N"/>
    <s v="N"/>
    <s v="N"/>
    <s v="N"/>
    <s v="N"/>
    <x v="0"/>
    <n v="0"/>
  </r>
  <r>
    <s v="INSTRUMENT"/>
    <s v="CNTRCT_ID_BDR"/>
    <x v="1"/>
    <s v="9. Concluído"/>
    <s v="OK"/>
    <s v="Concluido, controlos OK"/>
    <m/>
    <x v="0"/>
    <d v="2024-06-07T00:00:00"/>
    <x v="0"/>
    <s v="OK"/>
    <m/>
    <m/>
    <m/>
    <s v="Campo concluido"/>
    <s v="Y"/>
    <s v="N"/>
    <s v="N"/>
    <s v="N"/>
    <s v="N"/>
    <s v="N"/>
    <x v="0"/>
    <n v="0"/>
  </r>
  <r>
    <s v="ENTITY"/>
    <s v="CNTRY"/>
    <x v="0"/>
    <s v="9. Concluído"/>
    <s v="OK"/>
    <s v="Concluido, controlos OK"/>
    <m/>
    <x v="0"/>
    <d v="2024-06-07T00:00:00"/>
    <x v="0"/>
    <s v="OK"/>
    <m/>
    <m/>
    <m/>
    <s v="Campo concluido"/>
    <s v="Y"/>
    <s v="N"/>
    <s v="Y"/>
    <s v="N"/>
    <s v="Y"/>
    <s v="Y"/>
    <x v="0"/>
    <s v="6.1. Fora âmbito | Campos concluídos - Sem necessidade de espec."/>
  </r>
  <r>
    <s v="ENTITY"/>
    <s v="COD_SOC"/>
    <x v="0"/>
    <s v="9. Concluído"/>
    <s v="OK"/>
    <s v="Concluido, controlos OK"/>
    <m/>
    <x v="0"/>
    <d v="2024-06-07T00:00:00"/>
    <x v="0"/>
    <s v="OK"/>
    <m/>
    <m/>
    <m/>
    <s v="Campo concluido"/>
    <s v="Y"/>
    <s v="N"/>
    <s v="Y"/>
    <s v="N"/>
    <s v="Y"/>
    <s v="Y"/>
    <x v="0"/>
    <s v="6.1. Fora âmbito | Campos concluídos - Sem necessidade de espec."/>
  </r>
  <r>
    <s v="INSTR_ENTITY"/>
    <s v="COD_SOC"/>
    <x v="0"/>
    <s v="9. Concluído"/>
    <s v="OK"/>
    <s v="Concluido, controlos OK"/>
    <m/>
    <x v="0"/>
    <d v="2024-06-07T00:00:00"/>
    <x v="0"/>
    <s v="OK"/>
    <m/>
    <m/>
    <m/>
    <s v="Campo concluido"/>
    <s v="Y"/>
    <s v="N"/>
    <s v="Y"/>
    <s v="N"/>
    <s v="N"/>
    <s v="Y"/>
    <x v="0"/>
    <s v="6.1. Fora âmbito | Campos concluídos - Sem necessidade de espec."/>
  </r>
  <r>
    <s v="INSTR_PROTECTION"/>
    <s v="COD_SOC"/>
    <x v="0"/>
    <s v="9. Concluído"/>
    <s v="OK"/>
    <s v="Concluido, controlos OK"/>
    <m/>
    <x v="0"/>
    <d v="2024-06-07T00:00:00"/>
    <x v="0"/>
    <s v="OK"/>
    <m/>
    <m/>
    <m/>
    <s v="Campo concluido"/>
    <s v="Y"/>
    <s v="Y"/>
    <s v="Y"/>
    <s v="N"/>
    <s v="N"/>
    <s v="N"/>
    <x v="0"/>
    <n v="0"/>
  </r>
  <r>
    <s v="INSTRUMENT"/>
    <s v="COD_SOC"/>
    <x v="0"/>
    <s v="9. Concluído"/>
    <s v="OK"/>
    <s v="Concluido, controlos OK"/>
    <m/>
    <x v="0"/>
    <d v="2024-06-07T00:00:00"/>
    <x v="0"/>
    <s v="OK"/>
    <m/>
    <m/>
    <m/>
    <s v="Campo concluido"/>
    <s v="Y"/>
    <s v="Y"/>
    <s v="Y"/>
    <s v="N"/>
    <s v="Y"/>
    <s v="Y"/>
    <x v="0"/>
    <s v="6.1. Fora âmbito | Campos concluídos - Sem necessidade de espec."/>
  </r>
  <r>
    <s v="PROTECTION"/>
    <s v="COD_SOC"/>
    <x v="0"/>
    <s v="9. Concluído"/>
    <s v="OK"/>
    <s v="Concluido, controlos OK"/>
    <m/>
    <x v="0"/>
    <d v="2024-06-07T00:00:00"/>
    <x v="0"/>
    <s v="OK"/>
    <m/>
    <m/>
    <m/>
    <s v="Campo concluido"/>
    <s v="Y"/>
    <s v="Y"/>
    <s v="Y"/>
    <s v="N"/>
    <s v="Y"/>
    <s v="N"/>
    <x v="0"/>
    <n v="0"/>
  </r>
  <r>
    <s v="INSTRUMENT"/>
    <s v="COD_SOC_INTRGRP"/>
    <x v="0"/>
    <s v="4.1 Em implementação - Re-especificação"/>
    <s v="NOK"/>
    <s v="Aguarda implementação de IT"/>
    <m/>
    <x v="2"/>
    <d v="2024-06-17T00:00:00"/>
    <x v="8"/>
    <s v="NOK"/>
    <m/>
    <d v="2024-01-12T00:00:00"/>
    <d v="2024-03-28T00:00:00"/>
    <s v="Novo campo"/>
    <s v="Y"/>
    <s v="Y"/>
    <s v="N"/>
    <s v="N"/>
    <s v="N"/>
    <s v="N"/>
    <x v="0"/>
    <n v="0"/>
  </r>
  <r>
    <s v="INSTRUMENT"/>
    <s v="CPN_CRRNCY"/>
    <x v="1"/>
    <s v="9. Concluído"/>
    <s v="OK"/>
    <s v="Concluido, controlos OK"/>
    <m/>
    <x v="0"/>
    <d v="2024-06-07T00:00:00"/>
    <x v="0"/>
    <s v="OK"/>
    <m/>
    <m/>
    <m/>
    <s v="Campo concluido"/>
    <s v="Y"/>
    <s v="N"/>
    <s v="N"/>
    <s v="N"/>
    <s v="N"/>
    <s v="N"/>
    <x v="0"/>
    <n v="0"/>
  </r>
  <r>
    <s v="INSTRUMENT"/>
    <s v="CPN_RT_FXD"/>
    <x v="1"/>
    <s v="9. Concluído"/>
    <s v="OK"/>
    <s v="Concluido, controlos OK"/>
    <m/>
    <x v="0"/>
    <d v="2024-06-07T00:00:00"/>
    <x v="0"/>
    <s v="OK"/>
    <m/>
    <m/>
    <m/>
    <s v="Campo concluido"/>
    <s v="Y"/>
    <s v="N"/>
    <s v="N"/>
    <s v="N"/>
    <s v="N"/>
    <s v="N"/>
    <x v="0"/>
    <n v="0"/>
  </r>
  <r>
    <s v="ENTITY"/>
    <s v="CR_FLG"/>
    <x v="1"/>
    <s v="7. Analisar controlos e completude"/>
    <s v="NOK"/>
    <s v="Controlos NOK"/>
    <m/>
    <x v="2"/>
    <d v="2024-06-07T00:00:00"/>
    <x v="5"/>
    <s v="NOK"/>
    <m/>
    <m/>
    <m/>
    <s v="Analisar controlos NOK"/>
    <s v="Y"/>
    <s v="N"/>
    <s v="N"/>
    <s v="N"/>
    <s v="N"/>
    <s v="N"/>
    <x v="0"/>
    <n v="0"/>
  </r>
  <r>
    <s v="INSTRUMENT"/>
    <s v="CRE_FNRP18"/>
    <x v="0"/>
    <s v="9. Concluído"/>
    <s v="OK"/>
    <s v="Concluido, controlos OK"/>
    <m/>
    <x v="0"/>
    <d v="2024-06-07T00:00:00"/>
    <x v="0"/>
    <s v="OK"/>
    <m/>
    <m/>
    <m/>
    <s v="Campo concluido"/>
    <s v="Y"/>
    <s v="N"/>
    <s v="N"/>
    <s v="N"/>
    <s v="N"/>
    <s v="N"/>
    <x v="0"/>
    <n v="0"/>
  </r>
  <r>
    <s v="PROTECTION"/>
    <s v="CRE_INCM_CRRNCY"/>
    <x v="1"/>
    <s v="8. Concluído - sem dados"/>
    <s v="NOK"/>
    <s v="Campo sem mapeamento, para análise da área  de Riscos"/>
    <m/>
    <x v="0"/>
    <d v="2024-06-07T00:00:00"/>
    <x v="6"/>
    <s v="NOK"/>
    <m/>
    <m/>
    <m/>
    <s v="Campo concluído, mas sem ou pouca informação na fonte"/>
    <s v="Y"/>
    <s v="N"/>
    <s v="N"/>
    <s v="N"/>
    <s v="N"/>
    <s v="N"/>
    <x v="0"/>
    <n v="0"/>
  </r>
  <r>
    <s v="PROTECTION"/>
    <s v="CRE_YRLY_EXPNSS"/>
    <x v="1"/>
    <s v="8. Concluído - sem dados"/>
    <s v="OK"/>
    <s v="Campo sem mapeamento, para análise da área  de Riscos"/>
    <m/>
    <x v="0"/>
    <d v="2024-06-07T00:00:00"/>
    <x v="6"/>
    <s v="OK"/>
    <m/>
    <m/>
    <m/>
    <s v="Campo concluído, mas sem ou pouca informação na fonte"/>
    <s v="Y"/>
    <s v="N"/>
    <s v="N"/>
    <s v="N"/>
    <s v="N"/>
    <s v="N"/>
    <x v="0"/>
    <n v="0"/>
  </r>
  <r>
    <s v="PROTECTION"/>
    <s v="CRE_YRLY_INCM"/>
    <x v="1"/>
    <s v="8. Concluído - sem dados"/>
    <s v="OK"/>
    <s v="Campo sem mapeamento, para análise da área  de Riscos"/>
    <m/>
    <x v="0"/>
    <d v="2024-06-07T00:00:00"/>
    <x v="6"/>
    <s v="OK"/>
    <m/>
    <m/>
    <m/>
    <s v="Campo concluído, mas sem ou pouca informação na fonte"/>
    <s v="Y"/>
    <s v="N"/>
    <s v="N"/>
    <s v="N"/>
    <s v="N"/>
    <s v="N"/>
    <x v="0"/>
    <n v="0"/>
  </r>
  <r>
    <s v="INSTRUMENT"/>
    <s v="CRRLTN_CFFCNT"/>
    <x v="1"/>
    <s v="7. Analisar controlos e completude"/>
    <s v="NOK"/>
    <s v="Controlos NOK"/>
    <m/>
    <x v="2"/>
    <d v="2024-06-07T00:00:00"/>
    <x v="5"/>
    <s v="NOK"/>
    <m/>
    <m/>
    <m/>
    <s v="Analisar controlos NOK"/>
    <s v="Y"/>
    <s v="N"/>
    <s v="N"/>
    <s v="N"/>
    <s v="N"/>
    <s v="N"/>
    <x v="0"/>
    <n v="0"/>
  </r>
  <r>
    <s v="INSTRUMENT"/>
    <s v="CRRNCY_DNMNTN"/>
    <x v="0"/>
    <s v="9. Concluído"/>
    <s v="OK"/>
    <s v="Concluido, controlos OK"/>
    <m/>
    <x v="0"/>
    <d v="2024-06-07T00:00:00"/>
    <x v="0"/>
    <s v="OK"/>
    <m/>
    <m/>
    <m/>
    <s v="Campo concluido"/>
    <s v="Y"/>
    <s v="N"/>
    <s v="N"/>
    <s v="N"/>
    <s v="N"/>
    <s v="Y"/>
    <x v="0"/>
    <s v="6.1. Fora âmbito | Campos concluídos - Sem necessidade de espec."/>
  </r>
  <r>
    <s v="INSTRUMENT"/>
    <s v="CRRYNG_AMNT_INSTRMNT"/>
    <x v="0"/>
    <s v="9. Concluído"/>
    <s v="OK"/>
    <s v="Concluido, controlos OK"/>
    <m/>
    <x v="0"/>
    <d v="2024-06-07T00:00:00"/>
    <x v="0"/>
    <s v="OK"/>
    <m/>
    <m/>
    <m/>
    <s v="Campo concluido"/>
    <s v="Y"/>
    <s v="N"/>
    <s v="N"/>
    <s v="N"/>
    <s v="N"/>
    <s v="Y"/>
    <x v="0"/>
    <s v="6.1. Fora âmbito | Campos concluídos - Sem necessidade de espec."/>
  </r>
  <r>
    <s v="ENTITY"/>
    <s v="CSH"/>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SH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SH_SWP_TRP"/>
    <x v="0"/>
    <s v="9. Concluído"/>
    <s v="OK"/>
    <s v="Concluido, controlos OK"/>
    <m/>
    <x v="0"/>
    <d v="2024-06-07T00:00:00"/>
    <x v="0"/>
    <s v="OK"/>
    <m/>
    <m/>
    <m/>
    <s v="Campo concluido"/>
    <s v="Y"/>
    <s v="N"/>
    <s v="N"/>
    <s v="N"/>
    <s v="N"/>
    <s v="Y"/>
    <x v="0"/>
    <s v="6.1. Fora âmbito | Campos concluídos - Sem necessidade de espec."/>
  </r>
  <r>
    <s v="INSTRUMENT"/>
    <s v="CVNNT_STTS"/>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CVNNT_TYP"/>
    <x v="1"/>
    <s v="9. Concluído"/>
    <s v="OK"/>
    <s v="Concluido, controlos OK"/>
    <m/>
    <x v="0"/>
    <d v="2024-06-07T00:00:00"/>
    <x v="0"/>
    <s v="OK"/>
    <m/>
    <m/>
    <m/>
    <s v="Campo concluido"/>
    <s v="Y"/>
    <s v="N"/>
    <s v="N"/>
    <s v="N"/>
    <s v="N"/>
    <s v="Y"/>
    <x v="2"/>
    <s v="6.3. Fora âmbito | Fonte Manual LF"/>
  </r>
  <r>
    <s v="ENTITY"/>
    <s v="DBT_RPYMNT_CPCTY_SNR_DBT"/>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ENTITY"/>
    <s v="DBT_RPYMNT_CPCTY_TTL"/>
    <x v="1"/>
    <s v="9. Concluído"/>
    <s v="OK"/>
    <s v="Concluido, controlos OK"/>
    <m/>
    <x v="0"/>
    <d v="2024-06-07T00:00:00"/>
    <x v="0"/>
    <s v="OK"/>
    <m/>
    <m/>
    <m/>
    <s v="Campo concluido"/>
    <s v="Y"/>
    <s v="N"/>
    <s v="N"/>
    <s v="N"/>
    <s v="N"/>
    <s v="Y"/>
    <x v="0"/>
    <s v="6.1. Fora âmbito | Campos concluídos - Sem necessidade de espec."/>
  </r>
  <r>
    <s v="ENTITY"/>
    <s v="DBT_SRVC_R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DBT_SRVC_RT_12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DBT_YLD"/>
    <x v="1"/>
    <s v="8. Concluído - sem dados"/>
    <s v="OK"/>
    <s v="Concluido, controlos OK"/>
    <m/>
    <x v="0"/>
    <d v="2024-06-07T00:00:00"/>
    <x v="6"/>
    <s v="OK"/>
    <m/>
    <m/>
    <m/>
    <s v="Campo concluído, mas sem ou pouca informação na fonte"/>
    <s v="Y"/>
    <s v="N"/>
    <s v="N"/>
    <s v="N"/>
    <s v="N"/>
    <s v="N"/>
    <x v="0"/>
    <n v="0"/>
  </r>
  <r>
    <s v="ENTITY"/>
    <s v="DCSD"/>
    <x v="1"/>
    <s v="9. Concluído"/>
    <s v="OK"/>
    <s v="Concluido, controlos OK"/>
    <m/>
    <x v="0"/>
    <d v="2024-06-07T00:00:00"/>
    <x v="0"/>
    <s v="OK"/>
    <m/>
    <m/>
    <m/>
    <s v="Campo concluido"/>
    <s v="Y"/>
    <s v="N"/>
    <s v="N"/>
    <s v="N"/>
    <s v="N"/>
    <s v="N"/>
    <x v="0"/>
    <n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x v="1"/>
    <d v="2024-06-07T00:00:00"/>
    <x v="4"/>
    <s v="NOK"/>
    <m/>
    <m/>
    <m/>
    <s v="Pendente de decisão"/>
    <s v="Y"/>
    <s v="N"/>
    <s v="N"/>
    <s v="N"/>
    <s v="N"/>
    <s v="Y"/>
    <x v="1"/>
    <s v="5. Campos com outras possíveis alterações - Dependente de decisões OSI "/>
  </r>
  <r>
    <s v="INSTRUMENT"/>
    <s v="RFNNC_PRPS"/>
    <x v="0"/>
    <s v="2. Alterar especificação"/>
    <s v="OK"/>
    <s v="Alterar especificação. Campo depende do FRBRNC_STTS_INSTRMNT"/>
    <s v="Sempre que o campo FRBRNC_STTS_INSTRMNT =3 o campo RFNNC_PRPS deve estar marcado como Y. Reespecificar, implementar e testar."/>
    <x v="2"/>
    <d v="2024-06-07T00:00:00"/>
    <x v="2"/>
    <s v="OK"/>
    <m/>
    <m/>
    <m/>
    <s v="Melhorias estruturais (garantir coerência entre campos)"/>
    <s v="Y"/>
    <s v="N"/>
    <s v="N"/>
    <s v="N"/>
    <s v="N"/>
    <s v="N"/>
    <x v="0"/>
    <n v="0"/>
  </r>
  <r>
    <s v="INSTRUMENT"/>
    <s v="DPD"/>
    <x v="0"/>
    <s v="7. Analisar controlos e completude"/>
    <s v="NOK"/>
    <s v="Controlos NOK"/>
    <m/>
    <x v="2"/>
    <d v="2024-06-07T00:00:00"/>
    <x v="5"/>
    <s v="NOK"/>
    <m/>
    <m/>
    <m/>
    <s v="Analisar controlos NOK"/>
    <s v="Y"/>
    <s v="N"/>
    <s v="N"/>
    <s v="N"/>
    <s v="N"/>
    <s v="Y"/>
    <x v="1"/>
    <s v="4. Campos com NOK controlos Corporativos"/>
  </r>
  <r>
    <s v="INSTRUMENT"/>
    <s v="DPD_12M"/>
    <x v="0"/>
    <s v="7. Analisar controlos e completude"/>
    <s v="NOK"/>
    <s v="Controlos NOK"/>
    <m/>
    <x v="2"/>
    <d v="2024-06-07T00:00:00"/>
    <x v="5"/>
    <s v="NOK"/>
    <m/>
    <m/>
    <m/>
    <s v="Analisar controlos NOK"/>
    <s v="Y"/>
    <s v="N"/>
    <s v="N"/>
    <s v="N"/>
    <s v="N"/>
    <s v="N"/>
    <x v="0"/>
    <n v="0"/>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x v="2"/>
    <d v="2024-06-07T00:00:00"/>
    <x v="8"/>
    <s v="NOK"/>
    <m/>
    <d v="2022-04-28T00:00:00"/>
    <d v="2022-05-19T00:00:00"/>
    <s v="Melhorias estruturais (garantir coerência entre campos)"/>
    <s v="Y"/>
    <s v="N"/>
    <s v="N"/>
    <s v="N"/>
    <s v="N"/>
    <s v="N"/>
    <x v="0"/>
    <n v="0"/>
  </r>
  <r>
    <s v="INSTRUMENT"/>
    <s v="DPD_12M_PRFRMNG_STTS"/>
    <x v="0"/>
    <s v="5.1 Em testes - Re-especificação"/>
    <s v="NOK"/>
    <s v="Campo depende do histórico do PRFRMNG_STTS. Não é necessário alterar a especificação do mesmo, apenas testar se a metodologia do campo PRFRMNG_STTS for alterada."/>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24M_FRBRNC_STTS"/>
    <x v="0"/>
    <s v="7. Analisar controlos e completude"/>
    <s v="NOK"/>
    <s v="Controlos NOK"/>
    <m/>
    <x v="2"/>
    <d v="2024-06-07T00:00:00"/>
    <x v="5"/>
    <s v="NOK"/>
    <m/>
    <m/>
    <m/>
    <s v="Analisar controlos NOK"/>
    <s v="Y"/>
    <s v="N"/>
    <s v="N"/>
    <s v="N"/>
    <s v="N"/>
    <s v="N"/>
    <x v="0"/>
    <n v="0"/>
  </r>
  <r>
    <s v="INSTRUMENT"/>
    <s v="DPD_24M_PRFRMNG_STTS"/>
    <x v="0"/>
    <s v="5.1 Em testes - Re-especificação"/>
    <s v="N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FRBRNC_STTS"/>
    <x v="0"/>
    <s v="7. Analisar controlos e completude"/>
    <s v="NOK"/>
    <s v="Controlos NOK"/>
    <m/>
    <x v="2"/>
    <d v="2024-06-07T00:00:00"/>
    <x v="5"/>
    <s v="NOK"/>
    <m/>
    <m/>
    <m/>
    <s v="Analisar controlos NOK"/>
    <s v="Y"/>
    <s v="N"/>
    <s v="N"/>
    <s v="N"/>
    <s v="N"/>
    <s v="N"/>
    <x v="0"/>
    <n v="0"/>
  </r>
  <r>
    <s v="INSTRUMENT"/>
    <s v="DPD_PRFRMNG_STT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STI"/>
    <x v="1"/>
    <s v="1. Especificar"/>
    <s v="OK"/>
    <s v="Em especificação (Campos Novos)"/>
    <m/>
    <x v="2"/>
    <d v="2024-06-07T00:00:00"/>
    <x v="3"/>
    <s v="OK"/>
    <m/>
    <m/>
    <m/>
    <s v="Novo campo"/>
    <s v="Y"/>
    <s v="N"/>
    <s v="N"/>
    <s v="N"/>
    <s v="N"/>
    <s v="N"/>
    <x v="0"/>
    <n v="0"/>
  </r>
  <r>
    <s v="PROTECTION"/>
    <s v="TYP_PRTCTN"/>
    <x v="0"/>
    <s v="2. Alterar especificação"/>
    <s v="NOK"/>
    <s v="Alterar especificação (alteração da fonte para MUG)"/>
    <s v="Campo depende do campo 'cgarant' do MUG"/>
    <x v="0"/>
    <d v="2025-01-13T00:00:00"/>
    <x v="0"/>
    <s v="OK"/>
    <s v="Alteração de especificação com base no campo cgarant_bem e cgarant_rpt do MUG. Controlo NOK - A Corporação ajustou o controlo e estes casos passarão a estar OK_x000a_"/>
    <d v="2024-07-19T00:00:00"/>
    <d v="2024-12-20T00:00:00"/>
    <s v="Necessidade de correção de erros"/>
    <s v="Y"/>
    <s v="Y"/>
    <s v="Y"/>
    <s v="N"/>
    <s v="Y"/>
    <s v="N"/>
    <x v="0"/>
    <n v="0"/>
  </r>
  <r>
    <s v="ENTITY"/>
    <s v="DT_BRTH"/>
    <x v="1"/>
    <s v="7. Analisar controlos e completude"/>
    <s v="NOK"/>
    <s v="Controlos NOK"/>
    <m/>
    <x v="2"/>
    <d v="2024-06-07T00:00:00"/>
    <x v="5"/>
    <s v="NOK"/>
    <m/>
    <m/>
    <m/>
    <s v="Analisar controlos NOK"/>
    <s v="Y"/>
    <s v="N"/>
    <s v="N"/>
    <s v="N"/>
    <s v="N"/>
    <s v="N"/>
    <x v="0"/>
    <n v="0"/>
  </r>
  <r>
    <s v="INSTRUMENT"/>
    <s v="DT_CMPLNT_MRTR_STTS_C19"/>
    <x v="1"/>
    <s v="9. Concluído"/>
    <s v="OK"/>
    <s v="Concluido, controlos OK"/>
    <m/>
    <x v="0"/>
    <d v="2024-06-07T00:00:00"/>
    <x v="0"/>
    <s v="OK"/>
    <m/>
    <m/>
    <m/>
    <s v="Campo concluido"/>
    <s v="Y"/>
    <s v="N"/>
    <s v="N"/>
    <s v="N"/>
    <s v="N"/>
    <s v="N"/>
    <x v="0"/>
    <n v="0"/>
  </r>
  <r>
    <s v="INSTRUMENT"/>
    <s v="DT_CMPLNT_MRTR_STTS_PRVS_C19"/>
    <x v="1"/>
    <s v="9. Concluído"/>
    <s v="OK"/>
    <s v="Concluido, controlos OK"/>
    <m/>
    <x v="0"/>
    <d v="2024-06-07T00:00:00"/>
    <x v="0"/>
    <s v="OK"/>
    <m/>
    <m/>
    <m/>
    <s v="Campo concluido"/>
    <s v="Y"/>
    <s v="N"/>
    <s v="N"/>
    <s v="N"/>
    <s v="N"/>
    <s v="N"/>
    <x v="0"/>
    <n v="0"/>
  </r>
  <r>
    <s v="PROTECTION"/>
    <s v="DT_PRTCTN_VL"/>
    <x v="0"/>
    <s v="5.2 Em testes - Incidência"/>
    <s v="NOK"/>
    <s v="Campo com incidência e controlos NOK. "/>
    <s v="Alteração formato de 0001-01-01 para 0000-00-00"/>
    <x v="0"/>
    <d v="2025-01-13T00:00:00"/>
    <x v="0"/>
    <s v="OK"/>
    <s v="Incidência corrigida. Especificação alterada para campo da GT018, de modo a estar coerente com a especificação do campo PRTCTN_VL_x000a_Controlo NOK (ver caderno de testes a 03/12/2023)"/>
    <d v="2024-07-19T00:00:00"/>
    <d v="2024-12-20T00:00:00"/>
    <s v="Necessidade de correção de erros"/>
    <s v="Y"/>
    <s v="N"/>
    <s v="N"/>
    <s v="N"/>
    <s v="N"/>
    <s v="N"/>
    <x v="0"/>
    <n v="0"/>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x v="2"/>
    <d v="2024-06-07T00:00:00"/>
    <x v="1"/>
    <s v="NOK"/>
    <m/>
    <m/>
    <m/>
    <s v="Melhorias estruturais (garantir coerência entre campos)"/>
    <s v="Y"/>
    <s v="N"/>
    <s v="N"/>
    <s v="N"/>
    <s v="N"/>
    <s v="Y"/>
    <x v="1"/>
    <s v="3. Campos em testes ou c/ incidências"/>
  </r>
  <r>
    <s v="INSTRUMENT"/>
    <s v="DT_END_GP_PPAL"/>
    <x v="0"/>
    <s v="7. Analisar controlos e completude"/>
    <s v="NOK"/>
    <s v="Controlos NOK"/>
    <m/>
    <x v="2"/>
    <d v="2024-06-07T00:00:00"/>
    <x v="5"/>
    <s v="NOK"/>
    <m/>
    <m/>
    <m/>
    <s v="Analisar controlos NOK"/>
    <s v="Y"/>
    <s v="N"/>
    <s v="N"/>
    <s v="N"/>
    <s v="N"/>
    <s v="N"/>
    <x v="0"/>
    <n v="0"/>
  </r>
  <r>
    <s v="INSTRUMENT"/>
    <s v="DT_END_GP_PPAL_C19"/>
    <x v="1"/>
    <s v="9. Concluído"/>
    <s v="OK"/>
    <s v="Concluido, controlos OK"/>
    <m/>
    <x v="0"/>
    <d v="2024-06-07T00:00:00"/>
    <x v="0"/>
    <s v="OK"/>
    <m/>
    <m/>
    <m/>
    <s v="Campo concluido"/>
    <s v="Y"/>
    <s v="N"/>
    <s v="N"/>
    <s v="N"/>
    <s v="N"/>
    <s v="N"/>
    <x v="0"/>
    <n v="0"/>
  </r>
  <r>
    <s v="INSTRUMENT"/>
    <s v="DT_END_INTRST_ONLY"/>
    <x v="0"/>
    <s v="7. Analisar controlos e completude"/>
    <s v="NOK"/>
    <s v="Controlos NOK"/>
    <m/>
    <x v="2"/>
    <d v="2024-06-07T00:00:00"/>
    <x v="5"/>
    <s v="NOK"/>
    <m/>
    <m/>
    <m/>
    <s v="Analisar controlos NOK"/>
    <s v="Y"/>
    <s v="N"/>
    <s v="N"/>
    <s v="N"/>
    <s v="N"/>
    <s v="N"/>
    <x v="0"/>
    <n v="0"/>
  </r>
  <r>
    <s v="INSTRUMENT"/>
    <s v="DT_END_INTRST_ONLY_C19"/>
    <x v="1"/>
    <s v="9. Concluído"/>
    <s v="OK"/>
    <s v="Concluido, controlos OK"/>
    <m/>
    <x v="0"/>
    <d v="2024-06-07T00:00:00"/>
    <x v="0"/>
    <s v="OK"/>
    <m/>
    <m/>
    <m/>
    <s v="Campo concluido"/>
    <s v="Y"/>
    <s v="N"/>
    <s v="N"/>
    <s v="N"/>
    <s v="N"/>
    <s v="N"/>
    <x v="0"/>
    <n v="0"/>
  </r>
  <r>
    <s v="PROTECTION"/>
    <s v="CNSTRCTN_STTS"/>
    <x v="1"/>
    <s v="2. Alterar especificação"/>
    <s v="NOK"/>
    <s v="Campo dependente do MUG"/>
    <s v="Campo depende do campo 'cgarant' do MUG"/>
    <x v="0"/>
    <d v="2025-01-13T00:00:00"/>
    <x v="0"/>
    <s v="OK"/>
    <m/>
    <d v="2024-08-09T00:00:00"/>
    <d v="2024-12-20T00:00:00"/>
    <s v="Necessidade de correção de erros"/>
    <s v="Y"/>
    <s v="N"/>
    <s v="N"/>
    <s v="N"/>
    <s v="N"/>
    <s v="N"/>
    <x v="0"/>
    <n v="0"/>
  </r>
  <r>
    <s v="ENTITY"/>
    <s v="DT_FNNCL_STTMT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ENTITY"/>
    <s v="DT_FNNCL_STTMTS_PRV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INSTRUMENT"/>
    <s v="RCVD_INTRST_24M"/>
    <x v="0"/>
    <s v="2. Alterar especificação"/>
    <s v="OK"/>
    <s v="Em especificação (Amortizações Capital/ Juros). Campo com dados mas pouca qualidade"/>
    <m/>
    <x v="2"/>
    <d v="2024-06-07T00:00:00"/>
    <x v="2"/>
    <s v="OK"/>
    <m/>
    <m/>
    <m/>
    <s v="Melhorias estruturais (garantir coerência entre campos)"/>
    <s v="Y"/>
    <s v="N"/>
    <s v="N"/>
    <s v="N"/>
    <s v="N"/>
    <s v="Y"/>
    <x v="1"/>
    <s v="2.2 Re-especificação de campos complexos - Resto"/>
  </r>
  <r>
    <s v="INSTRUMENT"/>
    <s v="DT_FRBRNC_STTS_C19"/>
    <x v="1"/>
    <s v="9. Concluído"/>
    <s v="OK"/>
    <s v="Concluido, controlos OK"/>
    <m/>
    <x v="0"/>
    <d v="2024-06-07T00:00:00"/>
    <x v="0"/>
    <s v="OK"/>
    <m/>
    <m/>
    <m/>
    <s v="Campo concluido"/>
    <s v="Y"/>
    <s v="N"/>
    <s v="N"/>
    <s v="N"/>
    <s v="N"/>
    <s v="N"/>
    <x v="0"/>
    <n v="0"/>
  </r>
  <r>
    <s v="INSTRUMENT"/>
    <s v="RCVD_INTRST_12M"/>
    <x v="0"/>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DT_FRBRNC_STTS_PRVS_C19"/>
    <x v="1"/>
    <s v="9. Concluído"/>
    <s v="OK"/>
    <s v="Concluido, controlos OK"/>
    <m/>
    <x v="0"/>
    <d v="2024-06-07T00:00:00"/>
    <x v="0"/>
    <s v="OK"/>
    <m/>
    <m/>
    <m/>
    <s v="Campo concluido"/>
    <s v="Y"/>
    <s v="N"/>
    <s v="N"/>
    <s v="N"/>
    <s v="N"/>
    <s v="N"/>
    <x v="0"/>
    <n v="0"/>
  </r>
  <r>
    <s v="PROTECTION"/>
    <s v="DT_FRST_USG"/>
    <x v="1"/>
    <s v="7. Analisar controlos e completude"/>
    <s v="NOK"/>
    <s v="Controlos NOK por parte de Riscos"/>
    <m/>
    <x v="2"/>
    <d v="2024-06-07T00:00:00"/>
    <x v="5"/>
    <s v="NOK"/>
    <m/>
    <m/>
    <m/>
    <s v="Analisar controlos NOK"/>
    <s v="Y"/>
    <s v="N"/>
    <s v="N"/>
    <s v="N"/>
    <s v="N"/>
    <s v="N"/>
    <x v="0"/>
    <n v="0"/>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N"/>
    <x v="0"/>
    <n v="0"/>
  </r>
  <r>
    <s v="INSTRUMENT"/>
    <s v="DT_INCPTN"/>
    <x v="0"/>
    <s v="7. Analisar controlos e completude"/>
    <s v="NOK"/>
    <s v="Controlos NOK"/>
    <m/>
    <x v="2"/>
    <d v="2024-06-07T00:00:00"/>
    <x v="5"/>
    <s v="NOK"/>
    <m/>
    <m/>
    <m/>
    <s v="Analisar controlos NOK"/>
    <s v="Y"/>
    <s v="N"/>
    <s v="Y"/>
    <s v="N"/>
    <s v="N"/>
    <s v="Y"/>
    <x v="1"/>
    <s v="4. Campos com NOK controlos Corporativos"/>
  </r>
  <r>
    <s v="ENTITY"/>
    <s v="DT_INTRNL_RTNG"/>
    <x v="0"/>
    <s v="5.1 Em testes - Re-especificação"/>
    <s v="NOK"/>
    <s v="Em testes, campo entregue por IT durante a OSI. Incidência nos formatos. Testar e validar controlos NOK"/>
    <m/>
    <x v="1"/>
    <d v="2024-06-07T00:00:00"/>
    <x v="8"/>
    <s v="NOK"/>
    <s v="Campo entregue durante a OSI"/>
    <d v="2024-02-16T00:00:00"/>
    <d v="2024-05-24T00:00:00"/>
    <s v="Necessidade de correção de erros"/>
    <s v="Y"/>
    <s v="N"/>
    <s v="N"/>
    <s v="N"/>
    <s v="N"/>
    <s v="Y"/>
    <x v="1"/>
    <s v="3. Campos em testes ou c/ incidências"/>
  </r>
  <r>
    <s v="INSTRUMENT"/>
    <s v="DT_INTRNL_RTNG"/>
    <x v="0"/>
    <s v="5.1 Em testes - Re-especificação"/>
    <s v="NOK"/>
    <s v="Em testes, campo entregue por IT durante a OSI. Testar e validar controlos"/>
    <m/>
    <x v="1"/>
    <d v="2024-06-07T00:00:00"/>
    <x v="8"/>
    <s v="NOK"/>
    <s v="Campo entregue durante a OSI"/>
    <d v="2024-02-16T00:00:00"/>
    <d v="2024-05-24T00:00:00"/>
    <s v="Necessidade de correção de erros"/>
    <s v="Y"/>
    <s v="N"/>
    <s v="N"/>
    <s v="N"/>
    <s v="N"/>
    <s v="Y"/>
    <x v="1"/>
    <s v="3. Campos em testes ou c/ incidências"/>
  </r>
  <r>
    <s v="ENTITY"/>
    <s v="DT_INTTN_LGL_PRCDNGS_LE"/>
    <x v="0"/>
    <s v="9. Concluído"/>
    <s v="OK"/>
    <s v="Concluido, controlos OK"/>
    <m/>
    <x v="0"/>
    <d v="2024-06-07T00:00:00"/>
    <x v="0"/>
    <s v="OK"/>
    <m/>
    <m/>
    <m/>
    <s v="Campo concluido"/>
    <s v="Y"/>
    <s v="N"/>
    <s v="N"/>
    <s v="N"/>
    <s v="N"/>
    <s v="Y"/>
    <x v="0"/>
    <s v="6.1. Fora âmbito | Campos concluídos - Sem necessidade de espec."/>
  </r>
  <r>
    <s v="PROTECTION"/>
    <s v="DVLPMNT_STTS"/>
    <x v="0"/>
    <s v="2. Alterar especificação"/>
    <s v="NOK"/>
    <s v="Alterar especificação. Campo dependente do MUG"/>
    <s v="Campo depende do campo 'cgarant' do MUG"/>
    <x v="0"/>
    <d v="2025-01-13T00:00:00"/>
    <x v="0"/>
    <s v="OK"/>
    <s v="Mapeamento de acordo com o CNSTRCTN_STTS"/>
    <d v="2024-08-09T00:00:00"/>
    <d v="2024-12-20T00:00:00"/>
    <s v="Necessidade de correção de erros"/>
    <s v="Y"/>
    <s v="N"/>
    <s v="N"/>
    <s v="N"/>
    <s v="N"/>
    <s v="N"/>
    <x v="0"/>
    <n v="0"/>
  </r>
  <r>
    <s v="PROTECTION"/>
    <s v="DT_LST_FLL_APPRSL"/>
    <x v="0"/>
    <s v="5.2 Em testes - Incidência"/>
    <s v="NOK"/>
    <s v="Campo com incidência e controlos NOK"/>
    <s v="1) Campo com incidência, data igual à data da protection_vl 2) Alteração de formatos MISS"/>
    <x v="0"/>
    <d v="2025-01-13T00:00:00"/>
    <x v="0"/>
    <s v="OK"/>
    <s v="Campo está a reportar a data da última avaliação e não a data da última avaliação in person. Implementação não está a aplicar a metodologia de cálculo de acordo com a especificação"/>
    <d v="2024-06-28T00:00:00"/>
    <d v="2024-12-20T00:00:00"/>
    <s v="Necessidade de correção de erros"/>
    <s v="Y"/>
    <s v="N"/>
    <s v="N"/>
    <s v="N"/>
    <s v="N"/>
    <s v="N"/>
    <x v="0"/>
    <n v="0"/>
  </r>
  <r>
    <s v="PROTECTION"/>
    <s v="DT_MTRTY_PRTCTN"/>
    <x v="0"/>
    <s v="7. Analisar controlos e completude"/>
    <s v="NOK"/>
    <s v="Controlos NOK por parte de Riscos"/>
    <m/>
    <x v="2"/>
    <d v="2024-06-07T00:00:00"/>
    <x v="5"/>
    <s v="NOK"/>
    <m/>
    <m/>
    <m/>
    <s v="Analisar controlos NOK"/>
    <s v="Y"/>
    <s v="N"/>
    <s v="N"/>
    <s v="N"/>
    <s v="N"/>
    <s v="N"/>
    <x v="0"/>
    <n v="0"/>
  </r>
  <r>
    <s v="INSTRUMENT"/>
    <s v="SICR_ASSSSMNT_MTHD"/>
    <x v="0"/>
    <s v="3. Pendente de decisão"/>
    <s v="OK"/>
    <s v="Rever com Corporação se a codelist do IMPRMNT_STTS alterou, caso não tenha alterado não é necessário alterar o campo."/>
    <m/>
    <x v="0"/>
    <d v="2024-06-28T00:00:00"/>
    <x v="0"/>
    <s v="OK"/>
    <s v="E-mail enviado para Corporação. Codelist IMPRMNT_STTS não alterou"/>
    <m/>
    <s v="-"/>
    <s v="Campo concluido"/>
    <s v="Y"/>
    <s v="N"/>
    <s v="N"/>
    <s v="N"/>
    <s v="N"/>
    <s v="Y"/>
    <x v="0"/>
    <s v="6.1. Fora âmbito | Campos concluídos - Sem necessidade de espec."/>
  </r>
  <r>
    <s v="INSTRUMENT"/>
    <s v="DT_ORGNL_MTRTY"/>
    <x v="0"/>
    <s v="7. Analisar controlos e completude"/>
    <s v="NOK"/>
    <s v="Controlos NOK"/>
    <m/>
    <x v="2"/>
    <d v="2024-06-07T00:00:00"/>
    <x v="5"/>
    <s v="NOK"/>
    <m/>
    <m/>
    <m/>
    <s v="Analisar controlos NOK"/>
    <s v="Y"/>
    <s v="N"/>
    <s v="N"/>
    <s v="N"/>
    <s v="N"/>
    <s v="Y"/>
    <x v="1"/>
    <s v="4. Campos com NOK controlos Corporativos"/>
  </r>
  <r>
    <s v="PROTECTION"/>
    <s v="NTNL_ID"/>
    <x v="0"/>
    <s v="5.2 Em testes - Incidência"/>
    <s v="NOK"/>
    <s v="Campo com incidência (Formatos). Remover aspas"/>
    <m/>
    <x v="0"/>
    <d v="2025-01-13T00:00:00"/>
    <x v="0"/>
    <s v="OK"/>
    <m/>
    <d v="2024-08-09T00:00:00"/>
    <d v="2024-12-20T00:00:00"/>
    <s v="Necessidade de correção de erros"/>
    <s v="Y"/>
    <s v="N"/>
    <s v="N"/>
    <s v="N"/>
    <s v="N"/>
    <s v="N"/>
    <x v="0"/>
    <n v="0"/>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x v="1"/>
    <d v="2025-01-13T00:00:00"/>
    <x v="8"/>
    <s v="OK"/>
    <s v="Alteração de fonte e tabelas reporting para tabelas terminadas em 7_8_x000a_"/>
    <d v="2024-08-30T00:00:00"/>
    <m/>
    <s v="Necessidade de correção de erros"/>
    <s v="Y"/>
    <s v="N"/>
    <s v="Y"/>
    <s v="N"/>
    <s v="N"/>
    <s v="Y"/>
    <x v="0"/>
    <s v="6.2.  Fora âmbito | Campos em testes ou c/ incidências (LT - PM)"/>
  </r>
  <r>
    <s v="INSTRUMENT"/>
    <s v="DT_PST_D"/>
    <x v="0"/>
    <s v="7. Analisar controlos e completude"/>
    <s v="NOK"/>
    <s v="Controlos NOK"/>
    <m/>
    <x v="2"/>
    <d v="2024-06-07T00:00:00"/>
    <x v="5"/>
    <s v="NOK"/>
    <m/>
    <m/>
    <m/>
    <s v="Analisar controlos NOK"/>
    <s v="Y"/>
    <s v="N"/>
    <s v="N"/>
    <s v="N"/>
    <s v="N"/>
    <s v="Y"/>
    <x v="1"/>
    <s v="4. Campos com NOK controlos Corporativos"/>
  </r>
  <r>
    <s v="ENTITY"/>
    <s v="DT_RFRNC"/>
    <x v="0"/>
    <s v="9. Concluído"/>
    <s v="OK"/>
    <s v="Concluido, controlos OK"/>
    <m/>
    <x v="0"/>
    <d v="2024-06-07T00:00:00"/>
    <x v="0"/>
    <s v="OK"/>
    <m/>
    <m/>
    <m/>
    <s v="Campo concluido"/>
    <s v="Y"/>
    <s v="N"/>
    <s v="Y"/>
    <s v="N"/>
    <s v="N"/>
    <s v="Y"/>
    <x v="0"/>
    <s v="6.1. Fora âmbito | Campos concluídos - Sem necessidade de espec."/>
  </r>
  <r>
    <s v="INSTR_ENTITY"/>
    <s v="DT_RFRNC"/>
    <x v="0"/>
    <s v="9. Concluído"/>
    <s v="OK"/>
    <s v="Concluido, controlos OK"/>
    <m/>
    <x v="0"/>
    <d v="2024-06-07T00:00:00"/>
    <x v="0"/>
    <s v="OK"/>
    <m/>
    <m/>
    <m/>
    <s v="Campo concluido"/>
    <s v="Y"/>
    <s v="N"/>
    <s v="Y"/>
    <s v="N"/>
    <s v="N"/>
    <s v="Y"/>
    <x v="0"/>
    <s v="6.1. Fora âmbito | Campos concluídos - Sem necessidade de espec."/>
  </r>
  <r>
    <s v="INSTR_PROTECTION"/>
    <s v="DT_RFRNC"/>
    <x v="0"/>
    <s v="9. Concluído"/>
    <s v="OK"/>
    <s v="Concluido, controlos OK"/>
    <m/>
    <x v="0"/>
    <d v="2024-06-07T00:00:00"/>
    <x v="0"/>
    <s v="OK"/>
    <m/>
    <m/>
    <m/>
    <s v="Campo concluido"/>
    <s v="Y"/>
    <s v="Y"/>
    <s v="Y"/>
    <s v="N"/>
    <s v="N"/>
    <s v="N"/>
    <x v="0"/>
    <n v="0"/>
  </r>
  <r>
    <s v="INSTRUMENT"/>
    <s v="DT_RFRNC"/>
    <x v="0"/>
    <s v="9. Concluído"/>
    <s v="OK"/>
    <s v="Concluido, controlos OK"/>
    <m/>
    <x v="0"/>
    <d v="2024-06-07T00:00:00"/>
    <x v="0"/>
    <s v="OK"/>
    <m/>
    <m/>
    <m/>
    <s v="Campo concluido"/>
    <s v="Y"/>
    <s v="Y"/>
    <s v="Y"/>
    <s v="N"/>
    <s v="Y"/>
    <s v="Y"/>
    <x v="0"/>
    <s v="6.1. Fora âmbito | Campos concluídos - Sem necessidade de espec."/>
  </r>
  <r>
    <s v="PROTECTION"/>
    <s v="DT_RFRNC"/>
    <x v="0"/>
    <s v="9. Concluído"/>
    <s v="OK"/>
    <s v="Concluido, controlos OK"/>
    <m/>
    <x v="0"/>
    <d v="2024-06-07T00:00:00"/>
    <x v="0"/>
    <s v="OK"/>
    <m/>
    <m/>
    <m/>
    <s v="Campo concluido"/>
    <s v="Y"/>
    <s v="Y"/>
    <s v="Y"/>
    <s v="N"/>
    <s v="Y"/>
    <s v="N"/>
    <x v="0"/>
    <n v="0"/>
  </r>
  <r>
    <s v="INSTRUMENT"/>
    <s v="DT_STRT_GP_PPAL"/>
    <x v="0"/>
    <s v="7. Analisar controlos e completude"/>
    <s v="NOK"/>
    <s v="Controlos NOK"/>
    <m/>
    <x v="2"/>
    <d v="2024-06-07T00:00:00"/>
    <x v="5"/>
    <s v="NOK"/>
    <m/>
    <m/>
    <m/>
    <s v="Analisar controlos NOK"/>
    <s v="Y"/>
    <s v="N"/>
    <s v="N"/>
    <s v="N"/>
    <s v="N"/>
    <s v="N"/>
    <x v="0"/>
    <n v="0"/>
  </r>
  <r>
    <s v="INSTRUMENT"/>
    <s v="DT_STRT_INTRST_ONLY"/>
    <x v="0"/>
    <s v="7. Analisar controlos e completude"/>
    <s v="NOK"/>
    <s v="Controlos NOK"/>
    <m/>
    <x v="2"/>
    <d v="2024-06-07T00:00:00"/>
    <x v="5"/>
    <s v="NOK"/>
    <m/>
    <m/>
    <m/>
    <s v="Analisar controlos NOK"/>
    <s v="Y"/>
    <s v="N"/>
    <s v="N"/>
    <s v="N"/>
    <s v="N"/>
    <s v="N"/>
    <x v="0"/>
    <n v="0"/>
  </r>
  <r>
    <s v="INSTRUMENT"/>
    <s v="DT_VLTN"/>
    <x v="1"/>
    <s v="9. Concluído"/>
    <s v="OK"/>
    <s v="Concluido, controlos OK"/>
    <m/>
    <x v="0"/>
    <d v="2024-06-07T00:00:00"/>
    <x v="0"/>
    <s v="OK"/>
    <m/>
    <m/>
    <m/>
    <s v="Campo concluido"/>
    <s v="Y"/>
    <s v="N"/>
    <s v="N"/>
    <s v="N"/>
    <s v="N"/>
    <s v="N"/>
    <x v="0"/>
    <n v="0"/>
  </r>
  <r>
    <s v="INSTRUMENT"/>
    <s v="POCI"/>
    <x v="0"/>
    <s v="9. Concluído"/>
    <s v="OK"/>
    <s v="Concluido, controlos OK"/>
    <m/>
    <x v="0"/>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s v="Campo concluido"/>
    <s v="Y"/>
    <s v="N"/>
    <s v="N"/>
    <s v="N"/>
    <s v="N"/>
    <s v="N"/>
    <x v="0"/>
    <n v="0"/>
  </r>
  <r>
    <s v="INSTRUMENT"/>
    <s v="EAD"/>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s v="Necessidade de correção de erros"/>
    <s v="Y"/>
    <s v="Y"/>
    <s v="N"/>
    <s v="N"/>
    <s v="Y"/>
    <s v="Y"/>
    <x v="1"/>
    <s v="3. Campos em testes ou c/ incidências"/>
  </r>
  <r>
    <s v="INSTRUMENT"/>
    <s v="EBA_CMPLNT_MRTR_ST_C19"/>
    <x v="1"/>
    <s v="9. Concluído"/>
    <s v="OK"/>
    <s v="Concluido, controlos OK"/>
    <m/>
    <x v="0"/>
    <d v="2024-06-07T00:00:00"/>
    <x v="0"/>
    <s v="OK"/>
    <m/>
    <m/>
    <m/>
    <s v="Campo concluido"/>
    <s v="Y"/>
    <s v="N"/>
    <s v="N"/>
    <s v="N"/>
    <s v="N"/>
    <s v="N"/>
    <x v="0"/>
    <n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x v="1"/>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s v="Pendente de decisão"/>
    <s v="Y"/>
    <s v="N"/>
    <s v="N"/>
    <s v="N"/>
    <s v="N"/>
    <s v="N"/>
    <x v="0"/>
    <n v="0"/>
  </r>
  <r>
    <s v="INSTRUMENT"/>
    <s v="INSTLMNT_PAY"/>
    <x v="1"/>
    <s v="2. Alterar especificação"/>
    <s v="OK"/>
    <s v="Campo especificado, mas com pouca qualidade de dados"/>
    <m/>
    <x v="2"/>
    <d v="2024-06-07T00:00:00"/>
    <x v="2"/>
    <s v="OK"/>
    <m/>
    <m/>
    <m/>
    <s v="Campo concluído, mas sem ou pouca informação na fonte"/>
    <s v="Y"/>
    <s v="N"/>
    <s v="N"/>
    <s v="N"/>
    <s v="N"/>
    <s v="N"/>
    <x v="0"/>
    <n v="0"/>
  </r>
  <r>
    <s v="ENTITY"/>
    <s v="EC_GRP_ID"/>
    <x v="1"/>
    <s v="1. Especificar"/>
    <s v="OK"/>
    <s v="Em especificação (Campos Novos)"/>
    <m/>
    <x v="2"/>
    <d v="2024-06-07T00:00:00"/>
    <x v="3"/>
    <s v="OK"/>
    <m/>
    <m/>
    <m/>
    <s v="Novo campo"/>
    <s v="Y"/>
    <s v="N"/>
    <s v="N"/>
    <s v="N"/>
    <s v="N"/>
    <s v="Y"/>
    <x v="1"/>
    <s v="2.2 Re-especificação de campos complexos - Resto"/>
  </r>
  <r>
    <s v="ENTITY"/>
    <s v="EC_GRP_NM"/>
    <x v="1"/>
    <s v="1. Especificar"/>
    <s v="OK"/>
    <s v="Em especificação (Campos Novos)"/>
    <m/>
    <x v="2"/>
    <d v="2024-06-07T00:00:00"/>
    <x v="3"/>
    <s v="OK"/>
    <m/>
    <m/>
    <m/>
    <s v="Novo campo"/>
    <s v="Y"/>
    <s v="N"/>
    <s v="Y"/>
    <s v="N"/>
    <s v="N"/>
    <s v="Y"/>
    <x v="1"/>
    <s v="2.2 Re-especificação de campos complexos - Resto"/>
  </r>
  <r>
    <s v="ENTITY"/>
    <s v="ECNMC_ACTVTY"/>
    <x v="0"/>
    <s v="9. Concluído"/>
    <s v="OK"/>
    <s v="Concluido, controlos OK"/>
    <m/>
    <x v="0"/>
    <d v="2024-06-07T00:00:00"/>
    <x v="0"/>
    <s v="OK"/>
    <m/>
    <m/>
    <m/>
    <s v="Campo concluido"/>
    <s v="Y"/>
    <s v="N"/>
    <s v="Y"/>
    <s v="N"/>
    <s v="Y"/>
    <s v="Y"/>
    <x v="0"/>
    <s v="6.1. Fora âmbito | Campos concluídos - Sem necessidade de espec."/>
  </r>
  <r>
    <s v="INSTRUMENT"/>
    <s v="EIR"/>
    <x v="0"/>
    <s v="7. Analisar controlos e completude"/>
    <s v="NOK"/>
    <s v="Controlos NOK"/>
    <m/>
    <x v="2"/>
    <d v="2024-06-07T00:00:00"/>
    <x v="5"/>
    <s v="NOK"/>
    <m/>
    <m/>
    <m/>
    <s v="Analisar controlos NOK"/>
    <s v="Y"/>
    <s v="N"/>
    <s v="N"/>
    <s v="N"/>
    <s v="N"/>
    <s v="Y"/>
    <x v="1"/>
    <s v="4. Campos com NOK controlos Corporativos"/>
  </r>
  <r>
    <s v="INSTRUMENT"/>
    <s v="EIR_INCPTN"/>
    <x v="0"/>
    <s v="7. Analisar controlos e completude"/>
    <s v="NOK"/>
    <s v="Controlos NOK"/>
    <m/>
    <x v="2"/>
    <d v="2024-06-07T00:00:00"/>
    <x v="5"/>
    <s v="NOK"/>
    <m/>
    <m/>
    <m/>
    <s v="Analisar controlos NOK"/>
    <s v="Y"/>
    <s v="N"/>
    <s v="Y"/>
    <s v="N"/>
    <s v="N"/>
    <s v="N"/>
    <x v="0"/>
    <n v="0"/>
  </r>
  <r>
    <s v="INSTRUMENT"/>
    <s v="ELGBLTY_ECB"/>
    <x v="1"/>
    <s v="9. Concluído"/>
    <s v="OK"/>
    <s v="Concluido, controlos OK"/>
    <m/>
    <x v="0"/>
    <d v="2024-06-07T00:00:00"/>
    <x v="0"/>
    <s v="OK"/>
    <m/>
    <m/>
    <m/>
    <s v="Campo concluido"/>
    <s v="Y"/>
    <s v="N"/>
    <s v="N"/>
    <s v="N"/>
    <s v="N"/>
    <s v="N"/>
    <x v="0"/>
    <n v="0"/>
  </r>
  <r>
    <s v="ENTITY"/>
    <s v="EMPLYMNT_STTS"/>
    <x v="1"/>
    <s v="9. Concluído"/>
    <s v="OK"/>
    <s v="Concluido, controlos OK"/>
    <m/>
    <x v="0"/>
    <d v="2024-06-07T00:00:00"/>
    <x v="0"/>
    <s v="OK"/>
    <m/>
    <m/>
    <m/>
    <s v="Campo concluido"/>
    <s v="Y"/>
    <s v="N"/>
    <s v="N"/>
    <s v="N"/>
    <s v="N"/>
    <s v="N"/>
    <x v="0"/>
    <n v="0"/>
  </r>
  <r>
    <s v="ENTITY"/>
    <s v="EMPLYMNT_STTS_INTRNL"/>
    <x v="1"/>
    <s v="9. Concluído"/>
    <s v="OK"/>
    <s v="Concluido, controlos OK"/>
    <m/>
    <x v="0"/>
    <d v="2024-06-07T00:00:00"/>
    <x v="0"/>
    <s v="OK"/>
    <m/>
    <m/>
    <m/>
    <s v="Campo concluido"/>
    <s v="Y"/>
    <s v="N"/>
    <s v="N"/>
    <s v="N"/>
    <s v="N"/>
    <s v="N"/>
    <x v="0"/>
    <n v="0"/>
  </r>
  <r>
    <s v="ENTITY"/>
    <s v="ENTRPRS_SZ_LE"/>
    <x v="0"/>
    <s v="7. Analisar controlos e completude"/>
    <s v="NOK"/>
    <s v="Controlos NOK"/>
    <m/>
    <x v="2"/>
    <d v="2024-06-07T00:00:00"/>
    <x v="5"/>
    <s v="NOK"/>
    <m/>
    <m/>
    <m/>
    <s v="Analisar controlos NOK"/>
    <s v="Y"/>
    <s v="N"/>
    <s v="N"/>
    <s v="N"/>
    <s v="N"/>
    <s v="N"/>
    <x v="0"/>
    <n v="0"/>
  </r>
  <r>
    <s v="ENTITY"/>
    <s v="ENTTY_ID"/>
    <x v="0"/>
    <s v="7. Analisar controlos e completude"/>
    <s v="NOK"/>
    <s v="Controlos NOK"/>
    <m/>
    <x v="2"/>
    <d v="2024-06-07T00:00:00"/>
    <x v="5"/>
    <s v="NOK"/>
    <m/>
    <m/>
    <m/>
    <s v="Analisar controlos NOK"/>
    <s v="Y"/>
    <s v="N"/>
    <s v="Y"/>
    <s v="N"/>
    <s v="Y"/>
    <s v="Y"/>
    <x v="1"/>
    <s v="4. Campos com NOK controlos Corporativos"/>
  </r>
  <r>
    <s v="INSTR_ENTITY"/>
    <s v="ENTTY_ID"/>
    <x v="0"/>
    <s v="7. Analisar controlos e completude"/>
    <s v="NOK"/>
    <s v="Controlos NOK"/>
    <m/>
    <x v="2"/>
    <d v="2024-06-07T00:00:00"/>
    <x v="5"/>
    <s v="NOK"/>
    <m/>
    <m/>
    <m/>
    <s v="Analisar controlos NOK"/>
    <s v="Y"/>
    <s v="N"/>
    <s v="Y"/>
    <s v="N"/>
    <s v="N"/>
    <s v="Y"/>
    <x v="1"/>
    <s v="4. Campos com NOK controlos Corporativos"/>
  </r>
  <r>
    <s v="ENTITY"/>
    <s v="ENTTY_NM"/>
    <x v="0"/>
    <s v="9. Concluído"/>
    <s v="OK"/>
    <s v="Concluido, controlos OK"/>
    <m/>
    <x v="0"/>
    <d v="2024-06-07T00:00:00"/>
    <x v="0"/>
    <s v="OK"/>
    <m/>
    <m/>
    <m/>
    <s v="Campo concluido"/>
    <s v="Y"/>
    <s v="N"/>
    <s v="Y"/>
    <s v="N"/>
    <s v="N"/>
    <s v="Y"/>
    <x v="0"/>
    <s v="6.1. Fora âmbito | Campos concluídos - Sem necessidade de espec."/>
  </r>
  <r>
    <s v="ENTITY"/>
    <s v="EQTY"/>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EQTY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EXPCTD_LSS_CRR"/>
    <x v="1"/>
    <s v="4.1 Em implementação - Re-especificação"/>
    <s v="OK"/>
    <s v="Aguarda implementação de IT"/>
    <m/>
    <x v="2"/>
    <d v="2024-06-17T00:00:00"/>
    <x v="8"/>
    <s v="OK"/>
    <m/>
    <d v="2024-02-02T00:00:00"/>
    <d v="2024-03-28T00:00:00"/>
    <s v="Novo campo"/>
    <s v="Y"/>
    <s v="N"/>
    <s v="N"/>
    <s v="N"/>
    <s v="N"/>
    <s v="N"/>
    <x v="0"/>
    <n v="0"/>
  </r>
  <r>
    <s v="INSTRUMENT"/>
    <s v="EXPSR_IN_SCP"/>
    <x v="0"/>
    <s v="9. Concluído"/>
    <s v="OK"/>
    <s v="Concluido, controlos OK"/>
    <m/>
    <x v="0"/>
    <d v="2024-06-07T00:00:00"/>
    <x v="0"/>
    <s v="OK"/>
    <m/>
    <m/>
    <m/>
    <s v="Campo concluido"/>
    <s v="Y"/>
    <s v="N"/>
    <s v="N"/>
    <s v="N"/>
    <s v="N"/>
    <s v="Y"/>
    <x v="0"/>
    <s v="6.1. Fora âmbito | Campos concluídos - Sem necessidade de espec."/>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OK"/>
    <m/>
    <m/>
    <m/>
    <s v="Melhorias estruturais (garantir coerência entre campos)"/>
    <s v="Y"/>
    <s v="N"/>
    <s v="Y"/>
    <s v="N"/>
    <s v="N"/>
    <s v="Y"/>
    <x v="1"/>
    <s v="2.2 Re-especificação de campos complexos - Resto"/>
  </r>
  <r>
    <s v="ENTITY"/>
    <s v="EXTRNL_RTNG_PRVS"/>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EXTRNL_RTNG_NM"/>
    <x v="0"/>
    <s v="2. Alterar especificação"/>
    <s v="NOK"/>
    <s v="Alterar especificação para casos em informação na fonte."/>
    <s v="Quando não existe informação na fonte em vez de MISS substituir por NA"/>
    <x v="1"/>
    <d v="2024-06-07T00:00:00"/>
    <x v="2"/>
    <s v="NOK"/>
    <m/>
    <m/>
    <m/>
    <s v="Alteração de especificação por parte do BCE"/>
    <s v="Y"/>
    <s v="N"/>
    <s v="N"/>
    <s v="N"/>
    <s v="N"/>
    <s v="Y"/>
    <x v="1"/>
    <s v="2.2 Re-especificação de campos complexos - Resto"/>
  </r>
  <r>
    <s v="INSTRUMENT"/>
    <s v="FLD_SYND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FLG_BNKRPTCY_IN_GRP"/>
    <x v="0"/>
    <s v="9. Concluído"/>
    <s v="OK"/>
    <s v="Concluido, controlos OK"/>
    <m/>
    <x v="0"/>
    <d v="2024-06-07T00:00:00"/>
    <x v="0"/>
    <s v="OK"/>
    <m/>
    <m/>
    <m/>
    <s v="Campo concluido"/>
    <s v="Y"/>
    <s v="N"/>
    <s v="N"/>
    <s v="N"/>
    <s v="N"/>
    <s v="N"/>
    <x v="0"/>
    <n v="0"/>
  </r>
  <r>
    <s v="ENTITY"/>
    <s v="FLG_HGH_CDS"/>
    <x v="0"/>
    <s v="9. Concluído"/>
    <s v="OK"/>
    <s v="Concluido, controlos OK"/>
    <m/>
    <x v="0"/>
    <d v="2024-06-07T00:00:00"/>
    <x v="0"/>
    <s v="OK"/>
    <m/>
    <m/>
    <m/>
    <s v="Campo concluido"/>
    <s v="Y"/>
    <s v="N"/>
    <s v="N"/>
    <s v="N"/>
    <s v="N"/>
    <s v="N"/>
    <x v="0"/>
    <n v="0"/>
  </r>
  <r>
    <s v="ENTITY"/>
    <s v="FLG_ISDA_CRDT_EVNT"/>
    <x v="0"/>
    <s v="9. Concluído"/>
    <s v="OK"/>
    <s v="Concluido, controlos OK"/>
    <m/>
    <x v="0"/>
    <d v="2024-06-07T00:00:00"/>
    <x v="0"/>
    <s v="OK"/>
    <m/>
    <m/>
    <m/>
    <s v="Campo concluido"/>
    <s v="Y"/>
    <s v="N"/>
    <s v="N"/>
    <s v="N"/>
    <s v="N"/>
    <s v="N"/>
    <x v="0"/>
    <n v="0"/>
  </r>
  <r>
    <s v="INSTRUMENT"/>
    <s v="FLG_LBO"/>
    <x v="1"/>
    <s v="9. Concluído"/>
    <s v="OK"/>
    <s v="Concluido, controlos OK"/>
    <m/>
    <x v="0"/>
    <d v="2024-06-07T00:00:00"/>
    <x v="0"/>
    <s v="OK"/>
    <m/>
    <m/>
    <m/>
    <s v="Campo concluido"/>
    <s v="Y"/>
    <s v="N"/>
    <s v="N"/>
    <s v="N"/>
    <s v="N"/>
    <s v="Y"/>
    <x v="2"/>
    <s v="6.3. Fora âmbito | Fonte Manual LF"/>
  </r>
  <r>
    <s v="ENTITY"/>
    <s v="FLG_NN_ACCRL"/>
    <x v="0"/>
    <s v="9. Concluído"/>
    <s v="OK"/>
    <s v="Concluido, controlos OK"/>
    <m/>
    <x v="0"/>
    <d v="2024-06-07T00:00:00"/>
    <x v="0"/>
    <s v="OK"/>
    <m/>
    <m/>
    <m/>
    <s v="Campo concluido"/>
    <s v="Y"/>
    <s v="N"/>
    <s v="N"/>
    <s v="N"/>
    <s v="N"/>
    <s v="N"/>
    <x v="0"/>
    <n v="0"/>
  </r>
  <r>
    <s v="ENTITY"/>
    <s v="FLG_RQST_BNKRPTCY"/>
    <x v="0"/>
    <s v="9. Concluído"/>
    <s v="OK"/>
    <s v="Concluido, controlos OK"/>
    <m/>
    <x v="0"/>
    <d v="2024-06-07T00:00:00"/>
    <x v="0"/>
    <s v="OK"/>
    <m/>
    <m/>
    <m/>
    <s v="Campo concluido"/>
    <s v="Y"/>
    <s v="N"/>
    <s v="N"/>
    <s v="N"/>
    <s v="N"/>
    <s v="N"/>
    <x v="0"/>
    <n v="0"/>
  </r>
  <r>
    <s v="ENTITY"/>
    <s v="FLG_RQST_DSTRSSD_RSTRCTRNG"/>
    <x v="0"/>
    <s v="1. Especificar"/>
    <s v="NOK"/>
    <s v="Em especificação, rever fonte"/>
    <m/>
    <x v="2"/>
    <d v="2024-06-07T00:00:00"/>
    <x v="3"/>
    <s v="NOK"/>
    <m/>
    <m/>
    <m/>
    <s v="Melhorias estruturais (garantir coerência entre campos)"/>
    <s v="Y"/>
    <s v="N"/>
    <s v="N"/>
    <s v="N"/>
    <s v="N"/>
    <s v="N"/>
    <x v="0"/>
    <n v="0"/>
  </r>
  <r>
    <s v="ENTITY"/>
    <s v="FLG_RQST_EMRGNCY_FNDNG"/>
    <x v="0"/>
    <s v="9. Concluído"/>
    <s v="OK"/>
    <s v="Concluido, controlos OK"/>
    <m/>
    <x v="0"/>
    <d v="2024-06-07T00:00:00"/>
    <x v="0"/>
    <s v="OK"/>
    <m/>
    <m/>
    <m/>
    <s v="Campo concluido"/>
    <s v="Y"/>
    <s v="N"/>
    <s v="N"/>
    <s v="N"/>
    <s v="N"/>
    <s v="Y"/>
    <x v="0"/>
    <s v="6.1. Fora âmbito | Campos concluídos - Sem necessidade de espec."/>
  </r>
  <r>
    <s v="ENTITY"/>
    <s v="FLG_SLL_WTH_LSS"/>
    <x v="0"/>
    <s v="9. Concluído"/>
    <s v="OK"/>
    <s v="Concluido, controlos OK"/>
    <m/>
    <x v="0"/>
    <d v="2024-06-07T00:00:00"/>
    <x v="0"/>
    <s v="OK"/>
    <m/>
    <m/>
    <m/>
    <s v="Campo concluido"/>
    <s v="Y"/>
    <s v="N"/>
    <s v="N"/>
    <s v="N"/>
    <s v="N"/>
    <s v="N"/>
    <x v="0"/>
    <n v="0"/>
  </r>
  <r>
    <s v="ENTITY"/>
    <s v="FR_CSH_FLW"/>
    <x v="0"/>
    <s v="1. Especificar"/>
    <s v="OK"/>
    <s v="Em especificação (Campos Novos)"/>
    <m/>
    <x v="2"/>
    <d v="2024-06-07T00:00:00"/>
    <x v="3"/>
    <s v="OK"/>
    <m/>
    <m/>
    <m/>
    <s v="Novo campo"/>
    <s v="Y"/>
    <s v="N"/>
    <s v="N"/>
    <s v="N"/>
    <s v="N"/>
    <s v="Y"/>
    <x v="1"/>
    <s v="2.2 Re-especificação de campos complexos - Resto"/>
  </r>
  <r>
    <s v="ENTITY"/>
    <s v="FR_CSH_FLW_T1"/>
    <x v="0"/>
    <s v="1. Especificar"/>
    <s v="OK"/>
    <s v="Em especificação (Campos Novos)"/>
    <m/>
    <x v="2"/>
    <d v="2024-06-07T00:00:00"/>
    <x v="3"/>
    <s v="OK"/>
    <m/>
    <m/>
    <m/>
    <s v="Novo campo"/>
    <s v="Y"/>
    <s v="N"/>
    <s v="N"/>
    <s v="N"/>
    <s v="N"/>
    <s v="Y"/>
    <x v="1"/>
    <s v="2.2 Re-especificação de campos complexos - Resto"/>
  </r>
  <r>
    <s v="ENTITY"/>
    <s v="FR_CSH_FLW_T2"/>
    <x v="0"/>
    <s v="1. Especificar"/>
    <s v="OK"/>
    <s v="Em especificação (Campos Novos)"/>
    <m/>
    <x v="2"/>
    <d v="2024-06-07T00:00:00"/>
    <x v="3"/>
    <s v="OK"/>
    <m/>
    <m/>
    <m/>
    <s v="Novo campo"/>
    <s v="Y"/>
    <s v="N"/>
    <s v="N"/>
    <s v="N"/>
    <s v="N"/>
    <s v="Y"/>
    <x v="1"/>
    <s v="2.2 Re-especificação de campos complexos - Resto"/>
  </r>
  <r>
    <s v="ENTITY"/>
    <s v="FR_CSH_FLW_T3"/>
    <x v="0"/>
    <s v="1. Especificar"/>
    <s v="OK"/>
    <s v="Em especificação (Campos Novos)"/>
    <m/>
    <x v="2"/>
    <d v="2024-06-07T00:00:00"/>
    <x v="3"/>
    <s v="OK"/>
    <m/>
    <m/>
    <m/>
    <s v="Novo campo"/>
    <s v="Y"/>
    <s v="N"/>
    <s v="N"/>
    <s v="N"/>
    <s v="N"/>
    <s v="Y"/>
    <x v="1"/>
    <s v="2.2 Re-especificação de campos complexos - Resto"/>
  </r>
  <r>
    <s v="INSTRUMENT"/>
    <s v="FRBRNC_STTS_C19"/>
    <x v="1"/>
    <s v="9. Concluído"/>
    <s v="OK"/>
    <s v="Concluido, controlos OK"/>
    <m/>
    <x v="0"/>
    <d v="2024-06-07T00:00:00"/>
    <x v="0"/>
    <s v="OK"/>
    <m/>
    <m/>
    <m/>
    <s v="Campo concluido"/>
    <s v="Y"/>
    <s v="N"/>
    <s v="N"/>
    <s v="N"/>
    <s v="N"/>
    <s v="N"/>
    <x v="0"/>
    <n v="0"/>
  </r>
  <r>
    <s v="ENTITY"/>
    <s v="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GCC_PRNT_ID"/>
    <x v="0"/>
    <s v="9. Concluído"/>
    <s v="OK"/>
    <s v="Concluido, controlos OK"/>
    <m/>
    <x v="0"/>
    <d v="2024-06-07T00:00:00"/>
    <x v="0"/>
    <s v="OK"/>
    <m/>
    <m/>
    <m/>
    <s v="Campo concluido"/>
    <s v="Y"/>
    <s v="N"/>
    <s v="N"/>
    <s v="N"/>
    <s v="N"/>
    <s v="Y"/>
    <x v="0"/>
    <s v="6.1. Fora âmbito | Campos concluídos - Sem necessidade de espec."/>
  </r>
  <r>
    <s v="ENTITY"/>
    <s v="GCC_PRNT_NM"/>
    <x v="0"/>
    <s v="9. Concluído"/>
    <s v="OK"/>
    <s v="Concluido, controlos OK"/>
    <m/>
    <x v="0"/>
    <d v="2024-06-07T00:00:00"/>
    <x v="0"/>
    <s v="OK"/>
    <m/>
    <m/>
    <m/>
    <s v="Campo concluido"/>
    <s v="Y"/>
    <s v="N"/>
    <s v="N"/>
    <s v="N"/>
    <s v="N"/>
    <s v="Y"/>
    <x v="0"/>
    <s v="6.1. Fora âmbito | Campos concluídos - Sem necessidade de espec."/>
  </r>
  <r>
    <s v="ENTITY"/>
    <s v="GDWILL"/>
    <x v="0"/>
    <s v="9. Concluído"/>
    <s v="OK"/>
    <s v="Concluido, controlos OK"/>
    <m/>
    <x v="0"/>
    <d v="2024-06-07T00:00:00"/>
    <x v="0"/>
    <s v="OK"/>
    <m/>
    <m/>
    <m/>
    <s v="Campo concluido"/>
    <s v="Y"/>
    <s v="N"/>
    <s v="N"/>
    <s v="N"/>
    <s v="N"/>
    <s v="N"/>
    <x v="0"/>
    <n v="0"/>
  </r>
  <r>
    <s v="ENTITY"/>
    <s v="GDWILL_PRVS"/>
    <x v="0"/>
    <s v="9. Concluído"/>
    <s v="OK"/>
    <s v="Concluido, controlos OK"/>
    <m/>
    <x v="0"/>
    <d v="2024-06-07T00:00:00"/>
    <x v="0"/>
    <s v="OK"/>
    <m/>
    <m/>
    <m/>
    <s v="Campo concluido"/>
    <s v="Y"/>
    <s v="N"/>
    <s v="N"/>
    <s v="N"/>
    <s v="N"/>
    <s v="N"/>
    <x v="0"/>
    <n v="0"/>
  </r>
  <r>
    <s v="INSTRUMENT"/>
    <s v="GRC_PRD_CPTL_INTRST_C19"/>
    <x v="1"/>
    <s v="9. Concluído"/>
    <s v="OK"/>
    <s v="Concluido, controlos OK"/>
    <m/>
    <x v="0"/>
    <d v="2024-06-07T00:00:00"/>
    <x v="0"/>
    <s v="OK"/>
    <m/>
    <m/>
    <m/>
    <s v="Campo concluido"/>
    <s v="Y"/>
    <s v="N"/>
    <s v="N"/>
    <s v="N"/>
    <s v="N"/>
    <s v="N"/>
    <x v="0"/>
    <n v="0"/>
  </r>
  <r>
    <s v="INSTRUMENT"/>
    <s v="GRNTR_ID"/>
    <x v="1"/>
    <s v="9. Concluído"/>
    <s v="OK"/>
    <s v="Concluido, controlos OK"/>
    <m/>
    <x v="0"/>
    <d v="2024-06-07T00:00:00"/>
    <x v="0"/>
    <s v="OK"/>
    <m/>
    <m/>
    <m/>
    <s v="Campo concluido"/>
    <s v="Y"/>
    <s v="N"/>
    <s v="N"/>
    <s v="N"/>
    <s v="N"/>
    <s v="N"/>
    <x v="0"/>
    <n v="0"/>
  </r>
  <r>
    <s v="INSTRUMENT"/>
    <s v="GRNTR_ID_TYP"/>
    <x v="1"/>
    <s v="9. Concluído"/>
    <s v="OK"/>
    <s v="Concluido, controlos OK"/>
    <m/>
    <x v="0"/>
    <d v="2024-06-07T00:00:00"/>
    <x v="0"/>
    <s v="OK"/>
    <m/>
    <m/>
    <m/>
    <s v="Campo concluido"/>
    <s v="Y"/>
    <s v="N"/>
    <s v="N"/>
    <s v="N"/>
    <s v="N"/>
    <s v="N"/>
    <x v="0"/>
    <n v="0"/>
  </r>
  <r>
    <s v="ENTITY"/>
    <s v="GRP_EBITDA"/>
    <x v="0"/>
    <s v="9. Concluído"/>
    <s v="OK"/>
    <s v="Concluido, controlos OK"/>
    <m/>
    <x v="0"/>
    <d v="2024-06-07T00:00:00"/>
    <x v="0"/>
    <s v="OK"/>
    <m/>
    <m/>
    <m/>
    <s v="Campo concluido"/>
    <s v="Y"/>
    <s v="N"/>
    <s v="N"/>
    <s v="N"/>
    <s v="N"/>
    <s v="Y"/>
    <x v="0"/>
    <s v="6.1. Fora âmbito | Campos concluídos - Sem necessidade de espec."/>
  </r>
  <r>
    <s v="ENTITY"/>
    <s v="GRP_EQTY"/>
    <x v="0"/>
    <s v="9. Concluído"/>
    <s v="OK"/>
    <s v="Concluido, controlos OK"/>
    <m/>
    <x v="0"/>
    <d v="2024-06-07T00:00:00"/>
    <x v="0"/>
    <s v="OK"/>
    <m/>
    <m/>
    <m/>
    <s v="Campo concluido"/>
    <s v="Y"/>
    <s v="N"/>
    <s v="Y"/>
    <s v="N"/>
    <s v="N"/>
    <s v="Y"/>
    <x v="0"/>
    <s v="6.1. Fora âmbito | Campos concluídos - Sem necessidade de espec."/>
  </r>
  <r>
    <s v="ENTITY"/>
    <s v="GRP_NT_DBT"/>
    <x v="0"/>
    <s v="9. Concluído"/>
    <s v="OK"/>
    <s v="Concluido, controlos OK"/>
    <m/>
    <x v="0"/>
    <d v="2024-06-07T00:00:00"/>
    <x v="0"/>
    <s v="OK"/>
    <m/>
    <m/>
    <m/>
    <s v="Campo concluido"/>
    <s v="Y"/>
    <s v="N"/>
    <s v="N"/>
    <s v="N"/>
    <s v="N"/>
    <s v="Y"/>
    <x v="0"/>
    <s v="6.1. Fora âmbito | Campos concluídos - Sem necessidade de espec."/>
  </r>
  <r>
    <s v="ENTITY"/>
    <s v="GRP_TTL_DBT"/>
    <x v="1"/>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N"/>
    <x v="0"/>
    <n v="0"/>
  </r>
  <r>
    <s v="INSTRUMENT"/>
    <s v="GRSS_CRRYNG_AMNT_INSTRMNT"/>
    <x v="0"/>
    <s v="9. Concluído"/>
    <s v="OK"/>
    <s v="Concluido, controlos OK"/>
    <m/>
    <x v="0"/>
    <d v="2024-06-07T00:00:00"/>
    <x v="0"/>
    <s v="OK"/>
    <m/>
    <m/>
    <m/>
    <s v="Campo concluido"/>
    <s v="Y"/>
    <s v="Y"/>
    <s v="Y"/>
    <s v="N"/>
    <s v="Y"/>
    <s v="Y"/>
    <x v="0"/>
    <s v="6.1. Fora âmbito | Campos concluídos - Sem necessidade de espec."/>
  </r>
  <r>
    <s v="INSTRUMENT"/>
    <s v="HEDGE_ID"/>
    <x v="1"/>
    <s v="9. Concluído"/>
    <s v="OK"/>
    <s v="Concluido, controlos OK"/>
    <m/>
    <x v="0"/>
    <d v="2024-06-07T00:00:00"/>
    <x v="0"/>
    <s v="OK"/>
    <m/>
    <m/>
    <m/>
    <s v="Campo concluido"/>
    <s v="Y"/>
    <s v="N"/>
    <s v="N"/>
    <s v="N"/>
    <s v="N"/>
    <s v="N"/>
    <x v="0"/>
    <n v="0"/>
  </r>
  <r>
    <s v="PROTECTION"/>
    <s v="HRCT_MV"/>
    <x v="0"/>
    <s v="9. Concluído"/>
    <s v="OK"/>
    <s v="Concluido, controlos OK"/>
    <m/>
    <x v="0"/>
    <d v="2024-06-07T00:00:00"/>
    <x v="0"/>
    <s v="OK"/>
    <m/>
    <m/>
    <m/>
    <s v="Campo concluido"/>
    <s v="Y"/>
    <s v="N"/>
    <s v="N"/>
    <s v="N"/>
    <s v="N"/>
    <s v="N"/>
    <x v="0"/>
    <n v="0"/>
  </r>
  <r>
    <s v="INSTRUMENT"/>
    <s v="IDCMB"/>
    <x v="1"/>
    <s v="5.1 Em testes - Re-especificação"/>
    <s v="NOK"/>
    <s v="Em testes pela equipa de CDO"/>
    <m/>
    <x v="1"/>
    <d v="2024-06-07T00:00:00"/>
    <x v="8"/>
    <s v="NOK"/>
    <m/>
    <d v="2024-02-06T00:00:00"/>
    <d v="2024-02-08T00:00:00"/>
    <s v="Novo campo"/>
    <s v="Y"/>
    <s v="Y"/>
    <s v="Y"/>
    <s v="N"/>
    <s v="Y"/>
    <s v="Y"/>
    <x v="1"/>
    <s v="3. Campos em testes ou c/ incidências"/>
  </r>
  <r>
    <s v="ENTITY"/>
    <s v="EBITDA_PRVS"/>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FRS9_CCF"/>
    <x v="0"/>
    <s v="9. Concluído"/>
    <s v="OK"/>
    <s v="Concluido, controlos OK"/>
    <m/>
    <x v="0"/>
    <d v="2024-06-07T00:00:00"/>
    <x v="0"/>
    <s v="OK"/>
    <s v="Campo Imparidade"/>
    <m/>
    <m/>
    <s v="Campo concluido"/>
    <s v="Y"/>
    <s v="N"/>
    <s v="N"/>
    <s v="N"/>
    <s v="N"/>
    <s v="N"/>
    <x v="0"/>
    <n v="0"/>
  </r>
  <r>
    <s v="INSTRUMENT"/>
    <s v="IFRS9_EAD"/>
    <x v="0"/>
    <s v="7. Analisar controlos e completude"/>
    <s v="NOK"/>
    <s v="Controlos NOK"/>
    <m/>
    <x v="2"/>
    <d v="2024-06-07T00:00:00"/>
    <x v="5"/>
    <s v="NOK"/>
    <s v="Campo Imparidade"/>
    <m/>
    <m/>
    <s v="Analisar controlos NOK"/>
    <s v="Y"/>
    <s v="N"/>
    <s v="N"/>
    <s v="N"/>
    <s v="N"/>
    <s v="N"/>
    <x v="0"/>
    <n v="0"/>
  </r>
  <r>
    <s v="INSTRUMENT"/>
    <s v="IFRS9_LGD"/>
    <x v="0"/>
    <s v="9. Concluído"/>
    <s v="OK"/>
    <s v="Concluido, controlos OK"/>
    <m/>
    <x v="0"/>
    <d v="2024-06-07T00:00:00"/>
    <x v="0"/>
    <s v="OK"/>
    <s v="Campo Imparidade"/>
    <m/>
    <m/>
    <s v="Campo concluido"/>
    <s v="Y"/>
    <s v="N"/>
    <s v="N"/>
    <s v="N"/>
    <s v="N"/>
    <s v="N"/>
    <x v="0"/>
    <n v="0"/>
  </r>
  <r>
    <s v="INSTRUMENT"/>
    <s v="IMPRMNT_ASSSSMNT_MTHD"/>
    <x v="0"/>
    <s v="9. Concluído"/>
    <s v="OK"/>
    <s v="Concluido, controlos OK"/>
    <m/>
    <x v="0"/>
    <d v="2024-06-07T00:00:00"/>
    <x v="0"/>
    <s v="OK"/>
    <m/>
    <m/>
    <m/>
    <s v="Campo concluido"/>
    <s v="Y"/>
    <s v="N"/>
    <s v="N"/>
    <s v="N"/>
    <s v="N"/>
    <s v="Y"/>
    <x v="0"/>
    <s v="6.1. Fora âmbito | Campos concluídos - Sem necessidade de espec."/>
  </r>
  <r>
    <s v="INSTRUMENT"/>
    <s v="IMPRMNT_CLCLTN_MTHD"/>
    <x v="0"/>
    <s v="7. Analisar controlos e completude"/>
    <s v="NOK"/>
    <s v="Controlos NOK"/>
    <m/>
    <x v="2"/>
    <d v="2024-06-07T00:00:00"/>
    <x v="5"/>
    <s v="NOK"/>
    <m/>
    <m/>
    <m/>
    <s v="Analisar controlos NOK"/>
    <s v="Y"/>
    <s v="N"/>
    <s v="N"/>
    <s v="N"/>
    <s v="N"/>
    <s v="N"/>
    <x v="0"/>
    <n v="0"/>
  </r>
  <r>
    <s v="INSTRUMENT"/>
    <s v="IMPRMNT_STTS"/>
    <x v="0"/>
    <s v="3. Pendente de decisão"/>
    <s v="NOK"/>
    <s v="Rever com a Corporação se a nova code list foi apenas para a OSI (relativamente ao tema dos POCI)."/>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INCM_SC"/>
    <x v="1"/>
    <s v="1. Especificar"/>
    <s v="OK"/>
    <s v="Em especificação (Salários)"/>
    <m/>
    <x v="2"/>
    <d v="2024-06-07T00:00:00"/>
    <x v="3"/>
    <s v="OK"/>
    <m/>
    <m/>
    <m/>
    <s v="Melhorias estruturais (garantir coerência entre campos)"/>
    <s v="Y"/>
    <s v="N"/>
    <s v="N"/>
    <s v="N"/>
    <s v="N"/>
    <s v="N"/>
    <x v="0"/>
    <n v="0"/>
  </r>
  <r>
    <s v="ENTITY"/>
    <s v="EBITDA"/>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NSTR_SNRTY_CLSS"/>
    <x v="1"/>
    <s v="9. Concluído"/>
    <s v="OK"/>
    <s v="Concluido, controlos OK"/>
    <m/>
    <x v="0"/>
    <d v="2024-06-07T00:00:00"/>
    <x v="0"/>
    <s v="OK"/>
    <m/>
    <m/>
    <m/>
    <s v="Campo concluido"/>
    <s v="Y"/>
    <s v="N"/>
    <s v="N"/>
    <s v="N"/>
    <s v="N"/>
    <s v="Y"/>
    <x v="0"/>
    <s v="6.1. Fora âmbito | Campos concluídos - Sem necessidade de espec."/>
  </r>
  <r>
    <s v="INSTRUMENT"/>
    <s v="INSTRMNT_CLSS"/>
    <x v="1"/>
    <s v="9. Concluído"/>
    <s v="OK"/>
    <s v="Concluido, controlos OK"/>
    <m/>
    <x v="0"/>
    <d v="2024-06-07T00:00:00"/>
    <x v="0"/>
    <s v="OK"/>
    <m/>
    <m/>
    <m/>
    <s v="Campo concluido"/>
    <s v="Y"/>
    <s v="N"/>
    <s v="N"/>
    <s v="N"/>
    <s v="N"/>
    <s v="N"/>
    <x v="0"/>
    <n v="0"/>
  </r>
  <r>
    <s v="INSTR_ENTITY"/>
    <s v="INSTRMNT_ID"/>
    <x v="0"/>
    <s v="9. Concluído"/>
    <s v="OK"/>
    <s v="Concluido, controlos OK"/>
    <m/>
    <x v="0"/>
    <d v="2024-06-07T00:00:00"/>
    <x v="0"/>
    <s v="OK"/>
    <m/>
    <m/>
    <m/>
    <s v="Campo concluido"/>
    <s v="Y"/>
    <s v="N"/>
    <s v="Y"/>
    <s v="N"/>
    <s v="N"/>
    <s v="Y"/>
    <x v="0"/>
    <s v="6.1. Fora âmbito | Campos concluídos - Sem necessidade de espec."/>
  </r>
  <r>
    <s v="INSTR_PROTECTION"/>
    <s v="INSTRMNT_ID"/>
    <x v="0"/>
    <s v="9. Concluído"/>
    <s v="OK"/>
    <s v="Concluido, controlos OK"/>
    <m/>
    <x v="0"/>
    <d v="2024-06-07T00:00:00"/>
    <x v="0"/>
    <s v="OK"/>
    <m/>
    <m/>
    <m/>
    <s v="Campo concluido"/>
    <s v="Y"/>
    <s v="Y"/>
    <s v="Y"/>
    <s v="N"/>
    <s v="N"/>
    <s v="N"/>
    <x v="0"/>
    <n v="0"/>
  </r>
  <r>
    <s v="INSTRUMENT"/>
    <s v="INSTRMNT_ID"/>
    <x v="0"/>
    <s v="9. Concluído"/>
    <s v="OK"/>
    <s v="Concluido, controlos OK"/>
    <m/>
    <x v="0"/>
    <d v="2024-06-07T00:00:00"/>
    <x v="0"/>
    <s v="OK"/>
    <m/>
    <m/>
    <m/>
    <s v="Campo concluido"/>
    <s v="Y"/>
    <s v="Y"/>
    <s v="Y"/>
    <s v="N"/>
    <s v="Y"/>
    <s v="Y"/>
    <x v="0"/>
    <s v="6.1. Fora âmbito | Campos concluídos - Sem necessidade de espec."/>
  </r>
  <r>
    <s v="ENTITY"/>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_INCPTN"/>
    <x v="0"/>
    <s v="5.2 Em testes - Incidência"/>
    <s v="NOK"/>
    <s v="Alterar especificação, campo com incidência. Controlos NOK"/>
    <s v="Na LT apenas foi especifido os restantes internal ratings, estando em falta o internal rating à data de inception."/>
    <x v="2"/>
    <d v="2024-06-07T00:00:00"/>
    <x v="1"/>
    <s v="NOK"/>
    <m/>
    <m/>
    <m/>
    <s v="Melhorias estruturais (garantir coerência entre campos)"/>
    <s v="Y"/>
    <s v="N"/>
    <s v="N"/>
    <s v="N"/>
    <s v="N"/>
    <s v="Y"/>
    <x v="1"/>
    <s v="3. Campos em testes ou c/ incidências"/>
  </r>
  <r>
    <s v="ENTITY"/>
    <s v="INTRNL_RTNG_PRVS"/>
    <x v="0"/>
    <s v="5.1 Em testes - Re-especificação"/>
    <s v="OK"/>
    <s v="Em testes, campo entregue por IT durante a OSI. Testar e validar controlos"/>
    <m/>
    <x v="1"/>
    <d v="2024-06-07T00:00:00"/>
    <x v="8"/>
    <s v="OK"/>
    <s v="Campo entregue durante a OSI"/>
    <d v="2024-02-16T00:00:00"/>
    <d v="2024-05-24T00:00:00"/>
    <s v="Necessidade de correção de erros"/>
    <s v="Y"/>
    <s v="N"/>
    <s v="N"/>
    <s v="N"/>
    <s v="N"/>
    <s v="Y"/>
    <x v="1"/>
    <s v="3. Campos em testes ou c/ incidências"/>
  </r>
  <r>
    <s v="ENTITY"/>
    <s v="INTRNL_SGMNT"/>
    <x v="0"/>
    <s v="9. Concluído"/>
    <s v="OK"/>
    <s v="Concluido, controlos OK"/>
    <m/>
    <x v="0"/>
    <d v="2024-06-07T00:00:00"/>
    <x v="0"/>
    <s v="OK"/>
    <m/>
    <m/>
    <m/>
    <s v="Campo concluido"/>
    <s v="Y"/>
    <s v="N"/>
    <s v="N"/>
    <s v="N"/>
    <s v="N"/>
    <s v="Y"/>
    <x v="0"/>
    <s v="6.1. Fora âmbito | Campos concluídos - Sem necessidade de espec."/>
  </r>
  <r>
    <s v="INSTRUMENT"/>
    <s v="INTRNL_SGMNT"/>
    <x v="0"/>
    <s v="9. Concluído"/>
    <s v="OK"/>
    <s v="Concluido, controlos OK"/>
    <m/>
    <x v="0"/>
    <d v="2024-06-07T00:00:00"/>
    <x v="0"/>
    <s v="OK"/>
    <m/>
    <m/>
    <m/>
    <s v="Campo concluido"/>
    <s v="Y"/>
    <s v="N"/>
    <s v="N"/>
    <s v="N"/>
    <s v="Y"/>
    <s v="Y"/>
    <x v="0"/>
    <s v="6.1. Fora âmbito | Campos concluídos - Sem necessidade de espec."/>
  </r>
  <r>
    <s v="INSTRUMENT"/>
    <s v="INTRNL_SGMNT_CAT_MSTA"/>
    <x v="1"/>
    <s v="9. Concluído"/>
    <s v="OK"/>
    <s v="Concluido, controlos OK"/>
    <m/>
    <x v="0"/>
    <d v="2024-06-07T00:00:00"/>
    <x v="0"/>
    <s v="OK"/>
    <m/>
    <m/>
    <m/>
    <s v="Campo concluido"/>
    <s v="Y"/>
    <s v="N"/>
    <s v="N"/>
    <s v="N"/>
    <s v="Y"/>
    <s v="N"/>
    <x v="0"/>
    <n v="0"/>
  </r>
  <r>
    <s v="INSTRUMENT"/>
    <s v="INTRNL_SGMNT_CATGSUB"/>
    <x v="1"/>
    <s v="9. Concluído"/>
    <s v="OK"/>
    <s v="Concluido, controlos OK"/>
    <m/>
    <x v="0"/>
    <d v="2024-06-07T00:00:00"/>
    <x v="0"/>
    <s v="OK"/>
    <m/>
    <m/>
    <m/>
    <s v="Campo concluido"/>
    <s v="Y"/>
    <s v="N"/>
    <s v="N"/>
    <s v="N"/>
    <s v="Y"/>
    <s v="N"/>
    <x v="0"/>
    <n v="0"/>
  </r>
  <r>
    <s v="INSTRUMENT"/>
    <s v="INTRNL_SGMNT_IFRS9"/>
    <x v="1"/>
    <s v="9. Concluído"/>
    <s v="OK"/>
    <s v="Concluido, controlos OK"/>
    <m/>
    <x v="0"/>
    <d v="2024-06-07T00:00:00"/>
    <x v="0"/>
    <s v="OK"/>
    <s v="Campo Imparidade"/>
    <m/>
    <m/>
    <s v="Campo concluido"/>
    <s v="Y"/>
    <s v="N"/>
    <s v="N"/>
    <s v="N"/>
    <s v="N"/>
    <s v="N"/>
    <x v="0"/>
    <n v="0"/>
  </r>
  <r>
    <s v="ENTITY"/>
    <s v="INTRNL_UNT"/>
    <x v="0"/>
    <s v="9. Concluído"/>
    <s v="OK"/>
    <s v="Concluido, controlos OK"/>
    <m/>
    <x v="0"/>
    <d v="2024-06-07T00:00:00"/>
    <x v="0"/>
    <s v="OK"/>
    <m/>
    <m/>
    <m/>
    <s v="Campo concluido"/>
    <s v="Y"/>
    <s v="N"/>
    <s v="N"/>
    <s v="N"/>
    <s v="N"/>
    <s v="Y"/>
    <x v="0"/>
    <s v="6.1. Fora âmbito | Campos concluídos - Sem necessidade de espec."/>
  </r>
  <r>
    <s v="INSTRUMENT"/>
    <s v="INTRNL_UNT"/>
    <x v="0"/>
    <s v="9. Concluído"/>
    <s v="OK"/>
    <s v="Concluido, controlos OK"/>
    <m/>
    <x v="0"/>
    <d v="2024-06-07T00:00:00"/>
    <x v="0"/>
    <s v="OK"/>
    <m/>
    <m/>
    <m/>
    <s v="Campo concluido"/>
    <s v="Y"/>
    <s v="N"/>
    <s v="N"/>
    <s v="N"/>
    <s v="N"/>
    <s v="Y"/>
    <x v="0"/>
    <s v="6.1. Fora âmbito | Campos concluídos - Sem necessidade de espec."/>
  </r>
  <r>
    <s v="INSTRUMENT"/>
    <s v="INTRST_RT_RST_FRQNCY"/>
    <x v="0"/>
    <s v="9. Concluído"/>
    <s v="OK"/>
    <s v="Concluido, controlos OK"/>
    <m/>
    <x v="0"/>
    <d v="2024-06-07T00:00:00"/>
    <x v="0"/>
    <s v="OK"/>
    <m/>
    <m/>
    <m/>
    <s v="Campo concluido"/>
    <s v="Y"/>
    <s v="N"/>
    <s v="N"/>
    <s v="N"/>
    <s v="N"/>
    <s v="N"/>
    <x v="0"/>
    <n v="0"/>
  </r>
  <r>
    <s v="INSTRUMENT"/>
    <s v="ISIN"/>
    <x v="1"/>
    <s v="9. Concluído"/>
    <s v="OK"/>
    <s v="Concluido, controlos OK"/>
    <m/>
    <x v="0"/>
    <d v="2024-06-07T00:00:00"/>
    <x v="0"/>
    <s v="OK"/>
    <m/>
    <m/>
    <m/>
    <s v="Campo concluido"/>
    <s v="Y"/>
    <s v="N"/>
    <s v="N"/>
    <s v="N"/>
    <s v="N"/>
    <s v="N"/>
    <x v="0"/>
    <n v="0"/>
  </r>
  <r>
    <s v="INSTRUMENT"/>
    <s v="ISIN_SCRTSTN"/>
    <x v="1"/>
    <s v="9. Concluído"/>
    <s v="OK"/>
    <s v="Concluido, controlos OK"/>
    <m/>
    <x v="0"/>
    <d v="2024-06-07T00:00:00"/>
    <x v="0"/>
    <s v="OK"/>
    <m/>
    <m/>
    <m/>
    <s v="Campo concluido"/>
    <s v="Y"/>
    <s v="N"/>
    <s v="N"/>
    <s v="N"/>
    <s v="N"/>
    <s v="N"/>
    <x v="0"/>
    <n v="0"/>
  </r>
  <r>
    <s v="INSTRUMENT"/>
    <s v="ISSR_CNTRY"/>
    <x v="1"/>
    <s v="9. Concluído"/>
    <s v="OK"/>
    <s v="Concluido, controlos OK"/>
    <m/>
    <x v="0"/>
    <d v="2024-06-07T00:00:00"/>
    <x v="0"/>
    <s v="OK"/>
    <m/>
    <m/>
    <m/>
    <s v="Campo concluido"/>
    <s v="Y"/>
    <s v="N"/>
    <s v="Y"/>
    <s v="N"/>
    <s v="N"/>
    <s v="N"/>
    <x v="0"/>
    <n v="0"/>
  </r>
  <r>
    <s v="INSTRUMENT"/>
    <s v="ISSR_ESA_2010"/>
    <x v="1"/>
    <s v="7. Analisar controlos e completude"/>
    <s v="NOK"/>
    <s v="Controlos NOK"/>
    <m/>
    <x v="2"/>
    <d v="2024-06-07T00:00:00"/>
    <x v="5"/>
    <s v="NOK"/>
    <m/>
    <m/>
    <m/>
    <s v="Analisar controlos NOK"/>
    <s v="Y"/>
    <s v="N"/>
    <s v="N"/>
    <s v="N"/>
    <s v="N"/>
    <s v="N"/>
    <x v="0"/>
    <n v="0"/>
  </r>
  <r>
    <s v="INSTRUMENT"/>
    <s v="ISSR_ID"/>
    <x v="1"/>
    <s v="9. Concluído"/>
    <s v="OK"/>
    <s v="Concluido, controlos OK"/>
    <m/>
    <x v="0"/>
    <d v="2024-06-07T00:00:00"/>
    <x v="0"/>
    <s v="OK"/>
    <m/>
    <m/>
    <m/>
    <s v="Campo concluido"/>
    <s v="Y"/>
    <s v="N"/>
    <s v="N"/>
    <s v="N"/>
    <s v="N"/>
    <s v="N"/>
    <x v="0"/>
    <n v="0"/>
  </r>
  <r>
    <s v="INSTRUMENT"/>
    <s v="ISSR_ID_TYP"/>
    <x v="1"/>
    <s v="9. Concluído"/>
    <s v="OK"/>
    <s v="Concluido, controlos OK"/>
    <m/>
    <x v="0"/>
    <d v="2024-06-07T00:00:00"/>
    <x v="0"/>
    <s v="OK"/>
    <m/>
    <m/>
    <m/>
    <s v="Campo concluido"/>
    <s v="Y"/>
    <s v="N"/>
    <s v="N"/>
    <s v="N"/>
    <s v="N"/>
    <s v="N"/>
    <x v="0"/>
    <n v="0"/>
  </r>
  <r>
    <s v="INSTRUMENT"/>
    <s v="ISSR_NACE_SCTR"/>
    <x v="1"/>
    <s v="9. Concluído"/>
    <s v="OK"/>
    <s v="Concluido, controlos OK"/>
    <m/>
    <x v="0"/>
    <d v="2024-06-07T00:00:00"/>
    <x v="0"/>
    <s v="OK"/>
    <m/>
    <m/>
    <m/>
    <s v="Campo concluido"/>
    <s v="Y"/>
    <s v="N"/>
    <s v="Y"/>
    <s v="N"/>
    <s v="N"/>
    <s v="N"/>
    <x v="0"/>
    <n v="0"/>
  </r>
  <r>
    <s v="INSTRUMENT"/>
    <s v="ISSR_RTNG"/>
    <x v="1"/>
    <s v="8. Concluído - sem dados"/>
    <s v="OK"/>
    <s v="Campo especificado, mas sem dados. Campo marcado com MISS ou NA"/>
    <m/>
    <x v="0"/>
    <d v="2024-06-07T00:00:00"/>
    <x v="6"/>
    <s v="OK"/>
    <m/>
    <m/>
    <m/>
    <s v="Campo concluído, mas sem ou pouca informação na fonte"/>
    <s v="Y"/>
    <s v="N"/>
    <s v="N"/>
    <s v="N"/>
    <s v="N"/>
    <s v="N"/>
    <x v="0"/>
    <n v="0"/>
  </r>
  <r>
    <s v="INSTRUMENT"/>
    <s v="ISSR_RTNG_SRC"/>
    <x v="1"/>
    <s v="8. Concluído - sem dados"/>
    <s v="OK"/>
    <s v="Campo especificado, mas sem dados. Campo marcado com MISS ou NA"/>
    <m/>
    <x v="0"/>
    <d v="2024-06-07T00:00:00"/>
    <x v="6"/>
    <s v="OK"/>
    <m/>
    <m/>
    <m/>
    <s v="Campo concluído, mas sem ou pouca informação na fonte"/>
    <s v="Y"/>
    <s v="N"/>
    <s v="N"/>
    <s v="N"/>
    <s v="N"/>
    <s v="N"/>
    <x v="0"/>
    <n v="0"/>
  </r>
  <r>
    <s v="INSTRUMENT"/>
    <s v="ISSR_TYP"/>
    <x v="1"/>
    <s v="9. Concluído"/>
    <s v="OK"/>
    <s v="Concluido, controlos OK"/>
    <m/>
    <x v="0"/>
    <d v="2024-06-07T00:00:00"/>
    <x v="0"/>
    <s v="OK"/>
    <m/>
    <m/>
    <m/>
    <s v="Campo concluido"/>
    <s v="Y"/>
    <s v="N"/>
    <s v="N"/>
    <s v="N"/>
    <s v="N"/>
    <s v="N"/>
    <x v="0"/>
    <n v="0"/>
  </r>
  <r>
    <s v="INSTR_ENTITY"/>
    <s v="JNT_LBLTY_AMNT"/>
    <x v="0"/>
    <s v="9. Concluído"/>
    <s v="OK"/>
    <s v="Concluido, controlos OK"/>
    <m/>
    <x v="0"/>
    <d v="2024-06-07T00:00:00"/>
    <x v="0"/>
    <s v="OK"/>
    <m/>
    <m/>
    <m/>
    <s v="Campo concluido"/>
    <s v="Y"/>
    <s v="N"/>
    <s v="N"/>
    <s v="N"/>
    <s v="N"/>
    <s v="Y"/>
    <x v="0"/>
    <s v="6.1. Fora âmbito | Campos concluídos - Sem necessidade de espec."/>
  </r>
  <r>
    <s v="INSTRUMENT"/>
    <s v="LCL_INSTMRNT_ID"/>
    <x v="1"/>
    <s v="7. Analisar controlos e completude"/>
    <s v="NOK"/>
    <s v="Controlos NOK"/>
    <m/>
    <x v="2"/>
    <d v="2024-06-07T00:00:00"/>
    <x v="5"/>
    <s v="NOK"/>
    <m/>
    <m/>
    <m/>
    <s v="Analisar controlos NOK"/>
    <s v="Y"/>
    <s v="Y"/>
    <s v="Y"/>
    <s v="N"/>
    <s v="N"/>
    <s v="N"/>
    <x v="0"/>
    <n v="0"/>
  </r>
  <r>
    <s v="INSTRUMENT"/>
    <s v="LCR_BFFR_CTGRY"/>
    <x v="1"/>
    <s v="9. Concluído"/>
    <s v="OK"/>
    <s v="Concluido, controlos OK"/>
    <m/>
    <x v="0"/>
    <d v="2024-06-07T00:00:00"/>
    <x v="0"/>
    <s v="OK"/>
    <m/>
    <m/>
    <m/>
    <s v="Campo concluido"/>
    <s v="Y"/>
    <s v="N"/>
    <s v="N"/>
    <s v="N"/>
    <s v="N"/>
    <s v="N"/>
    <x v="0"/>
    <n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x v="1"/>
    <d v="2024-06-07T00:00:00"/>
    <x v="4"/>
    <s v="OK"/>
    <m/>
    <m/>
    <m/>
    <s v="Pendente de decisão"/>
    <s v="Y"/>
    <s v="N"/>
    <s v="N"/>
    <s v="N"/>
    <s v="N"/>
    <s v="N"/>
    <x v="0"/>
    <n v="0"/>
  </r>
  <r>
    <s v="ENTITY"/>
    <s v="LEI"/>
    <x v="0"/>
    <s v="9. Concluído"/>
    <s v="OK"/>
    <s v="Concluido, controlos OK"/>
    <m/>
    <x v="0"/>
    <d v="2024-06-07T00:00:00"/>
    <x v="0"/>
    <s v="OK"/>
    <m/>
    <m/>
    <m/>
    <s v="Campo concluido"/>
    <s v="Y"/>
    <s v="N"/>
    <s v="Y"/>
    <s v="N"/>
    <s v="N"/>
    <s v="Y"/>
    <x v="0"/>
    <s v="6.1. Fora âmbito | Campos concluídos - Sem necessidade de espec."/>
  </r>
  <r>
    <s v="INSTRUMENT"/>
    <s v="LGD"/>
    <x v="0"/>
    <s v="9. Concluído"/>
    <s v="OK"/>
    <s v="Concluido, controlos OK"/>
    <m/>
    <x v="0"/>
    <d v="2024-06-07T00:00:00"/>
    <x v="0"/>
    <s v="OK"/>
    <m/>
    <m/>
    <m/>
    <s v="Campo concluido"/>
    <s v="Y"/>
    <s v="N"/>
    <s v="N"/>
    <s v="N"/>
    <s v="N"/>
    <s v="Y"/>
    <x v="0"/>
    <s v="6.1. Fora âmbito | Campos concluídos - Sem necessidade de espec."/>
  </r>
  <r>
    <s v="INSTRUMENT"/>
    <s v="LGL_PRCDNG_STTS"/>
    <x v="0"/>
    <s v="9. Concluído"/>
    <s v="OK"/>
    <s v="Concluido, controlos OK"/>
    <m/>
    <x v="0"/>
    <d v="2024-06-07T00:00:00"/>
    <x v="0"/>
    <s v="OK"/>
    <m/>
    <m/>
    <m/>
    <s v="Campo concluido"/>
    <s v="Y"/>
    <s v="N"/>
    <s v="N"/>
    <s v="N"/>
    <s v="N"/>
    <s v="N"/>
    <x v="0"/>
    <n v="0"/>
  </r>
  <r>
    <s v="ENTITY"/>
    <s v="LGL_PRCDNG_STTS_LE"/>
    <x v="0"/>
    <s v="7. Analisar controlos e completude"/>
    <s v="NOK"/>
    <s v="Controlos NOK"/>
    <m/>
    <x v="2"/>
    <d v="2024-06-07T00:00:00"/>
    <x v="5"/>
    <s v="NOK"/>
    <m/>
    <m/>
    <m/>
    <s v="Analisar controlos NOK"/>
    <s v="Y"/>
    <s v="N"/>
    <s v="N"/>
    <s v="N"/>
    <s v="N"/>
    <s v="Y"/>
    <x v="1"/>
    <s v="4. Campos com NOK controlos Corporativos"/>
  </r>
  <r>
    <s v="INSTRUMENT"/>
    <s v="LND_DRGTN"/>
    <x v="1"/>
    <s v="9. Concluído"/>
    <s v="OK"/>
    <s v="Concluido, controlos OK"/>
    <m/>
    <x v="0"/>
    <d v="2024-06-07T00:00:00"/>
    <x v="0"/>
    <s v="OK"/>
    <m/>
    <m/>
    <m/>
    <s v="Campo concluido"/>
    <s v="Y"/>
    <s v="N"/>
    <s v="N"/>
    <s v="N"/>
    <s v="N"/>
    <s v="N"/>
    <x v="0"/>
    <n v="0"/>
  </r>
  <r>
    <s v="INSTRUMENT"/>
    <s v="LSTI"/>
    <x v="1"/>
    <s v="1. Especificar"/>
    <s v="OK"/>
    <s v="Em especificação (Campos Novos)"/>
    <m/>
    <x v="2"/>
    <d v="2024-06-07T00:00:00"/>
    <x v="3"/>
    <s v="OK"/>
    <m/>
    <m/>
    <m/>
    <s v="Novo campo"/>
    <s v="Y"/>
    <s v="N"/>
    <s v="N"/>
    <s v="N"/>
    <s v="N"/>
    <s v="N"/>
    <x v="0"/>
    <n v="0"/>
  </r>
  <r>
    <s v="ENTITY"/>
    <s v="LTI"/>
    <x v="1"/>
    <s v="1. Especificar"/>
    <s v="NOK"/>
    <s v="Em especificação (Salários)"/>
    <m/>
    <x v="2"/>
    <d v="2024-06-07T00:00:00"/>
    <x v="3"/>
    <s v="NOK"/>
    <m/>
    <m/>
    <m/>
    <s v="Melhorias estruturais (garantir coerência entre campos)"/>
    <s v="Y"/>
    <s v="N"/>
    <s v="N"/>
    <s v="N"/>
    <s v="N"/>
    <s v="N"/>
    <x v="0"/>
    <n v="0"/>
  </r>
  <r>
    <s v="INSTRUMENT"/>
    <s v="LTI_INSTRMNT"/>
    <x v="1"/>
    <s v="1. Especificar"/>
    <s v="OK"/>
    <s v="Em especificação (Campos Novos)"/>
    <m/>
    <x v="2"/>
    <d v="2024-06-07T00:00:00"/>
    <x v="3"/>
    <s v="OK"/>
    <m/>
    <m/>
    <m/>
    <s v="Novo campo"/>
    <s v="Y"/>
    <s v="N"/>
    <s v="N"/>
    <s v="N"/>
    <s v="N"/>
    <s v="N"/>
    <x v="0"/>
    <n v="0"/>
  </r>
  <r>
    <s v="INSTRUMENT"/>
    <s v="LTV"/>
    <x v="0"/>
    <s v="7. Analisar controlos e completude"/>
    <s v="NOK"/>
    <s v="Controlos NOK"/>
    <m/>
    <x v="2"/>
    <d v="2024-06-07T00:00:00"/>
    <x v="5"/>
    <s v="NOK"/>
    <m/>
    <m/>
    <m/>
    <s v="Analisar controlos NOK"/>
    <s v="Y"/>
    <s v="N"/>
    <s v="Y"/>
    <s v="N"/>
    <s v="N"/>
    <s v="N"/>
    <x v="0"/>
    <n v="0"/>
  </r>
  <r>
    <s v="INSTRUMENT"/>
    <s v="LTV_INCPTN"/>
    <x v="0"/>
    <s v="9. Concluído"/>
    <s v="OK"/>
    <s v="Concluido, controlos OK"/>
    <m/>
    <x v="0"/>
    <d v="2024-06-07T00:00:00"/>
    <x v="0"/>
    <s v="OK"/>
    <m/>
    <m/>
    <m/>
    <s v="Campo concluido"/>
    <s v="Y"/>
    <s v="N"/>
    <s v="Y"/>
    <s v="N"/>
    <s v="N"/>
    <s v="N"/>
    <x v="0"/>
    <n v="0"/>
  </r>
  <r>
    <s v="INSTRUMENT"/>
    <s v="LTV_NPE"/>
    <x v="0"/>
    <s v="5.1 Em testes - Re-especificação"/>
    <s v="OK"/>
    <s v="Em testes. Campo depende do campo PRFRMNG_STTS. Não é necessário alterar a especificação do mesmo, apenas testar  se o campo PRFRMNG_STTS for alterado."/>
    <m/>
    <x v="1"/>
    <d v="2024-06-07T00:00:00"/>
    <x v="8"/>
    <s v="OK"/>
    <m/>
    <d v="2022-05-16T00:00:00"/>
    <d v="2022-05-27T00:00:00"/>
    <s v="Pendente de decisão"/>
    <s v="Y"/>
    <s v="N"/>
    <s v="N"/>
    <s v="N"/>
    <s v="N"/>
    <s v="N"/>
    <x v="0"/>
    <n v="0"/>
  </r>
  <r>
    <s v="ENTITY"/>
    <s v="LVRG"/>
    <x v="0"/>
    <s v="9. Concluído"/>
    <s v="OK"/>
    <s v="Concluido, controlos OK"/>
    <m/>
    <x v="0"/>
    <d v="2024-06-07T00:00:00"/>
    <x v="0"/>
    <s v="OK"/>
    <m/>
    <m/>
    <m/>
    <s v="Campo concluido"/>
    <s v="Y"/>
    <s v="N"/>
    <s v="N"/>
    <s v="N"/>
    <s v="N"/>
    <s v="Y"/>
    <x v="0"/>
    <s v="6.1. Fora âmbito | Campos concluídos - Sem necessidade de espec."/>
  </r>
  <r>
    <s v="INSTRUMENT"/>
    <s v="LVRG_FNNC_FLG"/>
    <x v="1"/>
    <s v="9. Concluído"/>
    <s v="OK"/>
    <s v="Concluido, controlos OK"/>
    <m/>
    <x v="0"/>
    <d v="2024-06-07T00:00:00"/>
    <x v="0"/>
    <s v="OK"/>
    <m/>
    <m/>
    <m/>
    <s v="Campo concluido"/>
    <s v="Y"/>
    <s v="N"/>
    <s v="N"/>
    <s v="N"/>
    <s v="N"/>
    <s v="Y"/>
    <x v="2"/>
    <s v="6.3. Fora âmbito | Fonte Manual LF"/>
  </r>
  <r>
    <s v="ENTITY"/>
    <s v="LVRG_PRVS"/>
    <x v="0"/>
    <s v="9. Concluído"/>
    <s v="OK"/>
    <s v="Concluido, controlos OK"/>
    <m/>
    <x v="0"/>
    <d v="2024-06-07T00:00:00"/>
    <x v="0"/>
    <s v="OK"/>
    <m/>
    <m/>
    <m/>
    <s v="Campo concluido"/>
    <s v="Y"/>
    <s v="N"/>
    <s v="N"/>
    <s v="N"/>
    <s v="N"/>
    <s v="Y"/>
    <x v="0"/>
    <s v="6.1. Fora âmbito | Campos concluídos - Sem necessidade de espec."/>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x v="1"/>
    <d v="2024-06-07T00:00:00"/>
    <x v="1"/>
    <s v="OK"/>
    <m/>
    <d v="2024-02-02T00:00:00"/>
    <d v="2024-03-21T00:00:00"/>
    <s v="Pendente de decisão"/>
    <s v="Y"/>
    <s v="N"/>
    <s v="Y"/>
    <s v="N"/>
    <s v="N"/>
    <s v="Y"/>
    <x v="1"/>
    <s v="3. Campos em testes ou c/ incidências"/>
  </r>
  <r>
    <s v="PROTECTION"/>
    <s v="MN_PRPS"/>
    <x v="1"/>
    <s v="7. Analisar controlos e completude"/>
    <s v="NOK"/>
    <s v="Controlos NOK"/>
    <m/>
    <x v="2"/>
    <d v="2024-06-07T00:00:00"/>
    <x v="5"/>
    <s v="NOK"/>
    <m/>
    <m/>
    <m/>
    <s v="Analisar controlos NOK"/>
    <s v="Y"/>
    <s v="N"/>
    <s v="N"/>
    <s v="N"/>
    <s v="N"/>
    <s v="N"/>
    <x v="0"/>
    <n v="0"/>
  </r>
  <r>
    <s v="ENTITY"/>
    <s v="MNTHL_INCM"/>
    <x v="1"/>
    <s v="1. Especificar"/>
    <s v="OK"/>
    <s v="Em especificação (Salários)"/>
    <m/>
    <x v="2"/>
    <d v="2024-06-07T00:00:00"/>
    <x v="3"/>
    <s v="OK"/>
    <m/>
    <m/>
    <m/>
    <s v="Melhorias estruturais (garantir coerência entre campos)"/>
    <s v="Y"/>
    <s v="N"/>
    <s v="N"/>
    <s v="N"/>
    <s v="N"/>
    <s v="N"/>
    <x v="0"/>
    <n v="0"/>
  </r>
  <r>
    <s v="ENTITY"/>
    <s v="MNTHL_INCM_SLR"/>
    <x v="1"/>
    <s v="1. Especificar"/>
    <s v="NOK"/>
    <s v="Em especificação (Salários)"/>
    <m/>
    <x v="2"/>
    <d v="2024-06-07T00:00:00"/>
    <x v="3"/>
    <s v="NOK"/>
    <m/>
    <m/>
    <m/>
    <s v="Melhorias estruturais (garantir coerência entre campos)"/>
    <s v="Y"/>
    <s v="N"/>
    <s v="N"/>
    <s v="N"/>
    <s v="N"/>
    <s v="N"/>
    <x v="0"/>
    <n v="0"/>
  </r>
  <r>
    <s v="ENTITY"/>
    <s v="MNTHL_TRNVR"/>
    <x v="1"/>
    <s v="1. Especificar"/>
    <s v="OK"/>
    <s v="Em especificação (Salários)"/>
    <m/>
    <x v="2"/>
    <d v="2024-06-07T00:00:00"/>
    <x v="3"/>
    <s v="OK"/>
    <m/>
    <m/>
    <m/>
    <s v="Melhorias estruturais (garantir coerência entre campos)"/>
    <s v="Y"/>
    <s v="N"/>
    <s v="N"/>
    <s v="N"/>
    <s v="N"/>
    <s v="N"/>
    <x v="0"/>
    <n v="0"/>
  </r>
  <r>
    <s v="INSTRUMENT"/>
    <s v="MTRTY_LTST_FRBRNC_MSR_C19"/>
    <x v="1"/>
    <s v="9. Concluído"/>
    <s v="OK"/>
    <s v="Concluido, controlos OK"/>
    <m/>
    <x v="0"/>
    <d v="2024-06-07T00:00:00"/>
    <x v="0"/>
    <s v="OK"/>
    <m/>
    <m/>
    <m/>
    <s v="Campo concluido"/>
    <s v="Y"/>
    <s v="N"/>
    <s v="N"/>
    <s v="N"/>
    <s v="N"/>
    <s v="N"/>
    <x v="0"/>
    <n v="0"/>
  </r>
  <r>
    <s v="INSTRUMENT"/>
    <s v="MTRTY_LTST_MRTR_C19"/>
    <x v="1"/>
    <s v="9. Concluído"/>
    <s v="OK"/>
    <s v="Concluido, controlos OK"/>
    <m/>
    <x v="0"/>
    <d v="2024-06-07T00:00:00"/>
    <x v="0"/>
    <s v="OK"/>
    <m/>
    <m/>
    <m/>
    <s v="Campo concluido"/>
    <s v="Y"/>
    <s v="N"/>
    <s v="N"/>
    <s v="N"/>
    <s v="N"/>
    <s v="N"/>
    <x v="0"/>
    <n v="0"/>
  </r>
  <r>
    <s v="INSTRUMENT"/>
    <s v="NMBR_FRBRNC_MSRS"/>
    <x v="0"/>
    <s v="9. Concluído"/>
    <s v="OK"/>
    <s v="Concluido, controlos OK"/>
    <m/>
    <x v="0"/>
    <d v="2024-06-07T00:00:00"/>
    <x v="0"/>
    <s v="OK"/>
    <m/>
    <m/>
    <m/>
    <s v="Campo concluido"/>
    <s v="Y"/>
    <s v="N"/>
    <s v="N"/>
    <s v="N"/>
    <s v="N"/>
    <s v="Y"/>
    <x v="0"/>
    <s v="6.1. Fora âmbito | Campos concluídos - Sem necessidade de espec."/>
  </r>
  <r>
    <s v="ENTITY"/>
    <s v="NT_INC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NT_INCM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RWA_MTHD"/>
    <x v="0"/>
    <s v="5.1 Em testes - Re-especificação"/>
    <s v="OK"/>
    <s v="Em testes, campo entregue por IT durante a OSI. Testar e validar controlos"/>
    <s v="Alteração de formato de 11111111.00 para 11111111"/>
    <x v="0"/>
    <d v="2024-06-20T00:00:00"/>
    <x v="0"/>
    <s v="OK"/>
    <s v="Incidência relativamente ao formatos corrigida. Controlos testados e OK"/>
    <m/>
    <d v="2024-06-20T00:00:00"/>
    <s v="Campo concluido"/>
    <s v="Y"/>
    <s v="N"/>
    <s v="N"/>
    <s v="N"/>
    <s v="N"/>
    <s v="Y"/>
    <x v="0"/>
    <s v="6.1. Fora âmbito | Campos concluídos - Sem necessidade de espec."/>
  </r>
  <r>
    <s v="INSTRUMENT"/>
    <s v="OBSRVD_AGNT_ID"/>
    <x v="0"/>
    <s v="9. Concluído"/>
    <s v="OK"/>
    <s v="Concluido, controlos OK"/>
    <m/>
    <x v="0"/>
    <d v="2024-06-07T00:00:00"/>
    <x v="0"/>
    <s v="OK"/>
    <m/>
    <m/>
    <m/>
    <s v="Campo concluido"/>
    <s v="Y"/>
    <s v="N"/>
    <s v="N"/>
    <s v="N"/>
    <s v="N"/>
    <s v="Y"/>
    <x v="0"/>
    <s v="6.1. Fora âmbito | Campos concluídos - Sem necessidade de espec."/>
  </r>
  <r>
    <s v="INSTRUMENT"/>
    <s v="OBSRVD_AGNT_NM"/>
    <x v="0"/>
    <s v="9. Concluído"/>
    <s v="OK"/>
    <s v="Concluido, controlos OK"/>
    <m/>
    <x v="0"/>
    <d v="2024-06-07T00:00:00"/>
    <x v="0"/>
    <s v="OK"/>
    <m/>
    <m/>
    <m/>
    <s v="Campo concluido"/>
    <s v="Y"/>
    <s v="N"/>
    <s v="N"/>
    <s v="N"/>
    <s v="N"/>
    <s v="Y"/>
    <x v="0"/>
    <s v="6.1. Fora âmbito | Campos concluídos - Sem necessidade de espec."/>
  </r>
  <r>
    <s v="INSTRUMENT"/>
    <s v="OFF_BLNC_SHT_AMNT_INSTRMNT"/>
    <x v="0"/>
    <s v="7. Analisar controlos e completude"/>
    <s v="NOK"/>
    <s v="Controlos NOK"/>
    <m/>
    <x v="2"/>
    <d v="2024-06-07T00:00:00"/>
    <x v="5"/>
    <s v="NOK"/>
    <m/>
    <m/>
    <m/>
    <s v="Analisar controlos NOK"/>
    <s v="Y"/>
    <s v="Y"/>
    <s v="N"/>
    <s v="N"/>
    <s v="Y"/>
    <s v="Y"/>
    <x v="1"/>
    <s v="4. Campos com NOK controlos Corporativos"/>
  </r>
  <r>
    <s v="INSTRUMENT"/>
    <s v="OFF_BLNC_SHT_AMNT_INSTRMNT_PRVS"/>
    <x v="0"/>
    <s v="5.2 Em testes - Incidência"/>
    <s v="OK"/>
    <s v="Campo com incidência"/>
    <s v="MISS deviam estar a ser reportados como NA ou zero"/>
    <x v="1"/>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s v="Necessidade de correção de erros"/>
    <s v="Y"/>
    <s v="N"/>
    <s v="N"/>
    <s v="N"/>
    <s v="N"/>
    <s v="N"/>
    <x v="0"/>
    <n v="0"/>
  </r>
  <r>
    <s v="PROTECTION"/>
    <s v="DT_ORGNL_PRTCTN_VL"/>
    <x v="0"/>
    <s v="5.2 Em testes - Incidência"/>
    <s v="NOK"/>
    <s v="Campo com incidência e controlos NOK"/>
    <s v="1) Campo com incidência, data igual à data da protection_vl 2) Alteração de formatos MISS"/>
    <x v="0"/>
    <d v="2025-01-13T00:00:00"/>
    <x v="0"/>
    <s v="OK"/>
    <m/>
    <d v="2024-09-20T00:00:00"/>
    <d v="2024-12-20T00:00:00"/>
    <s v="Necessidade de correção de erros"/>
    <s v="Y"/>
    <s v="N"/>
    <s v="N"/>
    <s v="N"/>
    <s v="N"/>
    <s v="N"/>
    <x v="0"/>
    <n v="0"/>
  </r>
  <r>
    <s v="ENTITY"/>
    <s v="OSI_ID"/>
    <x v="0"/>
    <s v="9. Concluído"/>
    <s v="OK"/>
    <s v="Concluido, controlos OK"/>
    <m/>
    <x v="0"/>
    <d v="2024-06-07T00:00:00"/>
    <x v="0"/>
    <s v="OK"/>
    <m/>
    <m/>
    <m/>
    <s v="Campo concluido"/>
    <s v="Y"/>
    <s v="N"/>
    <s v="N"/>
    <s v="N"/>
    <s v="N"/>
    <s v="Y"/>
    <x v="0"/>
    <s v="6.1. Fora âmbito | Campos concluídos - Sem necessidade de espec."/>
  </r>
  <r>
    <s v="INSTRUMENT"/>
    <s v="OTSTNDNG_NMNL_AMNT_INSTRMNT"/>
    <x v="0"/>
    <s v="7. Analisar controlos e completude"/>
    <s v="NOK"/>
    <s v="Controlos NOK"/>
    <m/>
    <x v="2"/>
    <d v="2024-06-07T00:00:00"/>
    <x v="5"/>
    <s v="NOK"/>
    <m/>
    <m/>
    <m/>
    <s v="Analisar controlos NOK"/>
    <s v="Y"/>
    <s v="N"/>
    <s v="N"/>
    <s v="N"/>
    <s v="N"/>
    <s v="Y"/>
    <x v="1"/>
    <s v="4. Campos com NOK controlos Corporativos"/>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N"/>
    <x v="0"/>
    <n v="0"/>
  </r>
  <r>
    <s v="ENTITY"/>
    <s v="OWND_BY_SPNSR"/>
    <x v="1"/>
    <s v="9. Concluído"/>
    <s v="OK"/>
    <s v="Concluido, controlos OK"/>
    <m/>
    <x v="0"/>
    <d v="2024-06-07T00:00:00"/>
    <x v="0"/>
    <s v="OK"/>
    <m/>
    <m/>
    <m/>
    <s v="Campo concluido"/>
    <s v="Y"/>
    <s v="N"/>
    <s v="N"/>
    <s v="N"/>
    <s v="N"/>
    <s v="Y"/>
    <x v="2"/>
    <s v="6.3. Fora âmbito | Fonte Manual LF"/>
  </r>
  <r>
    <s v="INSTRUMENT"/>
    <s v="PBLC_GRNT_SCHM_C19_NM"/>
    <x v="1"/>
    <s v="9. Concluído"/>
    <s v="OK"/>
    <s v="Concluido, controlos OK"/>
    <m/>
    <x v="0"/>
    <d v="2024-06-07T00:00:00"/>
    <x v="0"/>
    <s v="OK"/>
    <m/>
    <m/>
    <m/>
    <s v="Campo concluido"/>
    <s v="Y"/>
    <s v="N"/>
    <s v="N"/>
    <s v="N"/>
    <s v="N"/>
    <s v="N"/>
    <x v="0"/>
    <n v="0"/>
  </r>
  <r>
    <s v="INSTRUMENT"/>
    <s v="PD_CRR_INCPTN"/>
    <x v="0"/>
    <s v="5.2 Em testes - Incidência"/>
    <s v="OK"/>
    <s v="Campo com incidência"/>
    <s v="Campo com incidência. Confirmar com Tecnologia que o campo está alterado com base no que foi identificado na OSI"/>
    <x v="2"/>
    <d v="2024-06-07T00:00:00"/>
    <x v="1"/>
    <s v="OK"/>
    <m/>
    <d v="2024-02-16T00:00:00"/>
    <d v="2024-05-27T00:00:00"/>
    <s v="Melhorias estruturais (garantir coerência entre campos)"/>
    <s v="Y"/>
    <s v="N"/>
    <s v="N"/>
    <s v="N"/>
    <s v="N"/>
    <s v="Y"/>
    <x v="1"/>
    <s v="3. Campos em testes ou c/ incidências"/>
  </r>
  <r>
    <s v="ENTITY"/>
    <s v="PD_CRR_RD"/>
    <x v="0"/>
    <s v="7. Analisar controlos e completude"/>
    <s v="NOK"/>
    <s v="Controlos NOK"/>
    <m/>
    <x v="2"/>
    <d v="2024-06-07T00:00:00"/>
    <x v="5"/>
    <s v="NOK"/>
    <m/>
    <m/>
    <m/>
    <s v="Analisar controlos NOK"/>
    <s v="Y"/>
    <s v="N"/>
    <s v="N"/>
    <s v="N"/>
    <s v="N"/>
    <s v="Y"/>
    <x v="1"/>
    <s v="4. Campos com NOK controlos Corporativos"/>
  </r>
  <r>
    <s v="INSTRUMENT"/>
    <s v="PD_CRR_RD"/>
    <x v="0"/>
    <s v="7. Analisar controlos e completude"/>
    <s v="NOK"/>
    <s v="Controlos NOK"/>
    <m/>
    <x v="2"/>
    <d v="2024-06-07T00:00:00"/>
    <x v="5"/>
    <s v="NOK"/>
    <m/>
    <m/>
    <m/>
    <s v="Analisar controlos NOK"/>
    <s v="Y"/>
    <s v="N"/>
    <s v="N"/>
    <s v="N"/>
    <s v="N"/>
    <s v="Y"/>
    <x v="1"/>
    <s v="4. Campos com NOK controlos Corporativos"/>
  </r>
  <r>
    <s v="ENTITY"/>
    <s v="PD_CRR_RD_T1"/>
    <x v="1"/>
    <s v="5.1 Em testes - Re-especificação"/>
    <s v="NOK"/>
    <s v="Em testes"/>
    <m/>
    <x v="1"/>
    <d v="2024-06-07T00:00:00"/>
    <x v="8"/>
    <s v="NOK"/>
    <m/>
    <d v="2022-07-08T00:00:00"/>
    <d v="2023-12-07T00:00:00"/>
    <s v="Necessidade de correção de erros"/>
    <s v="Y"/>
    <s v="N"/>
    <s v="N"/>
    <s v="N"/>
    <s v="N"/>
    <s v="N"/>
    <x v="0"/>
    <n v="0"/>
  </r>
  <r>
    <s v="INSTRUMENT"/>
    <s v="PD_CRR_RD_T1"/>
    <x v="1"/>
    <s v="5.1 Em testes - Re-especificação"/>
    <s v="NOK"/>
    <s v="Em testes"/>
    <m/>
    <x v="1"/>
    <d v="2024-06-07T00:00:00"/>
    <x v="8"/>
    <s v="NOK"/>
    <m/>
    <d v="2023-12-21T00:00:00"/>
    <d v="2024-02-08T00:00:00"/>
    <s v="Necessidade de correção de erros"/>
    <s v="Y"/>
    <s v="N"/>
    <s v="N"/>
    <s v="N"/>
    <s v="N"/>
    <s v="N"/>
    <x v="0"/>
    <n v="0"/>
  </r>
  <r>
    <s v="INSTRUMENT"/>
    <s v="PD_IFRS9_12M_INCPTN"/>
    <x v="0"/>
    <s v="9. Concluído"/>
    <s v="OK"/>
    <s v="Concluido, controlos OK"/>
    <m/>
    <x v="0"/>
    <d v="2024-06-07T00:00:00"/>
    <x v="0"/>
    <s v="OK"/>
    <s v="Campo Imparidade"/>
    <m/>
    <m/>
    <s v="Campo concluido"/>
    <s v="Y"/>
    <s v="N"/>
    <s v="N"/>
    <s v="N"/>
    <s v="N"/>
    <s v="Y"/>
    <x v="0"/>
    <s v="6.1. Fora âmbito | Campos concluídos - Sem necessidade de espec."/>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x v="2"/>
    <d v="2024-06-07T00:00:00"/>
    <x v="4"/>
    <s v="NOK"/>
    <s v="Campo Imparidade"/>
    <m/>
    <m/>
    <s v="Analisar controlos NOK"/>
    <s v="Y"/>
    <s v="N"/>
    <s v="N"/>
    <s v="N"/>
    <s v="N"/>
    <s v="Y"/>
    <x v="1"/>
    <s v="5. Campos com outras possíveis alterações - Dependente de decisões OSI "/>
  </r>
  <r>
    <s v="INSTRUMENT"/>
    <s v="PD_IFRS9_12M_RD"/>
    <x v="0"/>
    <s v="7. Analisar controlos e completude"/>
    <s v="NOK"/>
    <m/>
    <m/>
    <x v="1"/>
    <d v="2024-06-07T00:00:00"/>
    <x v="5"/>
    <s v="NOK"/>
    <s v="Campo Imparidade"/>
    <m/>
    <m/>
    <s v="Pendente de decisão"/>
    <s v="Y"/>
    <s v="N"/>
    <s v="N"/>
    <s v="N"/>
    <s v="N"/>
    <s v="Y"/>
    <x v="1"/>
    <s v="4. Campos com NOK controlos Corporativos"/>
  </r>
  <r>
    <s v="ENTITY"/>
    <s v="PD_IFRS9_12M_RD_T1"/>
    <x v="1"/>
    <s v="7. Analisar controlos e completude"/>
    <s v="NOK"/>
    <s v="Controlos NOK"/>
    <m/>
    <x v="2"/>
    <d v="2024-06-07T00:00:00"/>
    <x v="5"/>
    <s v="NOK"/>
    <s v="Campo Imparidade"/>
    <m/>
    <m/>
    <s v="Analisar controlos NOK"/>
    <s v="Y"/>
    <s v="N"/>
    <s v="N"/>
    <s v="N"/>
    <s v="N"/>
    <s v="N"/>
    <x v="0"/>
    <n v="0"/>
  </r>
  <r>
    <s v="INSTRUMENT"/>
    <s v="PD_IFRS9_12M_RD_T1"/>
    <x v="0"/>
    <s v="7. Analisar controlos e completude"/>
    <s v="NOK"/>
    <s v="Controlos NOK"/>
    <m/>
    <x v="2"/>
    <d v="2024-06-07T00:00:00"/>
    <x v="5"/>
    <s v="NOK"/>
    <s v="Campo Imparidade"/>
    <m/>
    <m/>
    <s v="Analisar controlos NOK"/>
    <s v="Y"/>
    <s v="N"/>
    <s v="N"/>
    <s v="N"/>
    <s v="N"/>
    <s v="N"/>
    <x v="0"/>
    <n v="0"/>
  </r>
  <r>
    <s v="INSTRUMENT"/>
    <s v="PD_IFRS9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RD"/>
    <x v="0"/>
    <s v="9. Concluído"/>
    <s v="OK"/>
    <s v="Concluido, controlos OK"/>
    <m/>
    <x v="0"/>
    <d v="2024-06-07T00:00:00"/>
    <x v="0"/>
    <s v="OK"/>
    <s v="Campo Imparidade"/>
    <m/>
    <m/>
    <s v="Campo concluido"/>
    <s v="Y"/>
    <s v="N"/>
    <s v="N"/>
    <s v="N"/>
    <s v="N"/>
    <s v="Y"/>
    <x v="0"/>
    <s v="6.1. Fora âmbito | Campos concluídos - Sem necessidade de espec."/>
  </r>
  <r>
    <s v="INSTRUMENT"/>
    <s v="PMNT_PBLC_GRNT_SCHM_C19"/>
    <x v="1"/>
    <s v="9. Concluído"/>
    <s v="OK"/>
    <s v="Concluido, controlos OK"/>
    <m/>
    <x v="0"/>
    <d v="2024-06-07T00:00:00"/>
    <x v="0"/>
    <s v="OK"/>
    <m/>
    <m/>
    <m/>
    <s v="Campo concluido"/>
    <s v="Y"/>
    <s v="N"/>
    <s v="N"/>
    <s v="N"/>
    <s v="N"/>
    <s v="N"/>
    <x v="0"/>
    <n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Y"/>
    <x v="1"/>
    <s v="2.2 Re-especificação de campos complexos - Resto"/>
  </r>
  <r>
    <s v="INSTRUMENT"/>
    <s v="PRCH_UNDR_RSL_AGR"/>
    <x v="1"/>
    <s v="9. Concluído"/>
    <s v="OK"/>
    <s v="Concluido, controlos OK"/>
    <m/>
    <x v="0"/>
    <d v="2024-06-07T00:00:00"/>
    <x v="0"/>
    <s v="OK"/>
    <m/>
    <m/>
    <m/>
    <s v="Campo concluido"/>
    <s v="Y"/>
    <s v="N"/>
    <s v="N"/>
    <s v="N"/>
    <s v="N"/>
    <s v="N"/>
    <x v="0"/>
    <n v="0"/>
  </r>
  <r>
    <s v="INSTRUMENT"/>
    <s v="PRDCT"/>
    <x v="0"/>
    <s v="9. Concluído"/>
    <s v="OK"/>
    <s v="Concluido, controlos OK"/>
    <m/>
    <x v="0"/>
    <d v="2024-06-07T00:00:00"/>
    <x v="0"/>
    <s v="OK"/>
    <m/>
    <m/>
    <m/>
    <s v="Campo concluido"/>
    <s v="Y"/>
    <s v="N"/>
    <s v="N"/>
    <s v="Y"/>
    <s v="N"/>
    <s v="N"/>
    <x v="0"/>
    <n v="0"/>
  </r>
  <r>
    <s v="INSTRUMENT"/>
    <s v="PRDNTL_PRTFL"/>
    <x v="1"/>
    <s v="9. Concluído"/>
    <s v="OK"/>
    <s v="Concluido, controlos OK"/>
    <m/>
    <x v="0"/>
    <d v="2024-06-07T00:00:00"/>
    <x v="0"/>
    <s v="OK"/>
    <m/>
    <m/>
    <m/>
    <s v="Campo concluido"/>
    <s v="Y"/>
    <s v="N"/>
    <s v="N"/>
    <s v="N"/>
    <s v="N"/>
    <s v="Y"/>
    <x v="0"/>
    <s v="6.1. Fora âmbito | Campos concluídos - Sem necessidade de espec."/>
  </r>
  <r>
    <s v="INSTRUMENT"/>
    <s v="PRFRMNG_STTS"/>
    <x v="0"/>
    <s v="3. Pendente de decisão"/>
    <s v="NOK"/>
    <s v="Verificar necessidade de alteração da fonte para fins de reconciliação. Rever Fonte"/>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ENTITY"/>
    <s v="PRFRMNG_STTS_LE"/>
    <x v="0"/>
    <s v="9. Concluído"/>
    <s v="OK"/>
    <s v="Concluido, controlos OK"/>
    <m/>
    <x v="0"/>
    <d v="2024-06-07T00:00:00"/>
    <x v="0"/>
    <s v="OK"/>
    <m/>
    <m/>
    <m/>
    <s v="Campo concluido"/>
    <s v="Y"/>
    <s v="N"/>
    <s v="N"/>
    <s v="N"/>
    <s v="N"/>
    <s v="Y"/>
    <x v="0"/>
    <s v="6.1. Fora âmbito | Campos concluídos - Sem necessidade de espec."/>
  </r>
  <r>
    <s v="INSTRUMENT"/>
    <s v="PRFRMNG_STTS_PRV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PRJCT_FNNC_LN"/>
    <x v="0"/>
    <s v="9. Concluído"/>
    <s v="OK"/>
    <s v="Concluido, controlos OK"/>
    <m/>
    <x v="0"/>
    <d v="2024-06-07T00:00:00"/>
    <x v="0"/>
    <s v="OK"/>
    <m/>
    <m/>
    <m/>
    <s v="Campo concluido"/>
    <s v="Y"/>
    <s v="N"/>
    <s v="Y"/>
    <s v="N"/>
    <s v="N"/>
    <s v="N"/>
    <x v="0"/>
    <n v="0"/>
  </r>
  <r>
    <s v="PROTECTION"/>
    <s v="PRM_LCTN"/>
    <x v="1"/>
    <s v="5.1 Em testes - Re-especificação"/>
    <s v="NOK"/>
    <s v="Em testes"/>
    <m/>
    <x v="0"/>
    <d v="2025-01-13T00:00:00"/>
    <x v="0"/>
    <s v="OK"/>
    <s v="100220 Casos que deviam ser N e estão a ser reportados MISS"/>
    <d v="2024-06-28T00:00:00"/>
    <d v="2024-12-20T00:00:00"/>
    <s v="Necessidade de correção de erros"/>
    <s v="Y"/>
    <s v="N"/>
    <s v="N"/>
    <s v="N"/>
    <s v="N"/>
    <s v="N"/>
    <x v="0"/>
    <n v="0"/>
  </r>
  <r>
    <s v="INSTRUMENT"/>
    <s v="PRMRY_ASST_CLSSF"/>
    <x v="1"/>
    <s v="9. Concluído"/>
    <s v="OK"/>
    <s v="Concluido, controlos OK"/>
    <m/>
    <x v="0"/>
    <d v="2024-06-07T00:00:00"/>
    <x v="0"/>
    <s v="OK"/>
    <m/>
    <m/>
    <m/>
    <s v="Campo concluido"/>
    <s v="Y"/>
    <s v="N"/>
    <s v="Y"/>
    <s v="N"/>
    <s v="N"/>
    <s v="N"/>
    <x v="0"/>
    <n v="0"/>
  </r>
  <r>
    <s v="INSTRUMENT"/>
    <s v="PRPS"/>
    <x v="0"/>
    <s v="9. Concluído"/>
    <s v="OK"/>
    <s v="Concluido, controlos OK"/>
    <m/>
    <x v="0"/>
    <d v="2024-06-07T00:00:00"/>
    <x v="0"/>
    <s v="OK"/>
    <m/>
    <m/>
    <m/>
    <s v="Campo concluido"/>
    <s v="Y"/>
    <s v="N"/>
    <s v="N"/>
    <s v="N"/>
    <s v="N"/>
    <s v="Y"/>
    <x v="0"/>
    <s v="6.1. Fora âmbito | Campos concluídos - Sem necessidade de espec."/>
  </r>
  <r>
    <s v="ENTITY"/>
    <s v="PRSN_TYP"/>
    <x v="1"/>
    <s v="4.1 Em implementação - Re-especificação"/>
    <s v="OK"/>
    <s v="Aguarda implementação de IT"/>
    <m/>
    <x v="2"/>
    <d v="2024-06-17T00:00:00"/>
    <x v="8"/>
    <s v="OK"/>
    <m/>
    <d v="2024-01-12T00:00:00"/>
    <d v="2024-03-21T00:00:00"/>
    <s v="Novo campo"/>
    <s v="Y"/>
    <s v="N"/>
    <s v="N"/>
    <s v="N"/>
    <s v="N"/>
    <s v="N"/>
    <x v="0"/>
    <n v="0"/>
  </r>
  <r>
    <s v="INSTRUMENT"/>
    <s v="PRT_LCR_BFFR"/>
    <x v="1"/>
    <s v="9. Concluído"/>
    <s v="OK"/>
    <s v="Concluido, controlos OK"/>
    <m/>
    <x v="0"/>
    <d v="2024-06-07T00:00:00"/>
    <x v="0"/>
    <s v="OK"/>
    <m/>
    <m/>
    <m/>
    <s v="Campo concluido"/>
    <s v="Y"/>
    <s v="N"/>
    <s v="N"/>
    <s v="N"/>
    <s v="N"/>
    <s v="N"/>
    <x v="0"/>
    <n v="0"/>
  </r>
  <r>
    <s v="INSTR_PROTECTION"/>
    <s v="PRTCTN_ALLCTD_VL"/>
    <x v="0"/>
    <s v="9. Concluído"/>
    <s v="OK"/>
    <s v="Concluido, controlos OK"/>
    <m/>
    <x v="0"/>
    <d v="2024-06-07T00:00:00"/>
    <x v="0"/>
    <s v="OK"/>
    <m/>
    <m/>
    <m/>
    <s v="Campo concluido"/>
    <s v="Y"/>
    <s v="N"/>
    <s v="Y"/>
    <s v="N"/>
    <s v="N"/>
    <s v="N"/>
    <x v="0"/>
    <n v="0"/>
  </r>
  <r>
    <s v="PROTECTION"/>
    <s v="PRTCTN_CLLD"/>
    <x v="0"/>
    <s v="7. Analisar controlos e completude"/>
    <s v="NOK"/>
    <s v="Controlos NOK"/>
    <m/>
    <x v="2"/>
    <d v="2024-06-07T00:00:00"/>
    <x v="5"/>
    <s v="NOK"/>
    <m/>
    <m/>
    <m/>
    <s v="Analisar controlos NOK"/>
    <s v="Y"/>
    <s v="N"/>
    <s v="N"/>
    <s v="N"/>
    <s v="N"/>
    <s v="N"/>
    <x v="0"/>
    <n v="0"/>
  </r>
  <r>
    <s v="PROTECTION"/>
    <s v="PRTCTN_FRCD_SL_VL"/>
    <x v="0"/>
    <s v="9. Concluído"/>
    <s v="OK"/>
    <s v="Concluido, controlos OK"/>
    <m/>
    <x v="0"/>
    <d v="2024-06-07T00:00:00"/>
    <x v="0"/>
    <s v="OK"/>
    <m/>
    <m/>
    <m/>
    <s v="Campo concluido"/>
    <s v="Y"/>
    <s v="N"/>
    <s v="N"/>
    <s v="N"/>
    <s v="N"/>
    <s v="N"/>
    <x v="0"/>
    <n v="0"/>
  </r>
  <r>
    <s v="INSTR_PROTECTION"/>
    <s v="PRTCTN_ID"/>
    <x v="0"/>
    <s v="7. Analisar controlos e completude"/>
    <s v="NOK"/>
    <s v="Controlos NOK"/>
    <m/>
    <x v="2"/>
    <d v="2024-06-07T00:00:00"/>
    <x v="5"/>
    <s v="NOK"/>
    <m/>
    <m/>
    <m/>
    <s v="Analisar controlos NOK"/>
    <s v="Y"/>
    <s v="Y"/>
    <s v="Y"/>
    <s v="N"/>
    <s v="N"/>
    <s v="N"/>
    <x v="0"/>
    <n v="0"/>
  </r>
  <r>
    <s v="PROTECTION"/>
    <s v="PRTCTN_ID"/>
    <x v="0"/>
    <s v="7. Analisar controlos e completude"/>
    <s v="NOK"/>
    <s v="Controlos NOK"/>
    <m/>
    <x v="2"/>
    <d v="2024-06-07T00:00:00"/>
    <x v="5"/>
    <s v="NOK"/>
    <m/>
    <m/>
    <m/>
    <s v="Analisar controlos NOK"/>
    <s v="Y"/>
    <s v="Y"/>
    <s v="Y"/>
    <s v="N"/>
    <s v="Y"/>
    <s v="N"/>
    <x v="0"/>
    <n v="0"/>
  </r>
  <r>
    <s v="PROTECTION"/>
    <s v="PRTCTN_PRVDR_ID"/>
    <x v="0"/>
    <s v="7. Analisar controlos e completude"/>
    <s v="NOK"/>
    <s v="Controlos NOK"/>
    <m/>
    <x v="2"/>
    <d v="2024-06-07T00:00:00"/>
    <x v="5"/>
    <s v="NOK"/>
    <m/>
    <m/>
    <m/>
    <s v="Analisar controlos NOK"/>
    <s v="Y"/>
    <s v="N"/>
    <s v="N"/>
    <s v="N"/>
    <s v="N"/>
    <s v="N"/>
    <x v="0"/>
    <n v="0"/>
  </r>
  <r>
    <s v="PROTECTION"/>
    <s v="PRTCTN_TYP_PBLC_GRNT_SCHM_C19"/>
    <x v="1"/>
    <s v="7. Analisar controlos e completude"/>
    <s v="NOK"/>
    <s v="Controlos NOK"/>
    <m/>
    <x v="2"/>
    <d v="2024-06-07T00:00:00"/>
    <x v="5"/>
    <s v="NOK"/>
    <m/>
    <m/>
    <m/>
    <s v="Analisar controlos NOK"/>
    <s v="Y"/>
    <s v="N"/>
    <s v="N"/>
    <s v="N"/>
    <s v="N"/>
    <s v="N"/>
    <x v="0"/>
    <n v="0"/>
  </r>
  <r>
    <s v="ENTITY"/>
    <s v="DT_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PROTECTION"/>
    <s v="ORGNL_PRTCTN_VL"/>
    <x v="0"/>
    <s v="5.2 Em testes - Incidência"/>
    <s v="OK"/>
    <s v="Campo com incidência"/>
    <s v="1) Campo com incidência, está a reportar apenas valores de MISS e N/A"/>
    <x v="1"/>
    <d v="2025-01-13T00:00:00"/>
    <x v="8"/>
    <s v="NOK"/>
    <s v="14 casos com valor original da proteção a zero"/>
    <d v="2024-09-20T00:00:00"/>
    <m/>
    <s v="Necessidade de correção de erros"/>
    <s v="Y"/>
    <s v="N"/>
    <s v="Y"/>
    <s v="N"/>
    <s v="N"/>
    <s v="N"/>
    <x v="0"/>
    <n v="0"/>
  </r>
  <r>
    <s v="PROTECTION"/>
    <s v="PRTCTN_VL_PRVS"/>
    <x v="0"/>
    <s v="9. Concluído"/>
    <s v="OK"/>
    <s v="Concluido, controlos OK"/>
    <m/>
    <x v="0"/>
    <d v="2024-06-07T00:00:00"/>
    <x v="0"/>
    <s v="OK"/>
    <m/>
    <m/>
    <m/>
    <s v="Campo concluido"/>
    <s v="Y"/>
    <s v="N"/>
    <s v="N"/>
    <s v="N"/>
    <s v="N"/>
    <s v="N"/>
    <x v="0"/>
    <n v="0"/>
  </r>
  <r>
    <s v="PROTECTION"/>
    <s v="PRTCTN_VLTN_APPRCH"/>
    <x v="0"/>
    <s v="7. Analisar controlos e completude"/>
    <s v="NOK"/>
    <s v="Controlos NOK"/>
    <m/>
    <x v="2"/>
    <d v="2024-06-07T00:00:00"/>
    <x v="5"/>
    <s v="NOK"/>
    <m/>
    <m/>
    <m/>
    <s v="Analisar controlos NOK"/>
    <s v="Y"/>
    <s v="N"/>
    <s v="N"/>
    <s v="N"/>
    <s v="N"/>
    <s v="N"/>
    <x v="0"/>
    <n v="0"/>
  </r>
  <r>
    <s v="INSTRUMENT"/>
    <s v="PRVSNS_OFF_BLNC_SHT"/>
    <x v="0"/>
    <s v="9. Concluído"/>
    <s v="OK"/>
    <s v="Concluido, controlos OK"/>
    <m/>
    <x v="0"/>
    <d v="2024-06-07T00:00:00"/>
    <x v="0"/>
    <s v="OK"/>
    <m/>
    <m/>
    <m/>
    <s v="Campo concluido"/>
    <s v="Y"/>
    <s v="Y"/>
    <s v="N"/>
    <s v="N"/>
    <s v="N"/>
    <s v="N"/>
    <x v="0"/>
    <n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x v="1"/>
    <d v="2024-06-07T00:00:00"/>
    <x v="1"/>
    <s v="OK"/>
    <m/>
    <m/>
    <m/>
    <s v="Pendente de decisão"/>
    <s v="Y"/>
    <s v="N"/>
    <s v="N"/>
    <s v="N"/>
    <s v="N"/>
    <s v="N"/>
    <x v="0"/>
    <n v="0"/>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RCRS"/>
    <x v="0"/>
    <s v="9. Concluído"/>
    <s v="OK"/>
    <s v="Concluido, controlos OK"/>
    <m/>
    <x v="0"/>
    <d v="2024-06-07T00:00:00"/>
    <x v="0"/>
    <s v="OK"/>
    <m/>
    <m/>
    <m/>
    <s v="Campo concluido"/>
    <s v="Y"/>
    <s v="N"/>
    <s v="N"/>
    <s v="N"/>
    <s v="N"/>
    <s v="N"/>
    <x v="0"/>
    <n v="0"/>
  </r>
  <r>
    <s v="INSTRUMENT"/>
    <s v="RCVD_AMRTSTN_12M"/>
    <x v="0"/>
    <s v="7. Analisar controlos e completude"/>
    <s v="NOK"/>
    <s v="Controlos NOK"/>
    <m/>
    <x v="2"/>
    <d v="2024-06-07T00:00:00"/>
    <x v="5"/>
    <s v="NOK"/>
    <m/>
    <m/>
    <m/>
    <s v="Analisar controlos NOK"/>
    <s v="Y"/>
    <s v="N"/>
    <s v="N"/>
    <s v="N"/>
    <s v="N"/>
    <s v="Y"/>
    <x v="1"/>
    <s v="4. Campos com NOK controlos Corporativos"/>
  </r>
  <r>
    <s v="INSTRUMENT"/>
    <s v="RCVD_AMRTSTN_24M"/>
    <x v="0"/>
    <s v="9. Concluído"/>
    <s v="OK"/>
    <s v="Concluido, controlos OK"/>
    <m/>
    <x v="0"/>
    <d v="2024-06-07T00:00:00"/>
    <x v="0"/>
    <s v="OK"/>
    <m/>
    <m/>
    <m/>
    <s v="Campo concluido"/>
    <s v="Y"/>
    <s v="N"/>
    <s v="N"/>
    <s v="N"/>
    <s v="N"/>
    <s v="Y"/>
    <x v="0"/>
    <s v="6.1. Fora âmbito | Campos concluídos - Sem necessidade de espec."/>
  </r>
  <r>
    <s v="PROTECTION"/>
    <s v="DT_CNSTRCTN_STTS"/>
    <x v="1"/>
    <s v="2. Alterar especificação"/>
    <s v="NOK"/>
    <s v="Campo dependente do MUG"/>
    <s v="Criação de uma tabela auxiliar de histórico dos estados de construção numa ótica diária"/>
    <x v="1"/>
    <d v="2024-10-03T00:00:00"/>
    <x v="2"/>
    <s v="NOK"/>
    <m/>
    <m/>
    <m/>
    <s v="Necessidade de correção de erros"/>
    <s v="Y"/>
    <s v="N"/>
    <s v="N"/>
    <s v="N"/>
    <s v="N"/>
    <s v="N"/>
    <x v="0"/>
    <n v="0"/>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x v="1"/>
    <d v="2024-06-07T00:00:00"/>
    <x v="2"/>
    <s v="NOK"/>
    <m/>
    <m/>
    <m/>
    <s v="Necessidade de correção de erros"/>
    <s v="Y"/>
    <s v="Y"/>
    <s v="Y"/>
    <s v="N"/>
    <s v="N"/>
    <s v="Y"/>
    <x v="1"/>
    <s v="2.2 Re-especificação de campos complexos - Resto"/>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x v="2"/>
    <d v="2024-06-07T00:00:00"/>
    <x v="2"/>
    <s v="OK"/>
    <m/>
    <m/>
    <m/>
    <s v="Melhorias estruturais (garantir coerência entre campos)"/>
    <s v="Y"/>
    <s v="N"/>
    <s v="N"/>
    <s v="N"/>
    <s v="N"/>
    <s v="N"/>
    <x v="0"/>
    <n v="0"/>
  </r>
  <r>
    <s v="INSTRUMENT"/>
    <s v="RFRNC_RT"/>
    <x v="1"/>
    <s v="9. Concluído"/>
    <s v="OK"/>
    <s v="Concluido, controlos OK"/>
    <m/>
    <x v="0"/>
    <d v="2024-06-07T00:00:00"/>
    <x v="0"/>
    <s v="OK"/>
    <m/>
    <m/>
    <m/>
    <s v="Campo concluido"/>
    <s v="Y"/>
    <s v="N"/>
    <s v="N"/>
    <s v="N"/>
    <s v="N"/>
    <s v="N"/>
    <x v="0"/>
    <n v="0"/>
  </r>
  <r>
    <s v="PROTECTION"/>
    <s v="RL_ESTT_ADDRSS"/>
    <x v="1"/>
    <s v="7. Analisar controlos e completude"/>
    <s v="NOK"/>
    <s v="Controlos NOK"/>
    <m/>
    <x v="2"/>
    <d v="2024-06-07T00:00:00"/>
    <x v="5"/>
    <s v="NOK"/>
    <m/>
    <m/>
    <m/>
    <s v="Analisar controlos NOK"/>
    <s v="Y"/>
    <s v="N"/>
    <s v="N"/>
    <s v="N"/>
    <s v="Y"/>
    <s v="N"/>
    <x v="0"/>
    <n v="0"/>
  </r>
  <r>
    <s v="INSTRUMENT"/>
    <s v="CMLTV_RCVRS_SNC_DFLT_INSTRMNT"/>
    <x v="0"/>
    <s v="2. Alterar especificação"/>
    <s v="OK"/>
    <s v="Campo especificado, mas sem dados. Campo marcado com MISS ou NA"/>
    <m/>
    <x v="2"/>
    <d v="2024-06-07T00:00:00"/>
    <x v="2"/>
    <s v="OK"/>
    <m/>
    <m/>
    <m/>
    <s v="Campo concluído, mas sem ou pouca informação na fonte"/>
    <s v="Y"/>
    <s v="N"/>
    <s v="N"/>
    <s v="N"/>
    <s v="N"/>
    <s v="N"/>
    <x v="0"/>
    <n v="0"/>
  </r>
  <r>
    <s v="PROTECTION"/>
    <s v="RL_ESTT_CLLTRL_LCTN_INT"/>
    <x v="1"/>
    <s v="7. Analisar controlos e completude"/>
    <s v="NOK"/>
    <s v="Controlos NOK"/>
    <m/>
    <x v="2"/>
    <d v="2024-06-07T00:00:00"/>
    <x v="5"/>
    <s v="NOK"/>
    <m/>
    <m/>
    <m/>
    <s v="Analisar controlos NOK"/>
    <s v="Y"/>
    <s v="N"/>
    <s v="N"/>
    <s v="N"/>
    <s v="Y"/>
    <s v="N"/>
    <x v="0"/>
    <n v="0"/>
  </r>
  <r>
    <s v="PROTECTION"/>
    <s v="RL_ESTT_CTY"/>
    <x v="1"/>
    <s v="7. Analisar controlos e completude"/>
    <s v="NOK"/>
    <s v="Controlos NOK"/>
    <m/>
    <x v="2"/>
    <d v="2024-06-07T00:00:00"/>
    <x v="5"/>
    <s v="NOK"/>
    <m/>
    <m/>
    <m/>
    <s v="Analisar controlos NOK"/>
    <s v="Y"/>
    <s v="N"/>
    <s v="N"/>
    <s v="N"/>
    <s v="Y"/>
    <s v="N"/>
    <x v="0"/>
    <n v="0"/>
  </r>
  <r>
    <s v="PROTECTION"/>
    <s v="RL_ESTT_PST_CD"/>
    <x v="0"/>
    <s v="7. Analisar controlos e completude"/>
    <s v="NOK"/>
    <s v="Controlos NOK"/>
    <m/>
    <x v="2"/>
    <d v="2024-06-07T00:00:00"/>
    <x v="5"/>
    <s v="NOK"/>
    <m/>
    <m/>
    <m/>
    <s v="Analisar controlos NOK"/>
    <s v="Y"/>
    <s v="N"/>
    <s v="Y"/>
    <s v="N"/>
    <s v="Y"/>
    <s v="N"/>
    <x v="0"/>
    <n v="0"/>
  </r>
  <r>
    <s v="INSTRUMENT"/>
    <s v="RRE_FNRP18"/>
    <x v="1"/>
    <s v="9. Concluído"/>
    <s v="OK"/>
    <s v="Concluido, controlos OK"/>
    <m/>
    <x v="0"/>
    <d v="2024-06-07T00:00:00"/>
    <x v="0"/>
    <s v="OK"/>
    <m/>
    <m/>
    <m/>
    <s v="Campo concluido"/>
    <s v="Y"/>
    <s v="N"/>
    <s v="N"/>
    <s v="N"/>
    <s v="N"/>
    <s v="N"/>
    <x v="0"/>
    <n v="0"/>
  </r>
  <r>
    <s v="ENTITY"/>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INSTRUMENT"/>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ENTITY"/>
    <s v="RTNG_SCL"/>
    <x v="0"/>
    <s v="9. Concluído"/>
    <s v="OK"/>
    <s v="Concluido, controlos OK"/>
    <m/>
    <x v="0"/>
    <d v="2024-06-07T00:00:00"/>
    <x v="0"/>
    <s v="OK"/>
    <m/>
    <m/>
    <m/>
    <s v="Campo concluido"/>
    <s v="Y"/>
    <s v="N"/>
    <s v="N"/>
    <s v="N"/>
    <s v="N"/>
    <s v="Y"/>
    <x v="0"/>
    <s v="6.1. Fora âmbito | Campos concluídos - Sem necessidade de espec."/>
  </r>
  <r>
    <s v="INSTRUMENT"/>
    <s v="RTNG_SCL"/>
    <x v="0"/>
    <s v="9. Concluído"/>
    <s v="OK"/>
    <s v="Concluido, controlos OK"/>
    <m/>
    <x v="0"/>
    <d v="2024-06-07T00:00:00"/>
    <x v="0"/>
    <s v="OK"/>
    <m/>
    <m/>
    <m/>
    <s v="Campo concluido"/>
    <s v="Y"/>
    <s v="N"/>
    <s v="N"/>
    <s v="N"/>
    <s v="N"/>
    <s v="Y"/>
    <x v="0"/>
    <s v="6.1. Fora âmbito | Campos concluídos - Sem necessidade de espec."/>
  </r>
  <r>
    <s v="INSTRUMENT"/>
    <s v="RTNTN_SHR"/>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RWA"/>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s v="Necessidade de correção de erros"/>
    <s v="Y"/>
    <s v="Y"/>
    <s v="N"/>
    <s v="N"/>
    <s v="N"/>
    <s v="Y"/>
    <x v="1"/>
    <s v="3. Campos em testes ou c/ incidências"/>
  </r>
  <r>
    <s v="INSTRUMENT"/>
    <s v="DT_LGL_FNL_MTRTY"/>
    <x v="0"/>
    <s v="5.2 Em testes - Incidência"/>
    <s v="NOK"/>
    <s v="Controlos NOK e com Incidência nos formatos. "/>
    <s v="Alterarção formato de 99999999 para 1111-11-11."/>
    <x v="1"/>
    <d v="2024-06-07T00:00:00"/>
    <x v="1"/>
    <s v="NOK"/>
    <m/>
    <m/>
    <m/>
    <s v="Necessidade de correção de erros"/>
    <s v="Y"/>
    <s v="N"/>
    <s v="Y"/>
    <s v="N"/>
    <s v="N"/>
    <s v="Y"/>
    <x v="1"/>
    <s v="3. Campos em testes ou c/ incidências"/>
  </r>
  <r>
    <s v="INSTRUMENT"/>
    <s v="SBJCT_PBLC_GRNT_SCHM_C19"/>
    <x v="1"/>
    <s v="9. Concluído"/>
    <s v="OK"/>
    <s v="Concluido, controlos OK"/>
    <m/>
    <x v="0"/>
    <d v="2024-06-07T00:00:00"/>
    <x v="0"/>
    <s v="OK"/>
    <m/>
    <m/>
    <m/>
    <s v="Campo concluido"/>
    <s v="Y"/>
    <s v="N"/>
    <s v="N"/>
    <s v="N"/>
    <s v="N"/>
    <s v="N"/>
    <x v="0"/>
    <n v="0"/>
  </r>
  <r>
    <s v="INSTRUMENT"/>
    <s v="DT_NXT_INTRST_RT_RST"/>
    <x v="0"/>
    <s v="5.2 Em testes - Incidência"/>
    <s v="NOK"/>
    <s v="Controlos NOK e com Incidência nos formatos."/>
    <s v=" Alteração formato de 0001-01-01 para 0000-00-00."/>
    <x v="1"/>
    <d v="2024-06-07T00:00:00"/>
    <x v="1"/>
    <s v="NOK"/>
    <m/>
    <m/>
    <m/>
    <s v="Necessidade de correção de erros"/>
    <s v="Y"/>
    <s v="N"/>
    <s v="N"/>
    <s v="N"/>
    <s v="N"/>
    <s v="N"/>
    <x v="0"/>
    <n v="0"/>
  </r>
  <r>
    <s v="INSTRUMENT"/>
    <s v="SME_FNRP18"/>
    <x v="0"/>
    <s v="9. Concluído"/>
    <s v="OK"/>
    <s v="Concluido, controlos OK"/>
    <m/>
    <x v="0"/>
    <d v="2024-06-07T00:00:00"/>
    <x v="0"/>
    <s v="OK"/>
    <m/>
    <m/>
    <m/>
    <s v="Campo concluido"/>
    <s v="Y"/>
    <s v="N"/>
    <s v="N"/>
    <s v="N"/>
    <s v="N"/>
    <s v="N"/>
    <x v="0"/>
    <n v="0"/>
  </r>
  <r>
    <s v="ENTITY"/>
    <s v="SNGL_PRPS_VHCL"/>
    <x v="1"/>
    <s v="9. Concluído"/>
    <s v="OK"/>
    <s v="Concluido, controlos OK"/>
    <m/>
    <x v="0"/>
    <d v="2024-06-07T00:00:00"/>
    <x v="0"/>
    <s v="OK"/>
    <m/>
    <m/>
    <m/>
    <s v="Campo concluido"/>
    <s v="Y"/>
    <s v="N"/>
    <s v="N"/>
    <s v="N"/>
    <s v="N"/>
    <s v="N"/>
    <x v="0"/>
    <n v="0"/>
  </r>
  <r>
    <s v="INSTRUMENT"/>
    <s v="SPCLTV_LNDNG"/>
    <x v="1"/>
    <s v="7. Analisar controlos e completude"/>
    <s v="NOK"/>
    <s v="Controlos NOK"/>
    <m/>
    <x v="2"/>
    <d v="2024-06-07T00:00:00"/>
    <x v="5"/>
    <s v="NOK"/>
    <m/>
    <m/>
    <m/>
    <s v="Analisar controlos NOK"/>
    <s v="Y"/>
    <s v="N"/>
    <s v="N"/>
    <s v="N"/>
    <s v="N"/>
    <s v="N"/>
    <x v="0"/>
    <n v="0"/>
  </r>
  <r>
    <s v="INSTRUMENT"/>
    <s v="SPNSR_NM"/>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SPRD"/>
    <x v="1"/>
    <s v="9. Concluído"/>
    <s v="OK"/>
    <s v="Concluido, controlos OK"/>
    <m/>
    <x v="0"/>
    <d v="2024-06-07T00:00:00"/>
    <x v="0"/>
    <s v="OK"/>
    <m/>
    <m/>
    <m/>
    <s v="Campo concluido"/>
    <s v="Y"/>
    <s v="N"/>
    <s v="N"/>
    <s v="N"/>
    <s v="N"/>
    <s v="N"/>
    <x v="0"/>
    <n v="0"/>
  </r>
  <r>
    <s v="INSTRUMENT"/>
    <s v="SRCS_ENCMBRNC"/>
    <x v="1"/>
    <s v="9. Concluído"/>
    <s v="OK"/>
    <s v="Concluido, controlos OK"/>
    <m/>
    <x v="0"/>
    <d v="2024-06-07T00:00:00"/>
    <x v="0"/>
    <s v="OK"/>
    <m/>
    <m/>
    <m/>
    <s v="Campo concluido"/>
    <s v="Y"/>
    <s v="N"/>
    <s v="N"/>
    <s v="N"/>
    <s v="N"/>
    <s v="N"/>
    <x v="0"/>
    <n v="0"/>
  </r>
  <r>
    <s v="INSTRUMENT"/>
    <s v="STTS_UNDRWRTTN_TRNS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UBPORTFOLIO_ID"/>
    <x v="0"/>
    <s v="9. Concluído"/>
    <s v="OK"/>
    <s v="Concluido, controlos OK"/>
    <m/>
    <x v="0"/>
    <d v="2024-06-07T00:00:00"/>
    <x v="0"/>
    <s v="OK"/>
    <m/>
    <m/>
    <m/>
    <s v="Campo concluido"/>
    <s v="Y"/>
    <s v="Y"/>
    <s v="Y"/>
    <s v="N"/>
    <s v="Y"/>
    <s v="Y"/>
    <x v="0"/>
    <s v="6.1. Fora âmbito | Campos concluídos - Sem necessidade de espec."/>
  </r>
  <r>
    <s v="INSTRUMENT"/>
    <s v="SYNDCT_RL"/>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AGNT"/>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CNTRCT_ID"/>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LNDRS"/>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SHR"/>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N_TYP"/>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AX_ID"/>
    <x v="1"/>
    <s v="7. Analisar controlos e completude"/>
    <s v="NOK"/>
    <s v="Campo especificado, mas com problemas a montante"/>
    <m/>
    <x v="2"/>
    <d v="2024-06-07T00:00:00"/>
    <x v="5"/>
    <s v="NOK"/>
    <m/>
    <m/>
    <m/>
    <s v="Analisar controlos NOK"/>
    <s v="Y"/>
    <s v="N"/>
    <s v="N"/>
    <s v="N"/>
    <s v="N"/>
    <s v="N"/>
    <x v="0"/>
    <n v="0"/>
  </r>
  <r>
    <s v="PROTECTION"/>
    <s v="TAX_ID"/>
    <x v="1"/>
    <s v="7. Analisar controlos e completude"/>
    <s v="NOK"/>
    <s v="Concluido, controlos por parte de Riscos"/>
    <m/>
    <x v="2"/>
    <d v="2024-06-07T00:00:00"/>
    <x v="5"/>
    <s v="NOK"/>
    <m/>
    <m/>
    <m/>
    <s v="Analisar controlos NOK"/>
    <s v="Y"/>
    <s v="N"/>
    <s v="N"/>
    <s v="N"/>
    <s v="N"/>
    <s v="N"/>
    <x v="0"/>
    <n v="0"/>
  </r>
  <r>
    <s v="INSTR_PROTECTION"/>
    <s v="THRD_PRTY_PRRTY_CLMS"/>
    <x v="0"/>
    <s v="9. Concluído"/>
    <s v="OK"/>
    <s v="Concluido, controlos OK"/>
    <m/>
    <x v="0"/>
    <d v="2024-06-07T00:00:00"/>
    <x v="0"/>
    <s v="OK"/>
    <m/>
    <m/>
    <m/>
    <s v="Campo concluido"/>
    <s v="Y"/>
    <s v="N"/>
    <s v="N"/>
    <s v="N"/>
    <s v="N"/>
    <s v="N"/>
    <x v="0"/>
    <n v="0"/>
  </r>
  <r>
    <s v="INSTRUMENT"/>
    <s v="TRNCH"/>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TL_DB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TTL_DBT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ACCRD_INTRST_INSTRMNT"/>
    <x v="0"/>
    <s v="2. Alterar especificação"/>
    <s v="OK"/>
    <s v="Alterar especificação (Área enviou nova metodologia do campo)"/>
    <m/>
    <x v="2"/>
    <d v="2024-06-07T00:00:00"/>
    <x v="2"/>
    <s v="OK"/>
    <m/>
    <m/>
    <m/>
    <s v="Melhorias estruturais (garantir coerência entre campos)"/>
    <s v="Y"/>
    <s v="N"/>
    <s v="N"/>
    <s v="N"/>
    <s v="N"/>
    <s v="Y"/>
    <x v="1"/>
    <s v="2.2 Re-especificação de campos complexos - Resto"/>
  </r>
  <r>
    <s v="ENTITY"/>
    <s v="TTL_LVRG_RT"/>
    <x v="1"/>
    <s v="9. Concluído"/>
    <s v="OK"/>
    <s v="Concluido, controlos OK"/>
    <m/>
    <x v="0"/>
    <d v="2024-06-07T00:00:00"/>
    <x v="0"/>
    <s v="OK"/>
    <m/>
    <m/>
    <m/>
    <s v="Campo concluido"/>
    <s v="Y"/>
    <s v="N"/>
    <s v="N"/>
    <s v="N"/>
    <s v="N"/>
    <s v="Y"/>
    <x v="0"/>
    <s v="6.1. Fora âmbito | Campos concluídos - Sem necessidade de espec."/>
  </r>
  <r>
    <s v="ENTITY"/>
    <s v="TTL_LVRG_RT_PRVS"/>
    <x v="1"/>
    <s v="9. Concluído"/>
    <s v="OK"/>
    <s v="Concluido, controlos OK"/>
    <m/>
    <x v="0"/>
    <d v="2024-06-07T00:00:00"/>
    <x v="0"/>
    <s v="OK"/>
    <m/>
    <m/>
    <m/>
    <s v="Campo concluido"/>
    <s v="Y"/>
    <s v="N"/>
    <s v="N"/>
    <s v="N"/>
    <s v="N"/>
    <s v="Y"/>
    <x v="0"/>
    <s v="6.1. Fora âmbito | Campos concluídos - Sem necessidade de espec."/>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TYP_CMPLNT_MRTR_C19"/>
    <x v="1"/>
    <s v="9. Concluído"/>
    <s v="OK"/>
    <s v="Concluido, controlos OK"/>
    <m/>
    <x v="0"/>
    <d v="2024-06-07T00:00:00"/>
    <x v="0"/>
    <s v="OK"/>
    <m/>
    <m/>
    <m/>
    <s v="Campo concluido"/>
    <s v="Y"/>
    <s v="N"/>
    <s v="N"/>
    <s v="N"/>
    <s v="N"/>
    <s v="N"/>
    <x v="0"/>
    <n v="0"/>
  </r>
  <r>
    <s v="INSTRUMENT"/>
    <s v="TYP_CRE_OPRTN"/>
    <x v="1"/>
    <s v="7. Analisar controlos e completude"/>
    <s v="NOK"/>
    <s v="Controlos NOK"/>
    <m/>
    <x v="2"/>
    <d v="2024-06-07T00:00:00"/>
    <x v="5"/>
    <s v="NOK"/>
    <m/>
    <m/>
    <m/>
    <s v="Analisar controlos NOK"/>
    <s v="Y"/>
    <s v="N"/>
    <s v="N"/>
    <s v="N"/>
    <s v="N"/>
    <s v="N"/>
    <x v="0"/>
    <n v="0"/>
  </r>
  <r>
    <s v="INSTRUMENT"/>
    <s v="TYP_INSTRMNT"/>
    <x v="0"/>
    <s v="9. Concluído"/>
    <s v="OK"/>
    <s v="Concluido, controlos OK"/>
    <m/>
    <x v="0"/>
    <d v="2024-06-07T00:00:00"/>
    <x v="0"/>
    <s v="OK"/>
    <m/>
    <m/>
    <m/>
    <s v="Campo concluido"/>
    <s v="Y"/>
    <s v="Y"/>
    <s v="Y"/>
    <s v="N"/>
    <s v="N"/>
    <s v="Y"/>
    <x v="0"/>
    <s v="6.1. Fora âmbito | Campos concluídos - Sem necessidade de espec."/>
  </r>
  <r>
    <s v="INSTRUMENT"/>
    <s v="TYP_INTRST_RT"/>
    <x v="0"/>
    <s v="9. Concluído"/>
    <s v="OK"/>
    <s v="Concluido, controlos OK"/>
    <m/>
    <x v="0"/>
    <d v="2024-06-07T00:00:00"/>
    <x v="0"/>
    <s v="OK"/>
    <m/>
    <m/>
    <m/>
    <s v="Campo concluido"/>
    <s v="Y"/>
    <s v="N"/>
    <s v="N"/>
    <s v="N"/>
    <s v="N"/>
    <s v="N"/>
    <x v="0"/>
    <n v="0"/>
  </r>
  <r>
    <s v="PROTECTION"/>
    <s v="PRTCTN_VL"/>
    <x v="0"/>
    <s v="5.2 Em testes - Incidência"/>
    <s v="OK"/>
    <s v="Campo com incidência"/>
    <s v="Incidências: Casos em que valor é 0"/>
    <x v="1"/>
    <d v="2024-09-27T00:00:00"/>
    <x v="1"/>
    <s v="NOK"/>
    <s v="44 garantias com valor zero."/>
    <m/>
    <m/>
    <s v="Necessidade de correção de erros"/>
    <s v="Y"/>
    <s v="Y"/>
    <s v="Y"/>
    <s v="N"/>
    <s v="N"/>
    <s v="N"/>
    <x v="0"/>
    <n v="0"/>
  </r>
  <r>
    <s v="PROTECTION"/>
    <s v="PRTCTN_VL_NPE"/>
    <x v="0"/>
    <s v="5.1 Em testes - Re-especificação"/>
    <s v="OK"/>
    <s v="Campo depende do histórico do PRFRMNG_STTS. Não é necessário alterar a especificação do mesmo, apenas testar se a metodologia do campo PRFRMNG_STTS for alterada. "/>
    <m/>
    <x v="1"/>
    <d v="2024-10-03T00:00:00"/>
    <x v="8"/>
    <s v="OK"/>
    <m/>
    <m/>
    <m/>
    <s v="Pendente de decisão"/>
    <s v="Y"/>
    <s v="N"/>
    <s v="N"/>
    <s v="N"/>
    <s v="N"/>
    <s v="N"/>
    <x v="0"/>
    <n v="0"/>
  </r>
  <r>
    <s v="PROTECTION"/>
    <s v="TYP_PRTCTN_INTRNL"/>
    <x v="0"/>
    <s v="7. Analisar controlos e completude"/>
    <s v="NOK"/>
    <s v="Controlos NOK"/>
    <m/>
    <x v="2"/>
    <d v="2024-06-07T00:00:00"/>
    <x v="5"/>
    <s v="NOK"/>
    <m/>
    <m/>
    <m/>
    <s v="Analisar controlos NOK"/>
    <s v="Y"/>
    <s v="N"/>
    <s v="N"/>
    <s v="N"/>
    <s v="N"/>
    <s v="N"/>
    <x v="0"/>
    <n v="0"/>
  </r>
  <r>
    <s v="PROTECTION"/>
    <s v="TYP_PRTCTN_VL"/>
    <x v="0"/>
    <s v="7. Analisar controlos e completude"/>
    <s v="NOK"/>
    <s v="Controlos NOK"/>
    <m/>
    <x v="2"/>
    <d v="2024-06-07T00:00:00"/>
    <x v="5"/>
    <s v="NOK"/>
    <m/>
    <m/>
    <m/>
    <s v="Analisar controlos NOK"/>
    <s v="Y"/>
    <s v="N"/>
    <s v="N"/>
    <s v="N"/>
    <s v="N"/>
    <s v="N"/>
    <x v="0"/>
    <n v="0"/>
  </r>
  <r>
    <s v="INSTRUMENT"/>
    <s v="TYPE_OF_PLCMNT"/>
    <x v="1"/>
    <s v="9. Concluído"/>
    <s v="OK"/>
    <s v="Concluido, controlos OK"/>
    <m/>
    <x v="0"/>
    <d v="2024-06-07T00:00:00"/>
    <x v="0"/>
    <s v="OK"/>
    <m/>
    <m/>
    <m/>
    <s v="Campo concluido"/>
    <s v="Y"/>
    <s v="N"/>
    <s v="N"/>
    <s v="N"/>
    <s v="N"/>
    <s v="N"/>
    <x v="0"/>
    <n v="0"/>
  </r>
  <r>
    <s v="INSTRUMENT"/>
    <s v="VLTN_CRRNCY"/>
    <x v="1"/>
    <s v="9. Concluído"/>
    <s v="OK"/>
    <s v="Concluido, controlos OK"/>
    <m/>
    <x v="0"/>
    <d v="2024-06-07T00:00:00"/>
    <x v="0"/>
    <s v="OK"/>
    <m/>
    <m/>
    <m/>
    <s v="Campo concluido"/>
    <s v="Y"/>
    <s v="N"/>
    <s v="N"/>
    <s v="N"/>
    <s v="N"/>
    <s v="N"/>
    <x v="0"/>
    <n v="0"/>
  </r>
  <r>
    <s v="INSTRUMENT"/>
    <s v="VLTN_TYP"/>
    <x v="1"/>
    <s v="9. Concluído"/>
    <s v="OK"/>
    <s v="Concluido, controlos OK"/>
    <m/>
    <x v="0"/>
    <d v="2024-06-07T00:00:00"/>
    <x v="0"/>
    <s v="OK"/>
    <m/>
    <m/>
    <m/>
    <s v="Campo concluido"/>
    <s v="Y"/>
    <s v="N"/>
    <s v="N"/>
    <s v="N"/>
    <s v="N"/>
    <s v="N"/>
    <x v="0"/>
    <n v="0"/>
  </r>
  <r>
    <s v="ENTITY"/>
    <s v="WTCH_LST"/>
    <x v="0"/>
    <s v="9. Concluído"/>
    <s v="OK"/>
    <s v="Concluido, controlos OK"/>
    <m/>
    <x v="0"/>
    <d v="2024-06-07T00:00:00"/>
    <x v="0"/>
    <s v="OK"/>
    <m/>
    <m/>
    <m/>
    <s v="Campo concluido"/>
    <s v="Y"/>
    <s v="N"/>
    <s v="N"/>
    <s v="N"/>
    <s v="N"/>
    <s v="Y"/>
    <x v="0"/>
    <s v="6.1. Fora âmbito | Campos concluídos - Sem necessidade de espec."/>
  </r>
  <r>
    <s v="PROTECTION"/>
    <s v="YR_CNSTRCTN"/>
    <x v="1"/>
    <s v="1. Especificar"/>
    <s v="OK"/>
    <s v="Em especificação (Campos Novos)"/>
    <m/>
    <x v="2"/>
    <d v="2024-06-07T00:00:00"/>
    <x v="3"/>
    <s v="OK"/>
    <m/>
    <m/>
    <m/>
    <s v="Novo campo"/>
    <s v="Y"/>
    <s v="N"/>
    <s v="Y"/>
    <s v="N"/>
    <s v="Y"/>
    <s v="N"/>
    <x v="0"/>
    <n v="0"/>
  </r>
  <r>
    <s v="ENTITY"/>
    <s v="ADDRSS_CTY"/>
    <x v="1"/>
    <s v="1. Especificar"/>
    <m/>
    <m/>
    <m/>
    <x v="2"/>
    <d v="2025-01-10T00:00:00"/>
    <x v="3"/>
    <m/>
    <m/>
    <m/>
    <m/>
    <m/>
    <s v="Y"/>
    <s v="N"/>
    <s v="N"/>
    <s v="N"/>
    <s v="N"/>
    <s v="N"/>
    <x v="3"/>
    <n v="0"/>
  </r>
  <r>
    <s v="ENTITY"/>
    <s v="ADDRSS_STRT"/>
    <x v="1"/>
    <s v="1. Especificar"/>
    <m/>
    <m/>
    <m/>
    <x v="2"/>
    <d v="2025-01-10T00:00:00"/>
    <x v="3"/>
    <m/>
    <m/>
    <m/>
    <m/>
    <m/>
    <s v="Y"/>
    <s v="N"/>
    <s v="N"/>
    <s v="N"/>
    <s v="N"/>
    <s v="N"/>
    <x v="3"/>
    <n v="0"/>
  </r>
  <r>
    <s v="ENTITY"/>
    <s v="DT_ENTRPRS_SZ"/>
    <x v="1"/>
    <s v="1. Especificar"/>
    <m/>
    <m/>
    <m/>
    <x v="2"/>
    <d v="2025-01-10T00:00:00"/>
    <x v="3"/>
    <m/>
    <m/>
    <m/>
    <m/>
    <m/>
    <s v="Y"/>
    <s v="N"/>
    <s v="N"/>
    <s v="N"/>
    <s v="N"/>
    <s v="N"/>
    <x v="3"/>
    <n v="0"/>
  </r>
  <r>
    <s v="ENTITY"/>
    <s v="NMBR_EMPLYS"/>
    <x v="1"/>
    <s v="1. Especificar"/>
    <m/>
    <m/>
    <m/>
    <x v="2"/>
    <d v="2025-01-10T00:00:00"/>
    <x v="3"/>
    <m/>
    <m/>
    <m/>
    <m/>
    <m/>
    <s v="Y"/>
    <s v="N"/>
    <s v="N"/>
    <s v="N"/>
    <s v="N"/>
    <s v="N"/>
    <x v="3"/>
    <n v="0"/>
  </r>
  <r>
    <s v="ENTITY"/>
    <s v="LGL_FRM"/>
    <x v="1"/>
    <s v="1. Especificar"/>
    <m/>
    <m/>
    <m/>
    <x v="2"/>
    <d v="2025-01-10T00:00:00"/>
    <x v="3"/>
    <m/>
    <m/>
    <m/>
    <m/>
    <m/>
    <s v="Y"/>
    <s v="N"/>
    <s v="N"/>
    <s v="N"/>
    <s v="N"/>
    <s v="N"/>
    <x v="3"/>
    <n v="0"/>
  </r>
  <r>
    <s v="ENTITY"/>
    <s v="HD_OFFC_UNDRTKNG_ID"/>
    <x v="1"/>
    <s v="1. Especificar"/>
    <m/>
    <m/>
    <m/>
    <x v="2"/>
    <d v="2025-01-10T00:00:00"/>
    <x v="3"/>
    <m/>
    <m/>
    <m/>
    <m/>
    <m/>
    <s v="Y"/>
    <s v="N"/>
    <s v="N"/>
    <s v="N"/>
    <s v="N"/>
    <s v="N"/>
    <x v="3"/>
    <n v="0"/>
  </r>
  <r>
    <s v="ENTITY"/>
    <s v="IMMDT_PRNT_UNDRTKNG_ID"/>
    <x v="1"/>
    <s v="1. Especificar"/>
    <m/>
    <m/>
    <m/>
    <x v="2"/>
    <d v="2025-01-10T00:00:00"/>
    <x v="3"/>
    <m/>
    <m/>
    <m/>
    <m/>
    <m/>
    <s v="Y"/>
    <s v="N"/>
    <s v="N"/>
    <s v="N"/>
    <s v="N"/>
    <s v="N"/>
    <x v="3"/>
    <n v="0"/>
  </r>
  <r>
    <s v="ENTITY"/>
    <s v="ULTMT_PRNT_UNDRTKNG_ID"/>
    <x v="1"/>
    <s v="1. Especificar"/>
    <m/>
    <m/>
    <m/>
    <x v="2"/>
    <d v="2025-01-10T00:00:00"/>
    <x v="3"/>
    <m/>
    <m/>
    <m/>
    <m/>
    <m/>
    <s v="Y"/>
    <s v="N"/>
    <s v="N"/>
    <s v="N"/>
    <s v="N"/>
    <s v="N"/>
    <x v="3"/>
    <n v="0"/>
  </r>
  <r>
    <s v="ENTITY"/>
    <s v="TTL_ASSTS"/>
    <x v="1"/>
    <s v="1. Especificar"/>
    <m/>
    <m/>
    <m/>
    <x v="2"/>
    <d v="2025-01-10T00:00:00"/>
    <x v="3"/>
    <m/>
    <m/>
    <m/>
    <m/>
    <m/>
    <s v="Y"/>
    <s v="N"/>
    <s v="N"/>
    <s v="N"/>
    <s v="N"/>
    <s v="N"/>
    <x v="3"/>
    <n v="0"/>
  </r>
  <r>
    <s v="ENTITY"/>
    <s v="ENTTY_ID_BDR"/>
    <x v="1"/>
    <s v="1. Especificar"/>
    <m/>
    <m/>
    <m/>
    <x v="2"/>
    <d v="2025-01-10T00:00:00"/>
    <x v="3"/>
    <m/>
    <m/>
    <m/>
    <m/>
    <m/>
    <s v="Y"/>
    <s v="N"/>
    <s v="N"/>
    <s v="N"/>
    <s v="N"/>
    <s v="N"/>
    <x v="3"/>
    <n v="0"/>
  </r>
  <r>
    <s v="INSTRUMENT"/>
    <s v="CPN_RT_FLTNG"/>
    <x v="1"/>
    <s v="1. Especificar"/>
    <m/>
    <m/>
    <m/>
    <x v="2"/>
    <d v="2025-01-10T00:00:00"/>
    <x v="3"/>
    <m/>
    <m/>
    <m/>
    <m/>
    <m/>
    <s v="Y"/>
    <s v="N"/>
    <s v="N"/>
    <s v="N"/>
    <s v="N"/>
    <s v="N"/>
    <x v="3"/>
    <n v="0"/>
  </r>
  <r>
    <s v="INSTRUMENT"/>
    <s v="INTRST_RT_CP"/>
    <x v="1"/>
    <s v="1. Especificar"/>
    <m/>
    <m/>
    <m/>
    <x v="2"/>
    <d v="2025-01-10T00:00:00"/>
    <x v="3"/>
    <m/>
    <m/>
    <m/>
    <m/>
    <m/>
    <s v="Y"/>
    <s v="N"/>
    <s v="N"/>
    <s v="N"/>
    <s v="N"/>
    <s v="N"/>
    <x v="3"/>
    <n v="0"/>
  </r>
  <r>
    <s v="INSTRUMENT"/>
    <s v="INTRST_RT_FLR"/>
    <x v="1"/>
    <s v="1. Especificar"/>
    <m/>
    <m/>
    <m/>
    <x v="2"/>
    <d v="2025-01-10T00:00:00"/>
    <x v="3"/>
    <m/>
    <m/>
    <m/>
    <m/>
    <m/>
    <s v="Y"/>
    <s v="N"/>
    <s v="N"/>
    <s v="N"/>
    <s v="N"/>
    <s v="N"/>
    <x v="3"/>
    <n v="0"/>
  </r>
  <r>
    <s v="INSTRUMENT"/>
    <s v="NMNL_INTRST_RT_FEE"/>
    <x v="1"/>
    <s v="1. Especificar"/>
    <m/>
    <m/>
    <m/>
    <x v="2"/>
    <d v="2025-01-10T00:00:00"/>
    <x v="3"/>
    <m/>
    <m/>
    <m/>
    <m/>
    <m/>
    <s v="Y"/>
    <s v="N"/>
    <s v="N"/>
    <s v="N"/>
    <s v="N"/>
    <s v="N"/>
    <x v="3"/>
    <n v="0"/>
  </r>
  <r>
    <s v="INSTRUMENT"/>
    <s v="DT_STTLMNT"/>
    <x v="1"/>
    <s v="1. Especificar"/>
    <m/>
    <m/>
    <m/>
    <x v="2"/>
    <d v="2025-01-10T00:00:00"/>
    <x v="3"/>
    <m/>
    <m/>
    <m/>
    <m/>
    <m/>
    <s v="Y"/>
    <s v="N"/>
    <s v="N"/>
    <s v="N"/>
    <s v="N"/>
    <s v="N"/>
    <x v="3"/>
    <n v="0"/>
  </r>
  <r>
    <s v="INSTRUMENT"/>
    <s v="TRNSFRRD_AMNT"/>
    <x v="1"/>
    <s v="1. Especificar"/>
    <m/>
    <m/>
    <m/>
    <x v="2"/>
    <d v="2025-01-10T00:00:00"/>
    <x v="3"/>
    <m/>
    <m/>
    <m/>
    <m/>
    <m/>
    <s v="Y"/>
    <s v="N"/>
    <s v="N"/>
    <s v="N"/>
    <s v="N"/>
    <s v="N"/>
    <x v="3"/>
    <n v="0"/>
  </r>
  <r>
    <s v="INSTRUMENT"/>
    <s v="TYP_SCRTZTN"/>
    <x v="1"/>
    <s v="1. Especificar"/>
    <m/>
    <m/>
    <m/>
    <x v="2"/>
    <d v="2025-01-10T00:00:00"/>
    <x v="3"/>
    <m/>
    <m/>
    <m/>
    <m/>
    <m/>
    <s v="Y"/>
    <s v="N"/>
    <s v="N"/>
    <s v="N"/>
    <s v="N"/>
    <s v="N"/>
    <x v="3"/>
    <n v="0"/>
  </r>
  <r>
    <s v="INSTRUMENT"/>
    <s v="TYP_OFF_BLNC_PRDCT"/>
    <x v="1"/>
    <s v="1. Especificar"/>
    <m/>
    <m/>
    <m/>
    <x v="2"/>
    <d v="2025-01-10T00:00:00"/>
    <x v="3"/>
    <m/>
    <m/>
    <m/>
    <m/>
    <m/>
    <s v="Y"/>
    <s v="Y"/>
    <s v="Y"/>
    <s v="N"/>
    <s v="N"/>
    <s v="Y"/>
    <x v="1"/>
    <s v="1. Novos Campos"/>
  </r>
  <r>
    <s v="INSTRUMENT"/>
    <s v="BLNC_SHT_RCGNTN"/>
    <x v="1"/>
    <s v="1. Especificar"/>
    <m/>
    <m/>
    <m/>
    <x v="2"/>
    <d v="2025-01-10T00:00:00"/>
    <x v="3"/>
    <m/>
    <m/>
    <m/>
    <m/>
    <m/>
    <s v="Y"/>
    <s v="N"/>
    <s v="N"/>
    <s v="N"/>
    <s v="N"/>
    <s v="N"/>
    <x v="3"/>
    <n v="0"/>
  </r>
  <r>
    <s v="INSTRUMENT"/>
    <s v="FLG_DFLT"/>
    <x v="1"/>
    <s v="1. Especificar"/>
    <m/>
    <m/>
    <m/>
    <x v="2"/>
    <d v="2025-01-10T00:00:00"/>
    <x v="3"/>
    <m/>
    <m/>
    <m/>
    <m/>
    <m/>
    <s v="Y"/>
    <s v="N"/>
    <s v="N"/>
    <s v="N"/>
    <s v="N"/>
    <s v="N"/>
    <x v="3"/>
    <n v="0"/>
  </r>
  <r>
    <s v="INSTRUMENT"/>
    <s v="FLG_HGH_RSK"/>
    <x v="1"/>
    <s v="1. Especificar"/>
    <m/>
    <m/>
    <m/>
    <x v="2"/>
    <d v="2025-01-10T00:00:00"/>
    <x v="3"/>
    <m/>
    <m/>
    <m/>
    <m/>
    <m/>
    <s v="Y"/>
    <s v="N"/>
    <s v="N"/>
    <s v="N"/>
    <s v="N"/>
    <s v="N"/>
    <x v="3"/>
    <n v="0"/>
  </r>
  <r>
    <s v="INSTRUMENT"/>
    <s v="PRTNR"/>
    <x v="1"/>
    <s v="1. Especificar"/>
    <m/>
    <m/>
    <m/>
    <x v="2"/>
    <d v="2025-01-10T00:00:00"/>
    <x v="3"/>
    <m/>
    <m/>
    <m/>
    <m/>
    <m/>
    <s v="Y"/>
    <s v="N"/>
    <s v="N"/>
    <s v="Y"/>
    <s v="N"/>
    <s v="N"/>
    <x v="3"/>
    <n v="0"/>
  </r>
  <r>
    <s v="INSTRUMENT"/>
    <s v="INCNTVS"/>
    <x v="1"/>
    <s v="1. Especificar"/>
    <m/>
    <m/>
    <m/>
    <x v="2"/>
    <d v="2025-01-10T00:00:00"/>
    <x v="3"/>
    <m/>
    <m/>
    <m/>
    <m/>
    <m/>
    <s v="Y"/>
    <s v="N"/>
    <s v="N"/>
    <s v="Y"/>
    <s v="N"/>
    <s v="N"/>
    <x v="3"/>
    <n v="0"/>
  </r>
  <r>
    <s v="INSTRUMENT"/>
    <s v="OTHR_OPRTNG_INCM"/>
    <x v="1"/>
    <s v="1. Especificar"/>
    <m/>
    <m/>
    <m/>
    <x v="2"/>
    <d v="2025-01-10T00:00:00"/>
    <x v="3"/>
    <m/>
    <m/>
    <m/>
    <m/>
    <m/>
    <s v="Y"/>
    <s v="N"/>
    <s v="N"/>
    <s v="Y"/>
    <s v="N"/>
    <s v="N"/>
    <x v="3"/>
    <n v="0"/>
  </r>
  <r>
    <s v="INSTRUMENT"/>
    <s v="RFRRL_FS"/>
    <x v="1"/>
    <s v="1. Especificar"/>
    <m/>
    <m/>
    <m/>
    <x v="2"/>
    <d v="2025-01-10T00:00:00"/>
    <x v="3"/>
    <m/>
    <m/>
    <m/>
    <m/>
    <m/>
    <s v="Y"/>
    <s v="N"/>
    <s v="N"/>
    <s v="Y"/>
    <s v="N"/>
    <s v="N"/>
    <x v="3"/>
    <n v="0"/>
  </r>
  <r>
    <s v="INSTRUMENT"/>
    <s v="INSRNC_CMSSNS"/>
    <x v="1"/>
    <s v="1. Especificar"/>
    <m/>
    <m/>
    <m/>
    <x v="2"/>
    <d v="2025-01-10T00:00:00"/>
    <x v="3"/>
    <m/>
    <m/>
    <m/>
    <m/>
    <m/>
    <s v="Y"/>
    <s v="N"/>
    <s v="N"/>
    <s v="Y"/>
    <s v="N"/>
    <s v="N"/>
    <x v="3"/>
    <n v="0"/>
  </r>
  <r>
    <s v="INSTRUMENT"/>
    <s v="OTHR_INCM_AND_CHRGS"/>
    <x v="1"/>
    <s v="1. Especificar"/>
    <m/>
    <m/>
    <m/>
    <x v="2"/>
    <d v="2025-01-10T00:00:00"/>
    <x v="3"/>
    <m/>
    <m/>
    <m/>
    <m/>
    <m/>
    <s v="Y"/>
    <s v="N"/>
    <s v="N"/>
    <s v="Y"/>
    <s v="N"/>
    <s v="N"/>
    <x v="3"/>
    <n v="0"/>
  </r>
  <r>
    <s v="INSTRUMENT"/>
    <s v="TX_ON_PRFT"/>
    <x v="1"/>
    <s v="1. Especificar"/>
    <m/>
    <m/>
    <m/>
    <x v="2"/>
    <d v="2025-01-10T00:00:00"/>
    <x v="3"/>
    <m/>
    <m/>
    <m/>
    <m/>
    <m/>
    <s v="Y"/>
    <s v="N"/>
    <s v="N"/>
    <s v="Y"/>
    <s v="N"/>
    <s v="N"/>
    <x v="3"/>
    <n v="0"/>
  </r>
  <r>
    <s v="PROTECTION"/>
    <s v="LND_AR"/>
    <x v="1"/>
    <s v="1. Especificar"/>
    <m/>
    <m/>
    <m/>
    <x v="2"/>
    <d v="2025-01-10T00:00:00"/>
    <x v="3"/>
    <m/>
    <m/>
    <m/>
    <m/>
    <m/>
    <s v="Y"/>
    <s v="N"/>
    <s v="N"/>
    <s v="N"/>
    <s v="N"/>
    <s v="N"/>
    <x v="3"/>
    <n v="0"/>
  </r>
  <r>
    <s v="PROTECTION"/>
    <s v="LN_PSTN"/>
    <x v="1"/>
    <s v="1. Especificar"/>
    <m/>
    <m/>
    <m/>
    <x v="2"/>
    <d v="2025-01-10T00:00:00"/>
    <x v="3"/>
    <m/>
    <m/>
    <m/>
    <m/>
    <m/>
    <s v="Y"/>
    <s v="N"/>
    <s v="N"/>
    <s v="N"/>
    <s v="N"/>
    <s v="N"/>
    <x v="3"/>
    <n v="0"/>
  </r>
  <r>
    <s v="PROTECTION"/>
    <s v="RL_ESTT_LNGTD"/>
    <x v="1"/>
    <s v="1. Especificar"/>
    <m/>
    <m/>
    <m/>
    <x v="2"/>
    <d v="2025-01-10T00:00:00"/>
    <x v="3"/>
    <m/>
    <m/>
    <m/>
    <m/>
    <m/>
    <s v="Y"/>
    <s v="N"/>
    <s v="N"/>
    <s v="N"/>
    <s v="N"/>
    <s v="N"/>
    <x v="3"/>
    <n v="0"/>
  </r>
  <r>
    <s v="PROTECTION"/>
    <s v="RL_ESTT_LTTD"/>
    <x v="1"/>
    <s v="1. Especificar"/>
    <m/>
    <m/>
    <m/>
    <x v="2"/>
    <d v="2025-01-10T00:00:00"/>
    <x v="3"/>
    <m/>
    <m/>
    <m/>
    <m/>
    <m/>
    <s v="Y"/>
    <s v="N"/>
    <s v="N"/>
    <s v="N"/>
    <s v="N"/>
    <s v="N"/>
    <x v="3"/>
    <n v="0"/>
  </r>
  <r>
    <s v="INSTR_ACTIVITY"/>
    <s v="PRCNTG_ACTVTY"/>
    <x v="1"/>
    <s v="1. Especificar"/>
    <m/>
    <m/>
    <m/>
    <x v="2"/>
    <d v="2025-01-10T00:00:00"/>
    <x v="3"/>
    <m/>
    <m/>
    <m/>
    <m/>
    <m/>
    <s v="Y"/>
    <s v="Y"/>
    <s v="Y"/>
    <s v="N"/>
    <s v="N"/>
    <s v="N"/>
    <x v="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INSTRUMENT"/>
    <s v="ACCMLTD_CHNGS_FV_CR_INSTRMNT"/>
    <x v="0"/>
    <s v="9. Concluído"/>
    <s v="OK"/>
    <s v="Concluido, controlos OK"/>
    <m/>
    <s v="Campo Fechado"/>
    <d v="2024-06-07T00:00:00"/>
    <x v="0"/>
    <s v="OK"/>
    <m/>
    <m/>
    <m/>
    <x v="0"/>
  </r>
  <r>
    <s v="INSTRUMENT"/>
    <s v="ACCMLTD_IMPRMNT_INSTRMNT"/>
    <x v="0"/>
    <s v="9. Concluído"/>
    <s v="OK"/>
    <s v="Concluido, controlos OK"/>
    <m/>
    <s v="Campo Fechado"/>
    <d v="2024-06-07T00:00:00"/>
    <x v="0"/>
    <s v="OK"/>
    <m/>
    <m/>
    <m/>
    <x v="0"/>
  </r>
  <r>
    <s v="INSTRUMENT"/>
    <s v="ACCMLTD_IMPRMNT_INSTRMNT_PRVS"/>
    <x v="0"/>
    <s v="5.2 Em testes - Incidência"/>
    <s v="OK"/>
    <s v="Campo com incidência. Verificar fonte LT"/>
    <m/>
    <s v="Sim"/>
    <d v="2024-06-07T00:00:00"/>
    <x v="1"/>
    <s v="OK"/>
    <m/>
    <m/>
    <m/>
    <x v="1"/>
  </r>
  <r>
    <s v="INSTRUMENT"/>
    <s v="ACCMLTD_WRTFFS_INSTRMNT"/>
    <x v="0"/>
    <s v="9. Concluído"/>
    <s v="OK"/>
    <s v="Concluido, controlos OK"/>
    <m/>
    <s v="Campo Fechado"/>
    <d v="2024-06-07T00:00:00"/>
    <x v="0"/>
    <s v="OK"/>
    <m/>
    <m/>
    <m/>
    <x v="0"/>
  </r>
  <r>
    <s v="INSTRUMENT"/>
    <s v="ACCNTNG_CLSSFCTN"/>
    <x v="0"/>
    <s v="9. Concluído"/>
    <s v="OK"/>
    <s v="Concluido, controlos OK"/>
    <m/>
    <s v="Campo Fechado"/>
    <d v="2024-06-07T00:00:00"/>
    <x v="0"/>
    <s v="OK"/>
    <m/>
    <m/>
    <m/>
    <x v="0"/>
  </r>
  <r>
    <s v="ENTITY"/>
    <s v="ACCNTNG_FRMWRK_SL"/>
    <x v="0"/>
    <s v="2. Alterar especificação"/>
    <s v="OK"/>
    <s v="Em especificação (Financial Statments CIB)"/>
    <s v="Campo implementação, mas com falta de informação para o segmento de clientes CIB"/>
    <s v="Não"/>
    <d v="2024-06-07T00:00:00"/>
    <x v="2"/>
    <s v="OK"/>
    <m/>
    <m/>
    <m/>
    <x v="2"/>
  </r>
  <r>
    <s v="INSTRUMENT"/>
    <s v="TYP_MRTGG"/>
    <x v="0"/>
    <s v="3. Pendente de decisão"/>
    <s v="NOK"/>
    <s v="Alteração da Code list por parte do BCE"/>
    <m/>
    <s v="Sim"/>
    <d v="2024-10-03T00:00:00"/>
    <x v="2"/>
    <s v="NOK"/>
    <s v="Alterar especificação de acordo com codelist atual. No MUG existem apenas garantias elegiveis para cálculo de capital? Se sim, TYP_MRTGG irá assumir os valores 1, 5 e N/A. Caso contrário assumirá os valores  1, 5, 6 e N/A."/>
    <m/>
    <m/>
    <x v="3"/>
  </r>
  <r>
    <s v="INSTRUMENT"/>
    <s v="AMNT_D_AT_MTRTY"/>
    <x v="0"/>
    <s v="1. Especificar"/>
    <s v="NOK"/>
    <s v="Em especificação"/>
    <m/>
    <s v="Não"/>
    <d v="2024-06-07T00:00:00"/>
    <x v="3"/>
    <s v="NOK"/>
    <m/>
    <m/>
    <m/>
    <x v="4"/>
  </r>
  <r>
    <s v="ENTITY"/>
    <s v="ANNL_TRNVR_LE"/>
    <x v="0"/>
    <s v="2. Alterar especificação"/>
    <s v="OK"/>
    <s v="Em especificação (Financial Statments CIB)"/>
    <s v="Campo implementação, mas com falta de informação para o segmento de clientes CIB"/>
    <s v="Não"/>
    <d v="2024-06-07T00:00:00"/>
    <x v="2"/>
    <s v="OK"/>
    <m/>
    <m/>
    <m/>
    <x v="2"/>
  </r>
  <r>
    <s v="ENTITY"/>
    <s v="ANNL_TRNVR_LE_BDR"/>
    <x v="1"/>
    <s v="9. Concluído"/>
    <s v="OK"/>
    <s v="Concluido, controlos OK"/>
    <m/>
    <s v="Campo Fechado"/>
    <d v="2024-06-07T00:00:00"/>
    <x v="0"/>
    <s v="OK"/>
    <m/>
    <m/>
    <m/>
    <x v="0"/>
  </r>
  <r>
    <s v="ENTITY"/>
    <s v="ANNL_TRNVR_PRVS"/>
    <x v="0"/>
    <s v="2. Alterar especificação"/>
    <s v="OK"/>
    <s v="Em especificação (Financial Statments CIB)"/>
    <s v="Campo implementação, mas com falta de informação para o segmento de clientes CIB"/>
    <s v="Não"/>
    <d v="2024-06-07T00:00:00"/>
    <x v="2"/>
    <s v="OK"/>
    <m/>
    <m/>
    <m/>
    <x v="2"/>
  </r>
  <r>
    <s v="ENTITY"/>
    <s v="ANNL_TRNVR_PRVS_BDR"/>
    <x v="1"/>
    <s v="9. Concluído"/>
    <s v="OK"/>
    <s v="Concluido, controlos OK"/>
    <m/>
    <s v="Campo Fechado"/>
    <d v="2024-06-07T00:00:00"/>
    <x v="0"/>
    <s v="OK"/>
    <m/>
    <m/>
    <m/>
    <x v="0"/>
  </r>
  <r>
    <s v="INSTRUMENT"/>
    <s v="ANNLSD_AGRD_RT"/>
    <x v="0"/>
    <s v="3. Pendente de decisão"/>
    <s v="OK"/>
    <s v="Verificar necessidade de alteração da fonte para fins de reconciliação. Rever Fonte"/>
    <s v="Rever se devemos utilizar a informação de IFRS9 ou manter a de alm"/>
    <s v="Sim"/>
    <d v="2024-06-07T00:00:00"/>
    <x v="4"/>
    <s v="OK"/>
    <m/>
    <m/>
    <m/>
    <x v="5"/>
  </r>
  <r>
    <s v="PROTECTION"/>
    <s v="APPRSL_CRRNCY"/>
    <x v="0"/>
    <s v="7. Analisar controlos e completude"/>
    <s v="NOK"/>
    <s v="Controlos NOK"/>
    <m/>
    <s v="Não"/>
    <d v="2024-06-07T00:00:00"/>
    <x v="5"/>
    <s v="NOK"/>
    <m/>
    <m/>
    <m/>
    <x v="6"/>
  </r>
  <r>
    <s v="PROTECTION"/>
    <s v="APPRSR"/>
    <x v="0"/>
    <s v="7. Analisar controlos e completude"/>
    <s v="NOK"/>
    <s v="Controlos NOK"/>
    <m/>
    <s v="Não"/>
    <d v="2024-06-07T00:00:00"/>
    <x v="5"/>
    <s v="NOK"/>
    <m/>
    <m/>
    <m/>
    <x v="6"/>
  </r>
  <r>
    <s v="INSTRUMENT"/>
    <s v="ARRRS_INSTRMNT"/>
    <x v="0"/>
    <s v="7. Analisar controlos e completude"/>
    <s v="NOK"/>
    <s v="Controlos NOK"/>
    <m/>
    <s v="Não"/>
    <d v="2024-06-07T00:00:00"/>
    <x v="5"/>
    <s v="NOK"/>
    <m/>
    <m/>
    <m/>
    <x v="6"/>
  </r>
  <r>
    <s v="INSTRUMENT"/>
    <s v="ARRRS_INSTRMNT_12M"/>
    <x v="0"/>
    <s v="7. Analisar controlos e completude"/>
    <s v="NOK"/>
    <s v="Controlos NOK"/>
    <m/>
    <s v="Não"/>
    <d v="2024-06-07T00:00:00"/>
    <x v="5"/>
    <s v="NOK"/>
    <m/>
    <m/>
    <m/>
    <x v="6"/>
  </r>
  <r>
    <s v="INSTRUMENT"/>
    <s v="ASST_SCRT_CLSS"/>
    <x v="1"/>
    <s v="9. Concluído"/>
    <s v="OK"/>
    <s v="Concluido, controlos OK"/>
    <m/>
    <s v="Campo Fechado"/>
    <d v="2024-06-07T00:00:00"/>
    <x v="0"/>
    <s v="OK"/>
    <m/>
    <m/>
    <m/>
    <x v="0"/>
  </r>
  <r>
    <s v="INSTRUMENT"/>
    <s v="BRCHD_CVNNTS"/>
    <x v="0"/>
    <s v="8. Concluído - sem dados"/>
    <s v="OK"/>
    <s v="Campo especificado, mas sem dados. Campo marcado com MISS ou NA"/>
    <m/>
    <s v="Campo Fechado"/>
    <d v="2024-06-07T00:00:00"/>
    <x v="6"/>
    <s v="OK"/>
    <m/>
    <m/>
    <m/>
    <x v="7"/>
  </r>
  <r>
    <s v="ENTITY"/>
    <s v="CAPEX"/>
    <x v="0"/>
    <s v="2. Alterar especificação"/>
    <s v="OK"/>
    <s v="Em especificação (Financial Statments CIB)"/>
    <s v="Campo implementação, mas com falta de informação para o segmento de clientes CIB"/>
    <s v="Não"/>
    <d v="2024-06-07T00:00:00"/>
    <x v="2"/>
    <s v="OK"/>
    <m/>
    <m/>
    <m/>
    <x v="2"/>
  </r>
  <r>
    <s v="ENTITY"/>
    <s v="CAPEX_PRVS"/>
    <x v="0"/>
    <s v="2. Alterar especificação"/>
    <s v="OK"/>
    <s v="Em especificação (Financial Statments CIB)"/>
    <s v="Campo implementação, mas com falta de informação para o segmento de clientes CIB"/>
    <s v="Não"/>
    <d v="2024-06-07T00:00:00"/>
    <x v="2"/>
    <s v="OK"/>
    <m/>
    <m/>
    <m/>
    <x v="2"/>
  </r>
  <r>
    <s v="INSTRUMENT"/>
    <s v="CCF"/>
    <x v="0"/>
    <s v="9. Concluído"/>
    <s v="OK"/>
    <s v="Concluido, controlos OK"/>
    <m/>
    <s v="Campo Fechado"/>
    <d v="2024-06-07T00:00:00"/>
    <x v="0"/>
    <s v="OK"/>
    <m/>
    <m/>
    <m/>
    <x v="0"/>
  </r>
  <r>
    <s v="INSTRUMENT"/>
    <s v="CHNNL_ORGNTN"/>
    <x v="1"/>
    <s v="4.1 Em implementação - Re-especificação"/>
    <s v="NOK"/>
    <s v="Aguarda implementação de IT"/>
    <m/>
    <s v="Não"/>
    <d v="2024-06-07T00:00:00"/>
    <x v="7"/>
    <s v="NOK"/>
    <m/>
    <d v="2024-01-05T00:00:00"/>
    <m/>
    <x v="2"/>
  </r>
  <r>
    <s v="ENTITY"/>
    <s v="CLLCTN_MD"/>
    <x v="1"/>
    <s v="9. Concluído"/>
    <s v="OK"/>
    <s v="Concluido, controlos OK"/>
    <m/>
    <s v="Campo Fechado"/>
    <d v="2024-06-07T00:00:00"/>
    <x v="0"/>
    <s v="OK"/>
    <m/>
    <m/>
    <m/>
    <x v="0"/>
  </r>
  <r>
    <s v="ENTITY"/>
    <s v="TTL_INTRST_PD"/>
    <x v="1"/>
    <s v="2. Alterar especificação"/>
    <s v="NOK"/>
    <s v="Em especificação (Amortizações Capital/ Juros)"/>
    <m/>
    <s v="Não"/>
    <d v="2024-06-07T00:00:00"/>
    <x v="2"/>
    <s v="NOK"/>
    <m/>
    <m/>
    <m/>
    <x v="2"/>
  </r>
  <r>
    <s v="INSTRUMENT"/>
    <s v="CMMTMNT_INCPTN_INSTRMNT"/>
    <x v="0"/>
    <s v="7. Analisar controlos e completude"/>
    <s v="NOK"/>
    <s v="Analisar controlos e completude"/>
    <m/>
    <s v="Não"/>
    <d v="2024-06-07T00:00:00"/>
    <x v="5"/>
    <s v="NOK"/>
    <m/>
    <m/>
    <m/>
    <x v="6"/>
  </r>
  <r>
    <s v="PROTECTION"/>
    <s v="RL_ESTT_CLLTRL_LCTN"/>
    <x v="0"/>
    <s v="2. Alterar especificação"/>
    <s v="NOK"/>
    <s v="Alterados 3 casos. Campo está a devolver PT para todas as proteções, no entanto estas não estão localizadas em PT e alterou-se a localização para os respetivos paises."/>
    <m/>
    <s v="Não"/>
    <d v="2024-06-07T00:00:00"/>
    <x v="2"/>
    <s v="NOK"/>
    <m/>
    <m/>
    <m/>
    <x v="2"/>
  </r>
  <r>
    <s v="INSTRUMENT"/>
    <s v="CMPLNT_MRTR_C19_NM"/>
    <x v="1"/>
    <s v="9. Concluído"/>
    <s v="OK"/>
    <s v="Concluido, controlos OK"/>
    <m/>
    <s v="Campo Fechado"/>
    <d v="2024-06-07T00:00:00"/>
    <x v="0"/>
    <s v="OK"/>
    <m/>
    <m/>
    <m/>
    <x v="0"/>
  </r>
  <r>
    <s v="INSTRUMENT"/>
    <s v="CNSMPTN_FNRP18"/>
    <x v="1"/>
    <s v="9. Concluído"/>
    <s v="OK"/>
    <s v="Concluido, controlos OK"/>
    <m/>
    <s v="Campo Fechado"/>
    <d v="2024-06-07T00:00:00"/>
    <x v="0"/>
    <s v="OK"/>
    <m/>
    <m/>
    <m/>
    <x v="0"/>
  </r>
  <r>
    <s v="PROTECTION"/>
    <s v="DT_APPRSL_PRVS"/>
    <x v="0"/>
    <s v="5.2 Em testes - Incidência"/>
    <s v="NOK"/>
    <s v="Campo com incidência e controlos NOK"/>
    <s v="1) Campo com incidência, data igual à data da protection_vl 2) Alteração de formatos MISS"/>
    <s v="Campo Fechado"/>
    <d v="2025-01-13T00:00:00"/>
    <x v="0"/>
    <s v="OK"/>
    <s v="Alteraração da definição do campo no Guia da Corporação. Campo passou a reportar a data da avaliação completa anterior à data da última avaliação  completa._x000a_"/>
    <d v="2024-07-12T00:00:00"/>
    <d v="2024-12-20T00:00:00"/>
    <x v="3"/>
  </r>
  <r>
    <s v="INSTRUMENT"/>
    <s v="CNTRCT_ID"/>
    <x v="0"/>
    <s v="9. Concluído"/>
    <s v="OK"/>
    <s v="Concluido, controlos OK"/>
    <m/>
    <s v="Campo Fechado"/>
    <d v="2024-06-07T00:00:00"/>
    <x v="0"/>
    <s v="OK"/>
    <m/>
    <m/>
    <m/>
    <x v="0"/>
  </r>
  <r>
    <s v="INSTRUMENT"/>
    <s v="CNTRCT_ID_BDR"/>
    <x v="1"/>
    <s v="9. Concluído"/>
    <s v="OK"/>
    <s v="Concluido, controlos OK"/>
    <m/>
    <s v="Campo Fechado"/>
    <d v="2024-06-07T00:00:00"/>
    <x v="0"/>
    <s v="OK"/>
    <m/>
    <m/>
    <m/>
    <x v="0"/>
  </r>
  <r>
    <s v="ENTITY"/>
    <s v="CNTRY"/>
    <x v="0"/>
    <s v="9. Concluído"/>
    <s v="OK"/>
    <s v="Concluido, controlos OK"/>
    <m/>
    <s v="Campo Fechado"/>
    <d v="2024-06-07T00:00:00"/>
    <x v="0"/>
    <s v="OK"/>
    <m/>
    <m/>
    <m/>
    <x v="0"/>
  </r>
  <r>
    <s v="ENTITY"/>
    <s v="COD_SOC"/>
    <x v="0"/>
    <s v="9. Concluído"/>
    <s v="OK"/>
    <s v="Concluido, controlos OK"/>
    <m/>
    <s v="Campo Fechado"/>
    <d v="2024-06-07T00:00:00"/>
    <x v="0"/>
    <s v="OK"/>
    <m/>
    <m/>
    <m/>
    <x v="0"/>
  </r>
  <r>
    <s v="INSTR_ENTITY"/>
    <s v="COD_SOC"/>
    <x v="0"/>
    <s v="9. Concluído"/>
    <s v="OK"/>
    <s v="Concluido, controlos OK"/>
    <m/>
    <s v="Campo Fechado"/>
    <d v="2024-06-07T00:00:00"/>
    <x v="0"/>
    <s v="OK"/>
    <m/>
    <m/>
    <m/>
    <x v="0"/>
  </r>
  <r>
    <s v="INSTR_PROTECTION"/>
    <s v="COD_SOC"/>
    <x v="0"/>
    <s v="9. Concluído"/>
    <s v="OK"/>
    <s v="Concluido, controlos OK"/>
    <m/>
    <s v="Campo Fechado"/>
    <d v="2024-06-07T00:00:00"/>
    <x v="0"/>
    <s v="OK"/>
    <m/>
    <m/>
    <m/>
    <x v="0"/>
  </r>
  <r>
    <s v="INSTRUMENT"/>
    <s v="COD_SOC"/>
    <x v="0"/>
    <s v="9. Concluído"/>
    <s v="OK"/>
    <s v="Concluido, controlos OK"/>
    <m/>
    <s v="Campo Fechado"/>
    <d v="2024-06-07T00:00:00"/>
    <x v="0"/>
    <s v="OK"/>
    <m/>
    <m/>
    <m/>
    <x v="0"/>
  </r>
  <r>
    <s v="PROTECTION"/>
    <s v="COD_SOC"/>
    <x v="0"/>
    <s v="9. Concluído"/>
    <s v="OK"/>
    <s v="Concluido, controlos OK"/>
    <m/>
    <s v="Campo Fechado"/>
    <d v="2024-06-07T00:00:00"/>
    <x v="0"/>
    <s v="OK"/>
    <m/>
    <m/>
    <m/>
    <x v="0"/>
  </r>
  <r>
    <s v="INSTRUMENT"/>
    <s v="COD_SOC_INTRGRP"/>
    <x v="0"/>
    <s v="4.1 Em implementação - Re-especificação"/>
    <s v="NOK"/>
    <s v="Aguarda implementação de IT"/>
    <m/>
    <s v="Não"/>
    <d v="2024-06-17T00:00:00"/>
    <x v="8"/>
    <s v="NOK"/>
    <m/>
    <d v="2024-01-12T00:00:00"/>
    <d v="2024-03-28T00:00:00"/>
    <x v="4"/>
  </r>
  <r>
    <s v="INSTRUMENT"/>
    <s v="CPN_CRRNCY"/>
    <x v="1"/>
    <s v="9. Concluído"/>
    <s v="OK"/>
    <s v="Concluido, controlos OK"/>
    <m/>
    <s v="Campo Fechado"/>
    <d v="2024-06-07T00:00:00"/>
    <x v="0"/>
    <s v="OK"/>
    <m/>
    <m/>
    <m/>
    <x v="0"/>
  </r>
  <r>
    <s v="INSTRUMENT"/>
    <s v="CPN_RT_FXD"/>
    <x v="1"/>
    <s v="9. Concluído"/>
    <s v="OK"/>
    <s v="Concluido, controlos OK"/>
    <m/>
    <s v="Campo Fechado"/>
    <d v="2024-06-07T00:00:00"/>
    <x v="0"/>
    <s v="OK"/>
    <m/>
    <m/>
    <m/>
    <x v="0"/>
  </r>
  <r>
    <s v="ENTITY"/>
    <s v="CR_FLG"/>
    <x v="1"/>
    <s v="7. Analisar controlos e completude"/>
    <s v="NOK"/>
    <s v="Controlos NOK"/>
    <m/>
    <s v="Não"/>
    <d v="2024-06-07T00:00:00"/>
    <x v="5"/>
    <s v="NOK"/>
    <m/>
    <m/>
    <m/>
    <x v="6"/>
  </r>
  <r>
    <s v="INSTRUMENT"/>
    <s v="CRE_FNRP18"/>
    <x v="0"/>
    <s v="9. Concluído"/>
    <s v="OK"/>
    <s v="Concluido, controlos OK"/>
    <m/>
    <s v="Campo Fechado"/>
    <d v="2024-06-07T00:00:00"/>
    <x v="0"/>
    <s v="OK"/>
    <m/>
    <m/>
    <m/>
    <x v="0"/>
  </r>
  <r>
    <s v="PROTECTION"/>
    <s v="CRE_INCM_CRRNCY"/>
    <x v="1"/>
    <s v="8. Concluído - sem dados"/>
    <s v="NOK"/>
    <s v="Campo sem mapeamento, para análise da área  de Riscos"/>
    <m/>
    <s v="Campo Fechado"/>
    <d v="2024-06-07T00:00:00"/>
    <x v="6"/>
    <s v="NOK"/>
    <m/>
    <m/>
    <m/>
    <x v="7"/>
  </r>
  <r>
    <s v="PROTECTION"/>
    <s v="CRE_YRLY_EXPNSS"/>
    <x v="1"/>
    <s v="8. Concluído - sem dados"/>
    <s v="OK"/>
    <s v="Campo sem mapeamento, para análise da área  de Riscos"/>
    <m/>
    <s v="Campo Fechado"/>
    <d v="2024-06-07T00:00:00"/>
    <x v="6"/>
    <s v="OK"/>
    <m/>
    <m/>
    <m/>
    <x v="7"/>
  </r>
  <r>
    <s v="PROTECTION"/>
    <s v="CRE_YRLY_INCM"/>
    <x v="1"/>
    <s v="8. Concluído - sem dados"/>
    <s v="OK"/>
    <s v="Campo sem mapeamento, para análise da área  de Riscos"/>
    <m/>
    <s v="Campo Fechado"/>
    <d v="2024-06-07T00:00:00"/>
    <x v="6"/>
    <s v="OK"/>
    <m/>
    <m/>
    <m/>
    <x v="7"/>
  </r>
  <r>
    <s v="INSTRUMENT"/>
    <s v="CRRLTN_CFFCNT"/>
    <x v="1"/>
    <s v="7. Analisar controlos e completude"/>
    <s v="NOK"/>
    <s v="Controlos NOK"/>
    <m/>
    <s v="Não"/>
    <d v="2024-06-07T00:00:00"/>
    <x v="5"/>
    <s v="NOK"/>
    <m/>
    <m/>
    <m/>
    <x v="6"/>
  </r>
  <r>
    <s v="INSTRUMENT"/>
    <s v="CRRNCY_DNMNTN"/>
    <x v="0"/>
    <s v="9. Concluído"/>
    <s v="OK"/>
    <s v="Concluido, controlos OK"/>
    <m/>
    <s v="Campo Fechado"/>
    <d v="2024-06-07T00:00:00"/>
    <x v="0"/>
    <s v="OK"/>
    <m/>
    <m/>
    <m/>
    <x v="0"/>
  </r>
  <r>
    <s v="INSTRUMENT"/>
    <s v="CRRYNG_AMNT_INSTRMNT"/>
    <x v="0"/>
    <s v="9. Concluído"/>
    <s v="OK"/>
    <s v="Concluido, controlos OK"/>
    <m/>
    <s v="Campo Fechado"/>
    <d v="2024-06-07T00:00:00"/>
    <x v="0"/>
    <s v="OK"/>
    <m/>
    <m/>
    <m/>
    <x v="0"/>
  </r>
  <r>
    <s v="ENTITY"/>
    <s v="CSH"/>
    <x v="0"/>
    <s v="2. Alterar especificação"/>
    <s v="OK"/>
    <s v="Em especificação (Financial Statments CIB)"/>
    <s v="Campo implementação, mas com falta de informação para o segmento de clientes CIB"/>
    <s v="Não"/>
    <d v="2024-06-07T00:00:00"/>
    <x v="2"/>
    <s v="OK"/>
    <m/>
    <m/>
    <m/>
    <x v="2"/>
  </r>
  <r>
    <s v="ENTITY"/>
    <s v="CSH_PRVS"/>
    <x v="0"/>
    <s v="2. Alterar especificação"/>
    <s v="OK"/>
    <s v="Em especificação (Financial Statments CIB)"/>
    <s v="Campo implementação, mas com falta de informação para o segmento de clientes CIB"/>
    <s v="Não"/>
    <d v="2024-06-07T00:00:00"/>
    <x v="2"/>
    <s v="OK"/>
    <m/>
    <m/>
    <m/>
    <x v="2"/>
  </r>
  <r>
    <s v="INSTRUMENT"/>
    <s v="CSH_SWP_TRP"/>
    <x v="0"/>
    <s v="9. Concluído"/>
    <s v="OK"/>
    <s v="Concluido, controlos OK"/>
    <m/>
    <s v="Campo Fechado"/>
    <d v="2024-06-07T00:00:00"/>
    <x v="0"/>
    <s v="OK"/>
    <m/>
    <m/>
    <m/>
    <x v="0"/>
  </r>
  <r>
    <s v="INSTRUMENT"/>
    <s v="CVNNT_STTS"/>
    <x v="1"/>
    <s v="8. Concluído - sem dados"/>
    <s v="OK"/>
    <s v="Campo especificado, mas sem dados. Campo marcado com MISS ou NA"/>
    <m/>
    <s v="Campo Fechado"/>
    <d v="2024-06-07T00:00:00"/>
    <x v="6"/>
    <s v="OK"/>
    <m/>
    <m/>
    <m/>
    <x v="7"/>
  </r>
  <r>
    <s v="INSTRUMENT"/>
    <s v="CVNNT_TYP"/>
    <x v="1"/>
    <s v="9. Concluído"/>
    <s v="OK"/>
    <s v="Concluido, controlos OK"/>
    <m/>
    <s v="Campo Fechado"/>
    <d v="2024-06-07T00:00:00"/>
    <x v="0"/>
    <s v="OK"/>
    <m/>
    <m/>
    <m/>
    <x v="0"/>
  </r>
  <r>
    <s v="ENTITY"/>
    <s v="DBT_RPYMNT_CPCTY_SNR_DBT"/>
    <x v="1"/>
    <s v="8. Concluído - sem dados"/>
    <s v="OK"/>
    <s v="Campo especificado, mas sem dados. Campo marcado com MISS ou NA"/>
    <m/>
    <s v="Campo Fechado"/>
    <d v="2024-06-07T00:00:00"/>
    <x v="6"/>
    <s v="OK"/>
    <m/>
    <m/>
    <m/>
    <x v="7"/>
  </r>
  <r>
    <s v="ENTITY"/>
    <s v="DBT_RPYMNT_CPCTY_TTL"/>
    <x v="1"/>
    <s v="9. Concluído"/>
    <s v="OK"/>
    <s v="Concluido, controlos OK"/>
    <m/>
    <s v="Campo Fechado"/>
    <d v="2024-06-07T00:00:00"/>
    <x v="0"/>
    <s v="OK"/>
    <m/>
    <m/>
    <m/>
    <x v="0"/>
  </r>
  <r>
    <s v="ENTITY"/>
    <s v="DBT_SRVC_RT"/>
    <x v="0"/>
    <s v="2. Alterar especificação"/>
    <s v="OK"/>
    <s v="Em especificação (Financial Statments CIB)"/>
    <s v="Campo implementação, mas com falta de informação para o segmento de clientes CIB"/>
    <s v="Não"/>
    <d v="2024-06-07T00:00:00"/>
    <x v="2"/>
    <s v="OK"/>
    <m/>
    <m/>
    <m/>
    <x v="2"/>
  </r>
  <r>
    <s v="ENTITY"/>
    <s v="DBT_SRVC_RT_12M"/>
    <x v="0"/>
    <s v="2. Alterar especificação"/>
    <s v="OK"/>
    <s v="Em especificação (Financial Statments CIB)"/>
    <s v="Campo implementação, mas com falta de informação para o segmento de clientes CIB"/>
    <s v="Não"/>
    <d v="2024-06-07T00:00:00"/>
    <x v="2"/>
    <s v="OK"/>
    <m/>
    <m/>
    <m/>
    <x v="2"/>
  </r>
  <r>
    <s v="INSTRUMENT"/>
    <s v="DBT_YLD"/>
    <x v="1"/>
    <s v="8. Concluído - sem dados"/>
    <s v="OK"/>
    <s v="Concluido, controlos OK"/>
    <m/>
    <s v="Campo Fechado"/>
    <d v="2024-06-07T00:00:00"/>
    <x v="6"/>
    <s v="OK"/>
    <m/>
    <m/>
    <m/>
    <x v="7"/>
  </r>
  <r>
    <s v="ENTITY"/>
    <s v="DCSD"/>
    <x v="1"/>
    <s v="9. Concluído"/>
    <s v="OK"/>
    <s v="Concluido, controlos OK"/>
    <m/>
    <s v="Campo Fechado"/>
    <d v="2024-06-07T00:00:00"/>
    <x v="0"/>
    <s v="OK"/>
    <m/>
    <m/>
    <m/>
    <x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s v="Sim"/>
    <d v="2024-06-07T00:00:00"/>
    <x v="4"/>
    <s v="NOK"/>
    <m/>
    <m/>
    <m/>
    <x v="5"/>
  </r>
  <r>
    <s v="INSTRUMENT"/>
    <s v="RFNNC_PRPS"/>
    <x v="0"/>
    <s v="2. Alterar especificação"/>
    <s v="OK"/>
    <s v="Alterar especificação. Campo depende do FRBRNC_STTS_INSTRMNT"/>
    <s v="Sempre que o campo FRBRNC_STTS_INSTRMNT =3 o campo RFNNC_PRPS deve estar marcado como Y. Reespecificar, implementar e testar."/>
    <s v="Não"/>
    <d v="2024-06-07T00:00:00"/>
    <x v="2"/>
    <s v="OK"/>
    <m/>
    <m/>
    <m/>
    <x v="2"/>
  </r>
  <r>
    <s v="INSTRUMENT"/>
    <s v="DPD"/>
    <x v="0"/>
    <s v="7. Analisar controlos e completude"/>
    <s v="NOK"/>
    <s v="Controlos NOK"/>
    <m/>
    <s v="Não"/>
    <d v="2024-06-07T00:00:00"/>
    <x v="5"/>
    <s v="NOK"/>
    <m/>
    <m/>
    <m/>
    <x v="6"/>
  </r>
  <r>
    <s v="INSTRUMENT"/>
    <s v="DPD_12M"/>
    <x v="0"/>
    <s v="7. Analisar controlos e completude"/>
    <s v="NOK"/>
    <s v="Controlos NOK"/>
    <m/>
    <s v="Não"/>
    <d v="2024-06-07T00:00:00"/>
    <x v="5"/>
    <s v="NOK"/>
    <m/>
    <m/>
    <m/>
    <x v="6"/>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s v="Não"/>
    <d v="2024-06-07T00:00:00"/>
    <x v="8"/>
    <s v="NOK"/>
    <m/>
    <d v="2022-04-28T00:00:00"/>
    <d v="2022-05-19T00:00:00"/>
    <x v="2"/>
  </r>
  <r>
    <s v="INSTRUMENT"/>
    <s v="DPD_12M_PRFRMNG_STTS"/>
    <x v="0"/>
    <s v="5.1 Em testes - Re-especificação"/>
    <s v="NOK"/>
    <s v="Campo depende do histórico do PRFRMNG_STTS. Não é necessário alterar a especificação do mesmo, apenas testar se a metodologia do campo PRFRMNG_STTS for alterada."/>
    <m/>
    <s v="Sim"/>
    <d v="2025-01-13T00:00:00"/>
    <x v="8"/>
    <s v="OK"/>
    <s v="Alteração da fonte das tabela de Imparidade Reporting para as 8_7 e alteração da data a partir da qual a fonte passa a ser as tabelas de Contabilidade ( 2019 para Dez 2022)"/>
    <d v="2024-09-27T00:00:00"/>
    <m/>
    <x v="5"/>
  </r>
  <r>
    <s v="INSTRUMENT"/>
    <s v="DPD_24M_FRBRNC_STTS"/>
    <x v="0"/>
    <s v="7. Analisar controlos e completude"/>
    <s v="NOK"/>
    <s v="Controlos NOK"/>
    <m/>
    <s v="Não"/>
    <d v="2024-06-07T00:00:00"/>
    <x v="5"/>
    <s v="NOK"/>
    <m/>
    <m/>
    <m/>
    <x v="6"/>
  </r>
  <r>
    <s v="INSTRUMENT"/>
    <s v="DPD_24M_PRFRMNG_STTS"/>
    <x v="0"/>
    <s v="5.1 Em testes - Re-especificação"/>
    <s v="N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PD_FRBRNC_STTS"/>
    <x v="0"/>
    <s v="7. Analisar controlos e completude"/>
    <s v="NOK"/>
    <s v="Controlos NOK"/>
    <m/>
    <s v="Não"/>
    <d v="2024-06-07T00:00:00"/>
    <x v="5"/>
    <s v="NOK"/>
    <m/>
    <m/>
    <m/>
    <x v="6"/>
  </r>
  <r>
    <s v="INSTRUMENT"/>
    <s v="DPD_PRFRMNG_STT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STI"/>
    <x v="1"/>
    <s v="1. Especificar"/>
    <s v="OK"/>
    <s v="Em especificação (Campos Novos)"/>
    <m/>
    <s v="Não"/>
    <d v="2024-06-07T00:00:00"/>
    <x v="3"/>
    <s v="OK"/>
    <m/>
    <m/>
    <m/>
    <x v="4"/>
  </r>
  <r>
    <s v="PROTECTION"/>
    <s v="TYP_PRTCTN"/>
    <x v="0"/>
    <s v="2. Alterar especificação"/>
    <s v="NOK"/>
    <s v="Alterar especificação (alteração da fonte para MUG)"/>
    <s v="Campo depende do campo 'cgarant' do MUG"/>
    <s v="Campo Fechado"/>
    <d v="2025-01-13T00:00:00"/>
    <x v="0"/>
    <s v="OK"/>
    <s v="Alteração de especificação com base no campo cgarant_bem e cgarant_rpt do MUG. Controlo NOK - A Corporação ajustou o controlo e estes casos passarão a estar OK_x000a_"/>
    <d v="2024-07-19T00:00:00"/>
    <d v="2024-12-20T00:00:00"/>
    <x v="1"/>
  </r>
  <r>
    <s v="ENTITY"/>
    <s v="DT_BRTH"/>
    <x v="1"/>
    <s v="7. Analisar controlos e completude"/>
    <s v="NOK"/>
    <s v="Controlos NOK"/>
    <m/>
    <s v="Não"/>
    <d v="2024-06-07T00:00:00"/>
    <x v="5"/>
    <s v="NOK"/>
    <m/>
    <m/>
    <m/>
    <x v="6"/>
  </r>
  <r>
    <s v="INSTRUMENT"/>
    <s v="DT_CMPLNT_MRTR_STTS_C19"/>
    <x v="1"/>
    <s v="9. Concluído"/>
    <s v="OK"/>
    <s v="Concluido, controlos OK"/>
    <m/>
    <s v="Campo Fechado"/>
    <d v="2024-06-07T00:00:00"/>
    <x v="0"/>
    <s v="OK"/>
    <m/>
    <m/>
    <m/>
    <x v="0"/>
  </r>
  <r>
    <s v="INSTRUMENT"/>
    <s v="DT_CMPLNT_MRTR_STTS_PRVS_C19"/>
    <x v="1"/>
    <s v="9. Concluído"/>
    <s v="OK"/>
    <s v="Concluido, controlos OK"/>
    <m/>
    <s v="Campo Fechado"/>
    <d v="2024-06-07T00:00:00"/>
    <x v="0"/>
    <s v="OK"/>
    <m/>
    <m/>
    <m/>
    <x v="0"/>
  </r>
  <r>
    <s v="PROTECTION"/>
    <s v="DT_PRTCTN_VL"/>
    <x v="0"/>
    <s v="5.2 Em testes - Incidência"/>
    <s v="NOK"/>
    <s v="Campo com incidência e controlos NOK. "/>
    <s v="Alteração formato de 0001-01-01 para 0000-00-00"/>
    <s v="Campo Fechado"/>
    <d v="2025-01-13T00:00:00"/>
    <x v="0"/>
    <s v="OK"/>
    <s v="Incidência corrigida. Especificação alterada para campo da GT018, de modo a estar coerente com a especificação do campo PRTCTN_VL_x000a_Controlo NOK (ver caderno de testes a 03/12/2023)"/>
    <d v="2024-07-19T00:00:00"/>
    <d v="2024-12-20T00:00:00"/>
    <x v="1"/>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s v="Não"/>
    <d v="2024-06-07T00:00:00"/>
    <x v="1"/>
    <s v="NOK"/>
    <m/>
    <m/>
    <m/>
    <x v="2"/>
  </r>
  <r>
    <s v="INSTRUMENT"/>
    <s v="DT_END_GP_PPAL"/>
    <x v="0"/>
    <s v="7. Analisar controlos e completude"/>
    <s v="NOK"/>
    <s v="Controlos NOK"/>
    <m/>
    <s v="Não"/>
    <d v="2024-06-07T00:00:00"/>
    <x v="5"/>
    <s v="NOK"/>
    <m/>
    <m/>
    <m/>
    <x v="6"/>
  </r>
  <r>
    <s v="INSTRUMENT"/>
    <s v="DT_END_GP_PPAL_C19"/>
    <x v="1"/>
    <s v="9. Concluído"/>
    <s v="OK"/>
    <s v="Concluido, controlos OK"/>
    <m/>
    <s v="Campo Fechado"/>
    <d v="2024-06-07T00:00:00"/>
    <x v="0"/>
    <s v="OK"/>
    <m/>
    <m/>
    <m/>
    <x v="0"/>
  </r>
  <r>
    <s v="INSTRUMENT"/>
    <s v="DT_END_INTRST_ONLY"/>
    <x v="0"/>
    <s v="7. Analisar controlos e completude"/>
    <s v="NOK"/>
    <s v="Controlos NOK"/>
    <m/>
    <s v="Não"/>
    <d v="2024-06-07T00:00:00"/>
    <x v="5"/>
    <s v="NOK"/>
    <m/>
    <m/>
    <m/>
    <x v="6"/>
  </r>
  <r>
    <s v="INSTRUMENT"/>
    <s v="DT_END_INTRST_ONLY_C19"/>
    <x v="1"/>
    <s v="9. Concluído"/>
    <s v="OK"/>
    <s v="Concluido, controlos OK"/>
    <m/>
    <s v="Campo Fechado"/>
    <d v="2024-06-07T00:00:00"/>
    <x v="0"/>
    <s v="OK"/>
    <m/>
    <m/>
    <m/>
    <x v="0"/>
  </r>
  <r>
    <s v="PROTECTION"/>
    <s v="CNSTRCTN_STTS"/>
    <x v="1"/>
    <s v="2. Alterar especificação"/>
    <s v="NOK"/>
    <s v="Campo dependente do MUG"/>
    <s v="Campo depende do campo 'cgarant' do MUG"/>
    <s v="Campo Fechado"/>
    <d v="2025-01-13T00:00:00"/>
    <x v="0"/>
    <s v="OK"/>
    <m/>
    <d v="2024-08-09T00:00:00"/>
    <d v="2024-12-20T00:00:00"/>
    <x v="1"/>
  </r>
  <r>
    <s v="ENTITY"/>
    <s v="DT_FNNCL_STTMTS"/>
    <x v="0"/>
    <s v="2. Alterar especificação"/>
    <s v="NOK"/>
    <s v="Em especificação (Financial Statments CIB)"/>
    <s v="Campo implementação, mas com falta de informação para o segmento de clientes CIB"/>
    <s v="Não"/>
    <d v="2024-06-07T00:00:00"/>
    <x v="2"/>
    <s v="NOK"/>
    <m/>
    <m/>
    <m/>
    <x v="2"/>
  </r>
  <r>
    <s v="ENTITY"/>
    <s v="DT_FNNCL_STTMTS_PRVS"/>
    <x v="0"/>
    <s v="2. Alterar especificação"/>
    <s v="NOK"/>
    <s v="Em especificação (Financial Statments CIB)"/>
    <s v="Campo implementação, mas com falta de informação para o segmento de clientes CIB"/>
    <s v="Não"/>
    <d v="2024-06-07T00:00:00"/>
    <x v="2"/>
    <s v="NOK"/>
    <m/>
    <m/>
    <m/>
    <x v="2"/>
  </r>
  <r>
    <s v="INSTRUMENT"/>
    <s v="RCVD_INTRST_24M"/>
    <x v="0"/>
    <s v="2. Alterar especificação"/>
    <s v="OK"/>
    <s v="Em especificação (Amortizações Capital/ Juros). Campo com dados mas pouca qualidade"/>
    <m/>
    <s v="Não"/>
    <d v="2024-06-07T00:00:00"/>
    <x v="2"/>
    <s v="OK"/>
    <m/>
    <m/>
    <m/>
    <x v="2"/>
  </r>
  <r>
    <s v="INSTRUMENT"/>
    <s v="DT_FRBRNC_STTS_C19"/>
    <x v="1"/>
    <s v="9. Concluído"/>
    <s v="OK"/>
    <s v="Concluido, controlos OK"/>
    <m/>
    <s v="Campo Fechado"/>
    <d v="2024-06-07T00:00:00"/>
    <x v="0"/>
    <s v="OK"/>
    <m/>
    <m/>
    <m/>
    <x v="0"/>
  </r>
  <r>
    <s v="INSTRUMENT"/>
    <s v="RCVD_INTRST_12M"/>
    <x v="0"/>
    <s v="2. Alterar especificação"/>
    <s v="NOK"/>
    <s v="Em especificação (Amortizações Capital/ Juros)"/>
    <m/>
    <s v="Não"/>
    <d v="2024-06-07T00:00:00"/>
    <x v="2"/>
    <s v="NOK"/>
    <m/>
    <m/>
    <m/>
    <x v="2"/>
  </r>
  <r>
    <s v="INSTRUMENT"/>
    <s v="DT_FRBRNC_STTS_PRVS_C19"/>
    <x v="1"/>
    <s v="9. Concluído"/>
    <s v="OK"/>
    <s v="Concluido, controlos OK"/>
    <m/>
    <s v="Campo Fechado"/>
    <d v="2024-06-07T00:00:00"/>
    <x v="0"/>
    <s v="OK"/>
    <m/>
    <m/>
    <m/>
    <x v="0"/>
  </r>
  <r>
    <s v="PROTECTION"/>
    <s v="DT_FRST_USG"/>
    <x v="1"/>
    <s v="7. Analisar controlos e completude"/>
    <s v="NOK"/>
    <s v="Controlos NOK por parte de Riscos"/>
    <m/>
    <s v="Não"/>
    <d v="2024-06-07T00:00:00"/>
    <x v="5"/>
    <s v="NOK"/>
    <m/>
    <m/>
    <m/>
    <x v="6"/>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NCPTN"/>
    <x v="0"/>
    <s v="7. Analisar controlos e completude"/>
    <s v="NOK"/>
    <s v="Controlos NOK"/>
    <m/>
    <s v="Não"/>
    <d v="2024-06-07T00:00:00"/>
    <x v="5"/>
    <s v="NOK"/>
    <m/>
    <m/>
    <m/>
    <x v="6"/>
  </r>
  <r>
    <s v="ENTITY"/>
    <s v="DT_INTRNL_RTNG"/>
    <x v="0"/>
    <s v="5.1 Em testes - Re-especificação"/>
    <s v="NOK"/>
    <s v="Em testes, campo entregue por IT durante a OSI. Incidência nos formatos. Testar e validar controlos NOK"/>
    <m/>
    <s v="Sim"/>
    <d v="2024-06-07T00:00:00"/>
    <x v="8"/>
    <s v="NOK"/>
    <s v="Campo entregue durante a OSI"/>
    <d v="2024-02-16T00:00:00"/>
    <d v="2024-05-24T00:00:00"/>
    <x v="1"/>
  </r>
  <r>
    <s v="INSTRUMENT"/>
    <s v="DT_INTRNL_RTNG"/>
    <x v="0"/>
    <s v="5.1 Em testes - Re-especificação"/>
    <s v="NOK"/>
    <s v="Em testes, campo entregue por IT durante a OSI. Testar e validar controlos"/>
    <m/>
    <s v="Sim"/>
    <d v="2024-06-07T00:00:00"/>
    <x v="8"/>
    <s v="NOK"/>
    <s v="Campo entregue durante a OSI"/>
    <d v="2024-02-16T00:00:00"/>
    <d v="2024-05-24T00:00:00"/>
    <x v="1"/>
  </r>
  <r>
    <s v="ENTITY"/>
    <s v="DT_INTTN_LGL_PRCDNGS_LE"/>
    <x v="0"/>
    <s v="9. Concluído"/>
    <s v="OK"/>
    <s v="Concluido, controlos OK"/>
    <m/>
    <s v="Campo Fechado"/>
    <d v="2024-06-07T00:00:00"/>
    <x v="0"/>
    <s v="OK"/>
    <m/>
    <m/>
    <m/>
    <x v="0"/>
  </r>
  <r>
    <s v="PROTECTION"/>
    <s v="DVLPMNT_STTS"/>
    <x v="0"/>
    <s v="2. Alterar especificação"/>
    <s v="NOK"/>
    <s v="Alterar especificação. Campo dependente do MUG"/>
    <s v="Campo depende do campo 'cgarant' do MUG"/>
    <s v="Campo Fechado"/>
    <d v="2025-01-13T00:00:00"/>
    <x v="0"/>
    <s v="OK"/>
    <s v="Mapeamento de acordo com o CNSTRCTN_STTS"/>
    <d v="2024-08-09T00:00:00"/>
    <d v="2024-12-20T00:00:00"/>
    <x v="1"/>
  </r>
  <r>
    <s v="PROTECTION"/>
    <s v="DT_LST_FLL_APPRSL"/>
    <x v="0"/>
    <s v="5.2 Em testes - Incidência"/>
    <s v="NOK"/>
    <s v="Campo com incidência e controlos NOK"/>
    <s v="1) Campo com incidência, data igual à data da protection_vl 2) Alteração de formatos MISS"/>
    <s v="Campo Fechado"/>
    <d v="2025-01-13T00:00:00"/>
    <x v="0"/>
    <s v="OK"/>
    <s v="Campo está a reportar a data da última avaliação e não a data da última avaliação in person. Implementação não está a aplicar a metodologia de cálculo de acordo com a especificação"/>
    <d v="2024-06-28T00:00:00"/>
    <d v="2024-12-20T00:00:00"/>
    <x v="1"/>
  </r>
  <r>
    <s v="PROTECTION"/>
    <s v="DT_MTRTY_PRTCTN"/>
    <x v="0"/>
    <s v="7. Analisar controlos e completude"/>
    <s v="NOK"/>
    <s v="Controlos NOK por parte de Riscos"/>
    <m/>
    <s v="Não"/>
    <d v="2024-06-07T00:00:00"/>
    <x v="5"/>
    <s v="NOK"/>
    <m/>
    <m/>
    <m/>
    <x v="6"/>
  </r>
  <r>
    <s v="INSTRUMENT"/>
    <s v="SICR_ASSSSMNT_MTHD"/>
    <x v="0"/>
    <s v="3. Pendente de decisão"/>
    <s v="OK"/>
    <s v="Rever com Corporação se a codelist do IMPRMNT_STTS alterou, caso não tenha alterado não é necessário alterar o campo."/>
    <m/>
    <s v="Campo Fechado"/>
    <d v="2024-06-28T00:00:00"/>
    <x v="0"/>
    <s v="OK"/>
    <s v="E-mail enviado para Corporação. Codelist IMPRMNT_STTS não alterou"/>
    <m/>
    <s v="-"/>
    <x v="0"/>
  </r>
  <r>
    <s v="INSTRUMENT"/>
    <s v="DT_ORGNL_MTRTY"/>
    <x v="0"/>
    <s v="7. Analisar controlos e completude"/>
    <s v="NOK"/>
    <s v="Controlos NOK"/>
    <m/>
    <s v="Não"/>
    <d v="2024-06-07T00:00:00"/>
    <x v="5"/>
    <s v="NOK"/>
    <m/>
    <m/>
    <m/>
    <x v="6"/>
  </r>
  <r>
    <s v="PROTECTION"/>
    <s v="NTNL_ID"/>
    <x v="0"/>
    <s v="5.2 Em testes - Incidência"/>
    <s v="NOK"/>
    <s v="Campo com incidência (Formatos). Remover aspas"/>
    <m/>
    <s v="Campo Fechado"/>
    <d v="2025-01-13T00:00:00"/>
    <x v="0"/>
    <s v="OK"/>
    <m/>
    <d v="2024-08-09T00:00:00"/>
    <d v="2024-12-20T00:00:00"/>
    <x v="1"/>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s v="Sim"/>
    <d v="2025-01-13T00:00:00"/>
    <x v="8"/>
    <s v="OK"/>
    <s v="Alteração de fonte e tabelas reporting para tabelas terminadas em 7_8_x000a_"/>
    <d v="2024-08-30T00:00:00"/>
    <m/>
    <x v="1"/>
  </r>
  <r>
    <s v="INSTRUMENT"/>
    <s v="DT_PST_D"/>
    <x v="0"/>
    <s v="7. Analisar controlos e completude"/>
    <s v="NOK"/>
    <s v="Controlos NOK"/>
    <m/>
    <s v="Não"/>
    <d v="2024-06-07T00:00:00"/>
    <x v="5"/>
    <s v="NOK"/>
    <m/>
    <m/>
    <m/>
    <x v="6"/>
  </r>
  <r>
    <s v="ENTITY"/>
    <s v="DT_RFRNC"/>
    <x v="0"/>
    <s v="9. Concluído"/>
    <s v="OK"/>
    <s v="Concluido, controlos OK"/>
    <m/>
    <s v="Campo Fechado"/>
    <d v="2024-06-07T00:00:00"/>
    <x v="0"/>
    <s v="OK"/>
    <m/>
    <m/>
    <m/>
    <x v="0"/>
  </r>
  <r>
    <s v="INSTR_ENTITY"/>
    <s v="DT_RFRNC"/>
    <x v="0"/>
    <s v="9. Concluído"/>
    <s v="OK"/>
    <s v="Concluido, controlos OK"/>
    <m/>
    <s v="Campo Fechado"/>
    <d v="2024-06-07T00:00:00"/>
    <x v="0"/>
    <s v="OK"/>
    <m/>
    <m/>
    <m/>
    <x v="0"/>
  </r>
  <r>
    <s v="INSTR_PROTECTION"/>
    <s v="DT_RFRNC"/>
    <x v="0"/>
    <s v="9. Concluído"/>
    <s v="OK"/>
    <s v="Concluido, controlos OK"/>
    <m/>
    <s v="Campo Fechado"/>
    <d v="2024-06-07T00:00:00"/>
    <x v="0"/>
    <s v="OK"/>
    <m/>
    <m/>
    <m/>
    <x v="0"/>
  </r>
  <r>
    <s v="INSTRUMENT"/>
    <s v="DT_RFRNC"/>
    <x v="0"/>
    <s v="9. Concluído"/>
    <s v="OK"/>
    <s v="Concluido, controlos OK"/>
    <m/>
    <s v="Campo Fechado"/>
    <d v="2024-06-07T00:00:00"/>
    <x v="0"/>
    <s v="OK"/>
    <m/>
    <m/>
    <m/>
    <x v="0"/>
  </r>
  <r>
    <s v="PROTECTION"/>
    <s v="DT_RFRNC"/>
    <x v="0"/>
    <s v="9. Concluído"/>
    <s v="OK"/>
    <s v="Concluido, controlos OK"/>
    <m/>
    <s v="Campo Fechado"/>
    <d v="2024-06-07T00:00:00"/>
    <x v="0"/>
    <s v="OK"/>
    <m/>
    <m/>
    <m/>
    <x v="0"/>
  </r>
  <r>
    <s v="INSTRUMENT"/>
    <s v="DT_STRT_GP_PPAL"/>
    <x v="0"/>
    <s v="7. Analisar controlos e completude"/>
    <s v="NOK"/>
    <s v="Controlos NOK"/>
    <m/>
    <s v="Não"/>
    <d v="2024-06-07T00:00:00"/>
    <x v="5"/>
    <s v="NOK"/>
    <m/>
    <m/>
    <m/>
    <x v="6"/>
  </r>
  <r>
    <s v="INSTRUMENT"/>
    <s v="DT_STRT_INTRST_ONLY"/>
    <x v="0"/>
    <s v="7. Analisar controlos e completude"/>
    <s v="NOK"/>
    <s v="Controlos NOK"/>
    <m/>
    <s v="Não"/>
    <d v="2024-06-07T00:00:00"/>
    <x v="5"/>
    <s v="NOK"/>
    <m/>
    <m/>
    <m/>
    <x v="6"/>
  </r>
  <r>
    <s v="INSTRUMENT"/>
    <s v="DT_VLTN"/>
    <x v="1"/>
    <s v="9. Concluído"/>
    <s v="OK"/>
    <s v="Concluido, controlos OK"/>
    <m/>
    <s v="Campo Fechado"/>
    <d v="2024-06-07T00:00:00"/>
    <x v="0"/>
    <s v="OK"/>
    <m/>
    <m/>
    <m/>
    <x v="0"/>
  </r>
  <r>
    <s v="INSTRUMENT"/>
    <s v="POCI"/>
    <x v="0"/>
    <s v="9. Concluído"/>
    <s v="OK"/>
    <s v="Concluido, controlos OK"/>
    <m/>
    <s v="Campo Fechado"/>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x v="0"/>
  </r>
  <r>
    <s v="INSTRUMENT"/>
    <s v="EAD"/>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x v="1"/>
  </r>
  <r>
    <s v="INSTRUMENT"/>
    <s v="EBA_CMPLNT_MRTR_ST_C19"/>
    <x v="1"/>
    <s v="9. Concluído"/>
    <s v="OK"/>
    <s v="Concluido, controlos OK"/>
    <m/>
    <s v="Campo Fechado"/>
    <d v="2024-06-07T00:00:00"/>
    <x v="0"/>
    <s v="OK"/>
    <m/>
    <m/>
    <m/>
    <x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s v="Sim"/>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x v="5"/>
  </r>
  <r>
    <s v="INSTRUMENT"/>
    <s v="INSTLMNT_PAY"/>
    <x v="1"/>
    <s v="2. Alterar especificação"/>
    <s v="OK"/>
    <s v="Campo especificado, mas com pouca qualidade de dados"/>
    <m/>
    <s v="Não"/>
    <d v="2024-06-07T00:00:00"/>
    <x v="2"/>
    <s v="OK"/>
    <m/>
    <m/>
    <m/>
    <x v="7"/>
  </r>
  <r>
    <s v="ENTITY"/>
    <s v="EC_GRP_ID"/>
    <x v="1"/>
    <s v="1. Especificar"/>
    <s v="OK"/>
    <s v="Em especificação (Campos Novos)"/>
    <m/>
    <s v="Não"/>
    <d v="2024-06-07T00:00:00"/>
    <x v="3"/>
    <s v="OK"/>
    <m/>
    <m/>
    <m/>
    <x v="4"/>
  </r>
  <r>
    <s v="ENTITY"/>
    <s v="EC_GRP_NM"/>
    <x v="1"/>
    <s v="1. Especificar"/>
    <s v="OK"/>
    <s v="Em especificação (Campos Novos)"/>
    <m/>
    <s v="Não"/>
    <d v="2024-06-07T00:00:00"/>
    <x v="3"/>
    <s v="OK"/>
    <m/>
    <m/>
    <m/>
    <x v="4"/>
  </r>
  <r>
    <s v="ENTITY"/>
    <s v="ECNMC_ACTVTY"/>
    <x v="0"/>
    <s v="9. Concluído"/>
    <s v="OK"/>
    <s v="Concluido, controlos OK"/>
    <m/>
    <s v="Campo Fechado"/>
    <d v="2024-06-07T00:00:00"/>
    <x v="0"/>
    <s v="OK"/>
    <m/>
    <m/>
    <m/>
    <x v="0"/>
  </r>
  <r>
    <s v="INSTRUMENT"/>
    <s v="EIR"/>
    <x v="0"/>
    <s v="7. Analisar controlos e completude"/>
    <s v="NOK"/>
    <s v="Controlos NOK"/>
    <m/>
    <s v="Não"/>
    <d v="2024-06-07T00:00:00"/>
    <x v="5"/>
    <s v="NOK"/>
    <m/>
    <m/>
    <m/>
    <x v="6"/>
  </r>
  <r>
    <s v="INSTRUMENT"/>
    <s v="EIR_INCPTN"/>
    <x v="0"/>
    <s v="7. Analisar controlos e completude"/>
    <s v="NOK"/>
    <s v="Controlos NOK"/>
    <m/>
    <s v="Não"/>
    <d v="2024-06-07T00:00:00"/>
    <x v="5"/>
    <s v="NOK"/>
    <m/>
    <m/>
    <m/>
    <x v="6"/>
  </r>
  <r>
    <s v="INSTRUMENT"/>
    <s v="ELGBLTY_ECB"/>
    <x v="1"/>
    <s v="9. Concluído"/>
    <s v="OK"/>
    <s v="Concluido, controlos OK"/>
    <m/>
    <s v="Campo Fechado"/>
    <d v="2024-06-07T00:00:00"/>
    <x v="0"/>
    <s v="OK"/>
    <m/>
    <m/>
    <m/>
    <x v="0"/>
  </r>
  <r>
    <s v="ENTITY"/>
    <s v="EMPLYMNT_STTS"/>
    <x v="1"/>
    <s v="9. Concluído"/>
    <s v="OK"/>
    <s v="Concluido, controlos OK"/>
    <m/>
    <s v="Campo Fechado"/>
    <d v="2024-06-07T00:00:00"/>
    <x v="0"/>
    <s v="OK"/>
    <m/>
    <m/>
    <m/>
    <x v="0"/>
  </r>
  <r>
    <s v="ENTITY"/>
    <s v="EMPLYMNT_STTS_INTRNL"/>
    <x v="1"/>
    <s v="9. Concluído"/>
    <s v="OK"/>
    <s v="Concluido, controlos OK"/>
    <m/>
    <s v="Campo Fechado"/>
    <d v="2024-06-07T00:00:00"/>
    <x v="0"/>
    <s v="OK"/>
    <m/>
    <m/>
    <m/>
    <x v="0"/>
  </r>
  <r>
    <s v="ENTITY"/>
    <s v="ENTRPRS_SZ_LE"/>
    <x v="0"/>
    <s v="7. Analisar controlos e completude"/>
    <s v="NOK"/>
    <s v="Controlos NOK"/>
    <m/>
    <s v="Não"/>
    <d v="2024-06-07T00:00:00"/>
    <x v="5"/>
    <s v="NOK"/>
    <m/>
    <m/>
    <m/>
    <x v="6"/>
  </r>
  <r>
    <s v="ENTITY"/>
    <s v="ENTTY_ID"/>
    <x v="0"/>
    <s v="7. Analisar controlos e completude"/>
    <s v="NOK"/>
    <s v="Controlos NOK"/>
    <m/>
    <s v="Não"/>
    <d v="2024-06-07T00:00:00"/>
    <x v="5"/>
    <s v="NOK"/>
    <m/>
    <m/>
    <m/>
    <x v="6"/>
  </r>
  <r>
    <s v="INSTR_ENTITY"/>
    <s v="ENTTY_ID"/>
    <x v="0"/>
    <s v="7. Analisar controlos e completude"/>
    <s v="NOK"/>
    <s v="Controlos NOK"/>
    <m/>
    <s v="Não"/>
    <d v="2024-06-07T00:00:00"/>
    <x v="5"/>
    <s v="NOK"/>
    <m/>
    <m/>
    <m/>
    <x v="6"/>
  </r>
  <r>
    <s v="ENTITY"/>
    <s v="ENTTY_NM"/>
    <x v="0"/>
    <s v="9. Concluído"/>
    <s v="OK"/>
    <s v="Concluido, controlos OK"/>
    <m/>
    <s v="Campo Fechado"/>
    <d v="2024-06-07T00:00:00"/>
    <x v="0"/>
    <s v="OK"/>
    <m/>
    <m/>
    <m/>
    <x v="0"/>
  </r>
  <r>
    <s v="ENTITY"/>
    <s v="EQTY"/>
    <x v="0"/>
    <s v="2. Alterar especificação"/>
    <s v="OK"/>
    <s v="Em especificação (Financial Statments CIB)"/>
    <s v="Campo implementação, mas com falta de informação para o segmento de clientes CIB"/>
    <s v="Não"/>
    <d v="2024-06-07T00:00:00"/>
    <x v="2"/>
    <s v="OK"/>
    <m/>
    <m/>
    <m/>
    <x v="2"/>
  </r>
  <r>
    <s v="ENTITY"/>
    <s v="EQTY_PRVS"/>
    <x v="0"/>
    <s v="2. Alterar especificação"/>
    <s v="OK"/>
    <s v="Em especificação (Financial Statments CIB)"/>
    <s v="Campo implementação, mas com falta de informação para o segmento de clientes CIB"/>
    <s v="Não"/>
    <d v="2024-06-07T00:00:00"/>
    <x v="2"/>
    <s v="OK"/>
    <m/>
    <m/>
    <m/>
    <x v="2"/>
  </r>
  <r>
    <s v="INSTRUMENT"/>
    <s v="EXPCTD_LSS_CRR"/>
    <x v="1"/>
    <s v="4.1 Em implementação - Re-especificação"/>
    <s v="OK"/>
    <s v="Aguarda implementação de IT"/>
    <m/>
    <s v="Não"/>
    <d v="2024-06-17T00:00:00"/>
    <x v="8"/>
    <s v="OK"/>
    <m/>
    <d v="2024-02-02T00:00:00"/>
    <d v="2024-03-28T00:00:00"/>
    <x v="4"/>
  </r>
  <r>
    <s v="INSTRUMENT"/>
    <s v="EXPSR_IN_SCP"/>
    <x v="0"/>
    <s v="9. Concluído"/>
    <s v="OK"/>
    <s v="Concluido, controlos OK"/>
    <m/>
    <s v="Campo Fechado"/>
    <d v="2024-06-07T00:00:00"/>
    <x v="0"/>
    <s v="OK"/>
    <m/>
    <m/>
    <m/>
    <x v="0"/>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OK"/>
    <m/>
    <m/>
    <m/>
    <x v="2"/>
  </r>
  <r>
    <s v="ENTITY"/>
    <s v="EXTRNL_RTNG_PRVS"/>
    <x v="0"/>
    <s v="2. Alterar especificação"/>
    <s v="OK"/>
    <s v="Alterar especificação para casos em informação na fonte."/>
    <s v="Quando não existe informação na fonte em vez de MISS substituir por NA"/>
    <s v="Sim"/>
    <d v="2024-06-07T00:00:00"/>
    <x v="2"/>
    <s v="OK"/>
    <m/>
    <m/>
    <m/>
    <x v="3"/>
  </r>
  <r>
    <s v="ENTITY"/>
    <s v="EXTRNL_RTNG_NM"/>
    <x v="0"/>
    <s v="2. Alterar especificação"/>
    <s v="NOK"/>
    <s v="Alterar especificação para casos em informação na fonte."/>
    <s v="Quando não existe informação na fonte em vez de MISS substituir por NA"/>
    <s v="Sim"/>
    <d v="2024-06-07T00:00:00"/>
    <x v="2"/>
    <s v="NOK"/>
    <m/>
    <m/>
    <m/>
    <x v="3"/>
  </r>
  <r>
    <s v="INSTRUMENT"/>
    <s v="FLD_SYNDCTN"/>
    <x v="1"/>
    <s v="6. Outros Desenvolvimentos"/>
    <s v="OK"/>
    <s v="Em implementação IT BST (Sindicados)"/>
    <s v="Aguarda desenvolvimentos nas plataformas Loan IQ e Mercurio"/>
    <s v="Não"/>
    <d v="2024-06-07T00:00:00"/>
    <x v="9"/>
    <s v="OK"/>
    <m/>
    <m/>
    <m/>
    <x v="2"/>
  </r>
  <r>
    <s v="ENTITY"/>
    <s v="FLG_BNKRPTCY_IN_GRP"/>
    <x v="0"/>
    <s v="9. Concluído"/>
    <s v="OK"/>
    <s v="Concluido, controlos OK"/>
    <m/>
    <s v="Campo Fechado"/>
    <d v="2024-06-07T00:00:00"/>
    <x v="0"/>
    <s v="OK"/>
    <m/>
    <m/>
    <m/>
    <x v="0"/>
  </r>
  <r>
    <s v="ENTITY"/>
    <s v="FLG_HGH_CDS"/>
    <x v="0"/>
    <s v="9. Concluído"/>
    <s v="OK"/>
    <s v="Concluido, controlos OK"/>
    <m/>
    <s v="Campo Fechado"/>
    <d v="2024-06-07T00:00:00"/>
    <x v="0"/>
    <s v="OK"/>
    <m/>
    <m/>
    <m/>
    <x v="0"/>
  </r>
  <r>
    <s v="ENTITY"/>
    <s v="FLG_ISDA_CRDT_EVNT"/>
    <x v="0"/>
    <s v="9. Concluído"/>
    <s v="OK"/>
    <s v="Concluido, controlos OK"/>
    <m/>
    <s v="Campo Fechado"/>
    <d v="2024-06-07T00:00:00"/>
    <x v="0"/>
    <s v="OK"/>
    <m/>
    <m/>
    <m/>
    <x v="0"/>
  </r>
  <r>
    <s v="INSTRUMENT"/>
    <s v="FLG_LBO"/>
    <x v="1"/>
    <s v="9. Concluído"/>
    <s v="OK"/>
    <s v="Concluido, controlos OK"/>
    <m/>
    <s v="Campo Fechado"/>
    <d v="2024-06-07T00:00:00"/>
    <x v="0"/>
    <s v="OK"/>
    <m/>
    <m/>
    <m/>
    <x v="0"/>
  </r>
  <r>
    <s v="ENTITY"/>
    <s v="FLG_NN_ACCRL"/>
    <x v="0"/>
    <s v="9. Concluído"/>
    <s v="OK"/>
    <s v="Concluido, controlos OK"/>
    <m/>
    <s v="Campo Fechado"/>
    <d v="2024-06-07T00:00:00"/>
    <x v="0"/>
    <s v="OK"/>
    <m/>
    <m/>
    <m/>
    <x v="0"/>
  </r>
  <r>
    <s v="ENTITY"/>
    <s v="FLG_RQST_BNKRPTCY"/>
    <x v="0"/>
    <s v="9. Concluído"/>
    <s v="OK"/>
    <s v="Concluido, controlos OK"/>
    <m/>
    <s v="Campo Fechado"/>
    <d v="2024-06-07T00:00:00"/>
    <x v="0"/>
    <s v="OK"/>
    <m/>
    <m/>
    <m/>
    <x v="0"/>
  </r>
  <r>
    <s v="ENTITY"/>
    <s v="FLG_RQST_DSTRSSD_RSTRCTRNG"/>
    <x v="0"/>
    <s v="1. Especificar"/>
    <s v="NOK"/>
    <s v="Em especificação, rever fonte"/>
    <m/>
    <s v="Não"/>
    <d v="2024-06-07T00:00:00"/>
    <x v="3"/>
    <s v="NOK"/>
    <m/>
    <m/>
    <m/>
    <x v="2"/>
  </r>
  <r>
    <s v="ENTITY"/>
    <s v="FLG_RQST_EMRGNCY_FNDNG"/>
    <x v="0"/>
    <s v="9. Concluído"/>
    <s v="OK"/>
    <s v="Concluido, controlos OK"/>
    <m/>
    <s v="Campo Fechado"/>
    <d v="2024-06-07T00:00:00"/>
    <x v="0"/>
    <s v="OK"/>
    <m/>
    <m/>
    <m/>
    <x v="0"/>
  </r>
  <r>
    <s v="ENTITY"/>
    <s v="FLG_SLL_WTH_LSS"/>
    <x v="0"/>
    <s v="9. Concluído"/>
    <s v="OK"/>
    <s v="Concluido, controlos OK"/>
    <m/>
    <s v="Campo Fechado"/>
    <d v="2024-06-07T00:00:00"/>
    <x v="0"/>
    <s v="OK"/>
    <m/>
    <m/>
    <m/>
    <x v="0"/>
  </r>
  <r>
    <s v="ENTITY"/>
    <s v="FR_CSH_FLW"/>
    <x v="0"/>
    <s v="1. Especificar"/>
    <s v="OK"/>
    <s v="Em especificação (Campos Novos)"/>
    <m/>
    <s v="Não"/>
    <d v="2024-06-07T00:00:00"/>
    <x v="3"/>
    <s v="OK"/>
    <m/>
    <m/>
    <m/>
    <x v="4"/>
  </r>
  <r>
    <s v="ENTITY"/>
    <s v="FR_CSH_FLW_T1"/>
    <x v="0"/>
    <s v="1. Especificar"/>
    <s v="OK"/>
    <s v="Em especificação (Campos Novos)"/>
    <m/>
    <s v="Não"/>
    <d v="2024-06-07T00:00:00"/>
    <x v="3"/>
    <s v="OK"/>
    <m/>
    <m/>
    <m/>
    <x v="4"/>
  </r>
  <r>
    <s v="ENTITY"/>
    <s v="FR_CSH_FLW_T2"/>
    <x v="0"/>
    <s v="1. Especificar"/>
    <s v="OK"/>
    <s v="Em especificação (Campos Novos)"/>
    <m/>
    <s v="Não"/>
    <d v="2024-06-07T00:00:00"/>
    <x v="3"/>
    <s v="OK"/>
    <m/>
    <m/>
    <m/>
    <x v="4"/>
  </r>
  <r>
    <s v="ENTITY"/>
    <s v="FR_CSH_FLW_T3"/>
    <x v="0"/>
    <s v="1. Especificar"/>
    <s v="OK"/>
    <s v="Em especificação (Campos Novos)"/>
    <m/>
    <s v="Não"/>
    <d v="2024-06-07T00:00:00"/>
    <x v="3"/>
    <s v="OK"/>
    <m/>
    <m/>
    <m/>
    <x v="4"/>
  </r>
  <r>
    <s v="INSTRUMENT"/>
    <s v="FRBRNC_STTS_C19"/>
    <x v="1"/>
    <s v="9. Concluído"/>
    <s v="OK"/>
    <s v="Concluido, controlos OK"/>
    <m/>
    <s v="Campo Fechado"/>
    <d v="2024-06-07T00:00:00"/>
    <x v="0"/>
    <s v="OK"/>
    <m/>
    <m/>
    <m/>
    <x v="0"/>
  </r>
  <r>
    <s v="ENTITY"/>
    <s v="EXTRNL_RTNG"/>
    <x v="0"/>
    <s v="2. Alterar especificação"/>
    <s v="OK"/>
    <s v="Alterar especificação para casos em informação na fonte."/>
    <s v="Quando não existe informação na fonte em vez de MISS substituir por NA"/>
    <s v="Sim"/>
    <d v="2024-06-07T00:00:00"/>
    <x v="2"/>
    <s v="OK"/>
    <m/>
    <m/>
    <m/>
    <x v="3"/>
  </r>
  <r>
    <s v="ENTITY"/>
    <s v="GCC_PRNT_ID"/>
    <x v="0"/>
    <s v="9. Concluído"/>
    <s v="OK"/>
    <s v="Concluido, controlos OK"/>
    <m/>
    <s v="Campo Fechado"/>
    <d v="2024-06-07T00:00:00"/>
    <x v="0"/>
    <s v="OK"/>
    <m/>
    <m/>
    <m/>
    <x v="0"/>
  </r>
  <r>
    <s v="ENTITY"/>
    <s v="GCC_PRNT_NM"/>
    <x v="0"/>
    <s v="9. Concluído"/>
    <s v="OK"/>
    <s v="Concluido, controlos OK"/>
    <m/>
    <s v="Campo Fechado"/>
    <d v="2024-06-07T00:00:00"/>
    <x v="0"/>
    <s v="OK"/>
    <m/>
    <m/>
    <m/>
    <x v="0"/>
  </r>
  <r>
    <s v="ENTITY"/>
    <s v="GDWILL"/>
    <x v="0"/>
    <s v="9. Concluído"/>
    <s v="OK"/>
    <s v="Concluido, controlos OK"/>
    <m/>
    <s v="Campo Fechado"/>
    <d v="2024-06-07T00:00:00"/>
    <x v="0"/>
    <s v="OK"/>
    <m/>
    <m/>
    <m/>
    <x v="0"/>
  </r>
  <r>
    <s v="ENTITY"/>
    <s v="GDWILL_PRVS"/>
    <x v="0"/>
    <s v="9. Concluído"/>
    <s v="OK"/>
    <s v="Concluido, controlos OK"/>
    <m/>
    <s v="Campo Fechado"/>
    <d v="2024-06-07T00:00:00"/>
    <x v="0"/>
    <s v="OK"/>
    <m/>
    <m/>
    <m/>
    <x v="0"/>
  </r>
  <r>
    <s v="INSTRUMENT"/>
    <s v="GRC_PRD_CPTL_INTRST_C19"/>
    <x v="1"/>
    <s v="9. Concluído"/>
    <s v="OK"/>
    <s v="Concluido, controlos OK"/>
    <m/>
    <s v="Campo Fechado"/>
    <d v="2024-06-07T00:00:00"/>
    <x v="0"/>
    <s v="OK"/>
    <m/>
    <m/>
    <m/>
    <x v="0"/>
  </r>
  <r>
    <s v="INSTRUMENT"/>
    <s v="GRNTR_ID"/>
    <x v="1"/>
    <s v="9. Concluído"/>
    <s v="OK"/>
    <s v="Concluido, controlos OK"/>
    <m/>
    <s v="Campo Fechado"/>
    <d v="2024-06-07T00:00:00"/>
    <x v="0"/>
    <s v="OK"/>
    <m/>
    <m/>
    <m/>
    <x v="0"/>
  </r>
  <r>
    <s v="INSTRUMENT"/>
    <s v="GRNTR_ID_TYP"/>
    <x v="1"/>
    <s v="9. Concluído"/>
    <s v="OK"/>
    <s v="Concluido, controlos OK"/>
    <m/>
    <s v="Campo Fechado"/>
    <d v="2024-06-07T00:00:00"/>
    <x v="0"/>
    <s v="OK"/>
    <m/>
    <m/>
    <m/>
    <x v="0"/>
  </r>
  <r>
    <s v="ENTITY"/>
    <s v="GRP_EBITDA"/>
    <x v="0"/>
    <s v="9. Concluído"/>
    <s v="OK"/>
    <s v="Concluido, controlos OK"/>
    <m/>
    <s v="Campo Fechado"/>
    <d v="2024-06-07T00:00:00"/>
    <x v="0"/>
    <s v="OK"/>
    <m/>
    <m/>
    <m/>
    <x v="0"/>
  </r>
  <r>
    <s v="ENTITY"/>
    <s v="GRP_EQTY"/>
    <x v="0"/>
    <s v="9. Concluído"/>
    <s v="OK"/>
    <s v="Concluido, controlos OK"/>
    <m/>
    <s v="Campo Fechado"/>
    <d v="2024-06-07T00:00:00"/>
    <x v="0"/>
    <s v="OK"/>
    <m/>
    <m/>
    <m/>
    <x v="0"/>
  </r>
  <r>
    <s v="ENTITY"/>
    <s v="GRP_NT_DBT"/>
    <x v="0"/>
    <s v="9. Concluído"/>
    <s v="OK"/>
    <s v="Concluido, controlos OK"/>
    <m/>
    <s v="Campo Fechado"/>
    <d v="2024-06-07T00:00:00"/>
    <x v="0"/>
    <s v="OK"/>
    <m/>
    <m/>
    <m/>
    <x v="0"/>
  </r>
  <r>
    <s v="ENTITY"/>
    <s v="GRP_TTL_DBT"/>
    <x v="1"/>
    <s v="2. Alterar especificação"/>
    <s v="OK"/>
    <s v="Em especificação (Financial Statments CIB)"/>
    <s v="Campo implementação, mas com falta de informação para o segmento de clientes CIB"/>
    <s v="Não"/>
    <d v="2024-06-07T00:00:00"/>
    <x v="2"/>
    <s v="OK"/>
    <m/>
    <m/>
    <m/>
    <x v="2"/>
  </r>
  <r>
    <s v="INSTRUMENT"/>
    <s v="GRSS_CRRYNG_AMNT_INSTRMNT"/>
    <x v="0"/>
    <s v="9. Concluído"/>
    <s v="OK"/>
    <s v="Concluido, controlos OK"/>
    <m/>
    <s v="Campo Fechado"/>
    <d v="2024-06-07T00:00:00"/>
    <x v="0"/>
    <s v="OK"/>
    <m/>
    <m/>
    <m/>
    <x v="0"/>
  </r>
  <r>
    <s v="INSTRUMENT"/>
    <s v="HEDGE_ID"/>
    <x v="1"/>
    <s v="9. Concluído"/>
    <s v="OK"/>
    <s v="Concluido, controlos OK"/>
    <m/>
    <s v="Campo Fechado"/>
    <d v="2024-06-07T00:00:00"/>
    <x v="0"/>
    <s v="OK"/>
    <m/>
    <m/>
    <m/>
    <x v="0"/>
  </r>
  <r>
    <s v="PROTECTION"/>
    <s v="HRCT_MV"/>
    <x v="0"/>
    <s v="9. Concluído"/>
    <s v="OK"/>
    <s v="Concluido, controlos OK"/>
    <m/>
    <s v="Campo Fechado"/>
    <d v="2024-06-07T00:00:00"/>
    <x v="0"/>
    <s v="OK"/>
    <m/>
    <m/>
    <m/>
    <x v="0"/>
  </r>
  <r>
    <s v="INSTRUMENT"/>
    <s v="IDCMB"/>
    <x v="1"/>
    <s v="5.1 Em testes - Re-especificação"/>
    <s v="NOK"/>
    <s v="Em testes pela equipa de CDO"/>
    <m/>
    <s v="Sim"/>
    <d v="2024-06-07T00:00:00"/>
    <x v="8"/>
    <s v="NOK"/>
    <m/>
    <d v="2024-02-06T00:00:00"/>
    <d v="2024-02-08T00:00:00"/>
    <x v="4"/>
  </r>
  <r>
    <s v="ENTITY"/>
    <s v="EBITDA_PRVS"/>
    <x v="0"/>
    <s v="2. Alterar especificação"/>
    <s v="OK"/>
    <s v="Alterar especificação (Luis Bastos enviou nova metodologia do campo)"/>
    <m/>
    <s v="Não"/>
    <d v="2024-06-07T00:00:00"/>
    <x v="2"/>
    <s v="OK"/>
    <m/>
    <m/>
    <m/>
    <x v="2"/>
  </r>
  <r>
    <s v="INSTRUMENT"/>
    <s v="IFRS9_CCF"/>
    <x v="0"/>
    <s v="9. Concluído"/>
    <s v="OK"/>
    <s v="Concluido, controlos OK"/>
    <m/>
    <s v="Campo Fechado"/>
    <d v="2024-06-07T00:00:00"/>
    <x v="0"/>
    <s v="OK"/>
    <s v="Campo Imparidade"/>
    <m/>
    <m/>
    <x v="0"/>
  </r>
  <r>
    <s v="INSTRUMENT"/>
    <s v="IFRS9_EAD"/>
    <x v="0"/>
    <s v="7. Analisar controlos e completude"/>
    <s v="NOK"/>
    <s v="Controlos NOK"/>
    <m/>
    <s v="Não"/>
    <d v="2024-06-07T00:00:00"/>
    <x v="5"/>
    <s v="NOK"/>
    <s v="Campo Imparidade"/>
    <m/>
    <m/>
    <x v="6"/>
  </r>
  <r>
    <s v="INSTRUMENT"/>
    <s v="IFRS9_LGD"/>
    <x v="0"/>
    <s v="9. Concluído"/>
    <s v="OK"/>
    <s v="Concluido, controlos OK"/>
    <m/>
    <s v="Campo Fechado"/>
    <d v="2024-06-07T00:00:00"/>
    <x v="0"/>
    <s v="OK"/>
    <s v="Campo Imparidade"/>
    <m/>
    <m/>
    <x v="0"/>
  </r>
  <r>
    <s v="INSTRUMENT"/>
    <s v="IMPRMNT_ASSSSMNT_MTHD"/>
    <x v="0"/>
    <s v="9. Concluído"/>
    <s v="OK"/>
    <s v="Concluido, controlos OK"/>
    <m/>
    <s v="Campo Fechado"/>
    <d v="2024-06-07T00:00:00"/>
    <x v="0"/>
    <s v="OK"/>
    <m/>
    <m/>
    <m/>
    <x v="0"/>
  </r>
  <r>
    <s v="INSTRUMENT"/>
    <s v="IMPRMNT_CLCLTN_MTHD"/>
    <x v="0"/>
    <s v="7. Analisar controlos e completude"/>
    <s v="NOK"/>
    <s v="Controlos NOK"/>
    <m/>
    <s v="Não"/>
    <d v="2024-06-07T00:00:00"/>
    <x v="5"/>
    <s v="NOK"/>
    <m/>
    <m/>
    <m/>
    <x v="6"/>
  </r>
  <r>
    <s v="INSTRUMENT"/>
    <s v="IMPRMNT_STTS"/>
    <x v="0"/>
    <s v="3. Pendente de decisão"/>
    <s v="NOK"/>
    <s v="Rever com a Corporação se a nova code list foi apenas para a OSI (relativamente ao tema dos POCI)."/>
    <m/>
    <s v="Sim"/>
    <d v="2025-01-13T00:00:00"/>
    <x v="8"/>
    <s v="NOK"/>
    <s v="Alteração da fonte das tabela de Imparidade Reporting para as 8_7 e alteração da data a partir da qual a fonte passa a ser as tabelas de Contabilidade"/>
    <d v="2024-09-27T00:00:00"/>
    <m/>
    <x v="5"/>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INCM_SC"/>
    <x v="1"/>
    <s v="1. Especificar"/>
    <s v="OK"/>
    <s v="Em especificação (Salários)"/>
    <m/>
    <s v="Não"/>
    <d v="2024-06-07T00:00:00"/>
    <x v="3"/>
    <s v="OK"/>
    <m/>
    <m/>
    <m/>
    <x v="2"/>
  </r>
  <r>
    <s v="ENTITY"/>
    <s v="EBITDA"/>
    <x v="0"/>
    <s v="2. Alterar especificação"/>
    <s v="OK"/>
    <s v="Alterar especificação (Luis Bastos enviou nova metodologia do campo)"/>
    <m/>
    <s v="Não"/>
    <d v="2024-06-07T00:00:00"/>
    <x v="2"/>
    <s v="OK"/>
    <m/>
    <m/>
    <m/>
    <x v="2"/>
  </r>
  <r>
    <s v="INSTRUMENT"/>
    <s v="INSTR_SNRTY_CLSS"/>
    <x v="1"/>
    <s v="9. Concluído"/>
    <s v="OK"/>
    <s v="Concluido, controlos OK"/>
    <m/>
    <s v="Campo Fechado"/>
    <d v="2024-06-07T00:00:00"/>
    <x v="0"/>
    <s v="OK"/>
    <m/>
    <m/>
    <m/>
    <x v="0"/>
  </r>
  <r>
    <s v="INSTRUMENT"/>
    <s v="INSTRMNT_CLSS"/>
    <x v="1"/>
    <s v="9. Concluído"/>
    <s v="OK"/>
    <s v="Concluido, controlos OK"/>
    <m/>
    <s v="Campo Fechado"/>
    <d v="2024-06-07T00:00:00"/>
    <x v="0"/>
    <s v="OK"/>
    <m/>
    <m/>
    <m/>
    <x v="0"/>
  </r>
  <r>
    <s v="INSTR_ENTITY"/>
    <s v="INSTRMNT_ID"/>
    <x v="0"/>
    <s v="9. Concluído"/>
    <s v="OK"/>
    <s v="Concluido, controlos OK"/>
    <m/>
    <s v="Campo Fechado"/>
    <d v="2024-06-07T00:00:00"/>
    <x v="0"/>
    <s v="OK"/>
    <m/>
    <m/>
    <m/>
    <x v="0"/>
  </r>
  <r>
    <s v="INSTR_PROTECTION"/>
    <s v="INSTRMNT_ID"/>
    <x v="0"/>
    <s v="9. Concluído"/>
    <s v="OK"/>
    <s v="Concluido, controlos OK"/>
    <m/>
    <s v="Campo Fechado"/>
    <d v="2024-06-07T00:00:00"/>
    <x v="0"/>
    <s v="OK"/>
    <m/>
    <m/>
    <m/>
    <x v="0"/>
  </r>
  <r>
    <s v="INSTRUMENT"/>
    <s v="INSTRMNT_ID"/>
    <x v="0"/>
    <s v="9. Concluído"/>
    <s v="OK"/>
    <s v="Concluido, controlos OK"/>
    <m/>
    <s v="Campo Fechado"/>
    <d v="2024-06-07T00:00:00"/>
    <x v="0"/>
    <s v="OK"/>
    <m/>
    <m/>
    <m/>
    <x v="0"/>
  </r>
  <r>
    <s v="ENTITY"/>
    <s v="INTRNL_RTNG"/>
    <x v="0"/>
    <s v="5.1 Em testes - Re-especificação"/>
    <s v="NOK"/>
    <s v="Em testes"/>
    <m/>
    <s v="Sim"/>
    <d v="2024-06-07T00:00:00"/>
    <x v="8"/>
    <s v="NOK"/>
    <s v="Campo entregue durante a OSI"/>
    <d v="2024-02-16T00:00:00"/>
    <d v="2024-05-24T00:00:00"/>
    <x v="1"/>
  </r>
  <r>
    <s v="INSTRUMENT"/>
    <s v="INTRNL_RTNG"/>
    <x v="0"/>
    <s v="5.1 Em testes - Re-especificação"/>
    <s v="NOK"/>
    <s v="Em testes"/>
    <m/>
    <s v="Sim"/>
    <d v="2024-06-07T00:00:00"/>
    <x v="8"/>
    <s v="NOK"/>
    <s v="Campo entregue durante a OSI"/>
    <d v="2024-02-16T00:00:00"/>
    <d v="2024-05-24T00:00:00"/>
    <x v="1"/>
  </r>
  <r>
    <s v="INSTRUMENT"/>
    <s v="INTRNL_RTNG_INCPTN"/>
    <x v="0"/>
    <s v="5.2 Em testes - Incidência"/>
    <s v="NOK"/>
    <s v="Alterar especificação, campo com incidência. Controlos NOK"/>
    <s v="Na LT apenas foi especifido os restantes internal ratings, estando em falta o internal rating à data de inception."/>
    <s v="Não"/>
    <d v="2024-06-07T00:00:00"/>
    <x v="1"/>
    <s v="NOK"/>
    <m/>
    <m/>
    <m/>
    <x v="2"/>
  </r>
  <r>
    <s v="ENTITY"/>
    <s v="INTRNL_RTNG_PRVS"/>
    <x v="0"/>
    <s v="5.1 Em testes - Re-especificação"/>
    <s v="OK"/>
    <s v="Em testes, campo entregue por IT durante a OSI. Testar e validar controlos"/>
    <m/>
    <s v="Sim"/>
    <d v="2024-06-07T00:00:00"/>
    <x v="8"/>
    <s v="OK"/>
    <s v="Campo entregue durante a OSI"/>
    <d v="2024-02-16T00:00:00"/>
    <d v="2024-05-24T00:00:00"/>
    <x v="1"/>
  </r>
  <r>
    <s v="ENTITY"/>
    <s v="INTRNL_SGMNT"/>
    <x v="0"/>
    <s v="9. Concluído"/>
    <s v="OK"/>
    <s v="Concluido, controlos OK"/>
    <m/>
    <s v="Campo Fechado"/>
    <d v="2024-06-07T00:00:00"/>
    <x v="0"/>
    <s v="OK"/>
    <m/>
    <m/>
    <m/>
    <x v="0"/>
  </r>
  <r>
    <s v="INSTRUMENT"/>
    <s v="INTRNL_SGMNT"/>
    <x v="0"/>
    <s v="9. Concluído"/>
    <s v="OK"/>
    <s v="Concluido, controlos OK"/>
    <m/>
    <s v="Campo Fechado"/>
    <d v="2024-06-07T00:00:00"/>
    <x v="0"/>
    <s v="OK"/>
    <m/>
    <m/>
    <m/>
    <x v="0"/>
  </r>
  <r>
    <s v="INSTRUMENT"/>
    <s v="INTRNL_SGMNT_CAT_MSTA"/>
    <x v="1"/>
    <s v="9. Concluído"/>
    <s v="OK"/>
    <s v="Concluido, controlos OK"/>
    <m/>
    <s v="Campo Fechado"/>
    <d v="2024-06-07T00:00:00"/>
    <x v="0"/>
    <s v="OK"/>
    <m/>
    <m/>
    <m/>
    <x v="0"/>
  </r>
  <r>
    <s v="INSTRUMENT"/>
    <s v="INTRNL_SGMNT_CATGSUB"/>
    <x v="1"/>
    <s v="9. Concluído"/>
    <s v="OK"/>
    <s v="Concluido, controlos OK"/>
    <m/>
    <s v="Campo Fechado"/>
    <d v="2024-06-07T00:00:00"/>
    <x v="0"/>
    <s v="OK"/>
    <m/>
    <m/>
    <m/>
    <x v="0"/>
  </r>
  <r>
    <s v="INSTRUMENT"/>
    <s v="INTRNL_SGMNT_IFRS9"/>
    <x v="1"/>
    <s v="9. Concluído"/>
    <s v="OK"/>
    <s v="Concluido, controlos OK"/>
    <m/>
    <s v="Campo Fechado"/>
    <d v="2024-06-07T00:00:00"/>
    <x v="0"/>
    <s v="OK"/>
    <s v="Campo Imparidade"/>
    <m/>
    <m/>
    <x v="0"/>
  </r>
  <r>
    <s v="ENTITY"/>
    <s v="INTRNL_UNT"/>
    <x v="0"/>
    <s v="9. Concluído"/>
    <s v="OK"/>
    <s v="Concluido, controlos OK"/>
    <m/>
    <s v="Campo Fechado"/>
    <d v="2024-06-07T00:00:00"/>
    <x v="0"/>
    <s v="OK"/>
    <m/>
    <m/>
    <m/>
    <x v="0"/>
  </r>
  <r>
    <s v="INSTRUMENT"/>
    <s v="INTRNL_UNT"/>
    <x v="0"/>
    <s v="9. Concluído"/>
    <s v="OK"/>
    <s v="Concluido, controlos OK"/>
    <m/>
    <s v="Campo Fechado"/>
    <d v="2024-06-07T00:00:00"/>
    <x v="0"/>
    <s v="OK"/>
    <m/>
    <m/>
    <m/>
    <x v="0"/>
  </r>
  <r>
    <s v="INSTRUMENT"/>
    <s v="INTRST_RT_RST_FRQNCY"/>
    <x v="0"/>
    <s v="9. Concluído"/>
    <s v="OK"/>
    <s v="Concluido, controlos OK"/>
    <m/>
    <s v="Campo Fechado"/>
    <d v="2024-06-07T00:00:00"/>
    <x v="0"/>
    <s v="OK"/>
    <m/>
    <m/>
    <m/>
    <x v="0"/>
  </r>
  <r>
    <s v="INSTRUMENT"/>
    <s v="ISIN"/>
    <x v="1"/>
    <s v="9. Concluído"/>
    <s v="OK"/>
    <s v="Concluido, controlos OK"/>
    <m/>
    <s v="Campo Fechado"/>
    <d v="2024-06-07T00:00:00"/>
    <x v="0"/>
    <s v="OK"/>
    <m/>
    <m/>
    <m/>
    <x v="0"/>
  </r>
  <r>
    <s v="INSTRUMENT"/>
    <s v="ISIN_SCRTSTN"/>
    <x v="1"/>
    <s v="9. Concluído"/>
    <s v="OK"/>
    <s v="Concluido, controlos OK"/>
    <m/>
    <s v="Campo Fechado"/>
    <d v="2024-06-07T00:00:00"/>
    <x v="0"/>
    <s v="OK"/>
    <m/>
    <m/>
    <m/>
    <x v="0"/>
  </r>
  <r>
    <s v="INSTRUMENT"/>
    <s v="ISSR_CNTRY"/>
    <x v="1"/>
    <s v="9. Concluído"/>
    <s v="OK"/>
    <s v="Concluido, controlos OK"/>
    <m/>
    <s v="Campo Fechado"/>
    <d v="2024-06-07T00:00:00"/>
    <x v="0"/>
    <s v="OK"/>
    <m/>
    <m/>
    <m/>
    <x v="0"/>
  </r>
  <r>
    <s v="INSTRUMENT"/>
    <s v="ISSR_ESA_2010"/>
    <x v="1"/>
    <s v="7. Analisar controlos e completude"/>
    <s v="NOK"/>
    <s v="Controlos NOK"/>
    <m/>
    <s v="Não"/>
    <d v="2024-06-07T00:00:00"/>
    <x v="5"/>
    <s v="NOK"/>
    <m/>
    <m/>
    <m/>
    <x v="6"/>
  </r>
  <r>
    <s v="INSTRUMENT"/>
    <s v="ISSR_ID"/>
    <x v="1"/>
    <s v="9. Concluído"/>
    <s v="OK"/>
    <s v="Concluido, controlos OK"/>
    <m/>
    <s v="Campo Fechado"/>
    <d v="2024-06-07T00:00:00"/>
    <x v="0"/>
    <s v="OK"/>
    <m/>
    <m/>
    <m/>
    <x v="0"/>
  </r>
  <r>
    <s v="INSTRUMENT"/>
    <s v="ISSR_ID_TYP"/>
    <x v="1"/>
    <s v="9. Concluído"/>
    <s v="OK"/>
    <s v="Concluido, controlos OK"/>
    <m/>
    <s v="Campo Fechado"/>
    <d v="2024-06-07T00:00:00"/>
    <x v="0"/>
    <s v="OK"/>
    <m/>
    <m/>
    <m/>
    <x v="0"/>
  </r>
  <r>
    <s v="INSTRUMENT"/>
    <s v="ISSR_NACE_SCTR"/>
    <x v="1"/>
    <s v="9. Concluído"/>
    <s v="OK"/>
    <s v="Concluido, controlos OK"/>
    <m/>
    <s v="Campo Fechado"/>
    <d v="2024-06-07T00:00:00"/>
    <x v="0"/>
    <s v="OK"/>
    <m/>
    <m/>
    <m/>
    <x v="0"/>
  </r>
  <r>
    <s v="INSTRUMENT"/>
    <s v="ISSR_RTNG"/>
    <x v="1"/>
    <s v="8. Concluído - sem dados"/>
    <s v="OK"/>
    <s v="Campo especificado, mas sem dados. Campo marcado com MISS ou NA"/>
    <m/>
    <s v="Campo Fechado"/>
    <d v="2024-06-07T00:00:00"/>
    <x v="6"/>
    <s v="OK"/>
    <m/>
    <m/>
    <m/>
    <x v="7"/>
  </r>
  <r>
    <s v="INSTRUMENT"/>
    <s v="ISSR_RTNG_SRC"/>
    <x v="1"/>
    <s v="8. Concluído - sem dados"/>
    <s v="OK"/>
    <s v="Campo especificado, mas sem dados. Campo marcado com MISS ou NA"/>
    <m/>
    <s v="Campo Fechado"/>
    <d v="2024-06-07T00:00:00"/>
    <x v="6"/>
    <s v="OK"/>
    <m/>
    <m/>
    <m/>
    <x v="7"/>
  </r>
  <r>
    <s v="INSTRUMENT"/>
    <s v="ISSR_TYP"/>
    <x v="1"/>
    <s v="9. Concluído"/>
    <s v="OK"/>
    <s v="Concluido, controlos OK"/>
    <m/>
    <s v="Campo Fechado"/>
    <d v="2024-06-07T00:00:00"/>
    <x v="0"/>
    <s v="OK"/>
    <m/>
    <m/>
    <m/>
    <x v="0"/>
  </r>
  <r>
    <s v="INSTR_ENTITY"/>
    <s v="JNT_LBLTY_AMNT"/>
    <x v="0"/>
    <s v="9. Concluído"/>
    <s v="OK"/>
    <s v="Concluido, controlos OK"/>
    <m/>
    <s v="Campo Fechado"/>
    <d v="2024-06-07T00:00:00"/>
    <x v="0"/>
    <s v="OK"/>
    <m/>
    <m/>
    <m/>
    <x v="0"/>
  </r>
  <r>
    <s v="INSTRUMENT"/>
    <s v="LCL_INSTMRNT_ID"/>
    <x v="1"/>
    <s v="7. Analisar controlos e completude"/>
    <s v="NOK"/>
    <s v="Controlos NOK"/>
    <m/>
    <s v="Não"/>
    <d v="2024-06-07T00:00:00"/>
    <x v="5"/>
    <s v="NOK"/>
    <m/>
    <m/>
    <m/>
    <x v="6"/>
  </r>
  <r>
    <s v="INSTRUMENT"/>
    <s v="LCR_BFFR_CTGRY"/>
    <x v="1"/>
    <s v="9. Concluído"/>
    <s v="OK"/>
    <s v="Concluido, controlos OK"/>
    <m/>
    <s v="Campo Fechado"/>
    <d v="2024-06-07T00:00:00"/>
    <x v="0"/>
    <s v="OK"/>
    <m/>
    <m/>
    <m/>
    <x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s v="Sim"/>
    <d v="2024-06-07T00:00:00"/>
    <x v="4"/>
    <s v="OK"/>
    <m/>
    <m/>
    <m/>
    <x v="5"/>
  </r>
  <r>
    <s v="ENTITY"/>
    <s v="LEI"/>
    <x v="0"/>
    <s v="9. Concluído"/>
    <s v="OK"/>
    <s v="Concluido, controlos OK"/>
    <m/>
    <s v="Campo Fechado"/>
    <d v="2024-06-07T00:00:00"/>
    <x v="0"/>
    <s v="OK"/>
    <m/>
    <m/>
    <m/>
    <x v="0"/>
  </r>
  <r>
    <s v="INSTRUMENT"/>
    <s v="LGD"/>
    <x v="0"/>
    <s v="9. Concluído"/>
    <s v="OK"/>
    <s v="Concluido, controlos OK"/>
    <m/>
    <s v="Campo Fechado"/>
    <d v="2024-06-07T00:00:00"/>
    <x v="0"/>
    <s v="OK"/>
    <m/>
    <m/>
    <m/>
    <x v="0"/>
  </r>
  <r>
    <s v="INSTRUMENT"/>
    <s v="LGL_PRCDNG_STTS"/>
    <x v="0"/>
    <s v="9. Concluído"/>
    <s v="OK"/>
    <s v="Concluido, controlos OK"/>
    <m/>
    <s v="Campo Fechado"/>
    <d v="2024-06-07T00:00:00"/>
    <x v="0"/>
    <s v="OK"/>
    <m/>
    <m/>
    <m/>
    <x v="0"/>
  </r>
  <r>
    <s v="ENTITY"/>
    <s v="LGL_PRCDNG_STTS_LE"/>
    <x v="0"/>
    <s v="7. Analisar controlos e completude"/>
    <s v="NOK"/>
    <s v="Controlos NOK"/>
    <m/>
    <s v="Não"/>
    <d v="2024-06-07T00:00:00"/>
    <x v="5"/>
    <s v="NOK"/>
    <m/>
    <m/>
    <m/>
    <x v="6"/>
  </r>
  <r>
    <s v="INSTRUMENT"/>
    <s v="LND_DRGTN"/>
    <x v="1"/>
    <s v="9. Concluído"/>
    <s v="OK"/>
    <s v="Concluido, controlos OK"/>
    <m/>
    <s v="Campo Fechado"/>
    <d v="2024-06-07T00:00:00"/>
    <x v="0"/>
    <s v="OK"/>
    <m/>
    <m/>
    <m/>
    <x v="0"/>
  </r>
  <r>
    <s v="INSTRUMENT"/>
    <s v="LSTI"/>
    <x v="1"/>
    <s v="1. Especificar"/>
    <s v="OK"/>
    <s v="Em especificação (Campos Novos)"/>
    <m/>
    <s v="Não"/>
    <d v="2024-06-07T00:00:00"/>
    <x v="3"/>
    <s v="OK"/>
    <m/>
    <m/>
    <m/>
    <x v="4"/>
  </r>
  <r>
    <s v="ENTITY"/>
    <s v="LTI"/>
    <x v="1"/>
    <s v="1. Especificar"/>
    <s v="NOK"/>
    <s v="Em especificação (Salários)"/>
    <m/>
    <s v="Não"/>
    <d v="2024-06-07T00:00:00"/>
    <x v="3"/>
    <s v="NOK"/>
    <m/>
    <m/>
    <m/>
    <x v="2"/>
  </r>
  <r>
    <s v="INSTRUMENT"/>
    <s v="LTI_INSTRMNT"/>
    <x v="1"/>
    <s v="1. Especificar"/>
    <s v="OK"/>
    <s v="Em especificação (Campos Novos)"/>
    <m/>
    <s v="Não"/>
    <d v="2024-06-07T00:00:00"/>
    <x v="3"/>
    <s v="OK"/>
    <m/>
    <m/>
    <m/>
    <x v="4"/>
  </r>
  <r>
    <s v="INSTRUMENT"/>
    <s v="LTV"/>
    <x v="0"/>
    <s v="7. Analisar controlos e completude"/>
    <s v="NOK"/>
    <s v="Controlos NOK"/>
    <m/>
    <s v="Não"/>
    <d v="2024-06-07T00:00:00"/>
    <x v="5"/>
    <s v="NOK"/>
    <m/>
    <m/>
    <m/>
    <x v="6"/>
  </r>
  <r>
    <s v="INSTRUMENT"/>
    <s v="LTV_INCPTN"/>
    <x v="0"/>
    <s v="9. Concluído"/>
    <s v="OK"/>
    <s v="Concluido, controlos OK"/>
    <m/>
    <s v="Campo Fechado"/>
    <d v="2024-06-07T00:00:00"/>
    <x v="0"/>
    <s v="OK"/>
    <m/>
    <m/>
    <m/>
    <x v="0"/>
  </r>
  <r>
    <s v="INSTRUMENT"/>
    <s v="LTV_NPE"/>
    <x v="0"/>
    <s v="5.1 Em testes - Re-especificação"/>
    <s v="OK"/>
    <s v="Em testes. Campo depende do campo PRFRMNG_STTS. Não é necessário alterar a especificação do mesmo, apenas testar  se o campo PRFRMNG_STTS for alterado."/>
    <m/>
    <s v="Sim"/>
    <d v="2024-06-07T00:00:00"/>
    <x v="8"/>
    <s v="OK"/>
    <m/>
    <d v="2022-05-16T00:00:00"/>
    <d v="2022-05-27T00:00:00"/>
    <x v="5"/>
  </r>
  <r>
    <s v="ENTITY"/>
    <s v="LVRG"/>
    <x v="0"/>
    <s v="9. Concluído"/>
    <s v="OK"/>
    <s v="Concluido, controlos OK"/>
    <m/>
    <s v="Campo Fechado"/>
    <d v="2024-06-07T00:00:00"/>
    <x v="0"/>
    <s v="OK"/>
    <m/>
    <m/>
    <m/>
    <x v="0"/>
  </r>
  <r>
    <s v="INSTRUMENT"/>
    <s v="LVRG_FNNC_FLG"/>
    <x v="1"/>
    <s v="9. Concluído"/>
    <s v="OK"/>
    <s v="Concluido, controlos OK"/>
    <m/>
    <s v="Campo Fechado"/>
    <d v="2024-06-07T00:00:00"/>
    <x v="0"/>
    <s v="OK"/>
    <m/>
    <m/>
    <m/>
    <x v="0"/>
  </r>
  <r>
    <s v="ENTITY"/>
    <s v="LVRG_PRVS"/>
    <x v="0"/>
    <s v="9. Concluído"/>
    <s v="OK"/>
    <s v="Concluido, controlos OK"/>
    <m/>
    <s v="Campo Fechado"/>
    <d v="2024-06-07T00:00:00"/>
    <x v="0"/>
    <s v="OK"/>
    <m/>
    <m/>
    <m/>
    <x v="0"/>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s v="Sim"/>
    <d v="2024-06-07T00:00:00"/>
    <x v="1"/>
    <s v="OK"/>
    <m/>
    <d v="2024-02-02T00:00:00"/>
    <d v="2024-03-21T00:00:00"/>
    <x v="5"/>
  </r>
  <r>
    <s v="PROTECTION"/>
    <s v="MN_PRPS"/>
    <x v="1"/>
    <s v="7. Analisar controlos e completude"/>
    <s v="NOK"/>
    <s v="Controlos NOK"/>
    <m/>
    <s v="Não"/>
    <d v="2024-06-07T00:00:00"/>
    <x v="5"/>
    <s v="NOK"/>
    <m/>
    <m/>
    <m/>
    <x v="6"/>
  </r>
  <r>
    <s v="ENTITY"/>
    <s v="MNTHL_INCM"/>
    <x v="1"/>
    <s v="1. Especificar"/>
    <s v="OK"/>
    <s v="Em especificação (Salários)"/>
    <m/>
    <s v="Não"/>
    <d v="2024-06-07T00:00:00"/>
    <x v="3"/>
    <s v="OK"/>
    <m/>
    <m/>
    <m/>
    <x v="2"/>
  </r>
  <r>
    <s v="ENTITY"/>
    <s v="MNTHL_INCM_SLR"/>
    <x v="1"/>
    <s v="1. Especificar"/>
    <s v="NOK"/>
    <s v="Em especificação (Salários)"/>
    <m/>
    <s v="Não"/>
    <d v="2024-06-07T00:00:00"/>
    <x v="3"/>
    <s v="NOK"/>
    <m/>
    <m/>
    <m/>
    <x v="2"/>
  </r>
  <r>
    <s v="ENTITY"/>
    <s v="MNTHL_TRNVR"/>
    <x v="1"/>
    <s v="1. Especificar"/>
    <s v="OK"/>
    <s v="Em especificação (Salários)"/>
    <m/>
    <s v="Não"/>
    <d v="2024-06-07T00:00:00"/>
    <x v="3"/>
    <s v="OK"/>
    <m/>
    <m/>
    <m/>
    <x v="2"/>
  </r>
  <r>
    <s v="INSTRUMENT"/>
    <s v="MTRTY_LTST_FRBRNC_MSR_C19"/>
    <x v="1"/>
    <s v="9. Concluído"/>
    <s v="OK"/>
    <s v="Concluido, controlos OK"/>
    <m/>
    <s v="Campo Fechado"/>
    <d v="2024-06-07T00:00:00"/>
    <x v="0"/>
    <s v="OK"/>
    <m/>
    <m/>
    <m/>
    <x v="0"/>
  </r>
  <r>
    <s v="INSTRUMENT"/>
    <s v="MTRTY_LTST_MRTR_C19"/>
    <x v="1"/>
    <s v="9. Concluído"/>
    <s v="OK"/>
    <s v="Concluido, controlos OK"/>
    <m/>
    <s v="Campo Fechado"/>
    <d v="2024-06-07T00:00:00"/>
    <x v="0"/>
    <s v="OK"/>
    <m/>
    <m/>
    <m/>
    <x v="0"/>
  </r>
  <r>
    <s v="INSTRUMENT"/>
    <s v="NMBR_FRBRNC_MSRS"/>
    <x v="0"/>
    <s v="9. Concluído"/>
    <s v="OK"/>
    <s v="Concluido, controlos OK"/>
    <m/>
    <s v="Campo Fechado"/>
    <d v="2024-06-07T00:00:00"/>
    <x v="0"/>
    <s v="OK"/>
    <m/>
    <m/>
    <m/>
    <x v="0"/>
  </r>
  <r>
    <s v="ENTITY"/>
    <s v="NT_INCM"/>
    <x v="0"/>
    <s v="2. Alterar especificação"/>
    <s v="OK"/>
    <s v="Em especificação (Financial Statments CIB)"/>
    <s v="Campo implementação, mas com falta de informação para o segmento de clientes CIB"/>
    <s v="Não"/>
    <d v="2024-06-07T00:00:00"/>
    <x v="2"/>
    <s v="OK"/>
    <m/>
    <m/>
    <m/>
    <x v="2"/>
  </r>
  <r>
    <s v="ENTITY"/>
    <s v="NT_INCM_PRVS"/>
    <x v="0"/>
    <s v="2. Alterar especificação"/>
    <s v="OK"/>
    <s v="Em especificação (Financial Statments CIB)"/>
    <s v="Campo implementação, mas com falta de informação para o segmento de clientes CIB"/>
    <s v="Não"/>
    <d v="2024-06-07T00:00:00"/>
    <x v="2"/>
    <s v="OK"/>
    <m/>
    <m/>
    <m/>
    <x v="2"/>
  </r>
  <r>
    <s v="INSTRUMENT"/>
    <s v="RWA_MTHD"/>
    <x v="0"/>
    <s v="5.1 Em testes - Re-especificação"/>
    <s v="OK"/>
    <s v="Em testes, campo entregue por IT durante a OSI. Testar e validar controlos"/>
    <s v="Alteração de formato de 11111111.00 para 11111111"/>
    <s v="Campo Fechado"/>
    <d v="2024-06-20T00:00:00"/>
    <x v="0"/>
    <s v="OK"/>
    <s v="Incidência relativamente ao formatos corrigida. Controlos testados e OK"/>
    <m/>
    <d v="2024-06-20T00:00:00"/>
    <x v="0"/>
  </r>
  <r>
    <s v="INSTRUMENT"/>
    <s v="OBSRVD_AGNT_ID"/>
    <x v="0"/>
    <s v="9. Concluído"/>
    <s v="OK"/>
    <s v="Concluido, controlos OK"/>
    <m/>
    <s v="Campo Fechado"/>
    <d v="2024-06-07T00:00:00"/>
    <x v="0"/>
    <s v="OK"/>
    <m/>
    <m/>
    <m/>
    <x v="0"/>
  </r>
  <r>
    <s v="INSTRUMENT"/>
    <s v="OBSRVD_AGNT_NM"/>
    <x v="0"/>
    <s v="9. Concluído"/>
    <s v="OK"/>
    <s v="Concluido, controlos OK"/>
    <m/>
    <s v="Campo Fechado"/>
    <d v="2024-06-07T00:00:00"/>
    <x v="0"/>
    <s v="OK"/>
    <m/>
    <m/>
    <m/>
    <x v="0"/>
  </r>
  <r>
    <s v="INSTRUMENT"/>
    <s v="OFF_BLNC_SHT_AMNT_INSTRMNT"/>
    <x v="0"/>
    <s v="7. Analisar controlos e completude"/>
    <s v="NOK"/>
    <s v="Controlos NOK"/>
    <m/>
    <s v="Não"/>
    <d v="2024-06-07T00:00:00"/>
    <x v="5"/>
    <s v="NOK"/>
    <m/>
    <m/>
    <m/>
    <x v="6"/>
  </r>
  <r>
    <s v="INSTRUMENT"/>
    <s v="OFF_BLNC_SHT_AMNT_INSTRMNT_PRVS"/>
    <x v="0"/>
    <s v="5.2 Em testes - Incidência"/>
    <s v="OK"/>
    <s v="Campo com incidência"/>
    <s v="MISS deviam estar a ser reportados como NA ou zero"/>
    <s v="Sim"/>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x v="1"/>
  </r>
  <r>
    <s v="PROTECTION"/>
    <s v="DT_ORGNL_PRTCTN_VL"/>
    <x v="0"/>
    <s v="5.2 Em testes - Incidência"/>
    <s v="NOK"/>
    <s v="Campo com incidência e controlos NOK"/>
    <s v="1) Campo com incidência, data igual à data da protection_vl 2) Alteração de formatos MISS"/>
    <s v="Campo Fechado"/>
    <d v="2025-01-13T00:00:00"/>
    <x v="0"/>
    <s v="OK"/>
    <m/>
    <d v="2024-09-20T00:00:00"/>
    <d v="2024-12-20T00:00:00"/>
    <x v="1"/>
  </r>
  <r>
    <s v="ENTITY"/>
    <s v="OSI_ID"/>
    <x v="0"/>
    <s v="9. Concluído"/>
    <s v="OK"/>
    <s v="Concluido, controlos OK"/>
    <m/>
    <s v="Campo Fechado"/>
    <d v="2024-06-07T00:00:00"/>
    <x v="0"/>
    <s v="OK"/>
    <m/>
    <m/>
    <m/>
    <x v="0"/>
  </r>
  <r>
    <s v="INSTRUMENT"/>
    <s v="OTSTNDNG_NMNL_AMNT_INSTRMNT"/>
    <x v="0"/>
    <s v="7. Analisar controlos e completude"/>
    <s v="NOK"/>
    <s v="Controlos NOK"/>
    <m/>
    <s v="Não"/>
    <d v="2024-06-07T00:00:00"/>
    <x v="5"/>
    <s v="NOK"/>
    <m/>
    <m/>
    <m/>
    <x v="6"/>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ENTITY"/>
    <s v="OWND_BY_SPNSR"/>
    <x v="1"/>
    <s v="9. Concluído"/>
    <s v="OK"/>
    <s v="Concluido, controlos OK"/>
    <m/>
    <s v="Campo Fechado"/>
    <d v="2024-06-07T00:00:00"/>
    <x v="0"/>
    <s v="OK"/>
    <m/>
    <m/>
    <m/>
    <x v="0"/>
  </r>
  <r>
    <s v="INSTRUMENT"/>
    <s v="PBLC_GRNT_SCHM_C19_NM"/>
    <x v="1"/>
    <s v="9. Concluído"/>
    <s v="OK"/>
    <s v="Concluido, controlos OK"/>
    <m/>
    <s v="Campo Fechado"/>
    <d v="2024-06-07T00:00:00"/>
    <x v="0"/>
    <s v="OK"/>
    <m/>
    <m/>
    <m/>
    <x v="0"/>
  </r>
  <r>
    <s v="INSTRUMENT"/>
    <s v="PD_CRR_INCPTN"/>
    <x v="0"/>
    <s v="5.2 Em testes - Incidência"/>
    <s v="OK"/>
    <s v="Campo com incidência"/>
    <s v="Campo com incidência. Confirmar com Tecnologia que o campo está alterado com base no que foi identificado na OSI"/>
    <s v="Não"/>
    <d v="2024-06-07T00:00:00"/>
    <x v="1"/>
    <s v="OK"/>
    <m/>
    <d v="2024-02-16T00:00:00"/>
    <d v="2024-05-27T00:00:00"/>
    <x v="2"/>
  </r>
  <r>
    <s v="ENTITY"/>
    <s v="PD_CRR_RD"/>
    <x v="0"/>
    <s v="7. Analisar controlos e completude"/>
    <s v="NOK"/>
    <s v="Controlos NOK"/>
    <m/>
    <s v="Não"/>
    <d v="2024-06-07T00:00:00"/>
    <x v="5"/>
    <s v="NOK"/>
    <m/>
    <m/>
    <m/>
    <x v="6"/>
  </r>
  <r>
    <s v="INSTRUMENT"/>
    <s v="PD_CRR_RD"/>
    <x v="0"/>
    <s v="7. Analisar controlos e completude"/>
    <s v="NOK"/>
    <s v="Controlos NOK"/>
    <m/>
    <s v="Não"/>
    <d v="2024-06-07T00:00:00"/>
    <x v="5"/>
    <s v="NOK"/>
    <m/>
    <m/>
    <m/>
    <x v="6"/>
  </r>
  <r>
    <s v="ENTITY"/>
    <s v="PD_CRR_RD_T1"/>
    <x v="1"/>
    <s v="5.1 Em testes - Re-especificação"/>
    <s v="NOK"/>
    <s v="Em testes"/>
    <m/>
    <s v="Sim"/>
    <d v="2024-06-07T00:00:00"/>
    <x v="8"/>
    <s v="NOK"/>
    <m/>
    <d v="2022-07-08T00:00:00"/>
    <d v="2023-12-07T00:00:00"/>
    <x v="1"/>
  </r>
  <r>
    <s v="INSTRUMENT"/>
    <s v="PD_CRR_RD_T1"/>
    <x v="1"/>
    <s v="5.1 Em testes - Re-especificação"/>
    <s v="NOK"/>
    <s v="Em testes"/>
    <m/>
    <s v="Sim"/>
    <d v="2024-06-07T00:00:00"/>
    <x v="8"/>
    <s v="NOK"/>
    <m/>
    <d v="2023-12-21T00:00:00"/>
    <d v="2024-02-08T00:00:00"/>
    <x v="1"/>
  </r>
  <r>
    <s v="INSTRUMENT"/>
    <s v="PD_IFRS9_12M_INCPTN"/>
    <x v="0"/>
    <s v="9. Concluído"/>
    <s v="OK"/>
    <s v="Concluido, controlos OK"/>
    <m/>
    <s v="Campo Fechado"/>
    <d v="2024-06-07T00:00:00"/>
    <x v="0"/>
    <s v="OK"/>
    <s v="Campo Imparidade"/>
    <m/>
    <m/>
    <x v="0"/>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s v="Não"/>
    <d v="2024-06-07T00:00:00"/>
    <x v="4"/>
    <s v="NOK"/>
    <s v="Campo Imparidade"/>
    <m/>
    <m/>
    <x v="6"/>
  </r>
  <r>
    <s v="INSTRUMENT"/>
    <s v="PD_IFRS9_12M_RD"/>
    <x v="0"/>
    <s v="7. Analisar controlos e completude"/>
    <s v="NOK"/>
    <m/>
    <m/>
    <s v="Sim"/>
    <d v="2024-06-07T00:00:00"/>
    <x v="5"/>
    <s v="NOK"/>
    <s v="Campo Imparidade"/>
    <m/>
    <m/>
    <x v="5"/>
  </r>
  <r>
    <s v="ENTITY"/>
    <s v="PD_IFRS9_12M_RD_T1"/>
    <x v="1"/>
    <s v="7. Analisar controlos e completude"/>
    <s v="NOK"/>
    <s v="Controlos NOK"/>
    <m/>
    <s v="Não"/>
    <d v="2024-06-07T00:00:00"/>
    <x v="5"/>
    <s v="NOK"/>
    <s v="Campo Imparidade"/>
    <m/>
    <m/>
    <x v="6"/>
  </r>
  <r>
    <s v="INSTRUMENT"/>
    <s v="PD_IFRS9_12M_RD_T1"/>
    <x v="0"/>
    <s v="7. Analisar controlos e completude"/>
    <s v="NOK"/>
    <s v="Controlos NOK"/>
    <m/>
    <s v="Não"/>
    <d v="2024-06-07T00:00:00"/>
    <x v="5"/>
    <s v="NOK"/>
    <s v="Campo Imparidade"/>
    <m/>
    <m/>
    <x v="6"/>
  </r>
  <r>
    <s v="INSTRUMENT"/>
    <s v="PD_IFRS9_LFTM_INCPTN"/>
    <x v="0"/>
    <s v="9. Concluído"/>
    <s v="OK"/>
    <s v="Concluido, controlos OK"/>
    <m/>
    <s v="Campo Fechado"/>
    <d v="2024-06-07T00:00:00"/>
    <x v="0"/>
    <s v="OK"/>
    <s v="Campo Imparidade"/>
    <m/>
    <m/>
    <x v="0"/>
  </r>
  <r>
    <s v="INSTRUMENT"/>
    <s v="PD_IFRS9_RMNNG_LFTM_INCPTN"/>
    <x v="0"/>
    <s v="9. Concluído"/>
    <s v="OK"/>
    <s v="Concluido, controlos OK"/>
    <m/>
    <s v="Campo Fechado"/>
    <d v="2024-06-07T00:00:00"/>
    <x v="0"/>
    <s v="OK"/>
    <s v="Campo Imparidade"/>
    <m/>
    <m/>
    <x v="0"/>
  </r>
  <r>
    <s v="INSTRUMENT"/>
    <s v="PD_IFRS9_RMNNG_LFTM_RD"/>
    <x v="0"/>
    <s v="9. Concluído"/>
    <s v="OK"/>
    <s v="Concluido, controlos OK"/>
    <m/>
    <s v="Campo Fechado"/>
    <d v="2024-06-07T00:00:00"/>
    <x v="0"/>
    <s v="OK"/>
    <s v="Campo Imparidade"/>
    <m/>
    <m/>
    <x v="0"/>
  </r>
  <r>
    <s v="INSTRUMENT"/>
    <s v="PMNT_PBLC_GRNT_SCHM_C19"/>
    <x v="1"/>
    <s v="9. Concluído"/>
    <s v="OK"/>
    <s v="Concluido, controlos OK"/>
    <m/>
    <s v="Campo Fechado"/>
    <d v="2024-06-07T00:00:00"/>
    <x v="0"/>
    <s v="OK"/>
    <m/>
    <m/>
    <m/>
    <x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INSTRUMENT"/>
    <s v="PRCH_UNDR_RSL_AGR"/>
    <x v="1"/>
    <s v="9. Concluído"/>
    <s v="OK"/>
    <s v="Concluido, controlos OK"/>
    <m/>
    <s v="Campo Fechado"/>
    <d v="2024-06-07T00:00:00"/>
    <x v="0"/>
    <s v="OK"/>
    <m/>
    <m/>
    <m/>
    <x v="0"/>
  </r>
  <r>
    <s v="INSTRUMENT"/>
    <s v="PRDCT"/>
    <x v="0"/>
    <s v="9. Concluído"/>
    <s v="OK"/>
    <s v="Concluido, controlos OK"/>
    <m/>
    <s v="Campo Fechado"/>
    <d v="2024-06-07T00:00:00"/>
    <x v="0"/>
    <s v="OK"/>
    <m/>
    <m/>
    <m/>
    <x v="0"/>
  </r>
  <r>
    <s v="INSTRUMENT"/>
    <s v="PRDNTL_PRTFL"/>
    <x v="1"/>
    <s v="9. Concluído"/>
    <s v="OK"/>
    <s v="Concluido, controlos OK"/>
    <m/>
    <s v="Campo Fechado"/>
    <d v="2024-06-07T00:00:00"/>
    <x v="0"/>
    <s v="OK"/>
    <m/>
    <m/>
    <m/>
    <x v="0"/>
  </r>
  <r>
    <s v="INSTRUMENT"/>
    <s v="PRFRMNG_STTS"/>
    <x v="0"/>
    <s v="3. Pendente de decisão"/>
    <s v="NOK"/>
    <s v="Verificar necessidade de alteração da fonte para fins de reconciliação. Rever Fonte"/>
    <m/>
    <s v="Sim"/>
    <d v="2025-01-13T00:00:00"/>
    <x v="8"/>
    <s v="NOK"/>
    <s v="Alteração da fonte das tabela de Imparidade Reporting para as 8_7 e alteração da data a partir da qual a fonte passa a ser as tabelas de Contabilidade"/>
    <d v="2024-09-27T00:00:00"/>
    <m/>
    <x v="5"/>
  </r>
  <r>
    <s v="ENTITY"/>
    <s v="PRFRMNG_STTS_LE"/>
    <x v="0"/>
    <s v="9. Concluído"/>
    <s v="OK"/>
    <s v="Concluido, controlos OK"/>
    <m/>
    <s v="Campo Fechado"/>
    <d v="2024-06-07T00:00:00"/>
    <x v="0"/>
    <s v="OK"/>
    <m/>
    <m/>
    <m/>
    <x v="0"/>
  </r>
  <r>
    <s v="INSTRUMENT"/>
    <s v="PRFRMNG_STTS_PRV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d v="2024-09-27T00:00:00"/>
    <m/>
    <x v="5"/>
  </r>
  <r>
    <s v="INSTRUMENT"/>
    <s v="PRJCT_FNNC_LN"/>
    <x v="0"/>
    <s v="9. Concluído"/>
    <s v="OK"/>
    <s v="Concluido, controlos OK"/>
    <m/>
    <s v="Campo Fechado"/>
    <d v="2024-06-07T00:00:00"/>
    <x v="0"/>
    <s v="OK"/>
    <m/>
    <m/>
    <m/>
    <x v="0"/>
  </r>
  <r>
    <s v="PROTECTION"/>
    <s v="PRM_LCTN"/>
    <x v="1"/>
    <s v="5.1 Em testes - Re-especificação"/>
    <s v="NOK"/>
    <s v="Em testes"/>
    <m/>
    <s v="Campo Fechado"/>
    <d v="2025-01-13T00:00:00"/>
    <x v="0"/>
    <s v="OK"/>
    <s v="100220 Casos que deviam ser N e estão a ser reportados MISS"/>
    <d v="2024-06-28T00:00:00"/>
    <d v="2024-12-20T00:00:00"/>
    <x v="1"/>
  </r>
  <r>
    <s v="INSTRUMENT"/>
    <s v="PRMRY_ASST_CLSSF"/>
    <x v="1"/>
    <s v="9. Concluído"/>
    <s v="OK"/>
    <s v="Concluido, controlos OK"/>
    <m/>
    <s v="Campo Fechado"/>
    <d v="2024-06-07T00:00:00"/>
    <x v="0"/>
    <s v="OK"/>
    <m/>
    <m/>
    <m/>
    <x v="0"/>
  </r>
  <r>
    <s v="INSTRUMENT"/>
    <s v="PRPS"/>
    <x v="0"/>
    <s v="9. Concluído"/>
    <s v="OK"/>
    <s v="Concluido, controlos OK"/>
    <m/>
    <s v="Campo Fechado"/>
    <d v="2024-06-07T00:00:00"/>
    <x v="0"/>
    <s v="OK"/>
    <m/>
    <m/>
    <m/>
    <x v="0"/>
  </r>
  <r>
    <s v="ENTITY"/>
    <s v="PRSN_TYP"/>
    <x v="1"/>
    <s v="4.1 Em implementação - Re-especificação"/>
    <s v="OK"/>
    <s v="Aguarda implementação de IT"/>
    <m/>
    <s v="Não"/>
    <d v="2024-06-17T00:00:00"/>
    <x v="8"/>
    <s v="OK"/>
    <m/>
    <d v="2024-01-12T00:00:00"/>
    <d v="2024-03-21T00:00:00"/>
    <x v="4"/>
  </r>
  <r>
    <s v="INSTRUMENT"/>
    <s v="PRT_LCR_BFFR"/>
    <x v="1"/>
    <s v="9. Concluído"/>
    <s v="OK"/>
    <s v="Concluido, controlos OK"/>
    <m/>
    <s v="Campo Fechado"/>
    <d v="2024-06-07T00:00:00"/>
    <x v="0"/>
    <s v="OK"/>
    <m/>
    <m/>
    <m/>
    <x v="0"/>
  </r>
  <r>
    <s v="INSTR_PROTECTION"/>
    <s v="PRTCTN_ALLCTD_VL"/>
    <x v="0"/>
    <s v="9. Concluído"/>
    <s v="OK"/>
    <s v="Concluido, controlos OK"/>
    <m/>
    <s v="Campo Fechado"/>
    <d v="2024-06-07T00:00:00"/>
    <x v="0"/>
    <s v="OK"/>
    <m/>
    <m/>
    <m/>
    <x v="0"/>
  </r>
  <r>
    <s v="PROTECTION"/>
    <s v="PRTCTN_CLLD"/>
    <x v="0"/>
    <s v="7. Analisar controlos e completude"/>
    <s v="NOK"/>
    <s v="Controlos NOK"/>
    <m/>
    <s v="Não"/>
    <d v="2024-06-07T00:00:00"/>
    <x v="5"/>
    <s v="NOK"/>
    <m/>
    <m/>
    <m/>
    <x v="6"/>
  </r>
  <r>
    <s v="PROTECTION"/>
    <s v="PRTCTN_FRCD_SL_VL"/>
    <x v="0"/>
    <s v="9. Concluído"/>
    <s v="OK"/>
    <s v="Concluido, controlos OK"/>
    <m/>
    <s v="Campo Fechado"/>
    <d v="2024-06-07T00:00:00"/>
    <x v="0"/>
    <s v="OK"/>
    <m/>
    <m/>
    <m/>
    <x v="0"/>
  </r>
  <r>
    <s v="INSTR_PROTECTION"/>
    <s v="PRTCTN_ID"/>
    <x v="0"/>
    <s v="7. Analisar controlos e completude"/>
    <s v="NOK"/>
    <s v="Controlos NOK"/>
    <m/>
    <s v="Não"/>
    <d v="2024-06-07T00:00:00"/>
    <x v="5"/>
    <s v="NOK"/>
    <m/>
    <m/>
    <m/>
    <x v="6"/>
  </r>
  <r>
    <s v="PROTECTION"/>
    <s v="PRTCTN_ID"/>
    <x v="0"/>
    <s v="7. Analisar controlos e completude"/>
    <s v="NOK"/>
    <s v="Controlos NOK"/>
    <m/>
    <s v="Não"/>
    <d v="2024-06-07T00:00:00"/>
    <x v="5"/>
    <s v="NOK"/>
    <m/>
    <m/>
    <m/>
    <x v="6"/>
  </r>
  <r>
    <s v="PROTECTION"/>
    <s v="PRTCTN_PRVDR_ID"/>
    <x v="0"/>
    <s v="7. Analisar controlos e completude"/>
    <s v="NOK"/>
    <s v="Controlos NOK"/>
    <m/>
    <s v="Não"/>
    <d v="2024-06-07T00:00:00"/>
    <x v="5"/>
    <s v="NOK"/>
    <m/>
    <m/>
    <m/>
    <x v="6"/>
  </r>
  <r>
    <s v="PROTECTION"/>
    <s v="PRTCTN_TYP_PBLC_GRNT_SCHM_C19"/>
    <x v="1"/>
    <s v="7. Analisar controlos e completude"/>
    <s v="NOK"/>
    <s v="Controlos NOK"/>
    <m/>
    <s v="Não"/>
    <d v="2024-06-07T00:00:00"/>
    <x v="5"/>
    <s v="NOK"/>
    <m/>
    <m/>
    <m/>
    <x v="6"/>
  </r>
  <r>
    <s v="ENTITY"/>
    <s v="DT_EXTRNL_RTNG"/>
    <x v="0"/>
    <s v="2. Alterar especificação"/>
    <s v="OK"/>
    <s v="Alterar especificação para casos em informação na fonte."/>
    <s v="Quando não existe informação na fonte em vez de MISS substituir por NA"/>
    <s v="Sim"/>
    <d v="2024-06-07T00:00:00"/>
    <x v="2"/>
    <s v="OK"/>
    <m/>
    <m/>
    <m/>
    <x v="3"/>
  </r>
  <r>
    <s v="PROTECTION"/>
    <s v="ORGNL_PRTCTN_VL"/>
    <x v="0"/>
    <s v="5.2 Em testes - Incidência"/>
    <s v="OK"/>
    <s v="Campo com incidência"/>
    <s v="1) Campo com incidência, está a reportar apenas valores de MISS e N/A"/>
    <s v="Sim"/>
    <d v="2025-01-13T00:00:00"/>
    <x v="8"/>
    <s v="NOK"/>
    <s v="14 casos com valor original da proteção a zero"/>
    <d v="2024-09-20T00:00:00"/>
    <m/>
    <x v="1"/>
  </r>
  <r>
    <s v="PROTECTION"/>
    <s v="PRTCTN_VL_PRVS"/>
    <x v="0"/>
    <s v="9. Concluído"/>
    <s v="OK"/>
    <s v="Concluido, controlos OK"/>
    <m/>
    <s v="Campo Fechado"/>
    <d v="2024-06-07T00:00:00"/>
    <x v="0"/>
    <s v="OK"/>
    <m/>
    <m/>
    <m/>
    <x v="0"/>
  </r>
  <r>
    <s v="PROTECTION"/>
    <s v="PRTCTN_VLTN_APPRCH"/>
    <x v="0"/>
    <s v="7. Analisar controlos e completude"/>
    <s v="NOK"/>
    <s v="Controlos NOK"/>
    <m/>
    <s v="Não"/>
    <d v="2024-06-07T00:00:00"/>
    <x v="5"/>
    <s v="NOK"/>
    <m/>
    <m/>
    <m/>
    <x v="6"/>
  </r>
  <r>
    <s v="INSTRUMENT"/>
    <s v="PRVSNS_OFF_BLNC_SHT"/>
    <x v="0"/>
    <s v="9. Concluído"/>
    <s v="OK"/>
    <s v="Concluido, controlos OK"/>
    <m/>
    <s v="Campo Fechado"/>
    <d v="2024-06-07T00:00:00"/>
    <x v="0"/>
    <s v="OK"/>
    <m/>
    <m/>
    <m/>
    <x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s v="Sim"/>
    <d v="2024-06-07T00:00:00"/>
    <x v="1"/>
    <s v="OK"/>
    <m/>
    <m/>
    <m/>
    <x v="5"/>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RCRS"/>
    <x v="0"/>
    <s v="9. Concluído"/>
    <s v="OK"/>
    <s v="Concluido, controlos OK"/>
    <m/>
    <s v="Campo Fechado"/>
    <d v="2024-06-07T00:00:00"/>
    <x v="0"/>
    <s v="OK"/>
    <m/>
    <m/>
    <m/>
    <x v="0"/>
  </r>
  <r>
    <s v="INSTRUMENT"/>
    <s v="RCVD_AMRTSTN_12M"/>
    <x v="0"/>
    <s v="7. Analisar controlos e completude"/>
    <s v="NOK"/>
    <s v="Controlos NOK"/>
    <m/>
    <s v="Não"/>
    <d v="2024-06-07T00:00:00"/>
    <x v="5"/>
    <s v="NOK"/>
    <m/>
    <m/>
    <m/>
    <x v="6"/>
  </r>
  <r>
    <s v="INSTRUMENT"/>
    <s v="RCVD_AMRTSTN_24M"/>
    <x v="0"/>
    <s v="9. Concluído"/>
    <s v="OK"/>
    <s v="Concluido, controlos OK"/>
    <m/>
    <s v="Campo Fechado"/>
    <d v="2024-06-07T00:00:00"/>
    <x v="0"/>
    <s v="OK"/>
    <m/>
    <m/>
    <m/>
    <x v="0"/>
  </r>
  <r>
    <s v="PROTECTION"/>
    <s v="DT_CNSTRCTN_STTS"/>
    <x v="1"/>
    <s v="2. Alterar especificação"/>
    <s v="NOK"/>
    <s v="Campo dependente do MUG"/>
    <s v="Criação de uma tabela auxiliar de histórico dos estados de construção numa ótica diária"/>
    <s v="Sim"/>
    <d v="2024-10-03T00:00:00"/>
    <x v="2"/>
    <s v="NOK"/>
    <m/>
    <m/>
    <m/>
    <x v="1"/>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s v="Sim"/>
    <d v="2024-06-07T00:00:00"/>
    <x v="2"/>
    <s v="NOK"/>
    <m/>
    <m/>
    <m/>
    <x v="1"/>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s v="Não"/>
    <d v="2024-06-07T00:00:00"/>
    <x v="2"/>
    <s v="OK"/>
    <m/>
    <m/>
    <m/>
    <x v="2"/>
  </r>
  <r>
    <s v="INSTRUMENT"/>
    <s v="RFRNC_RT"/>
    <x v="1"/>
    <s v="9. Concluído"/>
    <s v="OK"/>
    <s v="Concluido, controlos OK"/>
    <m/>
    <s v="Campo Fechado"/>
    <d v="2024-06-07T00:00:00"/>
    <x v="0"/>
    <s v="OK"/>
    <m/>
    <m/>
    <m/>
    <x v="0"/>
  </r>
  <r>
    <s v="PROTECTION"/>
    <s v="RL_ESTT_ADDRSS"/>
    <x v="1"/>
    <s v="7. Analisar controlos e completude"/>
    <s v="NOK"/>
    <s v="Controlos NOK"/>
    <m/>
    <s v="Não"/>
    <d v="2024-06-07T00:00:00"/>
    <x v="5"/>
    <s v="NOK"/>
    <m/>
    <m/>
    <m/>
    <x v="6"/>
  </r>
  <r>
    <s v="INSTRUMENT"/>
    <s v="CMLTV_RCVRS_SNC_DFLT_INSTRMNT"/>
    <x v="0"/>
    <s v="2. Alterar especificação"/>
    <s v="OK"/>
    <s v="Campo especificado, mas sem dados. Campo marcado com MISS ou NA"/>
    <m/>
    <s v="Não"/>
    <d v="2024-06-07T00:00:00"/>
    <x v="2"/>
    <s v="OK"/>
    <m/>
    <m/>
    <m/>
    <x v="7"/>
  </r>
  <r>
    <s v="PROTECTION"/>
    <s v="RL_ESTT_CLLTRL_LCTN_INT"/>
    <x v="1"/>
    <s v="7. Analisar controlos e completude"/>
    <s v="NOK"/>
    <s v="Controlos NOK"/>
    <m/>
    <s v="Não"/>
    <d v="2024-06-07T00:00:00"/>
    <x v="5"/>
    <s v="NOK"/>
    <m/>
    <m/>
    <m/>
    <x v="6"/>
  </r>
  <r>
    <s v="PROTECTION"/>
    <s v="RL_ESTT_CTY"/>
    <x v="1"/>
    <s v="7. Analisar controlos e completude"/>
    <s v="NOK"/>
    <s v="Controlos NOK"/>
    <m/>
    <s v="Não"/>
    <d v="2024-06-07T00:00:00"/>
    <x v="5"/>
    <s v="NOK"/>
    <m/>
    <m/>
    <m/>
    <x v="6"/>
  </r>
  <r>
    <s v="PROTECTION"/>
    <s v="RL_ESTT_PST_CD"/>
    <x v="0"/>
    <s v="7. Analisar controlos e completude"/>
    <s v="NOK"/>
    <s v="Controlos NOK"/>
    <m/>
    <s v="Não"/>
    <d v="2024-06-07T00:00:00"/>
    <x v="5"/>
    <s v="NOK"/>
    <m/>
    <m/>
    <m/>
    <x v="6"/>
  </r>
  <r>
    <s v="INSTRUMENT"/>
    <s v="RRE_FNRP18"/>
    <x v="1"/>
    <s v="9. Concluído"/>
    <s v="OK"/>
    <s v="Concluido, controlos OK"/>
    <m/>
    <s v="Campo Fechado"/>
    <d v="2024-06-07T00:00:00"/>
    <x v="0"/>
    <s v="OK"/>
    <m/>
    <m/>
    <m/>
    <x v="0"/>
  </r>
  <r>
    <s v="ENTITY"/>
    <s v="RTNG_MTHD"/>
    <x v="0"/>
    <s v="5.1 Em testes - Re-especificação"/>
    <s v="NOK"/>
    <s v="Em testes, campo entregue por IT durante a OSI. Testar e validar controlos"/>
    <m/>
    <s v="Sim"/>
    <d v="2024-06-07T00:00:00"/>
    <x v="8"/>
    <s v="NOK"/>
    <m/>
    <d v="2024-02-16T00:00:00"/>
    <d v="2024-03-21T00:00:00"/>
    <x v="3"/>
  </r>
  <r>
    <s v="INSTRUMENT"/>
    <s v="RTNG_MTHD"/>
    <x v="0"/>
    <s v="5.1 Em testes - Re-especificação"/>
    <s v="NOK"/>
    <s v="Em testes, campo entregue por IT durante a OSI. Testar e validar controlos"/>
    <m/>
    <s v="Sim"/>
    <d v="2024-06-07T00:00:00"/>
    <x v="8"/>
    <s v="NOK"/>
    <m/>
    <d v="2024-02-16T00:00:00"/>
    <d v="2024-03-21T00:00:00"/>
    <x v="3"/>
  </r>
  <r>
    <s v="ENTITY"/>
    <s v="RTNG_SCL"/>
    <x v="0"/>
    <s v="9. Concluído"/>
    <s v="OK"/>
    <s v="Concluido, controlos OK"/>
    <m/>
    <s v="Campo Fechado"/>
    <d v="2024-06-07T00:00:00"/>
    <x v="0"/>
    <s v="OK"/>
    <m/>
    <m/>
    <m/>
    <x v="0"/>
  </r>
  <r>
    <s v="INSTRUMENT"/>
    <s v="RTNG_SCL"/>
    <x v="0"/>
    <s v="9. Concluído"/>
    <s v="OK"/>
    <s v="Concluido, controlos OK"/>
    <m/>
    <s v="Campo Fechado"/>
    <d v="2024-06-07T00:00:00"/>
    <x v="0"/>
    <s v="OK"/>
    <m/>
    <m/>
    <m/>
    <x v="0"/>
  </r>
  <r>
    <s v="INSTRUMENT"/>
    <s v="RTNTN_SHR"/>
    <x v="1"/>
    <s v="6. Outros Desenvolvimentos"/>
    <s v="OK"/>
    <s v="Em implementação IT BST (Sindicados)"/>
    <s v="Aguarda desenvolvimentos nas plataformas Loan IQ e Mercurio"/>
    <s v="Não"/>
    <d v="2024-06-07T00:00:00"/>
    <x v="9"/>
    <s v="OK"/>
    <m/>
    <m/>
    <m/>
    <x v="2"/>
  </r>
  <r>
    <s v="INSTRUMENT"/>
    <s v="RWA"/>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x v="1"/>
  </r>
  <r>
    <s v="INSTRUMENT"/>
    <s v="DT_LGL_FNL_MTRTY"/>
    <x v="0"/>
    <s v="5.2 Em testes - Incidência"/>
    <s v="NOK"/>
    <s v="Controlos NOK e com Incidência nos formatos. "/>
    <s v="Alterarção formato de 99999999 para 1111-11-11."/>
    <s v="Sim"/>
    <d v="2024-06-07T00:00:00"/>
    <x v="1"/>
    <s v="NOK"/>
    <m/>
    <m/>
    <m/>
    <x v="1"/>
  </r>
  <r>
    <s v="INSTRUMENT"/>
    <s v="SBJCT_PBLC_GRNT_SCHM_C19"/>
    <x v="1"/>
    <s v="9. Concluído"/>
    <s v="OK"/>
    <s v="Concluido, controlos OK"/>
    <m/>
    <s v="Campo Fechado"/>
    <d v="2024-06-07T00:00:00"/>
    <x v="0"/>
    <s v="OK"/>
    <m/>
    <m/>
    <m/>
    <x v="0"/>
  </r>
  <r>
    <s v="INSTRUMENT"/>
    <s v="DT_NXT_INTRST_RT_RST"/>
    <x v="0"/>
    <s v="5.2 Em testes - Incidência"/>
    <s v="NOK"/>
    <s v="Controlos NOK e com Incidência nos formatos."/>
    <s v=" Alteração formato de 0001-01-01 para 0000-00-00."/>
    <s v="Sim"/>
    <d v="2024-06-07T00:00:00"/>
    <x v="1"/>
    <s v="NOK"/>
    <m/>
    <m/>
    <m/>
    <x v="1"/>
  </r>
  <r>
    <s v="INSTRUMENT"/>
    <s v="SME_FNRP18"/>
    <x v="0"/>
    <s v="9. Concluído"/>
    <s v="OK"/>
    <s v="Concluido, controlos OK"/>
    <m/>
    <s v="Campo Fechado"/>
    <d v="2024-06-07T00:00:00"/>
    <x v="0"/>
    <s v="OK"/>
    <m/>
    <m/>
    <m/>
    <x v="0"/>
  </r>
  <r>
    <s v="ENTITY"/>
    <s v="SNGL_PRPS_VHCL"/>
    <x v="1"/>
    <s v="9. Concluído"/>
    <s v="OK"/>
    <s v="Concluido, controlos OK"/>
    <m/>
    <s v="Campo Fechado"/>
    <d v="2024-06-07T00:00:00"/>
    <x v="0"/>
    <s v="OK"/>
    <m/>
    <m/>
    <m/>
    <x v="0"/>
  </r>
  <r>
    <s v="INSTRUMENT"/>
    <s v="SPCLTV_LNDNG"/>
    <x v="1"/>
    <s v="7. Analisar controlos e completude"/>
    <s v="NOK"/>
    <s v="Controlos NOK"/>
    <m/>
    <s v="Não"/>
    <d v="2024-06-07T00:00:00"/>
    <x v="5"/>
    <s v="NOK"/>
    <m/>
    <m/>
    <m/>
    <x v="6"/>
  </r>
  <r>
    <s v="INSTRUMENT"/>
    <s v="SPNSR_NM"/>
    <x v="1"/>
    <s v="8. Concluído - sem dados"/>
    <s v="OK"/>
    <s v="Campo especificado, mas sem dados. Campo marcado com MISS ou NA"/>
    <m/>
    <s v="Campo Fechado"/>
    <d v="2024-06-07T00:00:00"/>
    <x v="6"/>
    <s v="OK"/>
    <m/>
    <m/>
    <m/>
    <x v="7"/>
  </r>
  <r>
    <s v="INSTRUMENT"/>
    <s v="SPRD"/>
    <x v="1"/>
    <s v="9. Concluído"/>
    <s v="OK"/>
    <s v="Concluido, controlos OK"/>
    <m/>
    <s v="Campo Fechado"/>
    <d v="2024-06-07T00:00:00"/>
    <x v="0"/>
    <s v="OK"/>
    <m/>
    <m/>
    <m/>
    <x v="0"/>
  </r>
  <r>
    <s v="INSTRUMENT"/>
    <s v="SRCS_ENCMBRNC"/>
    <x v="1"/>
    <s v="9. Concluído"/>
    <s v="OK"/>
    <s v="Concluido, controlos OK"/>
    <m/>
    <s v="Campo Fechado"/>
    <d v="2024-06-07T00:00:00"/>
    <x v="0"/>
    <s v="OK"/>
    <m/>
    <m/>
    <m/>
    <x v="0"/>
  </r>
  <r>
    <s v="INSTRUMENT"/>
    <s v="STTS_UNDRWRTTN_TRNSCTN"/>
    <x v="1"/>
    <s v="6. Outros Desenvolvimentos"/>
    <s v="OK"/>
    <s v="Em implementação IT BST (Sindicados)"/>
    <s v="Aguarda desenvolvimentos nas plataformas Loan IQ e Mercurio"/>
    <s v="Não"/>
    <d v="2024-06-07T00:00:00"/>
    <x v="9"/>
    <s v="OK"/>
    <m/>
    <m/>
    <m/>
    <x v="2"/>
  </r>
  <r>
    <s v="INSTRUMENT"/>
    <s v="SUBPORTFOLIO_ID"/>
    <x v="0"/>
    <s v="9. Concluído"/>
    <s v="OK"/>
    <s v="Concluido, controlos OK"/>
    <m/>
    <s v="Campo Fechado"/>
    <d v="2024-06-07T00:00:00"/>
    <x v="0"/>
    <s v="OK"/>
    <m/>
    <m/>
    <m/>
    <x v="0"/>
  </r>
  <r>
    <s v="INSTRUMENT"/>
    <s v="SYNDCT_RL"/>
    <x v="1"/>
    <s v="6. Outros Desenvolvimentos"/>
    <s v="OK"/>
    <s v="Em implementação IT BST (Sindicados)"/>
    <s v="Aguarda desenvolvimentos nas plataformas Loan IQ e Mercurio"/>
    <s v="Não"/>
    <d v="2024-06-07T00:00:00"/>
    <x v="9"/>
    <s v="OK"/>
    <m/>
    <m/>
    <m/>
    <x v="2"/>
  </r>
  <r>
    <s v="INSTRUMENT"/>
    <s v="SYNDCTD_AGNT"/>
    <x v="0"/>
    <s v="6. Outros Desenvolvimentos"/>
    <s v="OK"/>
    <s v="Em implementação IT BST (Sindicados)"/>
    <s v="Aguarda desenvolvimentos nas plataformas Loan IQ e Mercurio"/>
    <s v="Não"/>
    <d v="2024-06-07T00:00:00"/>
    <x v="9"/>
    <s v="OK"/>
    <m/>
    <m/>
    <m/>
    <x v="2"/>
  </r>
  <r>
    <s v="INSTRUMENT"/>
    <s v="SYNDCTD_CNTRCT_ID"/>
    <x v="0"/>
    <s v="6. Outros Desenvolvimentos"/>
    <s v="OK"/>
    <s v="Em implementação IT BST (Sindicados)"/>
    <s v="Aguarda desenvolvimentos nas plataformas Loan IQ e Mercurio"/>
    <s v="Não"/>
    <d v="2024-06-07T00:00:00"/>
    <x v="9"/>
    <s v="OK"/>
    <m/>
    <m/>
    <m/>
    <x v="2"/>
  </r>
  <r>
    <s v="INSTRUMENT"/>
    <s v="SYNDCTD_LNDRS"/>
    <x v="0"/>
    <s v="6. Outros Desenvolvimentos"/>
    <s v="OK"/>
    <s v="Em implementação IT BST (Sindicados)"/>
    <s v="Aguarda desenvolvimentos nas plataformas Loan IQ e Mercurio"/>
    <s v="Não"/>
    <d v="2024-06-07T00:00:00"/>
    <x v="9"/>
    <s v="OK"/>
    <m/>
    <m/>
    <m/>
    <x v="2"/>
  </r>
  <r>
    <s v="INSTRUMENT"/>
    <s v="SYNDCTD_SHR"/>
    <x v="0"/>
    <s v="6. Outros Desenvolvimentos"/>
    <s v="OK"/>
    <s v="Em implementação IT BST (Sindicados)"/>
    <s v="Aguarda desenvolvimentos nas plataformas Loan IQ e Mercurio"/>
    <s v="Não"/>
    <d v="2024-06-07T00:00:00"/>
    <x v="9"/>
    <s v="OK"/>
    <m/>
    <m/>
    <m/>
    <x v="2"/>
  </r>
  <r>
    <s v="INSTRUMENT"/>
    <s v="SYNDCTN_TYP"/>
    <x v="1"/>
    <s v="6. Outros Desenvolvimentos"/>
    <s v="OK"/>
    <s v="Em implementação IT BST (Sindicados)"/>
    <s v="Aguarda desenvolvimentos nas plataformas Loan IQ e Mercurio"/>
    <s v="Não"/>
    <d v="2024-06-07T00:00:00"/>
    <x v="9"/>
    <s v="OK"/>
    <m/>
    <m/>
    <m/>
    <x v="2"/>
  </r>
  <r>
    <s v="ENTITY"/>
    <s v="TAX_ID"/>
    <x v="1"/>
    <s v="7. Analisar controlos e completude"/>
    <s v="NOK"/>
    <s v="Campo especificado, mas com problemas a montante"/>
    <m/>
    <s v="Não"/>
    <d v="2024-06-07T00:00:00"/>
    <x v="5"/>
    <s v="NOK"/>
    <m/>
    <m/>
    <m/>
    <x v="6"/>
  </r>
  <r>
    <s v="PROTECTION"/>
    <s v="TAX_ID"/>
    <x v="1"/>
    <s v="7. Analisar controlos e completude"/>
    <s v="NOK"/>
    <s v="Concluido, controlos por parte de Riscos"/>
    <m/>
    <s v="Não"/>
    <d v="2024-06-07T00:00:00"/>
    <x v="5"/>
    <s v="NOK"/>
    <m/>
    <m/>
    <m/>
    <x v="6"/>
  </r>
  <r>
    <s v="INSTR_PROTECTION"/>
    <s v="THRD_PRTY_PRRTY_CLMS"/>
    <x v="0"/>
    <s v="9. Concluído"/>
    <s v="OK"/>
    <s v="Concluido, controlos OK"/>
    <m/>
    <s v="Campo Fechado"/>
    <d v="2024-06-07T00:00:00"/>
    <x v="0"/>
    <s v="OK"/>
    <m/>
    <m/>
    <m/>
    <x v="0"/>
  </r>
  <r>
    <s v="INSTRUMENT"/>
    <s v="TRNCH"/>
    <x v="1"/>
    <s v="6. Outros Desenvolvimentos"/>
    <s v="OK"/>
    <s v="Em implementação IT BST (Sindicados)"/>
    <s v="Aguarda desenvolvimentos nas plataformas Loan IQ e Mercurio"/>
    <s v="Não"/>
    <d v="2024-06-07T00:00:00"/>
    <x v="9"/>
    <s v="OK"/>
    <m/>
    <m/>
    <m/>
    <x v="2"/>
  </r>
  <r>
    <s v="ENTITY"/>
    <s v="TTL_DBT"/>
    <x v="0"/>
    <s v="2. Alterar especificação"/>
    <s v="OK"/>
    <s v="Em especificação (Financial Statments CIB)"/>
    <s v="Campo implementação, mas com falta de informação para o segmento de clientes CIB"/>
    <s v="Não"/>
    <d v="2024-06-07T00:00:00"/>
    <x v="2"/>
    <s v="OK"/>
    <m/>
    <m/>
    <m/>
    <x v="2"/>
  </r>
  <r>
    <s v="ENTITY"/>
    <s v="TTL_DBT_PRVS"/>
    <x v="0"/>
    <s v="2. Alterar especificação"/>
    <s v="OK"/>
    <s v="Em especificação (Financial Statments CIB)"/>
    <s v="Campo implementação, mas com falta de informação para o segmento de clientes CIB"/>
    <s v="Não"/>
    <d v="2024-06-07T00:00:00"/>
    <x v="2"/>
    <s v="OK"/>
    <m/>
    <m/>
    <m/>
    <x v="2"/>
  </r>
  <r>
    <s v="INSTRUMENT"/>
    <s v="ACCRD_INTRST_INSTRMNT"/>
    <x v="0"/>
    <s v="2. Alterar especificação"/>
    <s v="OK"/>
    <s v="Alterar especificação (Área enviou nova metodologia do campo)"/>
    <m/>
    <s v="Não"/>
    <d v="2024-06-07T00:00:00"/>
    <x v="2"/>
    <s v="OK"/>
    <m/>
    <m/>
    <m/>
    <x v="2"/>
  </r>
  <r>
    <s v="ENTITY"/>
    <s v="TTL_LVRG_RT"/>
    <x v="1"/>
    <s v="9. Concluído"/>
    <s v="OK"/>
    <s v="Concluido, controlos OK"/>
    <m/>
    <s v="Campo Fechado"/>
    <d v="2024-06-07T00:00:00"/>
    <x v="0"/>
    <s v="OK"/>
    <m/>
    <m/>
    <m/>
    <x v="0"/>
  </r>
  <r>
    <s v="ENTITY"/>
    <s v="TTL_LVRG_RT_PRVS"/>
    <x v="1"/>
    <s v="9. Concluído"/>
    <s v="OK"/>
    <s v="Concluido, controlos OK"/>
    <m/>
    <s v="Campo Fechado"/>
    <d v="2024-06-07T00:00:00"/>
    <x v="0"/>
    <s v="OK"/>
    <m/>
    <m/>
    <m/>
    <x v="0"/>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TYP_CMPLNT_MRTR_C19"/>
    <x v="1"/>
    <s v="9. Concluído"/>
    <s v="OK"/>
    <s v="Concluido, controlos OK"/>
    <m/>
    <s v="Campo Fechado"/>
    <d v="2024-06-07T00:00:00"/>
    <x v="0"/>
    <s v="OK"/>
    <m/>
    <m/>
    <m/>
    <x v="0"/>
  </r>
  <r>
    <s v="INSTRUMENT"/>
    <s v="TYP_CRE_OPRTN"/>
    <x v="1"/>
    <s v="7. Analisar controlos e completude"/>
    <s v="NOK"/>
    <s v="Controlos NOK"/>
    <m/>
    <s v="Não"/>
    <d v="2024-06-07T00:00:00"/>
    <x v="5"/>
    <s v="NOK"/>
    <m/>
    <m/>
    <m/>
    <x v="6"/>
  </r>
  <r>
    <s v="INSTRUMENT"/>
    <s v="TYP_INSTRMNT"/>
    <x v="0"/>
    <s v="9. Concluído"/>
    <s v="OK"/>
    <s v="Concluido, controlos OK"/>
    <m/>
    <s v="Campo Fechado"/>
    <d v="2024-06-07T00:00:00"/>
    <x v="0"/>
    <s v="OK"/>
    <m/>
    <m/>
    <m/>
    <x v="0"/>
  </r>
  <r>
    <s v="INSTRUMENT"/>
    <s v="TYP_INTRST_RT"/>
    <x v="0"/>
    <s v="9. Concluído"/>
    <s v="OK"/>
    <s v="Concluido, controlos OK"/>
    <m/>
    <s v="Campo Fechado"/>
    <d v="2024-06-07T00:00:00"/>
    <x v="0"/>
    <s v="OK"/>
    <m/>
    <m/>
    <m/>
    <x v="0"/>
  </r>
  <r>
    <s v="PROTECTION"/>
    <s v="PRTCTN_VL"/>
    <x v="0"/>
    <s v="5.2 Em testes - Incidência"/>
    <s v="OK"/>
    <s v="Campo com incidência"/>
    <s v="Incidências: Casos em que valor é 0"/>
    <s v="Sim"/>
    <d v="2024-09-27T00:00:00"/>
    <x v="1"/>
    <s v="NOK"/>
    <s v="44 garantias com valor zero."/>
    <m/>
    <m/>
    <x v="1"/>
  </r>
  <r>
    <s v="PROTECTION"/>
    <s v="PRTCTN_VL_NPE"/>
    <x v="0"/>
    <s v="5.1 Em testes - Re-especificação"/>
    <s v="OK"/>
    <s v="Campo depende do histórico do PRFRMNG_STTS. Não é necessário alterar a especificação do mesmo, apenas testar se a metodologia do campo PRFRMNG_STTS for alterada. "/>
    <m/>
    <s v="Sim"/>
    <d v="2024-10-03T00:00:00"/>
    <x v="8"/>
    <s v="OK"/>
    <m/>
    <m/>
    <m/>
    <x v="5"/>
  </r>
  <r>
    <s v="PROTECTION"/>
    <s v="TYP_PRTCTN_INTRNL"/>
    <x v="0"/>
    <s v="7. Analisar controlos e completude"/>
    <s v="NOK"/>
    <s v="Controlos NOK"/>
    <m/>
    <s v="Não"/>
    <d v="2024-06-07T00:00:00"/>
    <x v="5"/>
    <s v="NOK"/>
    <m/>
    <m/>
    <m/>
    <x v="6"/>
  </r>
  <r>
    <s v="PROTECTION"/>
    <s v="TYP_PRTCTN_VL"/>
    <x v="0"/>
    <s v="7. Analisar controlos e completude"/>
    <s v="NOK"/>
    <s v="Controlos NOK"/>
    <m/>
    <s v="Não"/>
    <d v="2024-06-07T00:00:00"/>
    <x v="5"/>
    <s v="NOK"/>
    <m/>
    <m/>
    <m/>
    <x v="6"/>
  </r>
  <r>
    <s v="INSTRUMENT"/>
    <s v="TYPE_OF_PLCMNT"/>
    <x v="1"/>
    <s v="9. Concluído"/>
    <s v="OK"/>
    <s v="Concluido, controlos OK"/>
    <m/>
    <s v="Campo Fechado"/>
    <d v="2024-06-07T00:00:00"/>
    <x v="0"/>
    <s v="OK"/>
    <m/>
    <m/>
    <m/>
    <x v="0"/>
  </r>
  <r>
    <s v="INSTRUMENT"/>
    <s v="VLTN_CRRNCY"/>
    <x v="1"/>
    <s v="9. Concluído"/>
    <s v="OK"/>
    <s v="Concluido, controlos OK"/>
    <m/>
    <s v="Campo Fechado"/>
    <d v="2024-06-07T00:00:00"/>
    <x v="0"/>
    <s v="OK"/>
    <m/>
    <m/>
    <m/>
    <x v="0"/>
  </r>
  <r>
    <s v="INSTRUMENT"/>
    <s v="VLTN_TYP"/>
    <x v="1"/>
    <s v="9. Concluído"/>
    <s v="OK"/>
    <s v="Concluido, controlos OK"/>
    <m/>
    <s v="Campo Fechado"/>
    <d v="2024-06-07T00:00:00"/>
    <x v="0"/>
    <s v="OK"/>
    <m/>
    <m/>
    <m/>
    <x v="0"/>
  </r>
  <r>
    <s v="ENTITY"/>
    <s v="WTCH_LST"/>
    <x v="0"/>
    <s v="9. Concluído"/>
    <s v="OK"/>
    <s v="Concluido, controlos OK"/>
    <m/>
    <s v="Campo Fechado"/>
    <d v="2024-06-07T00:00:00"/>
    <x v="0"/>
    <s v="OK"/>
    <m/>
    <m/>
    <m/>
    <x v="0"/>
  </r>
  <r>
    <s v="PROTECTION"/>
    <s v="YR_CNSTRCTN"/>
    <x v="1"/>
    <s v="1. Especificar"/>
    <s v="OK"/>
    <s v="Em especificação (Campos Novos)"/>
    <m/>
    <s v="Não"/>
    <d v="2024-06-07T00:00:00"/>
    <x v="3"/>
    <s v="OK"/>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26" firstHeaderRow="1" firstDataRow="1" firstDataCol="1" rowPageCount="1" colPageCount="1"/>
  <pivotFields count="15">
    <pivotField showAll="0"/>
    <pivotField showAll="0"/>
    <pivotField axis="axisRow" showAll="0">
      <items count="3">
        <item x="1"/>
        <item x="0"/>
        <item t="default"/>
      </items>
    </pivotField>
    <pivotField showAll="0"/>
    <pivotField showAll="0"/>
    <pivotField showAll="0"/>
    <pivotField showAll="0"/>
    <pivotField showAll="0"/>
    <pivotField numFmtId="14" showAll="0"/>
    <pivotField axis="axisPage" multipleItemSelectionAllowed="1" showAll="0">
      <items count="16">
        <item x="3"/>
        <item m="1" x="14"/>
        <item x="2"/>
        <item x="4"/>
        <item m="1" x="12"/>
        <item m="1" x="13"/>
        <item m="1" x="11"/>
        <item x="5"/>
        <item x="6"/>
        <item x="0"/>
        <item x="1"/>
        <item x="7"/>
        <item x="8"/>
        <item m="1" x="10"/>
        <item x="9"/>
        <item t="default"/>
      </items>
    </pivotField>
    <pivotField showAll="0"/>
    <pivotField showAll="0"/>
    <pivotField showAll="0"/>
    <pivotField showAll="0"/>
    <pivotField axis="axisRow" dataField="1" showAll="0">
      <items count="21">
        <item m="1" x="8"/>
        <item m="1" x="17"/>
        <item m="1" x="11"/>
        <item m="1" x="16"/>
        <item m="1" x="12"/>
        <item x="3"/>
        <item x="6"/>
        <item m="1" x="15"/>
        <item m="1" x="14"/>
        <item m="1" x="10"/>
        <item m="1" x="9"/>
        <item m="1" x="19"/>
        <item m="1" x="13"/>
        <item x="2"/>
        <item m="1" x="18"/>
        <item x="4"/>
        <item x="1"/>
        <item x="5"/>
        <item x="7"/>
        <item x="0"/>
        <item t="default"/>
      </items>
    </pivotField>
  </pivotFields>
  <rowFields count="2">
    <field x="2"/>
    <field x="14"/>
  </rowFields>
  <rowItems count="17">
    <i>
      <x/>
    </i>
    <i r="1">
      <x v="6"/>
    </i>
    <i r="1">
      <x v="13"/>
    </i>
    <i r="1">
      <x v="15"/>
    </i>
    <i r="1">
      <x v="16"/>
    </i>
    <i r="1">
      <x v="18"/>
    </i>
    <i r="1">
      <x v="19"/>
    </i>
    <i>
      <x v="1"/>
    </i>
    <i r="1">
      <x v="5"/>
    </i>
    <i r="1">
      <x v="6"/>
    </i>
    <i r="1">
      <x v="13"/>
    </i>
    <i r="1">
      <x v="15"/>
    </i>
    <i r="1">
      <x v="16"/>
    </i>
    <i r="1">
      <x v="17"/>
    </i>
    <i r="1">
      <x v="18"/>
    </i>
    <i r="1">
      <x v="19"/>
    </i>
    <i t="grand">
      <x/>
    </i>
  </rowItems>
  <colItems count="1">
    <i/>
  </colItems>
  <pageFields count="1">
    <pageField fld="9" hier="-1"/>
  </pageFields>
  <dataFields count="1">
    <dataField name="Count of Categorização" fld="14" subtotal="count" baseField="0" baseItem="0"/>
  </dataFields>
  <formats count="13">
    <format dxfId="44">
      <pivotArea dataOnly="0" labelOnly="1" fieldPosition="0">
        <references count="2">
          <reference field="2" count="1" selected="0">
            <x v="1"/>
          </reference>
          <reference field="14" count="1">
            <x v="10"/>
          </reference>
        </references>
      </pivotArea>
    </format>
    <format dxfId="43">
      <pivotArea dataOnly="0" labelOnly="1" fieldPosition="0">
        <references count="2">
          <reference field="2" count="1" selected="0">
            <x v="0"/>
          </reference>
          <reference field="14" count="1">
            <x v="10"/>
          </reference>
        </references>
      </pivotArea>
    </format>
    <format dxfId="42">
      <pivotArea dataOnly="0" labelOnly="1" fieldPosition="0">
        <references count="1">
          <reference field="2" count="1">
            <x v="1"/>
          </reference>
        </references>
      </pivotArea>
    </format>
    <format dxfId="41">
      <pivotArea dataOnly="0" labelOnly="1" fieldPosition="0">
        <references count="2">
          <reference field="2" count="1" selected="0">
            <x v="0"/>
          </reference>
          <reference field="14" count="5">
            <x v="6"/>
            <x v="13"/>
            <x v="15"/>
            <x v="16"/>
            <x v="18"/>
          </reference>
        </references>
      </pivotArea>
    </format>
    <format dxfId="40">
      <pivotArea dataOnly="0" labelOnly="1" fieldPosition="0">
        <references count="2">
          <reference field="2" count="1" selected="0">
            <x v="1"/>
          </reference>
          <reference field="14" count="7">
            <x v="0"/>
            <x v="5"/>
            <x v="6"/>
            <x v="13"/>
            <x v="15"/>
            <x v="16"/>
            <x v="17"/>
          </reference>
        </references>
      </pivotArea>
    </format>
    <format dxfId="39">
      <pivotArea collapsedLevelsAreSubtotals="1" fieldPosition="0">
        <references count="2">
          <reference field="2" count="1" selected="0">
            <x v="0"/>
          </reference>
          <reference field="14" count="1">
            <x v="16"/>
          </reference>
        </references>
      </pivotArea>
    </format>
    <format dxfId="38">
      <pivotArea dataOnly="0" labelOnly="1" fieldPosition="0">
        <references count="2">
          <reference field="2" count="1" selected="0">
            <x v="0"/>
          </reference>
          <reference field="14" count="1">
            <x v="16"/>
          </reference>
        </references>
      </pivotArea>
    </format>
    <format dxfId="37">
      <pivotArea collapsedLevelsAreSubtotals="1" fieldPosition="0">
        <references count="2">
          <reference field="2" count="1" selected="0">
            <x v="1"/>
          </reference>
          <reference field="14" count="1">
            <x v="5"/>
          </reference>
        </references>
      </pivotArea>
    </format>
    <format dxfId="36">
      <pivotArea dataOnly="0" labelOnly="1" fieldPosition="0">
        <references count="2">
          <reference field="2" count="1" selected="0">
            <x v="1"/>
          </reference>
          <reference field="14" count="1">
            <x v="5"/>
          </reference>
        </references>
      </pivotArea>
    </format>
    <format dxfId="35">
      <pivotArea collapsedLevelsAreSubtotals="1" fieldPosition="0">
        <references count="2">
          <reference field="2" count="1" selected="0">
            <x v="1"/>
          </reference>
          <reference field="14" count="2">
            <x v="16"/>
            <x v="17"/>
          </reference>
        </references>
      </pivotArea>
    </format>
    <format dxfId="34">
      <pivotArea dataOnly="0" labelOnly="1" fieldPosition="0">
        <references count="2">
          <reference field="2" count="1" selected="0">
            <x v="1"/>
          </reference>
          <reference field="14" count="2">
            <x v="16"/>
            <x v="17"/>
          </reference>
        </references>
      </pivotArea>
    </format>
    <format dxfId="33">
      <pivotArea collapsedLevelsAreSubtotals="1" fieldPosition="0">
        <references count="2">
          <reference field="2" count="1" selected="0">
            <x v="1"/>
          </reference>
          <reference field="14" count="1">
            <x v="5"/>
          </reference>
        </references>
      </pivotArea>
    </format>
    <format dxfId="32">
      <pivotArea dataOnly="0" labelOnly="1" fieldPosition="0">
        <references count="2">
          <reference field="2" count="1" selected="0">
            <x v="1"/>
          </reference>
          <reference field="1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9ACFC-963B-4792-9D61-9481D3AA110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ick Win" colHeaderCaption="OSI VS FORA OSI">
  <location ref="I12:O18" firstHeaderRow="1" firstDataRow="3" firstDataCol="1" rowPageCount="1" colPageCount="1"/>
  <pivotFields count="23">
    <pivotField showAll="0"/>
    <pivotField dataField="1" showAll="0"/>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x="0"/>
        <item h="1" x="3"/>
        <item h="1" x="2"/>
        <item t="default"/>
      </items>
    </pivotField>
    <pivotField showAll="0"/>
  </pivotFields>
  <rowFields count="1">
    <field x="7"/>
  </rowFields>
  <rowItems count="4">
    <i>
      <x/>
    </i>
    <i>
      <x v="1"/>
    </i>
    <i>
      <x v="2"/>
    </i>
    <i t="grand">
      <x/>
    </i>
  </rowItems>
  <colFields count="2">
    <field x="2"/>
    <field x="-2"/>
  </colFields>
  <colItems count="6">
    <i>
      <x/>
      <x/>
    </i>
    <i r="1" i="1">
      <x v="1"/>
    </i>
    <i>
      <x v="1"/>
      <x/>
    </i>
    <i r="1" i="1">
      <x v="1"/>
    </i>
    <i t="grand">
      <x/>
    </i>
    <i t="grand" i="1">
      <x/>
    </i>
  </colItems>
  <pageFields count="1">
    <pageField fld="21" hier="-1"/>
  </pageFields>
  <dataFields count="2">
    <dataField name="#" fld="1" subtotal="count" baseField="5" baseItem="0"/>
    <dataField name="%" fld="1" subtotal="count" showDataAs="percentOfTotal" baseField="5" baseItem="0" numFmtId="10"/>
  </dataFields>
  <formats count="10">
    <format dxfId="54">
      <pivotArea outline="0" collapsedLevelsAreSubtotals="1" fieldPosition="0">
        <references count="2">
          <reference field="4294967294" count="1" selected="0">
            <x v="1"/>
          </reference>
          <reference field="2" count="1" selected="0">
            <x v="1"/>
          </reference>
        </references>
      </pivotArea>
    </format>
    <format dxfId="53">
      <pivotArea outline="0" collapsedLevelsAreSubtotals="1" fieldPosition="0">
        <references count="2">
          <reference field="4294967294" count="1" selected="0">
            <x v="1"/>
          </reference>
          <reference field="2" count="1" selected="0">
            <x v="0"/>
          </reference>
        </references>
      </pivotArea>
    </format>
    <format dxfId="52">
      <pivotArea field="2" grandCol="1" outline="0" collapsedLevelsAreSubtotals="1" axis="axisCol" fieldPosition="0">
        <references count="1">
          <reference field="4294967294" count="1" selected="0">
            <x v="1"/>
          </reference>
        </references>
      </pivotArea>
    </format>
    <format dxfId="51">
      <pivotArea type="all" dataOnly="0" outline="0" fieldPosition="0"/>
    </format>
    <format dxfId="50">
      <pivotArea outline="0" collapsedLevelsAreSubtotals="1" fieldPosition="0"/>
    </format>
    <format dxfId="49">
      <pivotArea dataOnly="0" labelOnly="1" outline="0" fieldPosition="0">
        <references count="2">
          <reference field="4294967294" count="2">
            <x v="0"/>
            <x v="1"/>
          </reference>
          <reference field="2" count="1" selected="0">
            <x v="0"/>
          </reference>
        </references>
      </pivotArea>
    </format>
    <format dxfId="48">
      <pivotArea dataOnly="0" labelOnly="1" outline="0" fieldPosition="0">
        <references count="2">
          <reference field="4294967294" count="2">
            <x v="0"/>
            <x v="1"/>
          </reference>
          <reference field="2" count="1" selected="0">
            <x v="1"/>
          </reference>
        </references>
      </pivotArea>
    </format>
    <format dxfId="47">
      <pivotArea dataOnly="0" labelOnly="1" fieldPosition="0">
        <references count="1">
          <reference field="2" count="0"/>
        </references>
      </pivotArea>
    </format>
    <format dxfId="46">
      <pivotArea field="2" dataOnly="0" labelOnly="1" grandCol="1" outline="0" axis="axisCol" fieldPosition="0">
        <references count="1">
          <reference field="4294967294" count="1" selected="0">
            <x v="0"/>
          </reference>
        </references>
      </pivotArea>
    </format>
    <format dxfId="45">
      <pivotArea field="2"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1F7AD5-90B1-4E17-A458-AEFE904E49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Atual" colHeaderCaption="">
  <location ref="C12:F23" firstHeaderRow="1" firstDataRow="2" firstDataCol="1" rowPageCount="1" colPageCount="1"/>
  <pivotFields count="23">
    <pivotField showAll="0"/>
    <pivotField showAll="0"/>
    <pivotField axis="axisCol" showAll="0">
      <items count="3">
        <item x="1"/>
        <item x="0"/>
        <item t="default"/>
      </items>
    </pivotField>
    <pivotField showAll="0"/>
    <pivotField showAll="0"/>
    <pivotField showAll="0"/>
    <pivotField showAll="0"/>
    <pivotField showAll="0"/>
    <pivotField numFmtId="14" showAll="0"/>
    <pivotField axis="axisRow" dataField="1" showAll="0">
      <items count="11">
        <item x="3"/>
        <item x="2"/>
        <item x="4"/>
        <item x="7"/>
        <item x="8"/>
        <item x="1"/>
        <item x="9"/>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5">
        <item x="1"/>
        <item x="0"/>
        <item x="3"/>
        <item x="2"/>
        <item t="default"/>
      </items>
    </pivotField>
    <pivotField showAll="0"/>
  </pivotFields>
  <rowFields count="1">
    <field x="9"/>
  </rowFields>
  <rowItems count="10">
    <i>
      <x/>
    </i>
    <i>
      <x v="1"/>
    </i>
    <i>
      <x v="2"/>
    </i>
    <i>
      <x v="3"/>
    </i>
    <i>
      <x v="4"/>
    </i>
    <i>
      <x v="5"/>
    </i>
    <i>
      <x v="7"/>
    </i>
    <i>
      <x v="8"/>
    </i>
    <i>
      <x v="9"/>
    </i>
    <i t="grand">
      <x/>
    </i>
  </rowItems>
  <colFields count="1">
    <field x="2"/>
  </colFields>
  <colItems count="3">
    <i>
      <x/>
    </i>
    <i>
      <x v="1"/>
    </i>
    <i t="grand">
      <x/>
    </i>
  </colItems>
  <pageFields count="1">
    <pageField fld="21" item="1" hier="-1"/>
  </pageFields>
  <dataFields count="1">
    <dataField name="Count of Status Atual" fld="9" subtotal="count" baseField="0" baseItem="0"/>
  </dataFields>
  <formats count="3">
    <format dxfId="57">
      <pivotArea field="21" type="button" dataOnly="0" labelOnly="1" outline="0" axis="axisPage" fieldPosition="0"/>
    </format>
    <format dxfId="56">
      <pivotArea type="all" dataOnly="0" outline="0" fieldPosition="0"/>
    </format>
    <format dxfId="55">
      <pivotArea dataOnly="0" labelOnly="1" outline="0" fieldPosition="0">
        <references count="1">
          <reference field="2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showGridLines="0" topLeftCell="A6" zoomScaleNormal="100" workbookViewId="0">
      <selection activeCell="A18" sqref="A18"/>
    </sheetView>
  </sheetViews>
  <sheetFormatPr defaultRowHeight="14.4" x14ac:dyDescent="0.3"/>
  <cols>
    <col min="1" max="1" width="3.33203125" customWidth="1"/>
    <col min="2" max="2" width="5.109375" customWidth="1"/>
    <col min="3" max="3" width="35.44140625" bestFit="1" customWidth="1"/>
    <col min="4" max="4" width="8" bestFit="1" customWidth="1"/>
    <col min="5" max="5" width="4" bestFit="1" customWidth="1"/>
    <col min="6" max="6" width="10.5546875" bestFit="1" customWidth="1"/>
    <col min="7" max="7" width="10.6640625" customWidth="1"/>
    <col min="8" max="8" width="8.5546875" bestFit="1" customWidth="1"/>
    <col min="9" max="9" width="15.5546875" bestFit="1" customWidth="1"/>
    <col min="10" max="10" width="17.6640625" bestFit="1" customWidth="1"/>
    <col min="11" max="11" width="8.44140625" customWidth="1"/>
    <col min="12" max="12" width="10.33203125" customWidth="1"/>
    <col min="13" max="13" width="4.5546875" bestFit="1" customWidth="1"/>
    <col min="14" max="14" width="11.33203125" customWidth="1"/>
    <col min="15" max="15" width="7.33203125" bestFit="1" customWidth="1"/>
    <col min="16" max="16" width="6.6640625" bestFit="1" customWidth="1"/>
    <col min="17" max="17" width="8.5546875" bestFit="1" customWidth="1"/>
    <col min="18" max="18" width="0" style="12" hidden="1" customWidth="1"/>
    <col min="21" max="21" width="55.6640625" bestFit="1" customWidth="1"/>
    <col min="22" max="22" width="21.6640625" bestFit="1" customWidth="1"/>
    <col min="23" max="24" width="4.33203125" bestFit="1" customWidth="1"/>
    <col min="25" max="25" width="10.5546875" bestFit="1" customWidth="1"/>
  </cols>
  <sheetData>
    <row r="1" spans="1:35" ht="15" customHeight="1" x14ac:dyDescent="0.3">
      <c r="A1" s="1"/>
      <c r="B1" s="1"/>
      <c r="C1" s="1"/>
      <c r="E1" s="1"/>
      <c r="F1" s="1"/>
      <c r="G1" s="1"/>
      <c r="H1" s="1"/>
      <c r="I1" s="1"/>
      <c r="J1" s="1"/>
      <c r="K1" s="1"/>
      <c r="L1" s="1"/>
      <c r="M1" s="1"/>
      <c r="N1" s="1"/>
      <c r="O1" s="1"/>
      <c r="P1" s="1"/>
      <c r="Q1" s="1"/>
      <c r="R1" s="13"/>
      <c r="S1" s="1"/>
      <c r="T1" s="1"/>
      <c r="U1" s="1"/>
      <c r="V1" s="1"/>
      <c r="W1" s="1"/>
      <c r="X1" s="1"/>
      <c r="Y1" s="1"/>
      <c r="Z1" s="1"/>
      <c r="AA1" s="1"/>
      <c r="AB1" s="1"/>
      <c r="AC1" s="1"/>
      <c r="AD1" s="1"/>
      <c r="AE1" s="1"/>
      <c r="AF1" s="1"/>
      <c r="AG1" s="1"/>
      <c r="AH1" s="1"/>
    </row>
    <row r="2" spans="1:35" ht="34.5" customHeight="1" x14ac:dyDescent="0.3">
      <c r="A2" s="1"/>
      <c r="B2" s="1"/>
      <c r="C2" s="3"/>
      <c r="E2" s="1"/>
      <c r="F2" s="1"/>
      <c r="G2" s="1"/>
      <c r="H2" s="1"/>
      <c r="I2" s="1"/>
      <c r="J2" s="1"/>
      <c r="K2" s="1"/>
      <c r="L2" s="1"/>
      <c r="M2" s="1"/>
      <c r="N2" s="1"/>
      <c r="O2" s="1"/>
      <c r="P2" s="1"/>
      <c r="Q2" s="1"/>
      <c r="R2" s="13"/>
      <c r="S2" s="1"/>
      <c r="T2" s="1"/>
      <c r="U2" s="1"/>
      <c r="V2" s="1"/>
      <c r="W2" s="1"/>
      <c r="X2" s="1"/>
      <c r="Y2" s="1"/>
      <c r="Z2" s="1"/>
      <c r="AA2" s="1"/>
      <c r="AB2" s="1"/>
      <c r="AC2" s="1"/>
      <c r="AD2" s="1"/>
      <c r="AE2" s="4"/>
      <c r="AF2" s="1"/>
      <c r="AG2" s="1"/>
      <c r="AH2" s="1"/>
      <c r="AI2" s="1"/>
    </row>
    <row r="3" spans="1:35" ht="2.25" customHeight="1" x14ac:dyDescent="0.3">
      <c r="A3" s="5"/>
      <c r="B3" s="5"/>
      <c r="C3" s="5"/>
      <c r="D3" s="5"/>
      <c r="E3" s="5"/>
      <c r="F3" s="5"/>
      <c r="G3" s="5"/>
      <c r="H3" s="5"/>
      <c r="I3" s="5"/>
      <c r="J3" s="5"/>
      <c r="K3" s="5"/>
      <c r="L3" s="5"/>
      <c r="M3" s="5"/>
      <c r="N3" s="5"/>
      <c r="O3" s="5"/>
      <c r="P3" s="5"/>
      <c r="Q3" s="5"/>
      <c r="R3" s="14"/>
      <c r="S3" s="5"/>
      <c r="T3" s="5"/>
      <c r="U3" s="5"/>
      <c r="V3" s="5"/>
      <c r="W3" s="5"/>
      <c r="X3" s="5"/>
      <c r="Y3" s="5"/>
      <c r="Z3" s="5"/>
      <c r="AA3" s="5"/>
      <c r="AB3" s="5"/>
      <c r="AC3" s="5"/>
      <c r="AD3" s="5"/>
      <c r="AE3" s="5"/>
      <c r="AF3" s="5"/>
      <c r="AG3" s="5"/>
      <c r="AH3" s="5"/>
      <c r="AI3" s="5"/>
    </row>
    <row r="4" spans="1:35" ht="15" customHeight="1" x14ac:dyDescent="0.3">
      <c r="A4" s="1"/>
      <c r="B4" s="1"/>
      <c r="C4" s="1"/>
      <c r="E4" s="1"/>
      <c r="F4" s="1"/>
      <c r="G4" s="1"/>
      <c r="H4" s="1"/>
      <c r="I4" s="1"/>
      <c r="J4" s="1"/>
      <c r="K4" s="1"/>
      <c r="L4" s="1"/>
      <c r="M4" s="1"/>
      <c r="N4" s="1"/>
      <c r="O4" s="1"/>
      <c r="P4" s="1"/>
      <c r="Q4" s="1"/>
      <c r="R4" s="13"/>
      <c r="S4" s="1"/>
      <c r="T4" s="1"/>
      <c r="U4" s="1"/>
      <c r="V4" s="1"/>
      <c r="W4" s="1"/>
      <c r="X4" s="1"/>
      <c r="Y4" s="1"/>
      <c r="Z4" s="1"/>
      <c r="AA4" s="1"/>
      <c r="AB4" s="1"/>
      <c r="AC4" s="1"/>
      <c r="AD4" s="1"/>
      <c r="AE4" s="1"/>
      <c r="AF4" s="1"/>
      <c r="AG4" s="1"/>
      <c r="AH4" s="1"/>
      <c r="AI4" s="1"/>
    </row>
    <row r="7" spans="1:35" x14ac:dyDescent="0.3">
      <c r="U7" s="22" t="s">
        <v>0</v>
      </c>
      <c r="V7" t="s">
        <v>1</v>
      </c>
    </row>
    <row r="9" spans="1:35" x14ac:dyDescent="0.3">
      <c r="U9" s="22" t="s">
        <v>2</v>
      </c>
      <c r="V9" t="s">
        <v>3</v>
      </c>
    </row>
    <row r="10" spans="1:35" x14ac:dyDescent="0.3">
      <c r="C10" s="75" t="s">
        <v>4</v>
      </c>
      <c r="D10" s="77" t="s">
        <v>5</v>
      </c>
      <c r="I10" s="64" t="s">
        <v>4</v>
      </c>
      <c r="J10" s="65" t="s">
        <v>5</v>
      </c>
      <c r="U10" s="7" t="s">
        <v>6</v>
      </c>
      <c r="V10">
        <v>119</v>
      </c>
    </row>
    <row r="11" spans="1:35" x14ac:dyDescent="0.3">
      <c r="R11" s="12" t="s">
        <v>7</v>
      </c>
      <c r="U11" s="12" t="s">
        <v>8</v>
      </c>
      <c r="V11">
        <v>16</v>
      </c>
    </row>
    <row r="12" spans="1:35" x14ac:dyDescent="0.3">
      <c r="C12" s="76" t="s">
        <v>9</v>
      </c>
      <c r="D12" s="67" t="s">
        <v>10</v>
      </c>
      <c r="E12" s="68"/>
      <c r="F12" s="69"/>
      <c r="I12" s="66"/>
      <c r="J12" s="67" t="s">
        <v>11</v>
      </c>
      <c r="K12" s="68"/>
      <c r="L12" s="68"/>
      <c r="M12" s="68"/>
      <c r="N12" s="68"/>
      <c r="O12" s="69"/>
      <c r="R12" s="12" t="s">
        <v>12</v>
      </c>
      <c r="U12" s="12" t="s">
        <v>13</v>
      </c>
      <c r="V12">
        <v>14</v>
      </c>
    </row>
    <row r="13" spans="1:35" x14ac:dyDescent="0.3">
      <c r="C13" s="72" t="s">
        <v>0</v>
      </c>
      <c r="D13" t="s">
        <v>6</v>
      </c>
      <c r="E13" t="s">
        <v>14</v>
      </c>
      <c r="F13" s="71" t="s">
        <v>15</v>
      </c>
      <c r="I13" s="70"/>
      <c r="J13" s="43" t="s">
        <v>6</v>
      </c>
      <c r="K13" s="43"/>
      <c r="L13" s="43" t="s">
        <v>14</v>
      </c>
      <c r="M13" s="43"/>
      <c r="N13" s="43" t="s">
        <v>16</v>
      </c>
      <c r="O13" s="83" t="s">
        <v>17</v>
      </c>
      <c r="R13" s="12" t="s">
        <v>18</v>
      </c>
      <c r="U13" s="12" t="s">
        <v>19</v>
      </c>
      <c r="V13">
        <v>9</v>
      </c>
    </row>
    <row r="14" spans="1:35" x14ac:dyDescent="0.3">
      <c r="C14" s="73" t="s">
        <v>20</v>
      </c>
      <c r="D14">
        <v>9</v>
      </c>
      <c r="E14">
        <v>1</v>
      </c>
      <c r="F14" s="71">
        <v>10</v>
      </c>
      <c r="I14" s="72" t="s">
        <v>21</v>
      </c>
      <c r="J14" s="43" t="s">
        <v>22</v>
      </c>
      <c r="K14" s="43" t="s">
        <v>23</v>
      </c>
      <c r="L14" s="43" t="s">
        <v>22</v>
      </c>
      <c r="M14" s="43" t="s">
        <v>23</v>
      </c>
      <c r="N14" s="43"/>
      <c r="O14" s="83"/>
      <c r="U14" s="23" t="s">
        <v>24</v>
      </c>
      <c r="V14" s="11">
        <v>5</v>
      </c>
    </row>
    <row r="15" spans="1:35" x14ac:dyDescent="0.3">
      <c r="C15" s="73" t="s">
        <v>25</v>
      </c>
      <c r="D15">
        <v>3</v>
      </c>
      <c r="E15">
        <v>14</v>
      </c>
      <c r="F15" s="71">
        <v>17</v>
      </c>
      <c r="I15" s="73" t="s">
        <v>26</v>
      </c>
      <c r="J15" s="43">
        <v>69</v>
      </c>
      <c r="K15" s="78">
        <v>0.26436781609195403</v>
      </c>
      <c r="L15" s="43">
        <v>96</v>
      </c>
      <c r="M15" s="78">
        <v>0.36781609195402298</v>
      </c>
      <c r="N15" s="43">
        <v>165</v>
      </c>
      <c r="O15" s="79">
        <v>0.63218390804597702</v>
      </c>
      <c r="U15" s="12" t="s">
        <v>27</v>
      </c>
      <c r="V15">
        <v>10</v>
      </c>
    </row>
    <row r="16" spans="1:35" x14ac:dyDescent="0.3">
      <c r="C16" s="73" t="s">
        <v>28</v>
      </c>
      <c r="E16">
        <v>2</v>
      </c>
      <c r="F16" s="71">
        <v>2</v>
      </c>
      <c r="I16" s="73" t="s">
        <v>29</v>
      </c>
      <c r="J16" s="43">
        <v>30</v>
      </c>
      <c r="K16" s="78">
        <v>0.11494252873563218</v>
      </c>
      <c r="L16" s="43">
        <v>40</v>
      </c>
      <c r="M16" s="78">
        <v>0.1532567049808429</v>
      </c>
      <c r="N16" s="43">
        <v>70</v>
      </c>
      <c r="O16" s="79">
        <v>0.26819923371647508</v>
      </c>
      <c r="U16" s="12" t="s">
        <v>30</v>
      </c>
      <c r="V16">
        <v>65</v>
      </c>
    </row>
    <row r="17" spans="3:22" x14ac:dyDescent="0.3">
      <c r="C17" s="73" t="s">
        <v>31</v>
      </c>
      <c r="D17">
        <v>1</v>
      </c>
      <c r="F17" s="71">
        <v>1</v>
      </c>
      <c r="I17" s="73" t="s">
        <v>32</v>
      </c>
      <c r="J17" s="43">
        <v>3</v>
      </c>
      <c r="K17" s="78">
        <v>1.1494252873563218E-2</v>
      </c>
      <c r="L17" s="43">
        <v>23</v>
      </c>
      <c r="M17" s="78">
        <v>8.8122605363984668E-2</v>
      </c>
      <c r="N17" s="43">
        <v>26</v>
      </c>
      <c r="O17" s="79">
        <v>9.9616858237547887E-2</v>
      </c>
      <c r="U17" s="7" t="s">
        <v>14</v>
      </c>
      <c r="V17">
        <v>227</v>
      </c>
    </row>
    <row r="18" spans="3:22" x14ac:dyDescent="0.3">
      <c r="C18" s="73" t="s">
        <v>33</v>
      </c>
      <c r="D18">
        <v>4</v>
      </c>
      <c r="E18">
        <v>18</v>
      </c>
      <c r="F18" s="71">
        <v>22</v>
      </c>
      <c r="I18" s="74" t="s">
        <v>15</v>
      </c>
      <c r="J18" s="80">
        <v>102</v>
      </c>
      <c r="K18" s="81">
        <v>0.39080459770114945</v>
      </c>
      <c r="L18" s="80">
        <v>159</v>
      </c>
      <c r="M18" s="81">
        <v>0.60919540229885061</v>
      </c>
      <c r="N18" s="80">
        <v>261</v>
      </c>
      <c r="O18" s="82">
        <v>1</v>
      </c>
      <c r="U18" s="23" t="s">
        <v>34</v>
      </c>
      <c r="V18" s="11">
        <v>8</v>
      </c>
    </row>
    <row r="19" spans="3:22" x14ac:dyDescent="0.3">
      <c r="C19" s="73" t="s">
        <v>35</v>
      </c>
      <c r="E19">
        <v>3</v>
      </c>
      <c r="F19" s="71">
        <v>3</v>
      </c>
      <c r="U19" s="12" t="s">
        <v>8</v>
      </c>
      <c r="V19">
        <v>41</v>
      </c>
    </row>
    <row r="20" spans="3:22" x14ac:dyDescent="0.3">
      <c r="C20" s="73" t="s">
        <v>36</v>
      </c>
      <c r="D20">
        <v>16</v>
      </c>
      <c r="E20">
        <v>26</v>
      </c>
      <c r="F20" s="71">
        <v>42</v>
      </c>
      <c r="U20" s="12" t="s">
        <v>13</v>
      </c>
      <c r="V20">
        <v>37</v>
      </c>
    </row>
    <row r="21" spans="3:22" x14ac:dyDescent="0.3">
      <c r="C21" s="73" t="s">
        <v>37</v>
      </c>
      <c r="D21">
        <v>6</v>
      </c>
      <c r="E21">
        <v>1</v>
      </c>
      <c r="F21" s="71">
        <v>7</v>
      </c>
      <c r="U21" s="12" t="s">
        <v>19</v>
      </c>
      <c r="V21">
        <v>6</v>
      </c>
    </row>
    <row r="22" spans="3:22" x14ac:dyDescent="0.3">
      <c r="C22" s="73" t="s">
        <v>38</v>
      </c>
      <c r="D22">
        <v>63</v>
      </c>
      <c r="E22">
        <v>94</v>
      </c>
      <c r="F22" s="71">
        <v>157</v>
      </c>
      <c r="U22" s="23" t="s">
        <v>24</v>
      </c>
      <c r="V22" s="11">
        <v>21</v>
      </c>
    </row>
    <row r="23" spans="3:22" x14ac:dyDescent="0.3">
      <c r="C23" s="74" t="s">
        <v>15</v>
      </c>
      <c r="D23" s="84">
        <v>102</v>
      </c>
      <c r="E23" s="84">
        <v>159</v>
      </c>
      <c r="F23" s="85">
        <v>261</v>
      </c>
      <c r="U23" s="23" t="s">
        <v>39</v>
      </c>
      <c r="V23" s="11">
        <v>24</v>
      </c>
    </row>
    <row r="24" spans="3:22" x14ac:dyDescent="0.3">
      <c r="U24" s="12" t="s">
        <v>27</v>
      </c>
      <c r="V24">
        <v>2</v>
      </c>
    </row>
    <row r="25" spans="3:22" x14ac:dyDescent="0.3">
      <c r="U25" s="12" t="s">
        <v>30</v>
      </c>
      <c r="V25">
        <v>88</v>
      </c>
    </row>
    <row r="26" spans="3:22" x14ac:dyDescent="0.3">
      <c r="U26" s="7" t="s">
        <v>15</v>
      </c>
      <c r="V26">
        <v>346</v>
      </c>
    </row>
  </sheetData>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4"/>
  <sheetViews>
    <sheetView showGridLines="0" topLeftCell="E2" zoomScaleNormal="90" workbookViewId="0">
      <selection activeCell="C23" sqref="C23"/>
    </sheetView>
  </sheetViews>
  <sheetFormatPr defaultColWidth="0" defaultRowHeight="14.4" customHeight="1" x14ac:dyDescent="0.3"/>
  <cols>
    <col min="1" max="1" width="3.3320312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20.109375" bestFit="1" customWidth="1"/>
    <col min="10" max="20" width="19.88671875" customWidth="1"/>
    <col min="21" max="22" width="3.33203125" customWidth="1"/>
    <col min="23" max="23" width="13.5546875" hidden="1" customWidth="1"/>
    <col min="24" max="24" width="22.664062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35"/>
      <c r="C5" s="35"/>
      <c r="D5" s="35"/>
      <c r="E5" s="35"/>
      <c r="F5" s="35"/>
      <c r="H5" s="35"/>
      <c r="I5" s="35"/>
      <c r="J5" s="35"/>
      <c r="K5" s="35"/>
      <c r="L5" s="35"/>
      <c r="M5" s="35"/>
      <c r="N5" s="35"/>
      <c r="O5" s="35"/>
      <c r="P5" s="35"/>
      <c r="Q5" s="35"/>
      <c r="R5" s="35"/>
      <c r="S5" s="35"/>
      <c r="T5" s="35"/>
      <c r="U5" s="35"/>
    </row>
    <row r="6" spans="1:32" x14ac:dyDescent="0.3">
      <c r="B6" s="35"/>
      <c r="C6" s="35"/>
      <c r="D6" s="35"/>
      <c r="E6" s="35"/>
      <c r="F6" s="35"/>
      <c r="H6" s="35"/>
      <c r="I6" s="35"/>
      <c r="J6" s="35"/>
      <c r="K6" s="35"/>
      <c r="L6" s="35"/>
      <c r="M6" s="35"/>
      <c r="N6" s="35"/>
      <c r="O6" s="35"/>
      <c r="P6" s="35"/>
      <c r="Q6" s="35"/>
      <c r="R6" s="35"/>
      <c r="S6" s="35"/>
      <c r="T6" s="35"/>
      <c r="U6" s="35"/>
    </row>
    <row r="7" spans="1:32" x14ac:dyDescent="0.3">
      <c r="B7" s="35"/>
      <c r="C7" s="35"/>
      <c r="D7" s="35"/>
      <c r="E7" s="35"/>
      <c r="F7" s="35"/>
      <c r="H7" s="35"/>
      <c r="I7" s="35"/>
      <c r="J7" s="35"/>
      <c r="K7" s="35"/>
      <c r="L7" s="35"/>
      <c r="M7" s="35"/>
      <c r="N7" s="35"/>
      <c r="O7" s="35"/>
      <c r="P7" s="35"/>
      <c r="Q7" s="35"/>
      <c r="R7" s="35"/>
      <c r="S7" s="35"/>
      <c r="T7" s="35"/>
      <c r="U7" s="35"/>
    </row>
    <row r="8" spans="1:32" x14ac:dyDescent="0.3">
      <c r="B8" s="41">
        <v>2</v>
      </c>
      <c r="C8" s="41" t="s">
        <v>40</v>
      </c>
      <c r="D8" s="41">
        <v>11</v>
      </c>
      <c r="E8" s="41" t="s">
        <v>40</v>
      </c>
      <c r="F8" s="41"/>
      <c r="H8" s="35"/>
      <c r="I8" s="35"/>
      <c r="J8" s="35"/>
      <c r="K8" s="35"/>
      <c r="L8" s="35"/>
      <c r="M8" s="35"/>
      <c r="N8" s="35"/>
      <c r="O8" s="35"/>
      <c r="P8" s="35"/>
      <c r="Q8" s="35"/>
      <c r="R8" s="35"/>
      <c r="S8" s="35"/>
      <c r="T8" s="35"/>
      <c r="U8" s="35"/>
    </row>
    <row r="9" spans="1:32" x14ac:dyDescent="0.3">
      <c r="B9" s="35"/>
      <c r="C9" s="42" t="s">
        <v>41</v>
      </c>
      <c r="D9" s="35"/>
      <c r="E9" s="41" t="s">
        <v>42</v>
      </c>
      <c r="F9" s="42"/>
      <c r="H9" s="35"/>
      <c r="I9" s="35"/>
      <c r="J9" s="35"/>
      <c r="K9" s="35"/>
      <c r="L9" s="35"/>
      <c r="M9" s="35"/>
      <c r="N9" s="35"/>
      <c r="O9" s="35"/>
      <c r="P9" s="35"/>
      <c r="Q9" s="35"/>
      <c r="R9" s="35"/>
      <c r="S9" s="35"/>
      <c r="T9" s="35"/>
      <c r="U9" s="35"/>
    </row>
    <row r="10" spans="1:32" x14ac:dyDescent="0.3">
      <c r="B10" s="41"/>
      <c r="C10" s="42" t="s">
        <v>43</v>
      </c>
      <c r="D10" s="35"/>
      <c r="E10" s="42" t="s">
        <v>44</v>
      </c>
      <c r="F10" s="42"/>
      <c r="H10" s="35"/>
      <c r="I10" s="35"/>
      <c r="J10" s="35"/>
      <c r="K10" s="35"/>
      <c r="L10" s="35"/>
      <c r="M10" s="35"/>
      <c r="N10" s="35"/>
      <c r="O10" s="35"/>
      <c r="P10" s="35"/>
      <c r="Q10" s="35"/>
      <c r="R10" s="35"/>
      <c r="S10" s="35"/>
      <c r="T10" s="35"/>
      <c r="U10" s="35"/>
    </row>
    <row r="11" spans="1:32" x14ac:dyDescent="0.3">
      <c r="B11" s="35"/>
      <c r="C11" s="42"/>
      <c r="D11" s="35"/>
      <c r="E11" s="42" t="s">
        <v>45</v>
      </c>
      <c r="F11" s="42"/>
      <c r="H11" s="35"/>
      <c r="I11" s="35"/>
      <c r="J11" s="35"/>
      <c r="K11" s="35"/>
      <c r="L11" s="35"/>
      <c r="M11" s="35"/>
      <c r="N11" s="35"/>
      <c r="O11" s="35"/>
      <c r="P11" s="35"/>
      <c r="Q11" s="35"/>
      <c r="R11" s="35"/>
      <c r="S11" s="35"/>
      <c r="T11" s="35"/>
      <c r="U11" s="35"/>
    </row>
    <row r="12" spans="1:32" x14ac:dyDescent="0.3">
      <c r="B12" s="35"/>
      <c r="C12" s="42"/>
      <c r="D12" s="35"/>
      <c r="E12" s="42" t="s">
        <v>46</v>
      </c>
      <c r="F12" s="35"/>
      <c r="H12" s="35"/>
      <c r="I12" s="35"/>
      <c r="J12" s="35"/>
      <c r="K12" s="35"/>
      <c r="L12" s="35"/>
      <c r="M12" s="35"/>
      <c r="N12" s="35"/>
      <c r="O12" s="35"/>
      <c r="P12" s="35"/>
      <c r="Q12" s="35"/>
      <c r="R12" s="35"/>
      <c r="S12" s="35"/>
      <c r="T12" s="35"/>
      <c r="U12" s="35"/>
    </row>
    <row r="13" spans="1:32" x14ac:dyDescent="0.3">
      <c r="B13" s="35"/>
      <c r="C13" s="35"/>
      <c r="D13" s="35"/>
      <c r="E13" s="42" t="s">
        <v>47</v>
      </c>
      <c r="F13" s="35"/>
      <c r="H13" s="35"/>
      <c r="I13" s="35"/>
      <c r="J13" s="35"/>
      <c r="K13" s="35"/>
      <c r="L13" s="35"/>
      <c r="M13" s="35"/>
      <c r="N13" s="35"/>
      <c r="O13" s="35"/>
      <c r="P13" s="35"/>
      <c r="Q13" s="35"/>
      <c r="R13" s="35"/>
      <c r="S13" s="35"/>
      <c r="T13" s="35"/>
      <c r="U13" s="35"/>
    </row>
    <row r="14" spans="1:32" x14ac:dyDescent="0.3">
      <c r="B14" s="35"/>
      <c r="C14" s="35"/>
      <c r="D14" s="35"/>
      <c r="E14" s="42" t="s">
        <v>48</v>
      </c>
      <c r="F14" s="35"/>
      <c r="H14" s="35"/>
      <c r="I14" s="35"/>
      <c r="J14" s="35"/>
      <c r="K14" s="35"/>
      <c r="L14" s="35"/>
      <c r="M14" s="35"/>
      <c r="N14" s="35"/>
      <c r="O14" s="35"/>
      <c r="P14" s="35"/>
      <c r="Q14" s="35"/>
      <c r="R14" s="35"/>
      <c r="S14" s="35"/>
      <c r="T14" s="35"/>
      <c r="U14" s="35"/>
    </row>
    <row r="15" spans="1:32" x14ac:dyDescent="0.3">
      <c r="B15" s="35"/>
      <c r="C15" s="41"/>
      <c r="D15" s="35"/>
      <c r="E15" s="42" t="s">
        <v>49</v>
      </c>
      <c r="F15" s="35"/>
      <c r="H15" s="35"/>
      <c r="I15" s="35"/>
      <c r="J15" s="35"/>
      <c r="K15" s="35"/>
      <c r="L15" s="35"/>
      <c r="M15" s="35"/>
      <c r="N15" s="35"/>
      <c r="O15" s="35"/>
      <c r="P15" s="35"/>
      <c r="Q15" s="35"/>
      <c r="R15" s="35"/>
      <c r="S15" s="35"/>
      <c r="T15" s="35"/>
      <c r="U15" s="35"/>
    </row>
    <row r="16" spans="1:32" x14ac:dyDescent="0.3">
      <c r="B16" s="35"/>
      <c r="C16" s="42"/>
      <c r="D16" s="35"/>
      <c r="E16" s="42" t="s">
        <v>50</v>
      </c>
      <c r="F16" s="41"/>
      <c r="H16" s="35"/>
      <c r="I16" s="35"/>
      <c r="J16" s="35"/>
      <c r="K16" s="35"/>
      <c r="L16" s="35"/>
      <c r="M16" s="35"/>
      <c r="N16" s="35"/>
      <c r="O16" s="35"/>
      <c r="P16" s="35"/>
      <c r="Q16" s="35"/>
      <c r="R16" s="35"/>
      <c r="S16" s="35"/>
      <c r="T16" s="35"/>
      <c r="U16" s="35"/>
    </row>
    <row r="17" spans="2:21" x14ac:dyDescent="0.3">
      <c r="B17" s="35"/>
      <c r="C17" s="42"/>
      <c r="D17" s="35"/>
      <c r="E17" s="42" t="s">
        <v>51</v>
      </c>
      <c r="F17" s="42"/>
      <c r="H17" s="35"/>
      <c r="I17" s="35"/>
      <c r="J17" s="35"/>
      <c r="K17" s="35"/>
      <c r="L17" s="35"/>
      <c r="M17" s="35"/>
      <c r="N17" s="35"/>
      <c r="O17" s="35"/>
      <c r="P17" s="35"/>
      <c r="Q17" s="35"/>
      <c r="R17" s="35"/>
      <c r="S17" s="35"/>
      <c r="T17" s="35"/>
      <c r="U17" s="35"/>
    </row>
    <row r="18" spans="2:21" x14ac:dyDescent="0.3">
      <c r="B18" s="35"/>
      <c r="C18" s="42"/>
      <c r="D18" s="35"/>
      <c r="E18" s="42" t="s">
        <v>52</v>
      </c>
      <c r="F18" s="42"/>
      <c r="H18" s="35"/>
      <c r="I18" s="35"/>
      <c r="J18" s="35"/>
      <c r="K18" s="35"/>
      <c r="L18" s="35"/>
      <c r="M18" s="35"/>
      <c r="N18" s="35"/>
      <c r="O18" s="35"/>
      <c r="P18" s="35"/>
      <c r="Q18" s="35"/>
      <c r="R18" s="35"/>
      <c r="S18" s="35"/>
      <c r="T18" s="35"/>
      <c r="U18" s="35"/>
    </row>
    <row r="19" spans="2:21" x14ac:dyDescent="0.3">
      <c r="B19" s="35"/>
      <c r="C19" s="42"/>
      <c r="D19" s="35"/>
      <c r="E19" s="42" t="s">
        <v>53</v>
      </c>
      <c r="F19" s="42"/>
      <c r="H19" s="35"/>
      <c r="I19" s="35"/>
      <c r="J19" s="35"/>
      <c r="K19" s="35"/>
      <c r="L19" s="35"/>
      <c r="M19" s="35"/>
      <c r="N19" s="35"/>
      <c r="O19" s="35"/>
      <c r="P19" s="35"/>
      <c r="Q19" s="35"/>
      <c r="R19" s="35"/>
      <c r="S19" s="35"/>
      <c r="T19" s="35"/>
      <c r="U19" s="35"/>
    </row>
    <row r="20" spans="2:21" x14ac:dyDescent="0.3">
      <c r="B20" s="35"/>
      <c r="C20" s="42"/>
      <c r="D20" s="35"/>
      <c r="E20" s="42" t="s">
        <v>54</v>
      </c>
      <c r="F20" s="42"/>
      <c r="H20" s="35"/>
      <c r="I20" s="35"/>
      <c r="J20" s="35"/>
      <c r="K20" s="35"/>
      <c r="L20" s="35"/>
      <c r="M20" s="35"/>
      <c r="N20" s="35"/>
      <c r="O20" s="35"/>
      <c r="P20" s="35"/>
      <c r="Q20" s="35"/>
      <c r="R20" s="35"/>
      <c r="S20" s="35"/>
      <c r="T20" s="35"/>
      <c r="U20" s="35"/>
    </row>
    <row r="21" spans="2:21" x14ac:dyDescent="0.3">
      <c r="B21" s="35"/>
      <c r="C21" s="35"/>
      <c r="D21" s="35"/>
      <c r="E21" s="35"/>
      <c r="F21" s="42"/>
      <c r="H21" s="35"/>
      <c r="I21" s="35"/>
      <c r="J21" s="35"/>
      <c r="K21" s="35"/>
      <c r="L21" s="35"/>
      <c r="M21" s="35"/>
      <c r="N21" s="35"/>
      <c r="O21" s="35"/>
      <c r="P21" s="35"/>
      <c r="Q21" s="35"/>
      <c r="R21" s="35"/>
      <c r="S21" s="35"/>
      <c r="T21" s="35"/>
      <c r="U21" s="35"/>
    </row>
    <row r="22" spans="2:21" x14ac:dyDescent="0.3">
      <c r="B22" s="35"/>
      <c r="C22" s="35"/>
      <c r="D22" s="35"/>
      <c r="E22" s="42"/>
      <c r="F22" s="42"/>
      <c r="H22" s="35"/>
      <c r="I22" s="35"/>
      <c r="J22" s="35"/>
      <c r="K22" s="35"/>
      <c r="L22" s="35"/>
      <c r="M22" s="35"/>
      <c r="N22" s="35"/>
      <c r="O22" s="35"/>
      <c r="P22" s="35"/>
      <c r="Q22" s="35"/>
      <c r="R22" s="35"/>
      <c r="S22" s="35"/>
      <c r="T22" s="35"/>
      <c r="U22" s="35"/>
    </row>
    <row r="23" spans="2:21" x14ac:dyDescent="0.3">
      <c r="B23" s="35"/>
      <c r="C23" s="35"/>
      <c r="D23" s="35"/>
      <c r="E23" s="35"/>
      <c r="F23" s="35"/>
      <c r="H23" s="35"/>
      <c r="I23" s="35"/>
      <c r="J23" s="35"/>
      <c r="K23" s="35"/>
      <c r="L23" s="35"/>
      <c r="M23" s="35"/>
      <c r="N23" s="35"/>
      <c r="O23" s="35"/>
      <c r="P23" s="35"/>
      <c r="Q23" s="35"/>
      <c r="R23" s="35"/>
      <c r="S23" s="35"/>
      <c r="T23" s="35"/>
      <c r="U23" s="35"/>
    </row>
    <row r="24" spans="2:21" x14ac:dyDescent="0.3">
      <c r="B24" s="35"/>
      <c r="C24" s="35"/>
      <c r="D24" s="35"/>
      <c r="E24" s="35"/>
      <c r="F24" s="35"/>
      <c r="H24" s="35"/>
      <c r="I24" s="35"/>
      <c r="J24" s="35"/>
      <c r="K24" s="35"/>
      <c r="L24" s="35"/>
      <c r="M24" s="35"/>
      <c r="N24" s="35"/>
      <c r="O24" s="35"/>
      <c r="P24" s="35"/>
      <c r="Q24" s="35"/>
      <c r="R24" s="35"/>
      <c r="S24" s="35"/>
      <c r="T24" s="35"/>
      <c r="U24" s="35"/>
    </row>
    <row r="25" spans="2:21" x14ac:dyDescent="0.3">
      <c r="B25" s="35"/>
      <c r="C25" s="35"/>
      <c r="D25" s="35"/>
      <c r="E25" s="35"/>
      <c r="F25" s="35"/>
      <c r="H25" s="35"/>
      <c r="I25" s="35"/>
      <c r="J25" s="35"/>
      <c r="K25" s="35"/>
      <c r="L25" s="35"/>
      <c r="M25" s="35"/>
      <c r="N25" s="35"/>
      <c r="O25" s="35"/>
      <c r="P25" s="35"/>
      <c r="Q25" s="35"/>
      <c r="R25" s="35"/>
      <c r="S25" s="35"/>
      <c r="T25" s="35"/>
      <c r="U25" s="35"/>
    </row>
    <row r="26" spans="2:21" x14ac:dyDescent="0.3">
      <c r="B26" s="35"/>
      <c r="C26" s="35"/>
      <c r="D26" s="35"/>
      <c r="E26" s="35"/>
      <c r="F26" s="35"/>
      <c r="H26" s="35"/>
      <c r="I26" s="35"/>
      <c r="J26" s="35"/>
      <c r="K26" s="35"/>
      <c r="L26" s="35"/>
      <c r="M26" s="35"/>
      <c r="N26" s="35"/>
      <c r="O26" s="35"/>
      <c r="P26" s="35"/>
      <c r="Q26" s="35"/>
      <c r="R26" s="35"/>
      <c r="S26" s="35"/>
      <c r="T26" s="35"/>
      <c r="U26" s="35"/>
    </row>
    <row r="27" spans="2:21" ht="43.2" x14ac:dyDescent="0.3">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x14ac:dyDescent="0.3">
      <c r="B28" s="35"/>
      <c r="C28" s="35"/>
      <c r="D28" s="35"/>
      <c r="E28" s="35"/>
      <c r="F28" s="35"/>
      <c r="H28" s="35"/>
      <c r="I28" s="40" t="s">
        <v>0</v>
      </c>
      <c r="J28" s="36">
        <f>COUNTIF(Detalhe!$K:$K,J27)</f>
        <v>41</v>
      </c>
      <c r="K28" s="36">
        <f>COUNTIF(Detalhe!$K:$K,K27)</f>
        <v>30</v>
      </c>
      <c r="L28" s="36">
        <f>COUNTIF(Detalhe!$K:$K,L27)</f>
        <v>2</v>
      </c>
      <c r="M28" s="36">
        <f>COUNTIF(Detalhe!$K:$K,M27)</f>
        <v>1</v>
      </c>
      <c r="N28" s="36">
        <f>COUNTIF(Detalhe!$K:$K,N27)</f>
        <v>15</v>
      </c>
      <c r="O28" s="36">
        <f>COUNTIF(Detalhe!$K:$K,O27)</f>
        <v>6</v>
      </c>
      <c r="P28" s="36">
        <f>COUNTIF(Detalhe!$K:$K,P27)</f>
        <v>5</v>
      </c>
      <c r="Q28" s="36">
        <f>COUNTIF(Detalhe!$K:$K,Q27)</f>
        <v>0</v>
      </c>
      <c r="R28" s="36">
        <f>COUNTIF(Detalhe!$K:$K,R27)</f>
        <v>45</v>
      </c>
      <c r="S28" s="36">
        <f>COUNTIF(Detalhe!$K:$K,S27)</f>
        <v>9</v>
      </c>
      <c r="T28" s="36">
        <f>COUNTIF(Detalhe!$K:$K,T27)</f>
        <v>249</v>
      </c>
      <c r="U28" s="46"/>
    </row>
    <row r="29" spans="2:21" x14ac:dyDescent="0.3">
      <c r="B29" s="35"/>
      <c r="C29" s="35"/>
      <c r="D29" s="35"/>
      <c r="E29" s="35"/>
      <c r="F29" s="35"/>
      <c r="H29" s="35"/>
      <c r="I29" s="40" t="s">
        <v>57</v>
      </c>
      <c r="J29" s="37">
        <f>COUNTIF(Detalhe!$E:$E,J27)</f>
        <v>74</v>
      </c>
      <c r="K29" s="37">
        <f>COUNTIF(Detalhe!$E:$E,K27)</f>
        <v>42</v>
      </c>
      <c r="L29" s="37">
        <f>COUNTIF(Detalhe!$E:$E,L27)</f>
        <v>17</v>
      </c>
      <c r="M29" s="37">
        <f>COUNTIF(Detalhe!$E:$E,M27)</f>
        <v>4</v>
      </c>
      <c r="N29" s="37">
        <f>COUNTIF(Detalhe!$E:$E,N27)</f>
        <v>0</v>
      </c>
      <c r="O29" s="37">
        <f>COUNTIF(Detalhe!$E:$E,O27)</f>
        <v>21</v>
      </c>
      <c r="P29" s="37">
        <f>COUNTIF(Detalhe!$E:$E,P27)</f>
        <v>17</v>
      </c>
      <c r="Q29" s="37">
        <f>COUNTIF(Detalhe!$E:$E,Q27)</f>
        <v>10</v>
      </c>
      <c r="R29" s="37">
        <f>COUNTIF(Detalhe!$E:$E,R27)</f>
        <v>57</v>
      </c>
      <c r="S29" s="37">
        <f>COUNTIF(Detalhe!$E:$E,S27)</f>
        <v>10</v>
      </c>
      <c r="T29" s="37">
        <f>COUNTIF(Detalhe!$E:$E,T27)</f>
        <v>151</v>
      </c>
      <c r="U29" s="47"/>
    </row>
    <row r="30" spans="2:21" x14ac:dyDescent="0.3">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x14ac:dyDescent="0.3">
      <c r="B31" s="35"/>
      <c r="C31" s="35"/>
      <c r="D31" s="35"/>
      <c r="E31" s="35"/>
      <c r="F31" s="35"/>
      <c r="H31" s="35"/>
      <c r="I31" s="40" t="s">
        <v>59</v>
      </c>
      <c r="J31" s="36">
        <f t="shared" ref="J31:T31" si="0">J28-J29</f>
        <v>-33</v>
      </c>
      <c r="K31" s="36">
        <f t="shared" si="0"/>
        <v>-12</v>
      </c>
      <c r="L31" s="36">
        <f t="shared" si="0"/>
        <v>-15</v>
      </c>
      <c r="M31" s="36">
        <f t="shared" si="0"/>
        <v>-3</v>
      </c>
      <c r="N31" s="36">
        <f>N28-N29</f>
        <v>15</v>
      </c>
      <c r="O31" s="36">
        <f t="shared" si="0"/>
        <v>-15</v>
      </c>
      <c r="P31" s="36">
        <f t="shared" si="0"/>
        <v>-12</v>
      </c>
      <c r="Q31" s="36">
        <f t="shared" ref="Q31" si="1">Q28-Q29</f>
        <v>-10</v>
      </c>
      <c r="R31" s="36">
        <f t="shared" si="0"/>
        <v>-12</v>
      </c>
      <c r="S31" s="36">
        <f t="shared" si="0"/>
        <v>-1</v>
      </c>
      <c r="T31" s="36">
        <f t="shared" si="0"/>
        <v>98</v>
      </c>
      <c r="U31" s="47"/>
    </row>
    <row r="32" spans="2:21" x14ac:dyDescent="0.3">
      <c r="B32" s="35"/>
      <c r="C32" s="35"/>
      <c r="D32" s="35"/>
      <c r="E32" s="35"/>
      <c r="F32" s="35"/>
      <c r="H32" s="35"/>
      <c r="I32" s="35"/>
      <c r="J32" s="35"/>
      <c r="K32" s="35"/>
      <c r="L32" s="35"/>
      <c r="M32" s="35"/>
      <c r="N32" s="35"/>
      <c r="O32" s="35"/>
      <c r="P32" s="35"/>
      <c r="Q32" s="35"/>
      <c r="R32" s="35"/>
      <c r="S32" s="35"/>
      <c r="T32" s="35"/>
      <c r="U32" s="35"/>
    </row>
    <row r="33" spans="1:13" x14ac:dyDescent="0.3"/>
    <row r="34" spans="1:13" x14ac:dyDescent="0.3">
      <c r="J34" t="s">
        <v>60</v>
      </c>
    </row>
    <row r="35" spans="1:13" hidden="1" x14ac:dyDescent="0.3">
      <c r="C35" s="15">
        <v>45555</v>
      </c>
    </row>
    <row r="36" spans="1:13" s="1" customFormat="1" ht="14.4" hidden="1" customHeight="1" x14ac:dyDescent="0.3">
      <c r="A36"/>
      <c r="B36" s="20" t="s">
        <v>61</v>
      </c>
      <c r="C36" s="20"/>
      <c r="D36" s="20" t="s">
        <v>62</v>
      </c>
      <c r="E36" s="48"/>
      <c r="F36" s="48"/>
      <c r="G36" s="48"/>
      <c r="H36" s="48"/>
      <c r="I36" s="20" t="s">
        <v>63</v>
      </c>
      <c r="J36" s="48"/>
      <c r="K36" s="48"/>
      <c r="L36" s="48"/>
      <c r="M36" s="48"/>
    </row>
    <row r="37" spans="1:13" ht="14.4" hidden="1" customHeight="1" x14ac:dyDescent="0.3">
      <c r="B37" s="166" t="s">
        <v>43</v>
      </c>
      <c r="C37" s="166"/>
      <c r="D37" s="49" t="s">
        <v>64</v>
      </c>
      <c r="E37" s="49"/>
      <c r="F37" s="49"/>
      <c r="G37" s="49"/>
      <c r="H37" s="49"/>
      <c r="I37" s="167" t="s">
        <v>65</v>
      </c>
      <c r="J37" s="167"/>
      <c r="K37" s="167"/>
      <c r="L37" s="167"/>
      <c r="M37" s="167"/>
    </row>
    <row r="38" spans="1:13" ht="14.4" hidden="1" customHeight="1" x14ac:dyDescent="0.3">
      <c r="B38" s="166" t="s">
        <v>41</v>
      </c>
      <c r="C38" s="166"/>
      <c r="D38" t="s">
        <v>66</v>
      </c>
      <c r="I38" s="167" t="s">
        <v>65</v>
      </c>
      <c r="J38" s="167"/>
      <c r="K38" s="167"/>
      <c r="L38" s="167"/>
      <c r="M38" s="167"/>
    </row>
    <row r="39" spans="1:13" ht="14.4" hidden="1" customHeight="1" x14ac:dyDescent="0.3">
      <c r="B39" s="166" t="s">
        <v>67</v>
      </c>
      <c r="C39" s="166"/>
      <c r="D39" t="s">
        <v>68</v>
      </c>
      <c r="E39" s="29"/>
      <c r="F39" s="29"/>
      <c r="G39" s="29"/>
      <c r="H39" s="29"/>
      <c r="I39" t="s">
        <v>69</v>
      </c>
    </row>
    <row r="40" spans="1:13" ht="14.4" hidden="1" customHeight="1" x14ac:dyDescent="0.3">
      <c r="B40" s="166" t="s">
        <v>67</v>
      </c>
      <c r="C40" s="166"/>
      <c r="D40" t="s">
        <v>70</v>
      </c>
      <c r="I40" t="s">
        <v>71</v>
      </c>
    </row>
    <row r="41" spans="1:13" ht="14.4" hidden="1" customHeight="1" x14ac:dyDescent="0.3">
      <c r="B41" s="166" t="s">
        <v>72</v>
      </c>
      <c r="C41" s="166"/>
      <c r="D41" t="s">
        <v>73</v>
      </c>
      <c r="I41" s="29" t="s">
        <v>74</v>
      </c>
    </row>
    <row r="42" spans="1:13" ht="14.4" hidden="1" customHeight="1" x14ac:dyDescent="0.3">
      <c r="B42" s="166" t="s">
        <v>75</v>
      </c>
      <c r="C42" s="166"/>
      <c r="D42" t="s">
        <v>76</v>
      </c>
      <c r="I42" t="s">
        <v>77</v>
      </c>
    </row>
    <row r="43" spans="1:13" ht="14.4" hidden="1" customHeight="1" x14ac:dyDescent="0.3">
      <c r="B43" s="166" t="s">
        <v>78</v>
      </c>
      <c r="C43" s="166"/>
      <c r="D43" t="s">
        <v>79</v>
      </c>
    </row>
    <row r="44" spans="1:13" ht="14.4" hidden="1" customHeight="1" x14ac:dyDescent="0.3">
      <c r="B44" s="166" t="s">
        <v>78</v>
      </c>
      <c r="C44" s="166"/>
      <c r="D44" t="s">
        <v>80</v>
      </c>
    </row>
    <row r="45" spans="1:13" ht="14.4" hidden="1" customHeight="1" x14ac:dyDescent="0.3">
      <c r="B45" s="166" t="s">
        <v>78</v>
      </c>
      <c r="C45" s="166"/>
      <c r="D45" t="s">
        <v>81</v>
      </c>
    </row>
    <row r="46" spans="1:13" ht="14.4" hidden="1" customHeight="1" x14ac:dyDescent="0.3">
      <c r="B46" s="166" t="s">
        <v>78</v>
      </c>
      <c r="C46" s="166"/>
      <c r="D46" t="s">
        <v>82</v>
      </c>
    </row>
    <row r="47" spans="1:13" ht="14.4" hidden="1" customHeight="1" x14ac:dyDescent="0.3">
      <c r="B47" s="166" t="s">
        <v>78</v>
      </c>
      <c r="C47" s="166"/>
      <c r="D47" t="s">
        <v>83</v>
      </c>
    </row>
    <row r="48" spans="1:13" ht="14.4" hidden="1" customHeight="1" x14ac:dyDescent="0.3">
      <c r="B48" s="166"/>
      <c r="C48" s="166"/>
    </row>
    <row r="49" spans="2:10" ht="14.4" customHeight="1" x14ac:dyDescent="0.3">
      <c r="B49" s="166"/>
      <c r="C49" s="166"/>
      <c r="J49" t="s">
        <v>84</v>
      </c>
    </row>
    <row r="50" spans="2:10" ht="14.4" customHeight="1" x14ac:dyDescent="0.3">
      <c r="B50" s="166"/>
      <c r="C50" s="166"/>
      <c r="J50" t="s">
        <v>85</v>
      </c>
    </row>
    <row r="51" spans="2:10" ht="14.4" customHeight="1" x14ac:dyDescent="0.3">
      <c r="B51" s="166"/>
      <c r="C51" s="166"/>
      <c r="J51" t="s">
        <v>86</v>
      </c>
    </row>
    <row r="52" spans="2:10" ht="14.4" customHeight="1" x14ac:dyDescent="0.3">
      <c r="B52" s="166"/>
      <c r="C52" s="166"/>
      <c r="J52" t="s">
        <v>87</v>
      </c>
    </row>
    <row r="53" spans="2:10" ht="14.4" customHeight="1" x14ac:dyDescent="0.3">
      <c r="B53" s="166"/>
      <c r="C53" s="166"/>
      <c r="J53" t="s">
        <v>88</v>
      </c>
    </row>
    <row r="54" spans="2:10" ht="14.4" customHeight="1" x14ac:dyDescent="0.3">
      <c r="J54" t="s">
        <v>89</v>
      </c>
    </row>
  </sheetData>
  <mergeCells count="19">
    <mergeCell ref="B37:C37"/>
    <mergeCell ref="B38:C38"/>
    <mergeCell ref="I37:M37"/>
    <mergeCell ref="I38:M38"/>
    <mergeCell ref="B42:C42"/>
    <mergeCell ref="B43:C43"/>
    <mergeCell ref="B39:C39"/>
    <mergeCell ref="B40:C40"/>
    <mergeCell ref="B41:C41"/>
    <mergeCell ref="B50:C50"/>
    <mergeCell ref="B51:C51"/>
    <mergeCell ref="B52:C52"/>
    <mergeCell ref="B53:C53"/>
    <mergeCell ref="B44:C44"/>
    <mergeCell ref="B45:C45"/>
    <mergeCell ref="B46:C46"/>
    <mergeCell ref="B47:C47"/>
    <mergeCell ref="B48:C48"/>
    <mergeCell ref="B49:C4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26B2-CBFE-4450-8602-2EC5200FB855}">
  <dimension ref="B2:G14"/>
  <sheetViews>
    <sheetView workbookViewId="0">
      <selection activeCell="C2" sqref="C2"/>
    </sheetView>
  </sheetViews>
  <sheetFormatPr defaultRowHeight="14.4" x14ac:dyDescent="0.3"/>
  <cols>
    <col min="2" max="2" width="29" bestFit="1" customWidth="1"/>
    <col min="3" max="3" width="11.109375" bestFit="1" customWidth="1"/>
    <col min="5" max="5" width="10.44140625" bestFit="1" customWidth="1"/>
    <col min="6" max="6" width="13.6640625" customWidth="1"/>
    <col min="7" max="7" width="10.109375" bestFit="1" customWidth="1"/>
    <col min="8" max="8" width="13.33203125" bestFit="1" customWidth="1"/>
  </cols>
  <sheetData>
    <row r="2" spans="2:7" x14ac:dyDescent="0.3">
      <c r="B2" t="s">
        <v>90</v>
      </c>
      <c r="C2" t="s">
        <v>91</v>
      </c>
      <c r="E2" t="s">
        <v>0</v>
      </c>
      <c r="F2" t="s">
        <v>92</v>
      </c>
      <c r="G2" t="s">
        <v>59</v>
      </c>
    </row>
    <row r="3" spans="2:7" x14ac:dyDescent="0.3">
      <c r="B3" t="s">
        <v>20</v>
      </c>
      <c r="C3">
        <f>COUNTIFS(Detalhe!E:E,B3,Detalhe!W:W,"PM")</f>
        <v>10</v>
      </c>
      <c r="D3" s="6">
        <f t="shared" ref="D3:D13" si="0">C3/$C$14</f>
        <v>3.8314176245210725E-2</v>
      </c>
      <c r="E3">
        <f>COUNTIFS(Detalhe!K:K,B3,Detalhe!W:W,"PM")</f>
        <v>8</v>
      </c>
      <c r="F3" s="6">
        <f t="shared" ref="F3:F13" si="1">E3/$E$14</f>
        <v>3.0651340996168581E-2</v>
      </c>
      <c r="G3">
        <f t="shared" ref="G3:G13" si="2">E3-C3</f>
        <v>-2</v>
      </c>
    </row>
    <row r="4" spans="2:7" x14ac:dyDescent="0.3">
      <c r="B4" t="s">
        <v>25</v>
      </c>
      <c r="C4">
        <f>COUNTIFS(Detalhe!E:E,B4,Detalhe!W:W,"PM")</f>
        <v>18</v>
      </c>
      <c r="D4" s="6">
        <f t="shared" si="0"/>
        <v>6.8965517241379309E-2</v>
      </c>
      <c r="E4">
        <f>COUNTIFS(Detalhe!K:K,B4,Detalhe!W:W,"PM")</f>
        <v>17</v>
      </c>
      <c r="F4" s="6">
        <f t="shared" si="1"/>
        <v>6.5134099616858232E-2</v>
      </c>
      <c r="G4">
        <f t="shared" si="2"/>
        <v>-1</v>
      </c>
    </row>
    <row r="5" spans="2:7" x14ac:dyDescent="0.3">
      <c r="B5" t="s">
        <v>28</v>
      </c>
      <c r="C5">
        <f>COUNTIFS(Detalhe!E:E,B5,Detalhe!W:W,"PM")</f>
        <v>11</v>
      </c>
      <c r="D5" s="6">
        <f t="shared" si="0"/>
        <v>4.2145593869731802E-2</v>
      </c>
      <c r="E5">
        <f>COUNTIFS(Detalhe!K:K,B5,Detalhe!W:W,"PM")</f>
        <v>2</v>
      </c>
      <c r="F5" s="6">
        <f t="shared" si="1"/>
        <v>7.6628352490421452E-3</v>
      </c>
      <c r="G5">
        <f t="shared" si="2"/>
        <v>-9</v>
      </c>
    </row>
    <row r="6" spans="2:7" x14ac:dyDescent="0.3">
      <c r="B6" t="s">
        <v>31</v>
      </c>
      <c r="C6">
        <f>COUNTIFS(Detalhe!E:E,B6,Detalhe!W:W,"PM")</f>
        <v>4</v>
      </c>
      <c r="D6" s="6">
        <f t="shared" si="0"/>
        <v>1.532567049808429E-2</v>
      </c>
      <c r="E6">
        <f>COUNTIFS(Detalhe!K:K,B6,Detalhe!W:W,"PM")</f>
        <v>1</v>
      </c>
      <c r="F6" s="6">
        <f t="shared" si="1"/>
        <v>3.8314176245210726E-3</v>
      </c>
      <c r="G6">
        <f t="shared" si="2"/>
        <v>-3</v>
      </c>
    </row>
    <row r="7" spans="2:7" x14ac:dyDescent="0.3">
      <c r="B7" t="s">
        <v>55</v>
      </c>
      <c r="C7">
        <f>COUNTIFS(Detalhe!E:E,B7,Detalhe!W:W,"PM")</f>
        <v>0</v>
      </c>
      <c r="D7" s="6">
        <f t="shared" si="0"/>
        <v>0</v>
      </c>
      <c r="E7">
        <f>COUNTIFS(Detalhe!K:K,B7,Detalhe!W:W,"PM")</f>
        <v>3</v>
      </c>
      <c r="F7" s="6">
        <f t="shared" si="1"/>
        <v>1.1494252873563218E-2</v>
      </c>
      <c r="G7">
        <f t="shared" si="2"/>
        <v>3</v>
      </c>
    </row>
    <row r="8" spans="2:7" x14ac:dyDescent="0.3">
      <c r="B8" t="s">
        <v>33</v>
      </c>
      <c r="C8">
        <f>COUNTIFS(Detalhe!E:E,B8,Detalhe!W:W,"PM")</f>
        <v>11</v>
      </c>
      <c r="D8" s="6">
        <f t="shared" si="0"/>
        <v>4.2145593869731802E-2</v>
      </c>
      <c r="E8">
        <f>COUNTIFS(Detalhe!K:K,B8,Detalhe!W:W,"PM")</f>
        <v>6</v>
      </c>
      <c r="F8" s="6">
        <f t="shared" si="1"/>
        <v>2.2988505747126436E-2</v>
      </c>
      <c r="G8">
        <f t="shared" si="2"/>
        <v>-5</v>
      </c>
    </row>
    <row r="9" spans="2:7" x14ac:dyDescent="0.3">
      <c r="B9" t="s">
        <v>35</v>
      </c>
      <c r="C9">
        <f>COUNTIFS(Detalhe!E:E,B9,Detalhe!W:W,"PM")</f>
        <v>11</v>
      </c>
      <c r="D9" s="6">
        <f t="shared" si="0"/>
        <v>4.2145593869731802E-2</v>
      </c>
      <c r="E9">
        <f>COUNTIFS(Detalhe!K:K,B9,Detalhe!W:W,"PM")</f>
        <v>3</v>
      </c>
      <c r="F9" s="6">
        <f t="shared" si="1"/>
        <v>1.1494252873563218E-2</v>
      </c>
      <c r="G9">
        <f t="shared" si="2"/>
        <v>-8</v>
      </c>
    </row>
    <row r="10" spans="2:7" x14ac:dyDescent="0.3">
      <c r="B10" t="s">
        <v>56</v>
      </c>
      <c r="C10">
        <f>COUNTIFS(Detalhe!E:E,B10,Detalhe!W:W,"PM")</f>
        <v>0</v>
      </c>
      <c r="D10" s="6">
        <f t="shared" ref="D10" si="3">C10/$C$14</f>
        <v>0</v>
      </c>
      <c r="E10">
        <f>COUNTIFS(Detalhe!K:K,B10,Detalhe!W:W,"PM")</f>
        <v>0</v>
      </c>
      <c r="F10" s="6">
        <f t="shared" ref="F10" si="4">E10/$E$14</f>
        <v>0</v>
      </c>
      <c r="G10">
        <f t="shared" ref="G10" si="5">E10-C10</f>
        <v>0</v>
      </c>
    </row>
    <row r="11" spans="2:7" x14ac:dyDescent="0.3">
      <c r="B11" t="s">
        <v>36</v>
      </c>
      <c r="C11">
        <f>COUNTIFS(Detalhe!E:E,B11,Detalhe!W:W,"PM")</f>
        <v>42</v>
      </c>
      <c r="D11" s="6">
        <f t="shared" si="0"/>
        <v>0.16091954022988506</v>
      </c>
      <c r="E11">
        <f>COUNTIFS(Detalhe!K:K,B11,Detalhe!W:W,"PM")</f>
        <v>43</v>
      </c>
      <c r="F11" s="6">
        <f t="shared" si="1"/>
        <v>0.16475095785440613</v>
      </c>
      <c r="G11">
        <f t="shared" si="2"/>
        <v>1</v>
      </c>
    </row>
    <row r="12" spans="2:7" x14ac:dyDescent="0.3">
      <c r="B12" t="s">
        <v>37</v>
      </c>
      <c r="C12">
        <f>COUNTIFS(Detalhe!E:E,B12,Detalhe!W:W,"PM")</f>
        <v>7</v>
      </c>
      <c r="D12" s="6">
        <f t="shared" si="0"/>
        <v>2.681992337164751E-2</v>
      </c>
      <c r="E12">
        <f>COUNTIFS(Detalhe!K:K,B12,Detalhe!W:W,"PM")</f>
        <v>7</v>
      </c>
      <c r="F12" s="6">
        <f t="shared" si="1"/>
        <v>2.681992337164751E-2</v>
      </c>
      <c r="G12">
        <f t="shared" si="2"/>
        <v>0</v>
      </c>
    </row>
    <row r="13" spans="2:7" x14ac:dyDescent="0.3">
      <c r="B13" t="s">
        <v>38</v>
      </c>
      <c r="C13">
        <f>COUNTIFS(Detalhe!E:E,B13,Detalhe!W:W,"PM")</f>
        <v>147</v>
      </c>
      <c r="D13" s="6">
        <f t="shared" si="0"/>
        <v>0.56321839080459768</v>
      </c>
      <c r="E13">
        <f>COUNTIFS(Detalhe!K:K,B13,Detalhe!W:W,"PM")</f>
        <v>171</v>
      </c>
      <c r="F13" s="6">
        <f t="shared" si="1"/>
        <v>0.65517241379310343</v>
      </c>
      <c r="G13">
        <f t="shared" si="2"/>
        <v>24</v>
      </c>
    </row>
    <row r="14" spans="2:7" x14ac:dyDescent="0.3">
      <c r="C14">
        <f>SUM(C3:C13)</f>
        <v>261</v>
      </c>
      <c r="E14">
        <f>SUM(E3:E13)</f>
        <v>261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F3F0-FFBE-43CB-92FC-94D3DF7D83DD}">
  <dimension ref="A1:AH48"/>
  <sheetViews>
    <sheetView showGridLines="0" topLeftCell="D1" zoomScale="71" zoomScaleNormal="104" workbookViewId="0">
      <selection activeCell="I41" sqref="I41"/>
    </sheetView>
  </sheetViews>
  <sheetFormatPr defaultColWidth="0" defaultRowHeight="14.4" customHeight="1" x14ac:dyDescent="0.3"/>
  <cols>
    <col min="1" max="1" width="3.3320312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36.6640625" bestFit="1" customWidth="1"/>
    <col min="10" max="20" width="19.88671875" customWidth="1"/>
    <col min="21" max="22" width="3.33203125" customWidth="1"/>
    <col min="23" max="23" width="13.5546875" hidden="1" customWidth="1"/>
    <col min="24" max="24" width="22.664062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35"/>
      <c r="C5" s="35"/>
      <c r="D5" s="35"/>
      <c r="E5" s="35"/>
      <c r="F5" s="35"/>
      <c r="H5" s="35"/>
      <c r="I5" s="35"/>
      <c r="J5" s="35"/>
      <c r="K5" s="35"/>
      <c r="L5" s="35"/>
      <c r="M5" s="35"/>
      <c r="N5" s="35"/>
      <c r="O5" s="35"/>
      <c r="P5" s="35"/>
      <c r="Q5" s="35"/>
      <c r="R5" s="35"/>
      <c r="S5" s="35"/>
      <c r="T5" s="35"/>
      <c r="U5" s="35"/>
    </row>
    <row r="6" spans="1:32" x14ac:dyDescent="0.3">
      <c r="B6" s="35"/>
      <c r="C6" s="35"/>
      <c r="D6" s="35"/>
      <c r="E6" s="35"/>
      <c r="F6" s="35"/>
      <c r="H6" s="35"/>
      <c r="I6" s="35"/>
      <c r="J6" s="35"/>
      <c r="K6" s="35"/>
      <c r="L6" s="35"/>
      <c r="M6" s="35"/>
      <c r="N6" s="35"/>
      <c r="O6" s="35"/>
      <c r="P6" s="35"/>
      <c r="Q6" s="35"/>
      <c r="R6" s="35"/>
      <c r="S6" s="35"/>
      <c r="T6" s="35"/>
      <c r="U6" s="35"/>
    </row>
    <row r="7" spans="1:32" x14ac:dyDescent="0.3">
      <c r="B7" s="35"/>
      <c r="C7" s="35"/>
      <c r="D7" s="35"/>
      <c r="E7" s="35"/>
      <c r="F7" s="35"/>
      <c r="H7" s="35"/>
      <c r="I7" s="35"/>
      <c r="J7" s="35"/>
      <c r="K7" s="35"/>
      <c r="L7" s="35"/>
      <c r="M7" s="35"/>
      <c r="N7" s="35"/>
      <c r="O7" s="35"/>
      <c r="P7" s="35"/>
      <c r="Q7" s="35"/>
      <c r="R7" s="35"/>
      <c r="S7" s="35"/>
      <c r="T7" s="35"/>
      <c r="U7" s="35"/>
    </row>
    <row r="8" spans="1:32" x14ac:dyDescent="0.3">
      <c r="B8" s="41">
        <v>2</v>
      </c>
      <c r="C8" s="41" t="s">
        <v>40</v>
      </c>
      <c r="D8" s="41">
        <v>11</v>
      </c>
      <c r="E8" s="41" t="s">
        <v>40</v>
      </c>
      <c r="F8" s="41"/>
      <c r="H8" s="35"/>
      <c r="I8" s="35"/>
      <c r="J8" s="35"/>
      <c r="K8" s="35"/>
      <c r="L8" s="35"/>
      <c r="M8" s="35"/>
      <c r="N8" s="35"/>
      <c r="O8" s="35"/>
      <c r="P8" s="35"/>
      <c r="Q8" s="35"/>
      <c r="R8" s="35"/>
      <c r="S8" s="35"/>
      <c r="T8" s="35"/>
      <c r="U8" s="35"/>
    </row>
    <row r="9" spans="1:32" x14ac:dyDescent="0.3">
      <c r="B9" s="35"/>
      <c r="C9" s="42" t="s">
        <v>41</v>
      </c>
      <c r="D9" s="35"/>
      <c r="E9" s="41" t="s">
        <v>42</v>
      </c>
      <c r="F9" s="42"/>
      <c r="H9" s="35"/>
      <c r="I9" s="35"/>
      <c r="J9" s="35"/>
      <c r="K9" s="35"/>
      <c r="L9" s="35"/>
      <c r="M9" s="35"/>
      <c r="N9" s="35"/>
      <c r="O9" s="35"/>
      <c r="P9" s="35"/>
      <c r="Q9" s="35"/>
      <c r="R9" s="35"/>
      <c r="S9" s="35"/>
      <c r="T9" s="35"/>
      <c r="U9" s="35"/>
    </row>
    <row r="10" spans="1:32" x14ac:dyDescent="0.3">
      <c r="B10" s="41"/>
      <c r="C10" s="42" t="s">
        <v>43</v>
      </c>
      <c r="D10" s="35"/>
      <c r="E10" s="42" t="s">
        <v>44</v>
      </c>
      <c r="F10" s="42"/>
      <c r="H10" s="35"/>
      <c r="I10" s="35"/>
      <c r="J10" s="35"/>
      <c r="K10" s="35"/>
      <c r="L10" s="35"/>
      <c r="M10" s="35"/>
      <c r="N10" s="35"/>
      <c r="O10" s="35"/>
      <c r="P10" s="35"/>
      <c r="Q10" s="35"/>
      <c r="R10" s="35"/>
      <c r="S10" s="35"/>
      <c r="T10" s="35"/>
      <c r="U10" s="35"/>
    </row>
    <row r="11" spans="1:32" x14ac:dyDescent="0.3">
      <c r="B11" s="35"/>
      <c r="C11" s="42"/>
      <c r="D11" s="35"/>
      <c r="E11" s="42" t="s">
        <v>45</v>
      </c>
      <c r="F11" s="42"/>
      <c r="H11" s="35"/>
      <c r="I11" s="35"/>
      <c r="J11" s="35"/>
      <c r="K11" s="35"/>
      <c r="L11" s="35"/>
      <c r="M11" s="35"/>
      <c r="N11" s="35"/>
      <c r="O11" s="35"/>
      <c r="P11" s="35"/>
      <c r="Q11" s="35"/>
      <c r="R11" s="35"/>
      <c r="S11" s="35"/>
      <c r="T11" s="35"/>
      <c r="U11" s="35"/>
    </row>
    <row r="12" spans="1:32" x14ac:dyDescent="0.3">
      <c r="B12" s="35"/>
      <c r="C12" s="42"/>
      <c r="D12" s="35"/>
      <c r="E12" s="42" t="s">
        <v>46</v>
      </c>
      <c r="F12" s="35"/>
      <c r="H12" s="35"/>
      <c r="I12" s="35"/>
      <c r="J12" s="35"/>
      <c r="K12" s="35"/>
      <c r="L12" s="35"/>
      <c r="M12" s="35"/>
      <c r="N12" s="35"/>
      <c r="O12" s="35"/>
      <c r="P12" s="35"/>
      <c r="Q12" s="35"/>
      <c r="R12" s="35"/>
      <c r="S12" s="35"/>
      <c r="T12" s="35"/>
      <c r="U12" s="35"/>
    </row>
    <row r="13" spans="1:32" x14ac:dyDescent="0.3">
      <c r="B13" s="35"/>
      <c r="C13" s="35"/>
      <c r="D13" s="35"/>
      <c r="E13" s="42" t="s">
        <v>47</v>
      </c>
      <c r="F13" s="35"/>
      <c r="H13" s="35"/>
      <c r="I13" s="35"/>
      <c r="J13" s="35"/>
      <c r="K13" s="35"/>
      <c r="L13" s="35"/>
      <c r="M13" s="35"/>
      <c r="N13" s="35"/>
      <c r="O13" s="35"/>
      <c r="P13" s="35"/>
      <c r="Q13" s="35"/>
      <c r="R13" s="35"/>
      <c r="S13" s="35"/>
      <c r="T13" s="35"/>
      <c r="U13" s="35"/>
    </row>
    <row r="14" spans="1:32" x14ac:dyDescent="0.3">
      <c r="B14" s="35"/>
      <c r="C14" s="35"/>
      <c r="D14" s="35"/>
      <c r="E14" s="42" t="s">
        <v>48</v>
      </c>
      <c r="F14" s="35"/>
      <c r="H14" s="35"/>
      <c r="I14" s="35"/>
      <c r="J14" s="35"/>
      <c r="K14" s="35"/>
      <c r="L14" s="35"/>
      <c r="M14" s="35"/>
      <c r="N14" s="35"/>
      <c r="O14" s="35"/>
      <c r="P14" s="35"/>
      <c r="Q14" s="35"/>
      <c r="R14" s="35"/>
      <c r="S14" s="35"/>
      <c r="T14" s="35"/>
      <c r="U14" s="35"/>
    </row>
    <row r="15" spans="1:32" x14ac:dyDescent="0.3">
      <c r="B15" s="35"/>
      <c r="C15" s="41"/>
      <c r="D15" s="35"/>
      <c r="E15" s="42" t="s">
        <v>49</v>
      </c>
      <c r="F15" s="35"/>
      <c r="H15" s="35"/>
      <c r="I15" s="35"/>
      <c r="J15" s="35"/>
      <c r="K15" s="35"/>
      <c r="L15" s="35"/>
      <c r="M15" s="35"/>
      <c r="N15" s="35"/>
      <c r="O15" s="35"/>
      <c r="P15" s="35"/>
      <c r="Q15" s="35"/>
      <c r="R15" s="35"/>
      <c r="S15" s="35"/>
      <c r="T15" s="35"/>
      <c r="U15" s="35"/>
    </row>
    <row r="16" spans="1:32" x14ac:dyDescent="0.3">
      <c r="B16" s="35"/>
      <c r="C16" s="42"/>
      <c r="D16" s="35"/>
      <c r="E16" s="42" t="s">
        <v>50</v>
      </c>
      <c r="F16" s="41"/>
      <c r="H16" s="35"/>
      <c r="I16" s="35"/>
      <c r="J16" s="35"/>
      <c r="K16" s="35"/>
      <c r="L16" s="35"/>
      <c r="M16" s="35"/>
      <c r="N16" s="35"/>
      <c r="O16" s="35"/>
      <c r="P16" s="35"/>
      <c r="Q16" s="35"/>
      <c r="R16" s="35"/>
      <c r="S16" s="35"/>
      <c r="T16" s="35"/>
      <c r="U16" s="35"/>
    </row>
    <row r="17" spans="2:21" x14ac:dyDescent="0.3">
      <c r="B17" s="35"/>
      <c r="C17" s="42"/>
      <c r="D17" s="35"/>
      <c r="E17" s="42" t="s">
        <v>51</v>
      </c>
      <c r="F17" s="42"/>
      <c r="H17" s="35"/>
      <c r="I17" s="35"/>
      <c r="J17" s="35"/>
      <c r="K17" s="35"/>
      <c r="L17" s="35"/>
      <c r="M17" s="35"/>
      <c r="N17" s="35"/>
      <c r="O17" s="35"/>
      <c r="P17" s="35"/>
      <c r="Q17" s="35"/>
      <c r="R17" s="35"/>
      <c r="S17" s="35"/>
      <c r="T17" s="35"/>
      <c r="U17" s="35"/>
    </row>
    <row r="18" spans="2:21" x14ac:dyDescent="0.3">
      <c r="B18" s="35"/>
      <c r="C18" s="42"/>
      <c r="D18" s="35"/>
      <c r="E18" s="42" t="s">
        <v>52</v>
      </c>
      <c r="F18" s="42"/>
      <c r="H18" s="35"/>
      <c r="I18" s="35"/>
      <c r="J18" s="35"/>
      <c r="K18" s="35"/>
      <c r="L18" s="35"/>
      <c r="M18" s="35"/>
      <c r="N18" s="35"/>
      <c r="O18" s="35"/>
      <c r="P18" s="35"/>
      <c r="Q18" s="35"/>
      <c r="R18" s="35"/>
      <c r="S18" s="35"/>
      <c r="T18" s="35"/>
      <c r="U18" s="35"/>
    </row>
    <row r="19" spans="2:21" x14ac:dyDescent="0.3">
      <c r="B19" s="35"/>
      <c r="C19" s="42"/>
      <c r="D19" s="35"/>
      <c r="E19" s="42" t="s">
        <v>53</v>
      </c>
      <c r="F19" s="42"/>
      <c r="H19" s="35"/>
      <c r="I19" s="35"/>
      <c r="J19" s="35"/>
      <c r="K19" s="35"/>
      <c r="L19" s="35"/>
      <c r="M19" s="35"/>
      <c r="N19" s="35"/>
      <c r="O19" s="35"/>
      <c r="P19" s="35"/>
      <c r="Q19" s="35"/>
      <c r="R19" s="35"/>
      <c r="S19" s="35"/>
      <c r="T19" s="35"/>
      <c r="U19" s="35"/>
    </row>
    <row r="20" spans="2:21" x14ac:dyDescent="0.3">
      <c r="B20" s="35"/>
      <c r="C20" s="42"/>
      <c r="D20" s="35"/>
      <c r="E20" s="42" t="s">
        <v>54</v>
      </c>
      <c r="F20" s="42"/>
      <c r="H20" s="35"/>
      <c r="I20" s="35"/>
      <c r="J20" s="35"/>
      <c r="K20" s="35"/>
      <c r="L20" s="35"/>
      <c r="M20" s="35"/>
      <c r="N20" s="35"/>
      <c r="O20" s="35"/>
      <c r="P20" s="35"/>
      <c r="Q20" s="35"/>
      <c r="R20" s="35"/>
      <c r="S20" s="35"/>
      <c r="T20" s="35"/>
      <c r="U20" s="35"/>
    </row>
    <row r="21" spans="2:21" x14ac:dyDescent="0.3">
      <c r="B21" s="35"/>
      <c r="C21" s="35"/>
      <c r="D21" s="35"/>
      <c r="E21" s="35"/>
      <c r="F21" s="42"/>
      <c r="H21" s="35"/>
      <c r="I21" s="35"/>
      <c r="J21" s="35"/>
      <c r="K21" s="35"/>
      <c r="L21" s="35"/>
      <c r="M21" s="35"/>
      <c r="N21" s="35"/>
      <c r="O21" s="35"/>
      <c r="P21" s="35"/>
      <c r="Q21" s="35"/>
      <c r="R21" s="35"/>
      <c r="S21" s="35"/>
      <c r="T21" s="35"/>
      <c r="U21" s="35"/>
    </row>
    <row r="22" spans="2:21" x14ac:dyDescent="0.3">
      <c r="B22" s="35"/>
      <c r="C22" s="35"/>
      <c r="D22" s="35"/>
      <c r="E22" s="42"/>
      <c r="F22" s="42"/>
      <c r="H22" s="35"/>
      <c r="I22" s="35"/>
      <c r="J22" s="35"/>
      <c r="K22" s="35"/>
      <c r="L22" s="35"/>
      <c r="M22" s="35"/>
      <c r="N22" s="35"/>
      <c r="O22" s="35"/>
      <c r="P22" s="35"/>
      <c r="Q22" s="35"/>
      <c r="R22" s="35"/>
      <c r="S22" s="35"/>
      <c r="T22" s="35"/>
      <c r="U22" s="35"/>
    </row>
    <row r="23" spans="2:21" x14ac:dyDescent="0.3">
      <c r="B23" s="35"/>
      <c r="C23" s="35"/>
      <c r="D23" s="35"/>
      <c r="E23" s="35"/>
      <c r="F23" s="35"/>
      <c r="H23" s="35"/>
      <c r="I23" s="35"/>
      <c r="J23" s="35"/>
      <c r="K23" s="35"/>
      <c r="L23" s="35"/>
      <c r="M23" s="35"/>
      <c r="N23" s="35"/>
      <c r="O23" s="35"/>
      <c r="P23" s="35"/>
      <c r="Q23" s="35"/>
      <c r="R23" s="35"/>
      <c r="S23" s="35"/>
      <c r="T23" s="35"/>
      <c r="U23" s="35"/>
    </row>
    <row r="24" spans="2:21" x14ac:dyDescent="0.3">
      <c r="B24" s="35"/>
      <c r="C24" s="35"/>
      <c r="D24" s="35"/>
      <c r="E24" s="35"/>
      <c r="F24" s="35"/>
      <c r="H24" s="35"/>
      <c r="I24" s="35"/>
      <c r="J24" s="35"/>
      <c r="K24" s="35"/>
      <c r="L24" s="35"/>
      <c r="M24" s="35"/>
      <c r="N24" s="35"/>
      <c r="O24" s="35"/>
      <c r="P24" s="35"/>
      <c r="Q24" s="35"/>
      <c r="R24" s="35"/>
      <c r="S24" s="35"/>
      <c r="T24" s="35"/>
      <c r="U24" s="35"/>
    </row>
    <row r="25" spans="2:21" x14ac:dyDescent="0.3">
      <c r="B25" s="35"/>
      <c r="C25" s="35"/>
      <c r="D25" s="35"/>
      <c r="E25" s="35"/>
      <c r="F25" s="35"/>
      <c r="H25" s="35"/>
      <c r="I25" s="35"/>
      <c r="J25" s="35"/>
      <c r="K25" s="35"/>
      <c r="L25" s="35"/>
      <c r="M25" s="35"/>
      <c r="N25" s="35"/>
      <c r="O25" s="35"/>
      <c r="P25" s="35"/>
      <c r="Q25" s="35"/>
      <c r="R25" s="35"/>
      <c r="S25" s="35"/>
      <c r="T25" s="35"/>
      <c r="U25" s="35"/>
    </row>
    <row r="26" spans="2:21" x14ac:dyDescent="0.3">
      <c r="B26" s="35"/>
      <c r="C26" s="35"/>
      <c r="D26" s="35"/>
      <c r="E26" s="35"/>
      <c r="F26" s="35"/>
      <c r="H26" s="35"/>
      <c r="I26" s="35"/>
      <c r="J26" s="35"/>
      <c r="K26" s="35"/>
      <c r="L26" s="35"/>
      <c r="M26" s="35"/>
      <c r="N26" s="35"/>
      <c r="O26" s="35"/>
      <c r="P26" s="35"/>
      <c r="Q26" s="35"/>
      <c r="R26" s="35"/>
      <c r="S26" s="35"/>
      <c r="T26" s="35"/>
      <c r="U26" s="35"/>
    </row>
    <row r="27" spans="2:21" ht="43.2" x14ac:dyDescent="0.3">
      <c r="B27" s="35"/>
      <c r="C27" s="35"/>
      <c r="D27" s="35"/>
      <c r="E27" s="35"/>
      <c r="F27" s="35"/>
      <c r="H27" s="35"/>
      <c r="I27" s="35"/>
      <c r="J27" s="44" t="s">
        <v>20</v>
      </c>
      <c r="K27" s="44" t="s">
        <v>25</v>
      </c>
      <c r="L27" s="44" t="s">
        <v>28</v>
      </c>
      <c r="M27" s="44" t="s">
        <v>31</v>
      </c>
      <c r="N27" s="44" t="s">
        <v>55</v>
      </c>
      <c r="O27" s="44" t="s">
        <v>33</v>
      </c>
      <c r="P27" s="44" t="s">
        <v>35</v>
      </c>
      <c r="Q27" s="44" t="s">
        <v>56</v>
      </c>
      <c r="R27" s="44" t="s">
        <v>36</v>
      </c>
      <c r="S27" s="44" t="s">
        <v>37</v>
      </c>
      <c r="T27" s="44" t="s">
        <v>38</v>
      </c>
      <c r="U27" s="45"/>
    </row>
    <row r="28" spans="2:21" x14ac:dyDescent="0.3">
      <c r="B28" s="35"/>
      <c r="C28" s="35"/>
      <c r="D28" s="35"/>
      <c r="E28" s="35"/>
      <c r="F28" s="35"/>
      <c r="H28" s="35"/>
      <c r="I28" s="40" t="s">
        <v>0</v>
      </c>
      <c r="J28" s="36">
        <f>COUNTIFS(Detalhe!$K:$K,J27,Detalhe!$W:$W,"PM")</f>
        <v>8</v>
      </c>
      <c r="K28" s="36">
        <f>COUNTIFS(Detalhe!$K:$K,K27,Detalhe!$W:$W,"PM")</f>
        <v>17</v>
      </c>
      <c r="L28" s="36">
        <f>COUNTIFS(Detalhe!$K:$K,L27,Detalhe!$W:$W,"PM")</f>
        <v>2</v>
      </c>
      <c r="M28" s="36">
        <f>COUNTIFS(Detalhe!$K:$K,M27,Detalhe!$W:$W,"PM")</f>
        <v>1</v>
      </c>
      <c r="N28" s="36">
        <f>COUNTIFS(Detalhe!$K:$K,N27,Detalhe!$W:$W,"PM")</f>
        <v>3</v>
      </c>
      <c r="O28" s="36">
        <f>COUNTIFS(Detalhe!$K:$K,O27,Detalhe!$W:$W,"PM")</f>
        <v>6</v>
      </c>
      <c r="P28" s="36">
        <f>COUNTIFS(Detalhe!$K:$K,P27,Detalhe!$W:$W,"PM")</f>
        <v>3</v>
      </c>
      <c r="Q28" s="36">
        <f>COUNTIFS(Detalhe!$K:$K,Q27,Detalhe!$W:$W,"PM")</f>
        <v>0</v>
      </c>
      <c r="R28" s="36">
        <f>COUNTIFS(Detalhe!$K:$K,R27,Detalhe!$W:$W,"PM")</f>
        <v>43</v>
      </c>
      <c r="S28" s="36">
        <f>COUNTIFS(Detalhe!$K:$K,S27,Detalhe!$W:$W,"PM")</f>
        <v>7</v>
      </c>
      <c r="T28" s="36">
        <f>COUNTIFS(Detalhe!$K:$K,T27,Detalhe!$W:$W,"PM")</f>
        <v>171</v>
      </c>
      <c r="U28" s="46"/>
    </row>
    <row r="29" spans="2:21" x14ac:dyDescent="0.3">
      <c r="B29" s="35"/>
      <c r="C29" s="35"/>
      <c r="D29" s="35"/>
      <c r="E29" s="35"/>
      <c r="F29" s="35"/>
      <c r="H29" s="35"/>
      <c r="I29" s="40" t="s">
        <v>57</v>
      </c>
      <c r="J29" s="37">
        <f>COUNTIFS(Detalhe!$E:$E,J27,Detalhe!$W:$W,"PM")</f>
        <v>10</v>
      </c>
      <c r="K29" s="37">
        <f>COUNTIFS(Detalhe!$E:$E,K27,Detalhe!$W:$W,"PM")</f>
        <v>18</v>
      </c>
      <c r="L29" s="37">
        <f>COUNTIFS(Detalhe!$E:$E,L27,Detalhe!$W:$W,"PM")</f>
        <v>11</v>
      </c>
      <c r="M29" s="37">
        <f>COUNTIFS(Detalhe!$E:$E,M27,Detalhe!$W:$W,"PM")</f>
        <v>4</v>
      </c>
      <c r="N29" s="37">
        <f>COUNTIFS(Detalhe!$E:$E,N27,Detalhe!$W:$W,"PM")</f>
        <v>0</v>
      </c>
      <c r="O29" s="37">
        <f>COUNTIFS(Detalhe!$E:$E,O27,Detalhe!$W:$W,"PM")</f>
        <v>11</v>
      </c>
      <c r="P29" s="37">
        <f>COUNTIFS(Detalhe!$E:$E,P27,Detalhe!$W:$W,"PM")</f>
        <v>11</v>
      </c>
      <c r="Q29" s="37">
        <f>COUNTIFS(Detalhe!$E:$E,Q27,Detalhe!$W:$W,"PM")</f>
        <v>0</v>
      </c>
      <c r="R29" s="37">
        <f>COUNTIFS(Detalhe!$E:$E,R27,Detalhe!$W:$W,"PM")</f>
        <v>42</v>
      </c>
      <c r="S29" s="37">
        <f>COUNTIFS(Detalhe!$E:$E,S27,Detalhe!$W:$W,"PM")</f>
        <v>7</v>
      </c>
      <c r="T29" s="37">
        <f>COUNTIFS(Detalhe!$E:$E,T27,Detalhe!$W:$W,"PM")</f>
        <v>147</v>
      </c>
      <c r="U29" s="47"/>
    </row>
    <row r="30" spans="2:21" x14ac:dyDescent="0.3">
      <c r="B30" s="35"/>
      <c r="C30" s="35"/>
      <c r="D30" s="35"/>
      <c r="E30" s="35"/>
      <c r="F30" s="35"/>
      <c r="H30" s="35"/>
      <c r="I30" s="40" t="s">
        <v>58</v>
      </c>
      <c r="J30" s="38" t="str" cm="1">
        <f t="array" ref="J30">_xlfn.IFS(J28&gt;J29, "↑",J28&lt;J29, "↓",J28=J29, "=")</f>
        <v>↓</v>
      </c>
      <c r="K30" s="39" t="str" cm="1">
        <f t="array" ref="K30">_xlfn.IFS(K28&gt;K29, "↑",K28&lt;K29, "↓",K28=K29, "=")</f>
        <v>↓</v>
      </c>
      <c r="L30" s="39" t="str" cm="1">
        <f t="array" ref="L30">_xlfn.IFS(L28&gt;L29, "↑",L28&lt;L29, "↓",L28=L29, "=")</f>
        <v>↓</v>
      </c>
      <c r="M30" s="39" t="str" cm="1">
        <f t="array" ref="M30">_xlfn.IFS(M28&gt;M29, "↑",M28&lt;M29, "↓",M28=M29, "=")</f>
        <v>↓</v>
      </c>
      <c r="N30" s="39" t="str" cm="1">
        <f t="array" ref="N30">_xlfn.IFS(N28&gt;N29, "↑",N28&lt;N29, "↓",N28=N29, "=")</f>
        <v>↑</v>
      </c>
      <c r="O30" s="39" t="str" cm="1">
        <f t="array" ref="O30">_xlfn.IFS(O28&gt;O29, "↑",O28&lt;O29, "↓",O28=O29, "=")</f>
        <v>↓</v>
      </c>
      <c r="P30" s="39" t="str" cm="1">
        <f t="array" ref="P30">_xlfn.IFS(P28&gt;P29, "↑",P28&lt;P29, "↓",P28=P29, "=")</f>
        <v>↓</v>
      </c>
      <c r="Q30" s="38" t="str" cm="1">
        <f t="array" ref="Q30">_xlfn.IFS(Q28&gt;Q29, "↑",Q28&lt;Q29, "↓",Q28=Q29, "=")</f>
        <v>=</v>
      </c>
      <c r="R30" s="39" t="str" cm="1">
        <f t="array" ref="R30">_xlfn.IFS(R28&gt;R29, "↑",R28&lt;R29, "↓",R28=R29, "=")</f>
        <v>↑</v>
      </c>
      <c r="S30" s="38" t="str" cm="1">
        <f t="array" ref="S30">_xlfn.IFS(S28&gt;S29, "↑",S28&lt;S29, "↓",S28=S29, "=")</f>
        <v>=</v>
      </c>
      <c r="T30" s="39" t="str" cm="1">
        <f t="array" ref="T30">_xlfn.IFS(T28&gt;T29, "↑",T28&lt;T29, "↓",T28=T29, "=")</f>
        <v>↑</v>
      </c>
      <c r="U30" s="47"/>
    </row>
    <row r="31" spans="2:21" x14ac:dyDescent="0.3">
      <c r="B31" s="35"/>
      <c r="C31" s="35"/>
      <c r="D31" s="35"/>
      <c r="E31" s="35"/>
      <c r="F31" s="35"/>
      <c r="H31" s="35"/>
      <c r="I31" s="40" t="s">
        <v>59</v>
      </c>
      <c r="J31" s="36">
        <f t="shared" ref="J31:T31" si="0">J28-J29</f>
        <v>-2</v>
      </c>
      <c r="K31" s="36">
        <f t="shared" si="0"/>
        <v>-1</v>
      </c>
      <c r="L31" s="36">
        <f t="shared" si="0"/>
        <v>-9</v>
      </c>
      <c r="M31" s="36">
        <f t="shared" si="0"/>
        <v>-3</v>
      </c>
      <c r="N31" s="36">
        <f>N28-N29</f>
        <v>3</v>
      </c>
      <c r="O31" s="36">
        <f t="shared" si="0"/>
        <v>-5</v>
      </c>
      <c r="P31" s="36">
        <f t="shared" si="0"/>
        <v>-8</v>
      </c>
      <c r="Q31" s="36">
        <f t="shared" si="0"/>
        <v>0</v>
      </c>
      <c r="R31" s="36">
        <f t="shared" si="0"/>
        <v>1</v>
      </c>
      <c r="S31" s="36">
        <f t="shared" si="0"/>
        <v>0</v>
      </c>
      <c r="T31" s="36">
        <f t="shared" si="0"/>
        <v>24</v>
      </c>
      <c r="U31" s="47"/>
    </row>
    <row r="32" spans="2:21" x14ac:dyDescent="0.3">
      <c r="B32" s="35"/>
      <c r="C32" s="35"/>
      <c r="D32" s="35"/>
      <c r="E32" s="35"/>
      <c r="F32" s="35"/>
      <c r="H32" s="35"/>
      <c r="I32" s="35"/>
      <c r="J32" s="35"/>
      <c r="K32" s="35"/>
      <c r="L32" s="35"/>
      <c r="M32" s="35"/>
      <c r="N32" s="35"/>
      <c r="O32" s="35"/>
      <c r="P32" s="35"/>
      <c r="Q32" s="35"/>
      <c r="R32" s="35"/>
      <c r="S32" s="35"/>
      <c r="T32" s="35"/>
      <c r="U32" s="35"/>
    </row>
    <row r="33" spans="2:21" x14ac:dyDescent="0.3"/>
    <row r="34" spans="2:21" x14ac:dyDescent="0.3">
      <c r="H34" s="35"/>
      <c r="I34" s="35"/>
      <c r="J34" s="35"/>
      <c r="K34" s="35"/>
      <c r="L34" s="35"/>
      <c r="M34" s="35"/>
      <c r="N34" s="35"/>
      <c r="O34" s="35"/>
      <c r="P34" s="35"/>
      <c r="Q34" s="35"/>
      <c r="R34" s="35"/>
      <c r="S34" s="35"/>
      <c r="T34" s="35"/>
      <c r="U34" s="35"/>
    </row>
    <row r="35" spans="2:21" ht="14.4" customHeight="1" x14ac:dyDescent="0.3">
      <c r="H35" s="35"/>
      <c r="I35" s="51" t="s">
        <v>93</v>
      </c>
      <c r="J35" s="35"/>
      <c r="K35" s="35"/>
      <c r="L35" s="35"/>
      <c r="M35" s="35"/>
      <c r="N35" s="35"/>
      <c r="O35" s="35"/>
      <c r="P35" s="35"/>
      <c r="Q35" s="35"/>
      <c r="R35" s="35"/>
      <c r="S35" s="35"/>
      <c r="T35" s="35"/>
      <c r="U35" s="35"/>
    </row>
    <row r="36" spans="2:21" ht="14.4" customHeight="1" x14ac:dyDescent="0.3">
      <c r="B36" s="166"/>
      <c r="C36" s="166"/>
      <c r="H36" s="35"/>
      <c r="I36" s="35"/>
      <c r="J36" s="35"/>
      <c r="K36" s="35"/>
      <c r="L36" s="35"/>
      <c r="M36" s="35"/>
      <c r="N36" s="35"/>
      <c r="O36" s="35"/>
      <c r="P36" s="35"/>
      <c r="Q36" s="35"/>
      <c r="R36" s="35"/>
      <c r="S36" s="35"/>
      <c r="T36" s="35"/>
      <c r="U36" s="35"/>
    </row>
    <row r="37" spans="2:21" ht="14.4" customHeight="1" x14ac:dyDescent="0.3">
      <c r="B37" s="166"/>
      <c r="C37" s="166"/>
      <c r="H37" s="35"/>
      <c r="I37" s="52" t="s">
        <v>20</v>
      </c>
      <c r="J37" s="58" t="s">
        <v>94</v>
      </c>
      <c r="K37" s="59"/>
      <c r="L37" s="59"/>
      <c r="M37" s="59"/>
      <c r="N37" s="59"/>
      <c r="O37" s="59"/>
      <c r="P37" s="59"/>
      <c r="Q37" s="59"/>
      <c r="R37" s="59"/>
      <c r="S37" s="59"/>
      <c r="T37" s="55"/>
      <c r="U37" s="35"/>
    </row>
    <row r="38" spans="2:21" ht="14.4" customHeight="1" x14ac:dyDescent="0.3">
      <c r="B38" s="166"/>
      <c r="C38" s="166"/>
      <c r="H38" s="35"/>
      <c r="I38" s="52" t="s">
        <v>25</v>
      </c>
      <c r="J38" s="54" t="s">
        <v>95</v>
      </c>
      <c r="K38" s="60"/>
      <c r="L38" s="60"/>
      <c r="M38" s="60"/>
      <c r="N38" s="60"/>
      <c r="O38" s="60"/>
      <c r="P38" s="60"/>
      <c r="Q38" s="60"/>
      <c r="R38" s="60"/>
      <c r="S38" s="60"/>
      <c r="T38" s="61"/>
      <c r="U38" s="35"/>
    </row>
    <row r="39" spans="2:21" ht="14.4" customHeight="1" x14ac:dyDescent="0.3">
      <c r="B39" s="166"/>
      <c r="C39" s="166"/>
      <c r="H39" s="35"/>
      <c r="I39" s="52" t="s">
        <v>28</v>
      </c>
      <c r="J39" s="54" t="s">
        <v>96</v>
      </c>
      <c r="K39" s="60"/>
      <c r="L39" s="60"/>
      <c r="M39" s="60"/>
      <c r="N39" s="60"/>
      <c r="O39" s="60"/>
      <c r="P39" s="60"/>
      <c r="Q39" s="60"/>
      <c r="R39" s="60"/>
      <c r="S39" s="60"/>
      <c r="T39" s="61"/>
      <c r="U39" s="35"/>
    </row>
    <row r="40" spans="2:21" ht="14.4" customHeight="1" x14ac:dyDescent="0.3">
      <c r="B40" s="166"/>
      <c r="C40" s="166"/>
      <c r="H40" s="35"/>
      <c r="I40" s="52" t="s">
        <v>31</v>
      </c>
      <c r="J40" s="54" t="s">
        <v>97</v>
      </c>
      <c r="K40" s="60"/>
      <c r="L40" s="60"/>
      <c r="M40" s="60"/>
      <c r="N40" s="60"/>
      <c r="O40" s="60"/>
      <c r="P40" s="60"/>
      <c r="Q40" s="60"/>
      <c r="R40" s="60"/>
      <c r="S40" s="60"/>
      <c r="T40" s="61"/>
      <c r="U40" s="35"/>
    </row>
    <row r="41" spans="2:21" ht="14.4" customHeight="1" x14ac:dyDescent="0.3">
      <c r="H41" s="35"/>
      <c r="I41" s="52" t="s">
        <v>55</v>
      </c>
      <c r="J41" s="54" t="s">
        <v>98</v>
      </c>
      <c r="K41" s="60"/>
      <c r="L41" s="60"/>
      <c r="M41" s="60"/>
      <c r="N41" s="60"/>
      <c r="O41" s="60"/>
      <c r="P41" s="60"/>
      <c r="Q41" s="60"/>
      <c r="R41" s="60"/>
      <c r="S41" s="60"/>
      <c r="T41" s="61"/>
      <c r="U41" s="35"/>
    </row>
    <row r="42" spans="2:21" ht="14.4" customHeight="1" x14ac:dyDescent="0.3">
      <c r="H42" s="35"/>
      <c r="I42" s="52" t="s">
        <v>33</v>
      </c>
      <c r="J42" s="63" t="s">
        <v>99</v>
      </c>
      <c r="K42" s="60"/>
      <c r="L42" s="60"/>
      <c r="M42" s="60"/>
      <c r="N42" s="60"/>
      <c r="O42" s="60"/>
      <c r="P42" s="60"/>
      <c r="Q42" s="60"/>
      <c r="R42" s="60"/>
      <c r="S42" s="60"/>
      <c r="T42" s="61"/>
      <c r="U42" s="35"/>
    </row>
    <row r="43" spans="2:21" ht="14.4" customHeight="1" x14ac:dyDescent="0.3">
      <c r="H43" s="35"/>
      <c r="I43" s="52" t="s">
        <v>35</v>
      </c>
      <c r="J43" s="63" t="s">
        <v>100</v>
      </c>
      <c r="K43" s="60"/>
      <c r="L43" s="60"/>
      <c r="M43" s="60"/>
      <c r="N43" s="60"/>
      <c r="O43" s="60"/>
      <c r="P43" s="60"/>
      <c r="Q43" s="60"/>
      <c r="R43" s="60"/>
      <c r="S43" s="60"/>
      <c r="T43" s="61"/>
      <c r="U43" s="35"/>
    </row>
    <row r="44" spans="2:21" ht="14.4" customHeight="1" x14ac:dyDescent="0.3">
      <c r="H44" s="35"/>
      <c r="I44" s="62" t="s">
        <v>56</v>
      </c>
      <c r="J44" s="54" t="s">
        <v>101</v>
      </c>
      <c r="K44" s="60"/>
      <c r="L44" s="60"/>
      <c r="M44" s="60"/>
      <c r="N44" s="60"/>
      <c r="O44" s="60"/>
      <c r="P44" s="60"/>
      <c r="Q44" s="60"/>
      <c r="R44" s="60"/>
      <c r="S44" s="60"/>
      <c r="T44" s="61"/>
      <c r="U44" s="35"/>
    </row>
    <row r="45" spans="2:21" ht="14.4" customHeight="1" x14ac:dyDescent="0.3">
      <c r="H45" s="35"/>
      <c r="I45" s="52" t="s">
        <v>36</v>
      </c>
      <c r="J45" s="54" t="s">
        <v>102</v>
      </c>
      <c r="K45" s="60"/>
      <c r="L45" s="60"/>
      <c r="M45" s="60"/>
      <c r="N45" s="60"/>
      <c r="O45" s="60"/>
      <c r="P45" s="60"/>
      <c r="Q45" s="60"/>
      <c r="R45" s="60"/>
      <c r="S45" s="60"/>
      <c r="T45" s="61"/>
      <c r="U45" s="35"/>
    </row>
    <row r="46" spans="2:21" ht="14.4" customHeight="1" x14ac:dyDescent="0.3">
      <c r="H46" s="35"/>
      <c r="I46" s="52" t="s">
        <v>37</v>
      </c>
      <c r="J46" s="54" t="s">
        <v>103</v>
      </c>
      <c r="K46" s="60"/>
      <c r="L46" s="60"/>
      <c r="M46" s="60"/>
      <c r="N46" s="60"/>
      <c r="O46" s="60"/>
      <c r="P46" s="60"/>
      <c r="Q46" s="60"/>
      <c r="R46" s="60"/>
      <c r="S46" s="60"/>
      <c r="T46" s="61"/>
      <c r="U46" s="35"/>
    </row>
    <row r="47" spans="2:21" ht="14.4" customHeight="1" x14ac:dyDescent="0.3">
      <c r="H47" s="35"/>
      <c r="I47" s="52" t="s">
        <v>38</v>
      </c>
      <c r="J47" s="56" t="s">
        <v>104</v>
      </c>
      <c r="K47" s="53"/>
      <c r="L47" s="53"/>
      <c r="M47" s="53"/>
      <c r="N47" s="53"/>
      <c r="O47" s="53"/>
      <c r="P47" s="53"/>
      <c r="Q47" s="53"/>
      <c r="R47" s="53"/>
      <c r="S47" s="53"/>
      <c r="T47" s="57"/>
      <c r="U47" s="35"/>
    </row>
    <row r="48" spans="2:21" ht="14.4" customHeight="1" x14ac:dyDescent="0.3">
      <c r="H48" s="35"/>
      <c r="I48" s="35"/>
      <c r="J48" s="35"/>
      <c r="K48" s="35"/>
      <c r="L48" s="35"/>
      <c r="M48" s="35"/>
      <c r="N48" s="35"/>
      <c r="O48" s="35"/>
      <c r="P48" s="35"/>
      <c r="Q48" s="35"/>
      <c r="R48" s="35"/>
      <c r="S48" s="35"/>
      <c r="T48" s="35"/>
      <c r="U48" s="35"/>
    </row>
  </sheetData>
  <mergeCells count="5">
    <mergeCell ref="B40:C40"/>
    <mergeCell ref="B36:C36"/>
    <mergeCell ref="B37:C37"/>
    <mergeCell ref="B38:C38"/>
    <mergeCell ref="B39:C3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Y408"/>
  <sheetViews>
    <sheetView showGridLines="0" tabSelected="1" zoomScale="90" zoomScaleNormal="90" workbookViewId="0">
      <pane xSplit="3" ySplit="5" topLeftCell="H8" activePane="bottomRight" state="frozen"/>
      <selection pane="topRight" activeCell="D1" sqref="D1"/>
      <selection pane="bottomLeft" activeCell="A6" sqref="A6"/>
      <selection pane="bottomRight" activeCell="L8" sqref="L8"/>
    </sheetView>
  </sheetViews>
  <sheetFormatPr defaultRowHeight="14.4" outlineLevelCol="1" x14ac:dyDescent="0.3"/>
  <cols>
    <col min="1" max="1" width="2.6640625" customWidth="1"/>
    <col min="2" max="2" width="17.44140625" bestFit="1" customWidth="1"/>
    <col min="3" max="3" width="36.33203125" customWidth="1"/>
    <col min="4" max="4" width="10.6640625" customWidth="1"/>
    <col min="5" max="5" width="30.6640625" bestFit="1" customWidth="1"/>
    <col min="6" max="6" width="27.5546875" bestFit="1" customWidth="1"/>
    <col min="7" max="8" width="50.6640625" customWidth="1" outlineLevel="1"/>
    <col min="9" max="9" width="15" bestFit="1" customWidth="1"/>
    <col min="10" max="10" width="24.6640625" bestFit="1" customWidth="1"/>
    <col min="11" max="11" width="30.6640625" bestFit="1" customWidth="1"/>
    <col min="12" max="12" width="22.5546875" customWidth="1"/>
    <col min="13" max="13" width="12.33203125" bestFit="1" customWidth="1"/>
    <col min="14" max="14" width="12.33203125" customWidth="1"/>
    <col min="15" max="15" width="15.109375" customWidth="1"/>
    <col min="16" max="16" width="13.44140625" hidden="1" customWidth="1"/>
    <col min="17" max="17" width="22.6640625" bestFit="1" customWidth="1"/>
    <col min="18" max="18" width="16.33203125" bestFit="1" customWidth="1"/>
    <col min="19" max="19" width="11.33203125" bestFit="1" customWidth="1"/>
    <col min="20" max="20" width="12.88671875" bestFit="1" customWidth="1"/>
    <col min="21" max="21" width="9.33203125" bestFit="1" customWidth="1"/>
    <col min="22" max="22" width="16.6640625" bestFit="1" customWidth="1"/>
    <col min="23" max="23" width="13.88671875" bestFit="1" customWidth="1"/>
  </cols>
  <sheetData>
    <row r="2" spans="1:25" x14ac:dyDescent="0.3">
      <c r="C2" s="10" t="s">
        <v>105</v>
      </c>
    </row>
    <row r="3" spans="1:25" x14ac:dyDescent="0.3">
      <c r="C3" s="11" t="s">
        <v>106</v>
      </c>
    </row>
    <row r="5" spans="1:25" s="2" customFormat="1" ht="28.8" x14ac:dyDescent="0.3">
      <c r="B5" s="20" t="s">
        <v>107</v>
      </c>
      <c r="C5" s="20" t="s">
        <v>108</v>
      </c>
      <c r="D5" s="20" t="s">
        <v>109</v>
      </c>
      <c r="E5" s="8" t="s">
        <v>110</v>
      </c>
      <c r="F5" s="8" t="s">
        <v>111</v>
      </c>
      <c r="G5" s="8" t="s">
        <v>112</v>
      </c>
      <c r="H5" s="8" t="s">
        <v>113</v>
      </c>
      <c r="I5" s="16" t="s">
        <v>114</v>
      </c>
      <c r="J5" s="16" t="s">
        <v>115</v>
      </c>
      <c r="K5" s="16" t="s">
        <v>0</v>
      </c>
      <c r="L5" s="19" t="s">
        <v>116</v>
      </c>
      <c r="M5" s="16" t="s">
        <v>117</v>
      </c>
      <c r="N5" s="19" t="s">
        <v>118</v>
      </c>
      <c r="O5" s="19" t="s">
        <v>119</v>
      </c>
      <c r="P5" s="21" t="s">
        <v>120</v>
      </c>
      <c r="Q5" s="20" t="s">
        <v>121</v>
      </c>
      <c r="R5" s="20" t="s">
        <v>122</v>
      </c>
      <c r="S5" s="20" t="s">
        <v>123</v>
      </c>
      <c r="T5" s="20" t="s">
        <v>124</v>
      </c>
      <c r="U5" s="20" t="s">
        <v>125</v>
      </c>
      <c r="V5" s="20" t="s">
        <v>126</v>
      </c>
      <c r="W5" s="20" t="s">
        <v>4</v>
      </c>
      <c r="X5" s="20" t="s">
        <v>127</v>
      </c>
      <c r="Y5" s="2" t="s">
        <v>138</v>
      </c>
    </row>
    <row r="6" spans="1:25" x14ac:dyDescent="0.3">
      <c r="A6" s="50" t="str">
        <f>B6&amp;"_"&amp;C6</f>
        <v>INSTRUMENT_ACCMLTD_CHNGS_FV_CR_INSTRMNT</v>
      </c>
      <c r="B6" t="s">
        <v>128</v>
      </c>
      <c r="C6" t="s">
        <v>129</v>
      </c>
      <c r="D6" t="s">
        <v>14</v>
      </c>
      <c r="E6" t="s">
        <v>38</v>
      </c>
      <c r="F6" t="s">
        <v>130</v>
      </c>
      <c r="G6" t="s">
        <v>131</v>
      </c>
      <c r="I6" t="s">
        <v>26</v>
      </c>
      <c r="J6" s="15">
        <v>45450</v>
      </c>
      <c r="K6" t="s">
        <v>38</v>
      </c>
      <c r="L6" t="str">
        <f t="shared" ref="L6:L11" si="0">F6</f>
        <v>OK</v>
      </c>
      <c r="P6" t="s">
        <v>30</v>
      </c>
      <c r="Q6" t="s">
        <v>132</v>
      </c>
      <c r="R6" t="s">
        <v>132</v>
      </c>
      <c r="S6" t="s">
        <v>132</v>
      </c>
      <c r="T6" t="s">
        <v>133</v>
      </c>
      <c r="U6" t="s">
        <v>133</v>
      </c>
      <c r="V6" t="s">
        <v>133</v>
      </c>
      <c r="W6" t="s">
        <v>5</v>
      </c>
      <c r="X6">
        <v>0</v>
      </c>
      <c r="Y6" t="e">
        <f>_xlfn.XLOOKUP(C6,[1]Especificação!$G:$G,[1]Especificação!$C:$C)</f>
        <v>#N/A</v>
      </c>
    </row>
    <row r="7" spans="1:25" x14ac:dyDescent="0.3">
      <c r="A7" s="50" t="str">
        <f t="shared" ref="A7:A69" si="1">B7&amp;"_"&amp;C7</f>
        <v>INSTRUMENT_ACCMLTD_IMPRMNT_INSTRMNT</v>
      </c>
      <c r="B7" t="s">
        <v>128</v>
      </c>
      <c r="C7" t="s">
        <v>134</v>
      </c>
      <c r="D7" t="s">
        <v>14</v>
      </c>
      <c r="E7" t="s">
        <v>38</v>
      </c>
      <c r="F7" t="s">
        <v>130</v>
      </c>
      <c r="G7" t="s">
        <v>131</v>
      </c>
      <c r="I7" t="s">
        <v>26</v>
      </c>
      <c r="J7" s="15">
        <v>45450</v>
      </c>
      <c r="K7" t="s">
        <v>38</v>
      </c>
      <c r="L7" t="str">
        <f t="shared" si="0"/>
        <v>OK</v>
      </c>
      <c r="P7" t="s">
        <v>30</v>
      </c>
      <c r="Q7" t="s">
        <v>132</v>
      </c>
      <c r="R7" t="s">
        <v>132</v>
      </c>
      <c r="S7" t="s">
        <v>132</v>
      </c>
      <c r="T7" t="s">
        <v>133</v>
      </c>
      <c r="U7" t="s">
        <v>133</v>
      </c>
      <c r="V7" t="s">
        <v>132</v>
      </c>
      <c r="W7" t="s">
        <v>5</v>
      </c>
      <c r="X7" t="s">
        <v>135</v>
      </c>
      <c r="Y7" t="str">
        <f>_xlfn.XLOOKUP(C7,[1]Especificação!$G:$G,[1]Especificação!$C:$C)</f>
        <v>F1. Fora âmbito | Campos concluídos - Sem necessidade de espec.</v>
      </c>
    </row>
    <row r="8" spans="1:25" x14ac:dyDescent="0.3">
      <c r="A8" s="50" t="str">
        <f t="shared" si="1"/>
        <v>INSTRUMENT_ACCMLTD_IMPRMNT_INSTRMNT_PRVS</v>
      </c>
      <c r="B8" t="s">
        <v>128</v>
      </c>
      <c r="C8" s="10" t="s">
        <v>136</v>
      </c>
      <c r="D8" t="s">
        <v>14</v>
      </c>
      <c r="E8" t="s">
        <v>35</v>
      </c>
      <c r="F8" t="s">
        <v>130</v>
      </c>
      <c r="G8" s="86" t="s">
        <v>137</v>
      </c>
      <c r="I8" t="s">
        <v>32</v>
      </c>
      <c r="J8" s="15">
        <v>45952</v>
      </c>
      <c r="K8" t="s">
        <v>36</v>
      </c>
      <c r="L8" t="s">
        <v>149</v>
      </c>
      <c r="M8" t="s">
        <v>1269</v>
      </c>
      <c r="N8" s="15"/>
      <c r="O8" s="15">
        <v>45952</v>
      </c>
      <c r="P8" t="s">
        <v>24</v>
      </c>
      <c r="Q8" t="s">
        <v>132</v>
      </c>
      <c r="R8" t="s">
        <v>133</v>
      </c>
      <c r="S8" t="s">
        <v>133</v>
      </c>
      <c r="T8" t="s">
        <v>133</v>
      </c>
      <c r="U8" t="s">
        <v>133</v>
      </c>
      <c r="V8" t="s">
        <v>132</v>
      </c>
      <c r="W8" t="s">
        <v>138</v>
      </c>
      <c r="X8" t="s">
        <v>139</v>
      </c>
      <c r="Y8" t="str">
        <f>_xlfn.XLOOKUP(C8,[1]Especificação!$G:$G,[1]Especificação!$C:$C)</f>
        <v>C. Campos em testes ou c/ incidências</v>
      </c>
    </row>
    <row r="9" spans="1:25" x14ac:dyDescent="0.3">
      <c r="A9" s="50" t="str">
        <f t="shared" si="1"/>
        <v>INSTRUMENT_ACCMLTD_WRTFFS_INSTRMNT</v>
      </c>
      <c r="B9" t="s">
        <v>128</v>
      </c>
      <c r="C9" t="s">
        <v>140</v>
      </c>
      <c r="D9" t="s">
        <v>14</v>
      </c>
      <c r="E9" t="s">
        <v>38</v>
      </c>
      <c r="F9" t="s">
        <v>130</v>
      </c>
      <c r="G9" t="s">
        <v>131</v>
      </c>
      <c r="I9" t="s">
        <v>26</v>
      </c>
      <c r="J9" s="15">
        <v>45450</v>
      </c>
      <c r="K9" t="s">
        <v>38</v>
      </c>
      <c r="L9" t="str">
        <f t="shared" si="0"/>
        <v>OK</v>
      </c>
      <c r="P9" t="s">
        <v>30</v>
      </c>
      <c r="Q9" t="s">
        <v>132</v>
      </c>
      <c r="R9" t="s">
        <v>133</v>
      </c>
      <c r="S9" t="s">
        <v>133</v>
      </c>
      <c r="T9" t="s">
        <v>133</v>
      </c>
      <c r="U9" t="s">
        <v>133</v>
      </c>
      <c r="V9" t="s">
        <v>132</v>
      </c>
      <c r="W9" t="s">
        <v>5</v>
      </c>
      <c r="X9" t="s">
        <v>135</v>
      </c>
      <c r="Y9" t="str">
        <f>_xlfn.XLOOKUP(C9,[1]Especificação!$G:$G,[1]Especificação!$C:$C)</f>
        <v>F1. Fora âmbito | Campos concluídos - Sem necessidade de espec.</v>
      </c>
    </row>
    <row r="10" spans="1:25" x14ac:dyDescent="0.3">
      <c r="A10" s="50" t="str">
        <f t="shared" si="1"/>
        <v>INSTRUMENT_ACCNTNG_CLSSFCTN</v>
      </c>
      <c r="B10" t="s">
        <v>128</v>
      </c>
      <c r="C10" t="s">
        <v>141</v>
      </c>
      <c r="D10" t="s">
        <v>14</v>
      </c>
      <c r="E10" t="s">
        <v>38</v>
      </c>
      <c r="F10" t="s">
        <v>130</v>
      </c>
      <c r="G10" t="s">
        <v>131</v>
      </c>
      <c r="I10" t="s">
        <v>26</v>
      </c>
      <c r="J10" s="15">
        <v>45450</v>
      </c>
      <c r="K10" t="s">
        <v>38</v>
      </c>
      <c r="L10" t="str">
        <f t="shared" si="0"/>
        <v>OK</v>
      </c>
      <c r="P10" t="s">
        <v>30</v>
      </c>
      <c r="Q10" t="s">
        <v>132</v>
      </c>
      <c r="R10" t="s">
        <v>132</v>
      </c>
      <c r="S10" t="s">
        <v>132</v>
      </c>
      <c r="T10" t="s">
        <v>133</v>
      </c>
      <c r="U10" t="s">
        <v>133</v>
      </c>
      <c r="V10" t="s">
        <v>132</v>
      </c>
      <c r="W10" t="s">
        <v>5</v>
      </c>
      <c r="X10" t="s">
        <v>135</v>
      </c>
      <c r="Y10" t="str">
        <f>_xlfn.XLOOKUP(C10,[1]Especificação!$G:$G,[1]Especificação!$C:$C)</f>
        <v>F1. Fora âmbito | Campos concluídos - Sem necessidade de espec.</v>
      </c>
    </row>
    <row r="11" spans="1:25" x14ac:dyDescent="0.3">
      <c r="A11" s="50" t="str">
        <f t="shared" si="1"/>
        <v>ENTITY_ACCNTNG_FRMWRK_SL</v>
      </c>
      <c r="B11" t="s">
        <v>142</v>
      </c>
      <c r="C11" t="s">
        <v>143</v>
      </c>
      <c r="D11" t="s">
        <v>14</v>
      </c>
      <c r="E11" t="s">
        <v>25</v>
      </c>
      <c r="F11" t="s">
        <v>130</v>
      </c>
      <c r="G11" t="s">
        <v>144</v>
      </c>
      <c r="H11" t="s">
        <v>145</v>
      </c>
      <c r="I11" t="s">
        <v>29</v>
      </c>
      <c r="J11" s="15">
        <v>45450</v>
      </c>
      <c r="K11" t="s">
        <v>25</v>
      </c>
      <c r="L11" t="str">
        <f t="shared" si="0"/>
        <v>OK</v>
      </c>
      <c r="P11" t="s">
        <v>13</v>
      </c>
      <c r="Q11" t="s">
        <v>132</v>
      </c>
      <c r="R11" t="s">
        <v>133</v>
      </c>
      <c r="S11" t="s">
        <v>133</v>
      </c>
      <c r="T11" t="s">
        <v>133</v>
      </c>
      <c r="U11" t="s">
        <v>133</v>
      </c>
      <c r="V11" t="s">
        <v>132</v>
      </c>
      <c r="W11" t="s">
        <v>146</v>
      </c>
      <c r="X11" t="s">
        <v>147</v>
      </c>
      <c r="Y11" t="str">
        <f>_xlfn.XLOOKUP(C11,[1]Especificação!$G:$G,[1]Especificação!$C:$C)</f>
        <v>F4. Fora âmbito | Re-especificação de campos complexos - Dem. Fin. CIB</v>
      </c>
    </row>
    <row r="12" spans="1:25" x14ac:dyDescent="0.3">
      <c r="A12" s="50" t="str">
        <f t="shared" si="1"/>
        <v>INSTRUMENT_TYP_MRTGG</v>
      </c>
      <c r="B12" t="s">
        <v>128</v>
      </c>
      <c r="C12" s="10" t="s">
        <v>148</v>
      </c>
      <c r="D12" t="s">
        <v>14</v>
      </c>
      <c r="E12" t="s">
        <v>28</v>
      </c>
      <c r="F12" t="s">
        <v>149</v>
      </c>
      <c r="G12" t="s">
        <v>150</v>
      </c>
      <c r="I12" t="s">
        <v>32</v>
      </c>
      <c r="J12" s="15">
        <v>45568</v>
      </c>
      <c r="K12" t="s">
        <v>25</v>
      </c>
      <c r="L12" t="str">
        <f t="shared" ref="L12:L34" si="2">F12</f>
        <v>NOK</v>
      </c>
      <c r="M12" t="s">
        <v>151</v>
      </c>
      <c r="P12" t="s">
        <v>34</v>
      </c>
      <c r="Q12" t="s">
        <v>132</v>
      </c>
      <c r="R12" t="s">
        <v>133</v>
      </c>
      <c r="S12" t="s">
        <v>133</v>
      </c>
      <c r="T12" t="s">
        <v>133</v>
      </c>
      <c r="U12" t="s">
        <v>133</v>
      </c>
      <c r="V12" t="s">
        <v>133</v>
      </c>
      <c r="W12" t="s">
        <v>5</v>
      </c>
      <c r="X12">
        <v>0</v>
      </c>
      <c r="Y12" t="e">
        <f>_xlfn.XLOOKUP(C12,[1]Especificação!$G:$G,[1]Especificação!$C:$C)</f>
        <v>#N/A</v>
      </c>
    </row>
    <row r="13" spans="1:25" x14ac:dyDescent="0.3">
      <c r="A13" s="50" t="str">
        <f t="shared" si="1"/>
        <v>INSTRUMENT_AMNT_D_AT_MTRTY</v>
      </c>
      <c r="B13" t="s">
        <v>128</v>
      </c>
      <c r="C13" t="s">
        <v>152</v>
      </c>
      <c r="D13" t="s">
        <v>14</v>
      </c>
      <c r="E13" t="s">
        <v>20</v>
      </c>
      <c r="F13" t="s">
        <v>149</v>
      </c>
      <c r="G13" t="s">
        <v>1118</v>
      </c>
      <c r="I13" t="s">
        <v>29</v>
      </c>
      <c r="J13" s="15">
        <v>45958</v>
      </c>
      <c r="K13" t="s">
        <v>38</v>
      </c>
      <c r="L13" t="s">
        <v>130</v>
      </c>
      <c r="O13" s="15">
        <v>45958</v>
      </c>
      <c r="P13" t="s">
        <v>19</v>
      </c>
      <c r="Q13" t="s">
        <v>132</v>
      </c>
      <c r="R13" t="s">
        <v>133</v>
      </c>
      <c r="S13" t="s">
        <v>133</v>
      </c>
      <c r="T13" t="s">
        <v>133</v>
      </c>
      <c r="U13" t="s">
        <v>133</v>
      </c>
      <c r="V13" t="s">
        <v>132</v>
      </c>
      <c r="W13" t="s">
        <v>138</v>
      </c>
      <c r="X13" t="s">
        <v>153</v>
      </c>
      <c r="Y13" t="str">
        <f>_xlfn.XLOOKUP(C13,[1]Especificação!$G:$G,[1]Especificação!$C:$C)</f>
        <v>B2. Re-especificação de campos complexos - Resto</v>
      </c>
    </row>
    <row r="14" spans="1:25" x14ac:dyDescent="0.3">
      <c r="A14" s="50" t="str">
        <f t="shared" si="1"/>
        <v>ENTITY_ANNL_TRNVR_LE</v>
      </c>
      <c r="B14" t="s">
        <v>142</v>
      </c>
      <c r="C14" t="s">
        <v>154</v>
      </c>
      <c r="D14" t="s">
        <v>14</v>
      </c>
      <c r="E14" t="s">
        <v>25</v>
      </c>
      <c r="F14" t="s">
        <v>130</v>
      </c>
      <c r="G14" t="s">
        <v>144</v>
      </c>
      <c r="H14" t="s">
        <v>145</v>
      </c>
      <c r="I14" t="s">
        <v>29</v>
      </c>
      <c r="J14" s="15">
        <v>45450</v>
      </c>
      <c r="K14" t="s">
        <v>25</v>
      </c>
      <c r="L14" t="str">
        <f t="shared" si="2"/>
        <v>OK</v>
      </c>
      <c r="P14" t="s">
        <v>13</v>
      </c>
      <c r="Q14" t="s">
        <v>132</v>
      </c>
      <c r="R14" t="s">
        <v>133</v>
      </c>
      <c r="S14" t="s">
        <v>132</v>
      </c>
      <c r="T14" t="s">
        <v>133</v>
      </c>
      <c r="U14" t="s">
        <v>133</v>
      </c>
      <c r="V14" t="s">
        <v>132</v>
      </c>
      <c r="W14" t="s">
        <v>146</v>
      </c>
      <c r="X14" t="s">
        <v>147</v>
      </c>
      <c r="Y14" t="str">
        <f>_xlfn.XLOOKUP(C14,[1]Especificação!$G:$G,[1]Especificação!$C:$C)</f>
        <v>F4. Fora âmbito | Re-especificação de campos complexos - Dem. Fin. CIB</v>
      </c>
    </row>
    <row r="15" spans="1:25" x14ac:dyDescent="0.3">
      <c r="A15" s="50" t="str">
        <f t="shared" si="1"/>
        <v>ENTITY_ANNL_TRNVR_LE_BDR</v>
      </c>
      <c r="B15" t="s">
        <v>142</v>
      </c>
      <c r="C15" t="s">
        <v>155</v>
      </c>
      <c r="D15" t="s">
        <v>6</v>
      </c>
      <c r="E15" t="s">
        <v>38</v>
      </c>
      <c r="F15" t="s">
        <v>130</v>
      </c>
      <c r="G15" t="s">
        <v>131</v>
      </c>
      <c r="I15" t="s">
        <v>26</v>
      </c>
      <c r="J15" s="15">
        <v>45450</v>
      </c>
      <c r="K15" t="s">
        <v>38</v>
      </c>
      <c r="L15" t="str">
        <f t="shared" si="2"/>
        <v>OK</v>
      </c>
      <c r="P15" t="s">
        <v>30</v>
      </c>
      <c r="Q15" t="s">
        <v>132</v>
      </c>
      <c r="R15" t="s">
        <v>133</v>
      </c>
      <c r="S15" t="s">
        <v>133</v>
      </c>
      <c r="T15" t="s">
        <v>133</v>
      </c>
      <c r="U15" t="s">
        <v>133</v>
      </c>
      <c r="V15" t="s">
        <v>133</v>
      </c>
      <c r="W15" t="s">
        <v>5</v>
      </c>
      <c r="X15">
        <v>0</v>
      </c>
      <c r="Y15" t="e">
        <f>_xlfn.XLOOKUP(C15,[1]Especificação!$G:$G,[1]Especificação!$C:$C)</f>
        <v>#N/A</v>
      </c>
    </row>
    <row r="16" spans="1:25" x14ac:dyDescent="0.3">
      <c r="A16" s="50" t="str">
        <f t="shared" si="1"/>
        <v>ENTITY_ANNL_TRNVR_PRVS</v>
      </c>
      <c r="B16" t="s">
        <v>142</v>
      </c>
      <c r="C16" t="s">
        <v>156</v>
      </c>
      <c r="D16" t="s">
        <v>14</v>
      </c>
      <c r="E16" t="s">
        <v>25</v>
      </c>
      <c r="F16" t="s">
        <v>130</v>
      </c>
      <c r="G16" t="s">
        <v>144</v>
      </c>
      <c r="H16" t="s">
        <v>145</v>
      </c>
      <c r="I16" t="s">
        <v>29</v>
      </c>
      <c r="J16" s="15">
        <v>45450</v>
      </c>
      <c r="K16" t="s">
        <v>25</v>
      </c>
      <c r="L16" t="str">
        <f t="shared" si="2"/>
        <v>OK</v>
      </c>
      <c r="P16" t="s">
        <v>13</v>
      </c>
      <c r="Q16" t="s">
        <v>132</v>
      </c>
      <c r="R16" t="s">
        <v>133</v>
      </c>
      <c r="S16" t="s">
        <v>133</v>
      </c>
      <c r="T16" t="s">
        <v>133</v>
      </c>
      <c r="U16" t="s">
        <v>133</v>
      </c>
      <c r="V16" t="s">
        <v>132</v>
      </c>
      <c r="W16" t="s">
        <v>146</v>
      </c>
      <c r="X16" t="s">
        <v>147</v>
      </c>
      <c r="Y16" t="str">
        <f>_xlfn.XLOOKUP(C16,[1]Especificação!$G:$G,[1]Especificação!$C:$C)</f>
        <v>F4. Fora âmbito | Re-especificação de campos complexos - Dem. Fin. CIB</v>
      </c>
    </row>
    <row r="17" spans="1:25" x14ac:dyDescent="0.3">
      <c r="A17" s="50" t="str">
        <f t="shared" si="1"/>
        <v>ENTITY_ANNL_TRNVR_PRVS_BDR</v>
      </c>
      <c r="B17" t="s">
        <v>142</v>
      </c>
      <c r="C17" t="s">
        <v>157</v>
      </c>
      <c r="D17" t="s">
        <v>6</v>
      </c>
      <c r="E17" t="s">
        <v>38</v>
      </c>
      <c r="F17" t="s">
        <v>130</v>
      </c>
      <c r="G17" t="s">
        <v>131</v>
      </c>
      <c r="I17" t="s">
        <v>26</v>
      </c>
      <c r="J17" s="15">
        <v>45450</v>
      </c>
      <c r="K17" t="s">
        <v>38</v>
      </c>
      <c r="L17" t="str">
        <f t="shared" si="2"/>
        <v>OK</v>
      </c>
      <c r="P17" t="s">
        <v>30</v>
      </c>
      <c r="Q17" t="s">
        <v>132</v>
      </c>
      <c r="R17" t="s">
        <v>133</v>
      </c>
      <c r="S17" t="s">
        <v>133</v>
      </c>
      <c r="T17" t="s">
        <v>133</v>
      </c>
      <c r="U17" t="s">
        <v>133</v>
      </c>
      <c r="V17" t="s">
        <v>133</v>
      </c>
      <c r="W17" t="s">
        <v>5</v>
      </c>
      <c r="X17">
        <v>0</v>
      </c>
      <c r="Y17" t="e">
        <f>_xlfn.XLOOKUP(C17,[1]Especificação!$G:$G,[1]Especificação!$C:$C)</f>
        <v>#N/A</v>
      </c>
    </row>
    <row r="18" spans="1:25" x14ac:dyDescent="0.3">
      <c r="A18" s="50" t="str">
        <f t="shared" si="1"/>
        <v>INSTRUMENT_ANNLSD_AGRD_RT</v>
      </c>
      <c r="B18" t="s">
        <v>128</v>
      </c>
      <c r="C18" s="11" t="s">
        <v>158</v>
      </c>
      <c r="D18" t="s">
        <v>14</v>
      </c>
      <c r="E18" t="s">
        <v>28</v>
      </c>
      <c r="F18" t="s">
        <v>130</v>
      </c>
      <c r="G18" t="s">
        <v>159</v>
      </c>
      <c r="H18" t="s">
        <v>160</v>
      </c>
      <c r="I18" t="s">
        <v>32</v>
      </c>
      <c r="J18" s="15">
        <v>45450</v>
      </c>
      <c r="K18" t="s">
        <v>28</v>
      </c>
      <c r="L18" t="str">
        <f t="shared" si="2"/>
        <v>OK</v>
      </c>
      <c r="P18" t="s">
        <v>39</v>
      </c>
      <c r="Q18" t="s">
        <v>132</v>
      </c>
      <c r="R18" t="s">
        <v>133</v>
      </c>
      <c r="S18" t="s">
        <v>132</v>
      </c>
      <c r="T18" t="s">
        <v>133</v>
      </c>
      <c r="U18" t="s">
        <v>133</v>
      </c>
      <c r="V18" t="s">
        <v>133</v>
      </c>
      <c r="W18" t="s">
        <v>5</v>
      </c>
      <c r="X18">
        <v>0</v>
      </c>
      <c r="Y18" t="e">
        <f>_xlfn.XLOOKUP(C18,[1]Especificação!$G:$G,[1]Especificação!$C:$C)</f>
        <v>#N/A</v>
      </c>
    </row>
    <row r="19" spans="1:25" x14ac:dyDescent="0.3">
      <c r="A19" s="50" t="str">
        <f t="shared" si="1"/>
        <v>PROTECTION_APPRSL_CRRNCY</v>
      </c>
      <c r="B19" t="s">
        <v>161</v>
      </c>
      <c r="C19" t="s">
        <v>162</v>
      </c>
      <c r="D19" t="s">
        <v>14</v>
      </c>
      <c r="E19" t="s">
        <v>36</v>
      </c>
      <c r="F19" t="s">
        <v>149</v>
      </c>
      <c r="G19" t="s">
        <v>163</v>
      </c>
      <c r="I19" t="s">
        <v>29</v>
      </c>
      <c r="J19" s="15">
        <v>45450</v>
      </c>
      <c r="K19" t="s">
        <v>36</v>
      </c>
      <c r="L19" t="str">
        <f t="shared" si="2"/>
        <v>NOK</v>
      </c>
      <c r="P19" t="s">
        <v>8</v>
      </c>
      <c r="Q19" t="s">
        <v>132</v>
      </c>
      <c r="R19" t="s">
        <v>133</v>
      </c>
      <c r="S19" t="s">
        <v>133</v>
      </c>
      <c r="T19" t="s">
        <v>133</v>
      </c>
      <c r="U19" t="s">
        <v>133</v>
      </c>
      <c r="V19" t="s">
        <v>133</v>
      </c>
      <c r="W19" t="s">
        <v>5</v>
      </c>
      <c r="X19">
        <v>0</v>
      </c>
      <c r="Y19" t="e">
        <f>_xlfn.XLOOKUP(C19,[1]Especificação!$G:$G,[1]Especificação!$C:$C)</f>
        <v>#N/A</v>
      </c>
    </row>
    <row r="20" spans="1:25" x14ac:dyDescent="0.3">
      <c r="A20" s="50" t="str">
        <f t="shared" si="1"/>
        <v>PROTECTION_APPRSR</v>
      </c>
      <c r="B20" t="s">
        <v>161</v>
      </c>
      <c r="C20" t="s">
        <v>164</v>
      </c>
      <c r="D20" t="s">
        <v>14</v>
      </c>
      <c r="E20" t="s">
        <v>36</v>
      </c>
      <c r="F20" t="s">
        <v>149</v>
      </c>
      <c r="G20" t="s">
        <v>163</v>
      </c>
      <c r="I20" t="s">
        <v>29</v>
      </c>
      <c r="J20" s="15">
        <v>45450</v>
      </c>
      <c r="K20" t="s">
        <v>36</v>
      </c>
      <c r="L20" t="str">
        <f t="shared" si="2"/>
        <v>NOK</v>
      </c>
      <c r="P20" t="s">
        <v>8</v>
      </c>
      <c r="Q20" t="s">
        <v>132</v>
      </c>
      <c r="R20" t="s">
        <v>133</v>
      </c>
      <c r="S20" t="s">
        <v>133</v>
      </c>
      <c r="T20" t="s">
        <v>133</v>
      </c>
      <c r="U20" t="s">
        <v>133</v>
      </c>
      <c r="V20" t="s">
        <v>133</v>
      </c>
      <c r="W20" t="s">
        <v>5</v>
      </c>
      <c r="X20">
        <v>0</v>
      </c>
      <c r="Y20" t="e">
        <f>_xlfn.XLOOKUP(C20,[1]Especificação!$G:$G,[1]Especificação!$C:$C)</f>
        <v>#N/A</v>
      </c>
    </row>
    <row r="21" spans="1:25" x14ac:dyDescent="0.3">
      <c r="A21" s="50" t="str">
        <f t="shared" si="1"/>
        <v>INSTRUMENT_ARRRS_INSTRMNT</v>
      </c>
      <c r="B21" t="s">
        <v>128</v>
      </c>
      <c r="C21" t="s">
        <v>165</v>
      </c>
      <c r="D21" t="s">
        <v>14</v>
      </c>
      <c r="E21" t="s">
        <v>36</v>
      </c>
      <c r="F21" t="s">
        <v>149</v>
      </c>
      <c r="G21" t="s">
        <v>163</v>
      </c>
      <c r="I21" t="s">
        <v>29</v>
      </c>
      <c r="J21" s="15">
        <v>45958</v>
      </c>
      <c r="K21" t="s">
        <v>38</v>
      </c>
      <c r="O21" s="15">
        <v>45958</v>
      </c>
      <c r="P21" t="s">
        <v>8</v>
      </c>
      <c r="Q21" t="s">
        <v>132</v>
      </c>
      <c r="R21" t="s">
        <v>133</v>
      </c>
      <c r="S21" t="s">
        <v>133</v>
      </c>
      <c r="T21" t="s">
        <v>133</v>
      </c>
      <c r="U21" t="s">
        <v>133</v>
      </c>
      <c r="V21" t="s">
        <v>132</v>
      </c>
      <c r="W21" t="s">
        <v>138</v>
      </c>
      <c r="X21" t="s">
        <v>166</v>
      </c>
      <c r="Y21" t="str">
        <f>_xlfn.XLOOKUP(C21,[1]Especificação!$G:$G,[1]Especificação!$C:$C)</f>
        <v>D. Campos com NOK controlos Corporativos</v>
      </c>
    </row>
    <row r="22" spans="1:25" x14ac:dyDescent="0.3">
      <c r="A22" s="50" t="str">
        <f t="shared" si="1"/>
        <v>INSTRUMENT_ARRRS_INSTRMNT_12M</v>
      </c>
      <c r="B22" t="s">
        <v>128</v>
      </c>
      <c r="C22" t="s">
        <v>167</v>
      </c>
      <c r="D22" t="s">
        <v>14</v>
      </c>
      <c r="E22" t="s">
        <v>36</v>
      </c>
      <c r="F22" t="s">
        <v>149</v>
      </c>
      <c r="G22" t="s">
        <v>163</v>
      </c>
      <c r="I22" t="s">
        <v>29</v>
      </c>
      <c r="J22" s="15">
        <v>45450</v>
      </c>
      <c r="K22" t="s">
        <v>36</v>
      </c>
      <c r="L22" t="str">
        <f t="shared" si="2"/>
        <v>NOK</v>
      </c>
      <c r="P22" t="s">
        <v>8</v>
      </c>
      <c r="Q22" t="s">
        <v>132</v>
      </c>
      <c r="R22" t="s">
        <v>133</v>
      </c>
      <c r="S22" t="s">
        <v>133</v>
      </c>
      <c r="T22" t="s">
        <v>133</v>
      </c>
      <c r="U22" t="s">
        <v>133</v>
      </c>
      <c r="V22" t="s">
        <v>133</v>
      </c>
      <c r="W22" t="s">
        <v>5</v>
      </c>
      <c r="X22">
        <v>0</v>
      </c>
      <c r="Y22" t="e">
        <f>_xlfn.XLOOKUP(C22,[1]Especificação!$G:$G,[1]Especificação!$C:$C)</f>
        <v>#N/A</v>
      </c>
    </row>
    <row r="23" spans="1:25" x14ac:dyDescent="0.3">
      <c r="A23" s="50" t="str">
        <f t="shared" si="1"/>
        <v>INSTRUMENT_ASST_SCRT_CLSS</v>
      </c>
      <c r="B23" t="s">
        <v>128</v>
      </c>
      <c r="C23" t="s">
        <v>168</v>
      </c>
      <c r="D23" t="s">
        <v>6</v>
      </c>
      <c r="E23" t="s">
        <v>38</v>
      </c>
      <c r="F23" t="s">
        <v>130</v>
      </c>
      <c r="G23" t="s">
        <v>131</v>
      </c>
      <c r="I23" t="s">
        <v>26</v>
      </c>
      <c r="J23" s="15">
        <v>45450</v>
      </c>
      <c r="K23" t="s">
        <v>38</v>
      </c>
      <c r="L23" t="str">
        <f t="shared" si="2"/>
        <v>OK</v>
      </c>
      <c r="P23" t="s">
        <v>30</v>
      </c>
      <c r="Q23" t="s">
        <v>132</v>
      </c>
      <c r="R23" t="s">
        <v>133</v>
      </c>
      <c r="S23" t="s">
        <v>133</v>
      </c>
      <c r="T23" t="s">
        <v>133</v>
      </c>
      <c r="U23" t="s">
        <v>133</v>
      </c>
      <c r="V23" t="s">
        <v>133</v>
      </c>
      <c r="W23" t="s">
        <v>5</v>
      </c>
      <c r="X23">
        <v>0</v>
      </c>
      <c r="Y23" t="e">
        <f>_xlfn.XLOOKUP(C23,[1]Especificação!$G:$G,[1]Especificação!$C:$C)</f>
        <v>#N/A</v>
      </c>
    </row>
    <row r="24" spans="1:25" x14ac:dyDescent="0.3">
      <c r="A24" s="50" t="str">
        <f t="shared" si="1"/>
        <v>INSTRUMENT_BRCHD_CVNNTS</v>
      </c>
      <c r="B24" t="s">
        <v>128</v>
      </c>
      <c r="C24" t="s">
        <v>169</v>
      </c>
      <c r="D24" t="s">
        <v>14</v>
      </c>
      <c r="E24" t="s">
        <v>37</v>
      </c>
      <c r="F24" t="s">
        <v>130</v>
      </c>
      <c r="G24" t="s">
        <v>170</v>
      </c>
      <c r="I24" t="s">
        <v>26</v>
      </c>
      <c r="J24" s="15">
        <v>45450</v>
      </c>
      <c r="K24" t="s">
        <v>37</v>
      </c>
      <c r="L24" t="str">
        <f t="shared" si="2"/>
        <v>OK</v>
      </c>
      <c r="P24" t="s">
        <v>27</v>
      </c>
      <c r="Q24" t="s">
        <v>132</v>
      </c>
      <c r="R24" t="s">
        <v>133</v>
      </c>
      <c r="S24" t="s">
        <v>133</v>
      </c>
      <c r="T24" t="s">
        <v>133</v>
      </c>
      <c r="U24" t="s">
        <v>133</v>
      </c>
      <c r="V24" t="s">
        <v>132</v>
      </c>
      <c r="W24" t="s">
        <v>5</v>
      </c>
      <c r="X24" t="s">
        <v>135</v>
      </c>
      <c r="Y24" t="str">
        <f>_xlfn.XLOOKUP(C24,[1]Especificação!$G:$G,[1]Especificação!$C:$C)</f>
        <v>F1. Fora âmbito | Campos concluídos - Sem necessidade de espec.</v>
      </c>
    </row>
    <row r="25" spans="1:25" x14ac:dyDescent="0.3">
      <c r="A25" s="50" t="str">
        <f t="shared" si="1"/>
        <v>ENTITY_CAPEX</v>
      </c>
      <c r="B25" t="s">
        <v>142</v>
      </c>
      <c r="C25" t="s">
        <v>171</v>
      </c>
      <c r="D25" t="s">
        <v>14</v>
      </c>
      <c r="E25" t="s">
        <v>25</v>
      </c>
      <c r="F25" t="s">
        <v>130</v>
      </c>
      <c r="G25" t="s">
        <v>144</v>
      </c>
      <c r="H25" t="s">
        <v>145</v>
      </c>
      <c r="I25" t="s">
        <v>29</v>
      </c>
      <c r="J25" s="15">
        <v>45450</v>
      </c>
      <c r="K25" t="s">
        <v>25</v>
      </c>
      <c r="L25" t="str">
        <f t="shared" si="2"/>
        <v>OK</v>
      </c>
      <c r="P25" t="s">
        <v>13</v>
      </c>
      <c r="Q25" t="s">
        <v>132</v>
      </c>
      <c r="R25" t="s">
        <v>133</v>
      </c>
      <c r="S25" t="s">
        <v>133</v>
      </c>
      <c r="T25" t="s">
        <v>133</v>
      </c>
      <c r="U25" t="s">
        <v>133</v>
      </c>
      <c r="V25" t="s">
        <v>133</v>
      </c>
      <c r="W25" t="s">
        <v>5</v>
      </c>
      <c r="X25">
        <v>0</v>
      </c>
      <c r="Y25" t="e">
        <f>_xlfn.XLOOKUP(C25,[1]Especificação!$G:$G,[1]Especificação!$C:$C)</f>
        <v>#N/A</v>
      </c>
    </row>
    <row r="26" spans="1:25" x14ac:dyDescent="0.3">
      <c r="A26" s="50" t="str">
        <f t="shared" si="1"/>
        <v>ENTITY_CAPEX_PRVS</v>
      </c>
      <c r="B26" t="s">
        <v>142</v>
      </c>
      <c r="C26" t="s">
        <v>172</v>
      </c>
      <c r="D26" t="s">
        <v>14</v>
      </c>
      <c r="E26" t="s">
        <v>25</v>
      </c>
      <c r="F26" t="s">
        <v>130</v>
      </c>
      <c r="G26" t="s">
        <v>144</v>
      </c>
      <c r="H26" t="s">
        <v>145</v>
      </c>
      <c r="I26" t="s">
        <v>29</v>
      </c>
      <c r="J26" s="15">
        <v>45450</v>
      </c>
      <c r="K26" t="s">
        <v>25</v>
      </c>
      <c r="L26" t="str">
        <f t="shared" si="2"/>
        <v>OK</v>
      </c>
      <c r="P26" t="s">
        <v>13</v>
      </c>
      <c r="Q26" t="s">
        <v>132</v>
      </c>
      <c r="R26" t="s">
        <v>133</v>
      </c>
      <c r="S26" t="s">
        <v>133</v>
      </c>
      <c r="T26" t="s">
        <v>133</v>
      </c>
      <c r="U26" t="s">
        <v>133</v>
      </c>
      <c r="V26" t="s">
        <v>133</v>
      </c>
      <c r="W26" t="s">
        <v>5</v>
      </c>
      <c r="X26">
        <v>0</v>
      </c>
      <c r="Y26" t="e">
        <f>_xlfn.XLOOKUP(C26,[1]Especificação!$G:$G,[1]Especificação!$C:$C)</f>
        <v>#N/A</v>
      </c>
    </row>
    <row r="27" spans="1:25" x14ac:dyDescent="0.3">
      <c r="A27" s="50" t="str">
        <f t="shared" si="1"/>
        <v>INSTRUMENT_CCF</v>
      </c>
      <c r="B27" t="s">
        <v>128</v>
      </c>
      <c r="C27" t="s">
        <v>173</v>
      </c>
      <c r="D27" t="s">
        <v>14</v>
      </c>
      <c r="E27" t="s">
        <v>38</v>
      </c>
      <c r="F27" t="s">
        <v>130</v>
      </c>
      <c r="G27" t="s">
        <v>131</v>
      </c>
      <c r="I27" t="s">
        <v>26</v>
      </c>
      <c r="J27" s="15">
        <v>45450</v>
      </c>
      <c r="K27" t="s">
        <v>38</v>
      </c>
      <c r="L27" t="str">
        <f t="shared" si="2"/>
        <v>OK</v>
      </c>
      <c r="P27" t="s">
        <v>30</v>
      </c>
      <c r="Q27" t="s">
        <v>132</v>
      </c>
      <c r="R27" t="s">
        <v>132</v>
      </c>
      <c r="S27" t="s">
        <v>133</v>
      </c>
      <c r="T27" t="s">
        <v>133</v>
      </c>
      <c r="U27" t="s">
        <v>133</v>
      </c>
      <c r="V27" t="s">
        <v>132</v>
      </c>
      <c r="W27" t="s">
        <v>5</v>
      </c>
      <c r="X27" t="s">
        <v>135</v>
      </c>
      <c r="Y27" t="str">
        <f>_xlfn.XLOOKUP(C27,[1]Especificação!$G:$G,[1]Especificação!$C:$C)</f>
        <v>F1. Fora âmbito | Campos concluídos - Sem necessidade de espec.</v>
      </c>
    </row>
    <row r="28" spans="1:25" x14ac:dyDescent="0.3">
      <c r="A28" s="50" t="str">
        <f t="shared" si="1"/>
        <v>INSTRUMENT_CHNNL_ORGNTN</v>
      </c>
      <c r="B28" t="s">
        <v>128</v>
      </c>
      <c r="C28" t="s">
        <v>174</v>
      </c>
      <c r="D28" t="s">
        <v>6</v>
      </c>
      <c r="E28" t="s">
        <v>31</v>
      </c>
      <c r="F28" t="s">
        <v>149</v>
      </c>
      <c r="G28" t="s">
        <v>175</v>
      </c>
      <c r="I28" t="s">
        <v>29</v>
      </c>
      <c r="J28" s="15">
        <v>45450</v>
      </c>
      <c r="K28" t="s">
        <v>31</v>
      </c>
      <c r="L28" t="str">
        <f t="shared" si="2"/>
        <v>NOK</v>
      </c>
      <c r="N28" s="15">
        <v>45296</v>
      </c>
      <c r="P28" t="s">
        <v>13</v>
      </c>
      <c r="Q28" t="s">
        <v>132</v>
      </c>
      <c r="R28" t="s">
        <v>133</v>
      </c>
      <c r="S28" t="s">
        <v>133</v>
      </c>
      <c r="T28" t="s">
        <v>133</v>
      </c>
      <c r="U28" t="s">
        <v>133</v>
      </c>
      <c r="V28" t="s">
        <v>133</v>
      </c>
      <c r="W28" t="s">
        <v>5</v>
      </c>
      <c r="X28">
        <v>0</v>
      </c>
      <c r="Y28" t="e">
        <f>_xlfn.XLOOKUP(C28,[1]Especificação!$G:$G,[1]Especificação!$C:$C)</f>
        <v>#N/A</v>
      </c>
    </row>
    <row r="29" spans="1:25" x14ac:dyDescent="0.3">
      <c r="A29" s="50" t="str">
        <f t="shared" si="1"/>
        <v>ENTITY_CLLCTN_MD</v>
      </c>
      <c r="B29" t="s">
        <v>142</v>
      </c>
      <c r="C29" t="s">
        <v>176</v>
      </c>
      <c r="D29" t="s">
        <v>6</v>
      </c>
      <c r="E29" t="s">
        <v>38</v>
      </c>
      <c r="F29" t="s">
        <v>130</v>
      </c>
      <c r="G29" t="s">
        <v>131</v>
      </c>
      <c r="I29" t="s">
        <v>26</v>
      </c>
      <c r="J29" s="15">
        <v>45450</v>
      </c>
      <c r="K29" t="s">
        <v>38</v>
      </c>
      <c r="L29" t="str">
        <f t="shared" si="2"/>
        <v>OK</v>
      </c>
      <c r="P29" t="s">
        <v>30</v>
      </c>
      <c r="Q29" t="s">
        <v>132</v>
      </c>
      <c r="R29" t="s">
        <v>133</v>
      </c>
      <c r="S29" t="s">
        <v>133</v>
      </c>
      <c r="T29" t="s">
        <v>133</v>
      </c>
      <c r="U29" t="s">
        <v>133</v>
      </c>
      <c r="V29" t="s">
        <v>133</v>
      </c>
      <c r="W29" t="s">
        <v>5</v>
      </c>
      <c r="X29">
        <v>0</v>
      </c>
      <c r="Y29" t="e">
        <f>_xlfn.XLOOKUP(C29,[1]Especificação!$G:$G,[1]Especificação!$C:$C)</f>
        <v>#N/A</v>
      </c>
    </row>
    <row r="30" spans="1:25" x14ac:dyDescent="0.3">
      <c r="A30" s="50" t="str">
        <f t="shared" si="1"/>
        <v>ENTITY_TTL_INTRST_PD</v>
      </c>
      <c r="B30" t="s">
        <v>142</v>
      </c>
      <c r="C30" t="s">
        <v>177</v>
      </c>
      <c r="D30" t="s">
        <v>6</v>
      </c>
      <c r="E30" t="s">
        <v>25</v>
      </c>
      <c r="F30" t="s">
        <v>149</v>
      </c>
      <c r="G30" t="s">
        <v>178</v>
      </c>
      <c r="I30" t="s">
        <v>29</v>
      </c>
      <c r="J30" s="15">
        <v>45958</v>
      </c>
      <c r="K30" t="s">
        <v>38</v>
      </c>
      <c r="L30" t="s">
        <v>130</v>
      </c>
      <c r="O30" s="15">
        <v>45958</v>
      </c>
      <c r="P30" t="s">
        <v>13</v>
      </c>
      <c r="Q30" t="s">
        <v>132</v>
      </c>
      <c r="R30" t="s">
        <v>133</v>
      </c>
      <c r="S30" t="s">
        <v>133</v>
      </c>
      <c r="T30" t="s">
        <v>133</v>
      </c>
      <c r="U30" t="s">
        <v>133</v>
      </c>
      <c r="V30" t="s">
        <v>132</v>
      </c>
      <c r="W30" t="s">
        <v>138</v>
      </c>
      <c r="X30" t="s">
        <v>153</v>
      </c>
      <c r="Y30" t="str">
        <f>_xlfn.XLOOKUP(C30,[1]Especificação!$G:$G,[1]Especificação!$C:$C)</f>
        <v>B2. Re-especificação de campos complexos - Resto</v>
      </c>
    </row>
    <row r="31" spans="1:25" x14ac:dyDescent="0.3">
      <c r="A31" s="50" t="str">
        <f t="shared" si="1"/>
        <v>INSTRUMENT_CMMTMNT_INCPTN_INSTRMNT</v>
      </c>
      <c r="B31" t="s">
        <v>128</v>
      </c>
      <c r="C31" t="s">
        <v>179</v>
      </c>
      <c r="D31" t="s">
        <v>14</v>
      </c>
      <c r="E31" t="s">
        <v>36</v>
      </c>
      <c r="F31" t="s">
        <v>149</v>
      </c>
      <c r="G31" t="s">
        <v>180</v>
      </c>
      <c r="I31" t="s">
        <v>29</v>
      </c>
      <c r="J31" s="15">
        <v>45450</v>
      </c>
      <c r="K31" t="s">
        <v>36</v>
      </c>
      <c r="L31" t="str">
        <f t="shared" si="2"/>
        <v>NOK</v>
      </c>
      <c r="P31" t="s">
        <v>8</v>
      </c>
      <c r="Q31" t="s">
        <v>132</v>
      </c>
      <c r="R31" t="s">
        <v>133</v>
      </c>
      <c r="S31" t="s">
        <v>133</v>
      </c>
      <c r="T31" t="s">
        <v>133</v>
      </c>
      <c r="U31" t="s">
        <v>133</v>
      </c>
      <c r="V31" t="s">
        <v>133</v>
      </c>
      <c r="W31" t="s">
        <v>5</v>
      </c>
      <c r="X31">
        <v>0</v>
      </c>
      <c r="Y31" t="e">
        <f>_xlfn.XLOOKUP(C31,[1]Especificação!$G:$G,[1]Especificação!$C:$C)</f>
        <v>#N/A</v>
      </c>
    </row>
    <row r="32" spans="1:25" x14ac:dyDescent="0.3">
      <c r="A32" s="50" t="str">
        <f t="shared" si="1"/>
        <v>PROTECTION_RL_ESTT_CLLTRL_LCTN</v>
      </c>
      <c r="B32" t="s">
        <v>161</v>
      </c>
      <c r="C32" t="s">
        <v>181</v>
      </c>
      <c r="D32" t="s">
        <v>14</v>
      </c>
      <c r="E32" t="s">
        <v>25</v>
      </c>
      <c r="F32" t="s">
        <v>149</v>
      </c>
      <c r="G32" t="s">
        <v>182</v>
      </c>
      <c r="I32" t="s">
        <v>29</v>
      </c>
      <c r="J32" s="15">
        <v>45450</v>
      </c>
      <c r="K32" t="s">
        <v>25</v>
      </c>
      <c r="L32" t="str">
        <f t="shared" si="2"/>
        <v>NOK</v>
      </c>
      <c r="P32" t="s">
        <v>13</v>
      </c>
      <c r="Q32" t="s">
        <v>132</v>
      </c>
      <c r="R32" t="s">
        <v>133</v>
      </c>
      <c r="S32" t="s">
        <v>132</v>
      </c>
      <c r="T32" t="s">
        <v>133</v>
      </c>
      <c r="U32" t="s">
        <v>132</v>
      </c>
      <c r="V32" t="s">
        <v>133</v>
      </c>
      <c r="W32" t="s">
        <v>5</v>
      </c>
      <c r="X32">
        <v>0</v>
      </c>
      <c r="Y32" t="e">
        <f>_xlfn.XLOOKUP(C32,[1]Especificação!$G:$G,[1]Especificação!$C:$C)</f>
        <v>#N/A</v>
      </c>
    </row>
    <row r="33" spans="1:25" s="9" customFormat="1" x14ac:dyDescent="0.3">
      <c r="A33" s="50" t="str">
        <f t="shared" si="1"/>
        <v>INSTRUMENT_CMPLNT_MRTR_C19_NM</v>
      </c>
      <c r="B33" t="s">
        <v>128</v>
      </c>
      <c r="C33" t="s">
        <v>183</v>
      </c>
      <c r="D33" t="s">
        <v>6</v>
      </c>
      <c r="E33" t="s">
        <v>38</v>
      </c>
      <c r="F33" t="s">
        <v>130</v>
      </c>
      <c r="G33" t="s">
        <v>131</v>
      </c>
      <c r="H33"/>
      <c r="I33" t="s">
        <v>26</v>
      </c>
      <c r="J33" s="15">
        <v>45450</v>
      </c>
      <c r="K33" t="s">
        <v>38</v>
      </c>
      <c r="L33" t="str">
        <f t="shared" si="2"/>
        <v>OK</v>
      </c>
      <c r="P33" t="s">
        <v>30</v>
      </c>
      <c r="Q33" t="s">
        <v>132</v>
      </c>
      <c r="R33" t="s">
        <v>133</v>
      </c>
      <c r="S33" t="s">
        <v>133</v>
      </c>
      <c r="T33" t="s">
        <v>133</v>
      </c>
      <c r="U33" t="s">
        <v>133</v>
      </c>
      <c r="V33" t="s">
        <v>133</v>
      </c>
      <c r="W33" t="s">
        <v>5</v>
      </c>
      <c r="X33">
        <v>0</v>
      </c>
      <c r="Y33" t="e">
        <f>_xlfn.XLOOKUP(C33,[1]Especificação!$G:$G,[1]Especificação!$C:$C)</f>
        <v>#N/A</v>
      </c>
    </row>
    <row r="34" spans="1:25" x14ac:dyDescent="0.3">
      <c r="A34" s="50" t="str">
        <f t="shared" si="1"/>
        <v>INSTRUMENT_CNSMPTN_FNRP18</v>
      </c>
      <c r="B34" t="s">
        <v>128</v>
      </c>
      <c r="C34" t="s">
        <v>184</v>
      </c>
      <c r="D34" t="s">
        <v>6</v>
      </c>
      <c r="E34" t="s">
        <v>38</v>
      </c>
      <c r="F34" t="s">
        <v>130</v>
      </c>
      <c r="G34" t="s">
        <v>131</v>
      </c>
      <c r="I34" t="s">
        <v>26</v>
      </c>
      <c r="J34" s="15">
        <v>45450</v>
      </c>
      <c r="K34" t="s">
        <v>38</v>
      </c>
      <c r="L34" t="str">
        <f t="shared" si="2"/>
        <v>OK</v>
      </c>
      <c r="P34" t="s">
        <v>30</v>
      </c>
      <c r="Q34" t="s">
        <v>132</v>
      </c>
      <c r="R34" t="s">
        <v>133</v>
      </c>
      <c r="S34" t="s">
        <v>133</v>
      </c>
      <c r="T34" t="s">
        <v>133</v>
      </c>
      <c r="U34" t="s">
        <v>133</v>
      </c>
      <c r="V34" t="s">
        <v>133</v>
      </c>
      <c r="W34" t="s">
        <v>5</v>
      </c>
      <c r="X34">
        <v>0</v>
      </c>
      <c r="Y34" t="e">
        <f>_xlfn.XLOOKUP(C34,[1]Especificação!$G:$G,[1]Especificação!$C:$C)</f>
        <v>#N/A</v>
      </c>
    </row>
    <row r="35" spans="1:25" x14ac:dyDescent="0.3">
      <c r="A35" s="50" t="str">
        <f t="shared" si="1"/>
        <v>PROTECTION_DT_APPRSL_PRVS</v>
      </c>
      <c r="B35" t="s">
        <v>161</v>
      </c>
      <c r="C35" s="10" t="s">
        <v>185</v>
      </c>
      <c r="D35" t="s">
        <v>14</v>
      </c>
      <c r="E35" t="s">
        <v>35</v>
      </c>
      <c r="F35" t="s">
        <v>149</v>
      </c>
      <c r="G35" t="s">
        <v>186</v>
      </c>
      <c r="H35" t="s">
        <v>187</v>
      </c>
      <c r="I35" t="s">
        <v>26</v>
      </c>
      <c r="J35" s="15">
        <v>45670</v>
      </c>
      <c r="K35" t="s">
        <v>38</v>
      </c>
      <c r="L35" t="s">
        <v>130</v>
      </c>
      <c r="M35" t="s">
        <v>188</v>
      </c>
      <c r="N35" s="15">
        <v>45485</v>
      </c>
      <c r="O35" s="15">
        <v>45646</v>
      </c>
      <c r="P35" t="s">
        <v>34</v>
      </c>
      <c r="Q35" t="s">
        <v>132</v>
      </c>
      <c r="R35" t="s">
        <v>133</v>
      </c>
      <c r="S35" t="s">
        <v>133</v>
      </c>
      <c r="T35" t="s">
        <v>133</v>
      </c>
      <c r="U35" t="s">
        <v>133</v>
      </c>
      <c r="V35" t="s">
        <v>133</v>
      </c>
      <c r="W35" t="s">
        <v>5</v>
      </c>
      <c r="X35">
        <v>0</v>
      </c>
      <c r="Y35" t="e">
        <f>_xlfn.XLOOKUP(C35,[1]Especificação!$G:$G,[1]Especificação!$C:$C)</f>
        <v>#N/A</v>
      </c>
    </row>
    <row r="36" spans="1:25" x14ac:dyDescent="0.3">
      <c r="A36" s="50" t="str">
        <f t="shared" si="1"/>
        <v>INSTRUMENT_CNTRCT_ID</v>
      </c>
      <c r="B36" t="s">
        <v>128</v>
      </c>
      <c r="C36" t="s">
        <v>189</v>
      </c>
      <c r="D36" t="s">
        <v>14</v>
      </c>
      <c r="E36" t="s">
        <v>38</v>
      </c>
      <c r="F36" t="s">
        <v>130</v>
      </c>
      <c r="G36" t="s">
        <v>131</v>
      </c>
      <c r="I36" t="s">
        <v>26</v>
      </c>
      <c r="J36" s="15">
        <v>45450</v>
      </c>
      <c r="K36" t="s">
        <v>38</v>
      </c>
      <c r="L36" t="str">
        <f t="shared" ref="L36:L70" si="3">F36</f>
        <v>OK</v>
      </c>
      <c r="P36" t="s">
        <v>30</v>
      </c>
      <c r="Q36" t="s">
        <v>132</v>
      </c>
      <c r="R36" t="s">
        <v>133</v>
      </c>
      <c r="S36" t="s">
        <v>133</v>
      </c>
      <c r="T36" t="s">
        <v>133</v>
      </c>
      <c r="U36" t="s">
        <v>133</v>
      </c>
      <c r="V36" t="s">
        <v>133</v>
      </c>
      <c r="W36" t="s">
        <v>5</v>
      </c>
      <c r="X36">
        <v>0</v>
      </c>
      <c r="Y36" t="e">
        <f>_xlfn.XLOOKUP(C36,[1]Especificação!$G:$G,[1]Especificação!$C:$C)</f>
        <v>#N/A</v>
      </c>
    </row>
    <row r="37" spans="1:25" x14ac:dyDescent="0.3">
      <c r="A37" s="50" t="str">
        <f t="shared" si="1"/>
        <v>INSTRUMENT_CNTRCT_ID_BDR</v>
      </c>
      <c r="B37" t="s">
        <v>128</v>
      </c>
      <c r="C37" t="s">
        <v>190</v>
      </c>
      <c r="D37" t="s">
        <v>6</v>
      </c>
      <c r="E37" t="s">
        <v>38</v>
      </c>
      <c r="F37" t="s">
        <v>130</v>
      </c>
      <c r="G37" t="s">
        <v>131</v>
      </c>
      <c r="I37" t="s">
        <v>26</v>
      </c>
      <c r="J37" s="15">
        <v>45450</v>
      </c>
      <c r="K37" t="s">
        <v>38</v>
      </c>
      <c r="L37" t="str">
        <f t="shared" si="3"/>
        <v>OK</v>
      </c>
      <c r="P37" t="s">
        <v>30</v>
      </c>
      <c r="Q37" t="s">
        <v>132</v>
      </c>
      <c r="R37" t="s">
        <v>133</v>
      </c>
      <c r="S37" t="s">
        <v>133</v>
      </c>
      <c r="T37" t="s">
        <v>133</v>
      </c>
      <c r="U37" t="s">
        <v>133</v>
      </c>
      <c r="V37" t="s">
        <v>133</v>
      </c>
      <c r="W37" t="s">
        <v>5</v>
      </c>
      <c r="X37">
        <v>0</v>
      </c>
      <c r="Y37" t="e">
        <f>_xlfn.XLOOKUP(C37,[1]Especificação!$G:$G,[1]Especificação!$C:$C)</f>
        <v>#N/A</v>
      </c>
    </row>
    <row r="38" spans="1:25" x14ac:dyDescent="0.3">
      <c r="A38" s="50" t="str">
        <f t="shared" si="1"/>
        <v>ENTITY_CNTRY</v>
      </c>
      <c r="B38" t="s">
        <v>142</v>
      </c>
      <c r="C38" t="s">
        <v>191</v>
      </c>
      <c r="D38" t="s">
        <v>14</v>
      </c>
      <c r="E38" t="s">
        <v>38</v>
      </c>
      <c r="F38" t="s">
        <v>130</v>
      </c>
      <c r="G38" t="s">
        <v>131</v>
      </c>
      <c r="I38" t="s">
        <v>26</v>
      </c>
      <c r="J38" s="15">
        <v>45958</v>
      </c>
      <c r="K38" t="s">
        <v>38</v>
      </c>
      <c r="L38" t="s">
        <v>130</v>
      </c>
      <c r="O38" s="15">
        <v>45958</v>
      </c>
      <c r="P38" t="s">
        <v>30</v>
      </c>
      <c r="Q38" t="s">
        <v>132</v>
      </c>
      <c r="R38" t="s">
        <v>133</v>
      </c>
      <c r="S38" t="s">
        <v>132</v>
      </c>
      <c r="T38" t="s">
        <v>133</v>
      </c>
      <c r="U38" t="s">
        <v>132</v>
      </c>
      <c r="V38" t="s">
        <v>132</v>
      </c>
      <c r="W38" t="s">
        <v>5</v>
      </c>
      <c r="X38" t="s">
        <v>135</v>
      </c>
      <c r="Y38" t="str">
        <f>_xlfn.XLOOKUP(C38,[1]Especificação!$G:$G,[1]Especificação!$C:$C)</f>
        <v>B2. Re-especificação de campos complexos - Resto</v>
      </c>
    </row>
    <row r="39" spans="1:25" x14ac:dyDescent="0.3">
      <c r="A39" s="50" t="str">
        <f t="shared" si="1"/>
        <v>ENTITY_COD_SOC</v>
      </c>
      <c r="B39" t="s">
        <v>142</v>
      </c>
      <c r="C39" t="s">
        <v>192</v>
      </c>
      <c r="D39" t="s">
        <v>14</v>
      </c>
      <c r="E39" t="s">
        <v>38</v>
      </c>
      <c r="F39" t="s">
        <v>130</v>
      </c>
      <c r="G39" t="s">
        <v>131</v>
      </c>
      <c r="I39" t="s">
        <v>26</v>
      </c>
      <c r="J39" s="15">
        <v>45450</v>
      </c>
      <c r="K39" t="s">
        <v>38</v>
      </c>
      <c r="L39" t="str">
        <f t="shared" si="3"/>
        <v>OK</v>
      </c>
      <c r="P39" t="s">
        <v>30</v>
      </c>
      <c r="Q39" t="s">
        <v>132</v>
      </c>
      <c r="R39" t="s">
        <v>133</v>
      </c>
      <c r="S39" t="s">
        <v>132</v>
      </c>
      <c r="T39" t="s">
        <v>133</v>
      </c>
      <c r="U39" t="s">
        <v>132</v>
      </c>
      <c r="V39" t="s">
        <v>132</v>
      </c>
      <c r="W39" t="s">
        <v>5</v>
      </c>
      <c r="X39" t="s">
        <v>135</v>
      </c>
      <c r="Y39" t="str">
        <f>_xlfn.XLOOKUP(C39,[1]Especificação!$G:$G,[1]Especificação!$C:$C)</f>
        <v>F1. Fora âmbito | Campos concluídos - Sem necessidade de espec.</v>
      </c>
    </row>
    <row r="40" spans="1:25" x14ac:dyDescent="0.3">
      <c r="A40" s="50" t="str">
        <f t="shared" si="1"/>
        <v>INSTR_ENTITY_COD_SOC</v>
      </c>
      <c r="B40" t="s">
        <v>193</v>
      </c>
      <c r="C40" t="s">
        <v>192</v>
      </c>
      <c r="D40" t="s">
        <v>14</v>
      </c>
      <c r="E40" t="s">
        <v>38</v>
      </c>
      <c r="F40" t="s">
        <v>130</v>
      </c>
      <c r="G40" t="s">
        <v>131</v>
      </c>
      <c r="I40" t="s">
        <v>26</v>
      </c>
      <c r="J40" s="15">
        <v>45450</v>
      </c>
      <c r="K40" t="s">
        <v>38</v>
      </c>
      <c r="L40" t="str">
        <f t="shared" si="3"/>
        <v>OK</v>
      </c>
      <c r="P40" t="s">
        <v>30</v>
      </c>
      <c r="Q40" t="s">
        <v>132</v>
      </c>
      <c r="R40" t="s">
        <v>133</v>
      </c>
      <c r="S40" t="s">
        <v>132</v>
      </c>
      <c r="T40" t="s">
        <v>133</v>
      </c>
      <c r="U40" t="s">
        <v>133</v>
      </c>
      <c r="V40" t="s">
        <v>132</v>
      </c>
      <c r="W40" t="s">
        <v>5</v>
      </c>
      <c r="X40" t="s">
        <v>135</v>
      </c>
      <c r="Y40" t="str">
        <f>_xlfn.XLOOKUP(C40,[1]Especificação!$G:$G,[1]Especificação!$C:$C)</f>
        <v>F1. Fora âmbito | Campos concluídos - Sem necessidade de espec.</v>
      </c>
    </row>
    <row r="41" spans="1:25" x14ac:dyDescent="0.3">
      <c r="A41" s="50" t="str">
        <f t="shared" si="1"/>
        <v>INSTR_PROTECTION_COD_SOC</v>
      </c>
      <c r="B41" t="s">
        <v>194</v>
      </c>
      <c r="C41" t="s">
        <v>192</v>
      </c>
      <c r="D41" t="s">
        <v>14</v>
      </c>
      <c r="E41" t="s">
        <v>38</v>
      </c>
      <c r="F41" t="s">
        <v>130</v>
      </c>
      <c r="G41" t="s">
        <v>131</v>
      </c>
      <c r="I41" t="s">
        <v>26</v>
      </c>
      <c r="J41" s="15">
        <v>45450</v>
      </c>
      <c r="K41" t="s">
        <v>38</v>
      </c>
      <c r="L41" t="str">
        <f t="shared" si="3"/>
        <v>OK</v>
      </c>
      <c r="P41" t="s">
        <v>30</v>
      </c>
      <c r="Q41" t="s">
        <v>132</v>
      </c>
      <c r="R41" t="s">
        <v>132</v>
      </c>
      <c r="S41" t="s">
        <v>132</v>
      </c>
      <c r="T41" t="s">
        <v>133</v>
      </c>
      <c r="U41" t="s">
        <v>133</v>
      </c>
      <c r="V41" t="s">
        <v>133</v>
      </c>
      <c r="W41" t="s">
        <v>5</v>
      </c>
      <c r="X41">
        <v>0</v>
      </c>
      <c r="Y41" t="str">
        <f>_xlfn.XLOOKUP(C41,[1]Especificação!$G:$G,[1]Especificação!$C:$C)</f>
        <v>F1. Fora âmbito | Campos concluídos - Sem necessidade de espec.</v>
      </c>
    </row>
    <row r="42" spans="1:25" x14ac:dyDescent="0.3">
      <c r="A42" s="50" t="str">
        <f t="shared" si="1"/>
        <v>INSTRUMENT_COD_SOC</v>
      </c>
      <c r="B42" t="s">
        <v>128</v>
      </c>
      <c r="C42" t="s">
        <v>192</v>
      </c>
      <c r="D42" t="s">
        <v>14</v>
      </c>
      <c r="E42" t="s">
        <v>38</v>
      </c>
      <c r="F42" t="s">
        <v>130</v>
      </c>
      <c r="G42" t="s">
        <v>131</v>
      </c>
      <c r="I42" t="s">
        <v>26</v>
      </c>
      <c r="J42" s="15">
        <v>45450</v>
      </c>
      <c r="K42" t="s">
        <v>38</v>
      </c>
      <c r="L42" t="str">
        <f t="shared" si="3"/>
        <v>OK</v>
      </c>
      <c r="P42" t="s">
        <v>30</v>
      </c>
      <c r="Q42" t="s">
        <v>132</v>
      </c>
      <c r="R42" t="s">
        <v>132</v>
      </c>
      <c r="S42" t="s">
        <v>132</v>
      </c>
      <c r="T42" t="s">
        <v>133</v>
      </c>
      <c r="U42" t="s">
        <v>132</v>
      </c>
      <c r="V42" t="s">
        <v>132</v>
      </c>
      <c r="W42" t="s">
        <v>5</v>
      </c>
      <c r="X42" t="s">
        <v>135</v>
      </c>
      <c r="Y42" t="str">
        <f>_xlfn.XLOOKUP(C42,[1]Especificação!$G:$G,[1]Especificação!$C:$C)</f>
        <v>F1. Fora âmbito | Campos concluídos - Sem necessidade de espec.</v>
      </c>
    </row>
    <row r="43" spans="1:25" x14ac:dyDescent="0.3">
      <c r="A43" s="50" t="str">
        <f t="shared" si="1"/>
        <v>PROTECTION_COD_SOC</v>
      </c>
      <c r="B43" t="s">
        <v>161</v>
      </c>
      <c r="C43" t="s">
        <v>192</v>
      </c>
      <c r="D43" t="s">
        <v>14</v>
      </c>
      <c r="E43" t="s">
        <v>38</v>
      </c>
      <c r="F43" t="s">
        <v>130</v>
      </c>
      <c r="G43" t="s">
        <v>131</v>
      </c>
      <c r="I43" t="s">
        <v>26</v>
      </c>
      <c r="J43" s="15">
        <v>45450</v>
      </c>
      <c r="K43" t="s">
        <v>38</v>
      </c>
      <c r="L43" t="str">
        <f t="shared" si="3"/>
        <v>OK</v>
      </c>
      <c r="P43" t="s">
        <v>30</v>
      </c>
      <c r="Q43" t="s">
        <v>132</v>
      </c>
      <c r="R43" t="s">
        <v>132</v>
      </c>
      <c r="S43" t="s">
        <v>132</v>
      </c>
      <c r="T43" t="s">
        <v>133</v>
      </c>
      <c r="U43" t="s">
        <v>132</v>
      </c>
      <c r="V43" t="s">
        <v>133</v>
      </c>
      <c r="W43" t="s">
        <v>5</v>
      </c>
      <c r="X43">
        <v>0</v>
      </c>
      <c r="Y43" t="str">
        <f>_xlfn.XLOOKUP(C43,[1]Especificação!$G:$G,[1]Especificação!$C:$C)</f>
        <v>F1. Fora âmbito | Campos concluídos - Sem necessidade de espec.</v>
      </c>
    </row>
    <row r="44" spans="1:25" x14ac:dyDescent="0.3">
      <c r="A44" s="50" t="str">
        <f t="shared" si="1"/>
        <v>INSTRUMENT_COD_SOC_INTRGRP</v>
      </c>
      <c r="B44" t="s">
        <v>128</v>
      </c>
      <c r="C44" t="s">
        <v>195</v>
      </c>
      <c r="D44" t="s">
        <v>14</v>
      </c>
      <c r="E44" t="s">
        <v>31</v>
      </c>
      <c r="F44" t="s">
        <v>149</v>
      </c>
      <c r="G44" t="s">
        <v>175</v>
      </c>
      <c r="I44" t="s">
        <v>29</v>
      </c>
      <c r="J44" s="15">
        <v>45460</v>
      </c>
      <c r="K44" t="s">
        <v>33</v>
      </c>
      <c r="L44" t="str">
        <f t="shared" si="3"/>
        <v>NOK</v>
      </c>
      <c r="N44" s="15">
        <v>45303</v>
      </c>
      <c r="O44" s="15">
        <v>45379</v>
      </c>
      <c r="P44" t="s">
        <v>19</v>
      </c>
      <c r="Q44" t="s">
        <v>132</v>
      </c>
      <c r="R44" t="s">
        <v>132</v>
      </c>
      <c r="S44" t="s">
        <v>133</v>
      </c>
      <c r="T44" t="s">
        <v>133</v>
      </c>
      <c r="U44" t="s">
        <v>133</v>
      </c>
      <c r="V44" t="s">
        <v>133</v>
      </c>
      <c r="W44" t="s">
        <v>5</v>
      </c>
      <c r="X44">
        <v>0</v>
      </c>
      <c r="Y44" t="e">
        <f>_xlfn.XLOOKUP(C44,[1]Especificação!$G:$G,[1]Especificação!$C:$C)</f>
        <v>#N/A</v>
      </c>
    </row>
    <row r="45" spans="1:25" x14ac:dyDescent="0.3">
      <c r="A45" s="50" t="str">
        <f t="shared" si="1"/>
        <v>INSTRUMENT_CPN_CRRNCY</v>
      </c>
      <c r="B45" t="s">
        <v>128</v>
      </c>
      <c r="C45" t="s">
        <v>196</v>
      </c>
      <c r="D45" t="s">
        <v>6</v>
      </c>
      <c r="E45" t="s">
        <v>38</v>
      </c>
      <c r="F45" t="s">
        <v>130</v>
      </c>
      <c r="G45" t="s">
        <v>131</v>
      </c>
      <c r="I45" t="s">
        <v>26</v>
      </c>
      <c r="J45" s="15">
        <v>45450</v>
      </c>
      <c r="K45" t="s">
        <v>38</v>
      </c>
      <c r="L45" t="str">
        <f t="shared" si="3"/>
        <v>OK</v>
      </c>
      <c r="P45" t="s">
        <v>30</v>
      </c>
      <c r="Q45" t="s">
        <v>132</v>
      </c>
      <c r="R45" t="s">
        <v>133</v>
      </c>
      <c r="S45" t="s">
        <v>133</v>
      </c>
      <c r="T45" t="s">
        <v>133</v>
      </c>
      <c r="U45" t="s">
        <v>133</v>
      </c>
      <c r="V45" t="s">
        <v>133</v>
      </c>
      <c r="W45" t="s">
        <v>5</v>
      </c>
      <c r="X45">
        <v>0</v>
      </c>
      <c r="Y45" t="e">
        <f>_xlfn.XLOOKUP(C45,[1]Especificação!$G:$G,[1]Especificação!$C:$C)</f>
        <v>#N/A</v>
      </c>
    </row>
    <row r="46" spans="1:25" x14ac:dyDescent="0.3">
      <c r="A46" s="50" t="str">
        <f t="shared" si="1"/>
        <v>INSTRUMENT_CPN_RT_FXD</v>
      </c>
      <c r="B46" t="s">
        <v>128</v>
      </c>
      <c r="C46" t="s">
        <v>197</v>
      </c>
      <c r="D46" t="s">
        <v>6</v>
      </c>
      <c r="E46" t="s">
        <v>38</v>
      </c>
      <c r="F46" t="s">
        <v>130</v>
      </c>
      <c r="G46" t="s">
        <v>131</v>
      </c>
      <c r="I46" t="s">
        <v>26</v>
      </c>
      <c r="J46" s="15">
        <v>45450</v>
      </c>
      <c r="K46" t="s">
        <v>38</v>
      </c>
      <c r="L46" t="str">
        <f t="shared" si="3"/>
        <v>OK</v>
      </c>
      <c r="P46" t="s">
        <v>30</v>
      </c>
      <c r="Q46" t="s">
        <v>132</v>
      </c>
      <c r="R46" t="s">
        <v>133</v>
      </c>
      <c r="S46" t="s">
        <v>133</v>
      </c>
      <c r="T46" t="s">
        <v>133</v>
      </c>
      <c r="U46" t="s">
        <v>133</v>
      </c>
      <c r="V46" t="s">
        <v>133</v>
      </c>
      <c r="W46" t="s">
        <v>5</v>
      </c>
      <c r="X46">
        <v>0</v>
      </c>
      <c r="Y46" t="e">
        <f>_xlfn.XLOOKUP(C46,[1]Especificação!$G:$G,[1]Especificação!$C:$C)</f>
        <v>#N/A</v>
      </c>
    </row>
    <row r="47" spans="1:25" x14ac:dyDescent="0.3">
      <c r="A47" s="50" t="str">
        <f t="shared" si="1"/>
        <v>ENTITY_CR_FLG</v>
      </c>
      <c r="B47" t="s">
        <v>142</v>
      </c>
      <c r="C47" t="s">
        <v>198</v>
      </c>
      <c r="D47" t="s">
        <v>6</v>
      </c>
      <c r="E47" t="s">
        <v>36</v>
      </c>
      <c r="F47" t="s">
        <v>149</v>
      </c>
      <c r="G47" t="s">
        <v>163</v>
      </c>
      <c r="I47" t="s">
        <v>29</v>
      </c>
      <c r="J47" s="15">
        <v>45952</v>
      </c>
      <c r="K47" t="s">
        <v>25</v>
      </c>
      <c r="L47" t="s">
        <v>149</v>
      </c>
      <c r="M47" t="s">
        <v>1321</v>
      </c>
      <c r="N47" s="15"/>
      <c r="O47" s="15">
        <v>45952</v>
      </c>
      <c r="P47" t="s">
        <v>8</v>
      </c>
      <c r="Q47" t="s">
        <v>132</v>
      </c>
      <c r="R47" t="s">
        <v>133</v>
      </c>
      <c r="S47" t="s">
        <v>133</v>
      </c>
      <c r="T47" t="s">
        <v>133</v>
      </c>
      <c r="U47" t="s">
        <v>133</v>
      </c>
      <c r="V47" t="s">
        <v>133</v>
      </c>
      <c r="W47" t="s">
        <v>5</v>
      </c>
      <c r="X47">
        <v>0</v>
      </c>
      <c r="Y47" t="e">
        <f>_xlfn.XLOOKUP(C47,[1]Especificação!$G:$G,[1]Especificação!$C:$C)</f>
        <v>#N/A</v>
      </c>
    </row>
    <row r="48" spans="1:25" x14ac:dyDescent="0.3">
      <c r="A48" s="50" t="str">
        <f t="shared" si="1"/>
        <v>INSTRUMENT_CRE_FNRP18</v>
      </c>
      <c r="B48" t="s">
        <v>128</v>
      </c>
      <c r="C48" t="s">
        <v>199</v>
      </c>
      <c r="D48" t="s">
        <v>14</v>
      </c>
      <c r="E48" t="s">
        <v>38</v>
      </c>
      <c r="F48" t="s">
        <v>130</v>
      </c>
      <c r="G48" t="s">
        <v>131</v>
      </c>
      <c r="I48" t="s">
        <v>26</v>
      </c>
      <c r="J48" s="15">
        <v>45952</v>
      </c>
      <c r="K48" t="s">
        <v>38</v>
      </c>
      <c r="L48" t="s">
        <v>130</v>
      </c>
      <c r="O48" s="15">
        <v>45952</v>
      </c>
      <c r="P48" t="s">
        <v>30</v>
      </c>
      <c r="Q48" t="s">
        <v>132</v>
      </c>
      <c r="R48" t="s">
        <v>133</v>
      </c>
      <c r="S48" t="s">
        <v>133</v>
      </c>
      <c r="T48" t="s">
        <v>133</v>
      </c>
      <c r="U48" t="s">
        <v>133</v>
      </c>
      <c r="V48" t="s">
        <v>133</v>
      </c>
      <c r="W48" t="s">
        <v>5</v>
      </c>
      <c r="X48">
        <v>0</v>
      </c>
      <c r="Y48" t="e">
        <f>_xlfn.XLOOKUP(C48,[1]Especificação!$G:$G,[1]Especificação!$C:$C)</f>
        <v>#N/A</v>
      </c>
    </row>
    <row r="49" spans="1:25" x14ac:dyDescent="0.3">
      <c r="A49" s="50" t="str">
        <f t="shared" si="1"/>
        <v>PROTECTION_CRE_INCM_CRRNCY</v>
      </c>
      <c r="B49" t="s">
        <v>161</v>
      </c>
      <c r="C49" t="s">
        <v>200</v>
      </c>
      <c r="D49" t="s">
        <v>6</v>
      </c>
      <c r="E49" t="s">
        <v>37</v>
      </c>
      <c r="F49" t="s">
        <v>149</v>
      </c>
      <c r="G49" t="s">
        <v>201</v>
      </c>
      <c r="I49" t="s">
        <v>26</v>
      </c>
      <c r="J49" s="15">
        <v>45450</v>
      </c>
      <c r="K49" t="s">
        <v>37</v>
      </c>
      <c r="L49" t="str">
        <f t="shared" si="3"/>
        <v>NOK</v>
      </c>
      <c r="P49" t="s">
        <v>27</v>
      </c>
      <c r="Q49" t="s">
        <v>132</v>
      </c>
      <c r="R49" t="s">
        <v>133</v>
      </c>
      <c r="S49" t="s">
        <v>133</v>
      </c>
      <c r="T49" t="s">
        <v>133</v>
      </c>
      <c r="U49" t="s">
        <v>133</v>
      </c>
      <c r="V49" t="s">
        <v>133</v>
      </c>
      <c r="W49" t="s">
        <v>5</v>
      </c>
      <c r="X49">
        <v>0</v>
      </c>
      <c r="Y49" t="e">
        <f>_xlfn.XLOOKUP(C49,[1]Especificação!$G:$G,[1]Especificação!$C:$C)</f>
        <v>#N/A</v>
      </c>
    </row>
    <row r="50" spans="1:25" x14ac:dyDescent="0.3">
      <c r="A50" s="50" t="str">
        <f t="shared" si="1"/>
        <v>PROTECTION_CRE_YRLY_EXPNSS</v>
      </c>
      <c r="B50" t="s">
        <v>161</v>
      </c>
      <c r="C50" t="s">
        <v>202</v>
      </c>
      <c r="D50" t="s">
        <v>6</v>
      </c>
      <c r="E50" t="s">
        <v>37</v>
      </c>
      <c r="F50" t="s">
        <v>130</v>
      </c>
      <c r="G50" t="s">
        <v>201</v>
      </c>
      <c r="I50" t="s">
        <v>26</v>
      </c>
      <c r="J50" s="15">
        <v>45450</v>
      </c>
      <c r="K50" t="s">
        <v>37</v>
      </c>
      <c r="L50" t="str">
        <f t="shared" si="3"/>
        <v>OK</v>
      </c>
      <c r="P50" t="s">
        <v>27</v>
      </c>
      <c r="Q50" t="s">
        <v>132</v>
      </c>
      <c r="R50" t="s">
        <v>133</v>
      </c>
      <c r="S50" t="s">
        <v>133</v>
      </c>
      <c r="T50" t="s">
        <v>133</v>
      </c>
      <c r="U50" t="s">
        <v>133</v>
      </c>
      <c r="V50" t="s">
        <v>133</v>
      </c>
      <c r="W50" t="s">
        <v>5</v>
      </c>
      <c r="X50">
        <v>0</v>
      </c>
      <c r="Y50" t="e">
        <f>_xlfn.XLOOKUP(C50,[1]Especificação!$G:$G,[1]Especificação!$C:$C)</f>
        <v>#N/A</v>
      </c>
    </row>
    <row r="51" spans="1:25" x14ac:dyDescent="0.3">
      <c r="A51" s="50" t="str">
        <f t="shared" si="1"/>
        <v>PROTECTION_CRE_YRLY_INCM</v>
      </c>
      <c r="B51" t="s">
        <v>161</v>
      </c>
      <c r="C51" t="s">
        <v>203</v>
      </c>
      <c r="D51" t="s">
        <v>6</v>
      </c>
      <c r="E51" t="s">
        <v>37</v>
      </c>
      <c r="F51" t="s">
        <v>130</v>
      </c>
      <c r="G51" t="s">
        <v>201</v>
      </c>
      <c r="I51" t="s">
        <v>26</v>
      </c>
      <c r="J51" s="15">
        <v>45450</v>
      </c>
      <c r="K51" t="s">
        <v>37</v>
      </c>
      <c r="L51" t="str">
        <f t="shared" si="3"/>
        <v>OK</v>
      </c>
      <c r="P51" t="s">
        <v>27</v>
      </c>
      <c r="Q51" t="s">
        <v>132</v>
      </c>
      <c r="R51" t="s">
        <v>133</v>
      </c>
      <c r="S51" t="s">
        <v>133</v>
      </c>
      <c r="T51" t="s">
        <v>133</v>
      </c>
      <c r="U51" t="s">
        <v>133</v>
      </c>
      <c r="V51" t="s">
        <v>133</v>
      </c>
      <c r="W51" t="s">
        <v>5</v>
      </c>
      <c r="X51">
        <v>0</v>
      </c>
      <c r="Y51" t="e">
        <f>_xlfn.XLOOKUP(C51,[1]Especificação!$G:$G,[1]Especificação!$C:$C)</f>
        <v>#N/A</v>
      </c>
    </row>
    <row r="52" spans="1:25" x14ac:dyDescent="0.3">
      <c r="A52" s="50" t="str">
        <f t="shared" si="1"/>
        <v>INSTRUMENT_CRRLTN_CFFCNT</v>
      </c>
      <c r="B52" t="s">
        <v>128</v>
      </c>
      <c r="C52" t="s">
        <v>204</v>
      </c>
      <c r="D52" t="s">
        <v>6</v>
      </c>
      <c r="E52" t="s">
        <v>36</v>
      </c>
      <c r="F52" t="s">
        <v>149</v>
      </c>
      <c r="G52" t="s">
        <v>163</v>
      </c>
      <c r="I52" t="s">
        <v>29</v>
      </c>
      <c r="J52" s="15">
        <v>45450</v>
      </c>
      <c r="K52" t="s">
        <v>36</v>
      </c>
      <c r="L52" t="str">
        <f t="shared" si="3"/>
        <v>NOK</v>
      </c>
      <c r="P52" t="s">
        <v>8</v>
      </c>
      <c r="Q52" t="s">
        <v>132</v>
      </c>
      <c r="R52" t="s">
        <v>133</v>
      </c>
      <c r="S52" t="s">
        <v>133</v>
      </c>
      <c r="T52" t="s">
        <v>133</v>
      </c>
      <c r="U52" t="s">
        <v>133</v>
      </c>
      <c r="V52" t="s">
        <v>133</v>
      </c>
      <c r="W52" t="s">
        <v>5</v>
      </c>
      <c r="X52">
        <v>0</v>
      </c>
      <c r="Y52" t="e">
        <f>_xlfn.XLOOKUP(C52,[1]Especificação!$G:$G,[1]Especificação!$C:$C)</f>
        <v>#N/A</v>
      </c>
    </row>
    <row r="53" spans="1:25" x14ac:dyDescent="0.3">
      <c r="A53" s="50" t="str">
        <f t="shared" si="1"/>
        <v>INSTRUMENT_CRRNCY_DNMNTN</v>
      </c>
      <c r="B53" t="s">
        <v>128</v>
      </c>
      <c r="C53" t="s">
        <v>205</v>
      </c>
      <c r="D53" t="s">
        <v>14</v>
      </c>
      <c r="E53" t="s">
        <v>38</v>
      </c>
      <c r="F53" t="s">
        <v>130</v>
      </c>
      <c r="G53" t="s">
        <v>131</v>
      </c>
      <c r="I53" t="s">
        <v>26</v>
      </c>
      <c r="J53" s="15">
        <v>45450</v>
      </c>
      <c r="K53" t="s">
        <v>38</v>
      </c>
      <c r="L53" t="str">
        <f t="shared" si="3"/>
        <v>OK</v>
      </c>
      <c r="P53" t="s">
        <v>30</v>
      </c>
      <c r="Q53" t="s">
        <v>132</v>
      </c>
      <c r="R53" t="s">
        <v>133</v>
      </c>
      <c r="S53" t="s">
        <v>133</v>
      </c>
      <c r="T53" t="s">
        <v>133</v>
      </c>
      <c r="U53" t="s">
        <v>133</v>
      </c>
      <c r="V53" t="s">
        <v>132</v>
      </c>
      <c r="W53" t="s">
        <v>5</v>
      </c>
      <c r="X53" t="s">
        <v>135</v>
      </c>
      <c r="Y53" t="str">
        <f>_xlfn.XLOOKUP(C53,[1]Especificação!$G:$G,[1]Especificação!$C:$C)</f>
        <v>F1. Fora âmbito | Campos concluídos - Sem necessidade de espec.</v>
      </c>
    </row>
    <row r="54" spans="1:25" x14ac:dyDescent="0.3">
      <c r="A54" s="50" t="str">
        <f t="shared" si="1"/>
        <v>INSTRUMENT_CRRYNG_AMNT_INSTRMNT</v>
      </c>
      <c r="B54" t="s">
        <v>128</v>
      </c>
      <c r="C54" t="s">
        <v>206</v>
      </c>
      <c r="D54" t="s">
        <v>14</v>
      </c>
      <c r="E54" t="s">
        <v>38</v>
      </c>
      <c r="F54" t="s">
        <v>130</v>
      </c>
      <c r="G54" t="s">
        <v>131</v>
      </c>
      <c r="I54" t="s">
        <v>26</v>
      </c>
      <c r="J54" s="15">
        <v>45450</v>
      </c>
      <c r="K54" t="s">
        <v>38</v>
      </c>
      <c r="L54" t="str">
        <f t="shared" si="3"/>
        <v>OK</v>
      </c>
      <c r="P54" t="s">
        <v>30</v>
      </c>
      <c r="Q54" t="s">
        <v>132</v>
      </c>
      <c r="R54" t="s">
        <v>133</v>
      </c>
      <c r="S54" t="s">
        <v>133</v>
      </c>
      <c r="T54" t="s">
        <v>133</v>
      </c>
      <c r="U54" t="s">
        <v>133</v>
      </c>
      <c r="V54" t="s">
        <v>132</v>
      </c>
      <c r="W54" t="s">
        <v>5</v>
      </c>
      <c r="X54" t="s">
        <v>135</v>
      </c>
      <c r="Y54" t="str">
        <f>_xlfn.XLOOKUP(C54,[1]Especificação!$G:$G,[1]Especificação!$C:$C)</f>
        <v>F1. Fora âmbito | Campos concluídos - Sem necessidade de espec.</v>
      </c>
    </row>
    <row r="55" spans="1:25" x14ac:dyDescent="0.3">
      <c r="A55" s="50" t="str">
        <f t="shared" si="1"/>
        <v>ENTITY_CSH</v>
      </c>
      <c r="B55" t="s">
        <v>142</v>
      </c>
      <c r="C55" t="s">
        <v>207</v>
      </c>
      <c r="D55" t="s">
        <v>14</v>
      </c>
      <c r="E55" t="s">
        <v>25</v>
      </c>
      <c r="F55" t="s">
        <v>130</v>
      </c>
      <c r="G55" t="s">
        <v>144</v>
      </c>
      <c r="H55" t="s">
        <v>145</v>
      </c>
      <c r="I55" t="s">
        <v>29</v>
      </c>
      <c r="J55" s="15">
        <v>45450</v>
      </c>
      <c r="K55" t="s">
        <v>25</v>
      </c>
      <c r="L55" t="str">
        <f t="shared" si="3"/>
        <v>OK</v>
      </c>
      <c r="P55" t="s">
        <v>13</v>
      </c>
      <c r="Q55" t="s">
        <v>132</v>
      </c>
      <c r="R55" t="s">
        <v>133</v>
      </c>
      <c r="S55" t="s">
        <v>133</v>
      </c>
      <c r="T55" t="s">
        <v>133</v>
      </c>
      <c r="U55" t="s">
        <v>133</v>
      </c>
      <c r="V55" t="s">
        <v>133</v>
      </c>
      <c r="W55" t="s">
        <v>5</v>
      </c>
      <c r="X55">
        <v>0</v>
      </c>
      <c r="Y55" t="e">
        <f>_xlfn.XLOOKUP(C55,[1]Especificação!$G:$G,[1]Especificação!$C:$C)</f>
        <v>#N/A</v>
      </c>
    </row>
    <row r="56" spans="1:25" x14ac:dyDescent="0.3">
      <c r="A56" s="50" t="str">
        <f t="shared" si="1"/>
        <v>ENTITY_CSH_PRVS</v>
      </c>
      <c r="B56" t="s">
        <v>142</v>
      </c>
      <c r="C56" t="s">
        <v>208</v>
      </c>
      <c r="D56" t="s">
        <v>14</v>
      </c>
      <c r="E56" t="s">
        <v>25</v>
      </c>
      <c r="F56" t="s">
        <v>130</v>
      </c>
      <c r="G56" t="s">
        <v>144</v>
      </c>
      <c r="H56" t="s">
        <v>145</v>
      </c>
      <c r="I56" t="s">
        <v>29</v>
      </c>
      <c r="J56" s="15">
        <v>45450</v>
      </c>
      <c r="K56" t="s">
        <v>25</v>
      </c>
      <c r="L56" t="str">
        <f t="shared" si="3"/>
        <v>OK</v>
      </c>
      <c r="P56" t="s">
        <v>13</v>
      </c>
      <c r="Q56" t="s">
        <v>132</v>
      </c>
      <c r="R56" t="s">
        <v>133</v>
      </c>
      <c r="S56" t="s">
        <v>133</v>
      </c>
      <c r="T56" t="s">
        <v>133</v>
      </c>
      <c r="U56" t="s">
        <v>133</v>
      </c>
      <c r="V56" t="s">
        <v>133</v>
      </c>
      <c r="W56" t="s">
        <v>5</v>
      </c>
      <c r="X56">
        <v>0</v>
      </c>
      <c r="Y56" t="e">
        <f>_xlfn.XLOOKUP(C56,[1]Especificação!$G:$G,[1]Especificação!$C:$C)</f>
        <v>#N/A</v>
      </c>
    </row>
    <row r="57" spans="1:25" x14ac:dyDescent="0.3">
      <c r="A57" s="50" t="str">
        <f t="shared" si="1"/>
        <v>INSTRUMENT_CSH_SWP_TRP</v>
      </c>
      <c r="B57" t="s">
        <v>128</v>
      </c>
      <c r="C57" t="s">
        <v>209</v>
      </c>
      <c r="D57" t="s">
        <v>14</v>
      </c>
      <c r="E57" t="s">
        <v>38</v>
      </c>
      <c r="F57" t="s">
        <v>130</v>
      </c>
      <c r="G57" t="s">
        <v>131</v>
      </c>
      <c r="I57" t="s">
        <v>26</v>
      </c>
      <c r="J57" s="15">
        <v>45450</v>
      </c>
      <c r="K57" t="s">
        <v>38</v>
      </c>
      <c r="L57" t="str">
        <f t="shared" si="3"/>
        <v>OK</v>
      </c>
      <c r="P57" t="s">
        <v>30</v>
      </c>
      <c r="Q57" t="s">
        <v>132</v>
      </c>
      <c r="R57" t="s">
        <v>133</v>
      </c>
      <c r="S57" t="s">
        <v>133</v>
      </c>
      <c r="T57" t="s">
        <v>133</v>
      </c>
      <c r="U57" t="s">
        <v>133</v>
      </c>
      <c r="V57" t="s">
        <v>132</v>
      </c>
      <c r="W57" t="s">
        <v>5</v>
      </c>
      <c r="X57" t="s">
        <v>135</v>
      </c>
      <c r="Y57" t="str">
        <f>_xlfn.XLOOKUP(C57,[1]Especificação!$G:$G,[1]Especificação!$C:$C)</f>
        <v>F1. Fora âmbito | Campos concluídos - Sem necessidade de espec.</v>
      </c>
    </row>
    <row r="58" spans="1:25" x14ac:dyDescent="0.3">
      <c r="A58" s="50" t="str">
        <f t="shared" si="1"/>
        <v>INSTRUMENT_CVNNT_STTS</v>
      </c>
      <c r="B58" t="s">
        <v>128</v>
      </c>
      <c r="C58" t="s">
        <v>210</v>
      </c>
      <c r="D58" t="s">
        <v>6</v>
      </c>
      <c r="E58" t="s">
        <v>37</v>
      </c>
      <c r="F58" t="s">
        <v>130</v>
      </c>
      <c r="G58" t="s">
        <v>170</v>
      </c>
      <c r="I58" t="s">
        <v>26</v>
      </c>
      <c r="J58" s="15">
        <v>45450</v>
      </c>
      <c r="K58" t="s">
        <v>37</v>
      </c>
      <c r="L58" t="str">
        <f t="shared" si="3"/>
        <v>OK</v>
      </c>
      <c r="P58" t="s">
        <v>27</v>
      </c>
      <c r="Q58" t="s">
        <v>132</v>
      </c>
      <c r="R58" t="s">
        <v>133</v>
      </c>
      <c r="S58" t="s">
        <v>133</v>
      </c>
      <c r="T58" t="s">
        <v>133</v>
      </c>
      <c r="U58" t="s">
        <v>133</v>
      </c>
      <c r="V58" t="s">
        <v>132</v>
      </c>
      <c r="W58" t="s">
        <v>146</v>
      </c>
      <c r="X58" t="s">
        <v>211</v>
      </c>
      <c r="Y58" t="str">
        <f>_xlfn.XLOOKUP(C58,[1]Especificação!$G:$G,[1]Especificação!$C:$C)</f>
        <v>F3. Fora âmbito | Fonte Manual LF</v>
      </c>
    </row>
    <row r="59" spans="1:25" x14ac:dyDescent="0.3">
      <c r="A59" s="50" t="str">
        <f t="shared" si="1"/>
        <v>INSTRUMENT_CVNNT_TYP</v>
      </c>
      <c r="B59" t="s">
        <v>128</v>
      </c>
      <c r="C59" t="s">
        <v>212</v>
      </c>
      <c r="D59" t="s">
        <v>6</v>
      </c>
      <c r="E59" t="s">
        <v>38</v>
      </c>
      <c r="F59" t="s">
        <v>130</v>
      </c>
      <c r="G59" t="s">
        <v>131</v>
      </c>
      <c r="I59" t="s">
        <v>26</v>
      </c>
      <c r="J59" s="15">
        <v>45450</v>
      </c>
      <c r="K59" t="s">
        <v>38</v>
      </c>
      <c r="L59" t="str">
        <f t="shared" si="3"/>
        <v>OK</v>
      </c>
      <c r="P59" t="s">
        <v>30</v>
      </c>
      <c r="Q59" t="s">
        <v>132</v>
      </c>
      <c r="R59" t="s">
        <v>133</v>
      </c>
      <c r="S59" t="s">
        <v>133</v>
      </c>
      <c r="T59" t="s">
        <v>133</v>
      </c>
      <c r="U59" t="s">
        <v>133</v>
      </c>
      <c r="V59" t="s">
        <v>132</v>
      </c>
      <c r="W59" t="s">
        <v>146</v>
      </c>
      <c r="X59" t="s">
        <v>211</v>
      </c>
      <c r="Y59" t="str">
        <f>_xlfn.XLOOKUP(C59,[1]Especificação!$G:$G,[1]Especificação!$C:$C)</f>
        <v>F3. Fora âmbito | Fonte Manual LF</v>
      </c>
    </row>
    <row r="60" spans="1:25" x14ac:dyDescent="0.3">
      <c r="A60" s="50" t="str">
        <f t="shared" si="1"/>
        <v>ENTITY_DBT_RPYMNT_CPCTY_SNR_DBT</v>
      </c>
      <c r="B60" t="s">
        <v>142</v>
      </c>
      <c r="C60" t="s">
        <v>213</v>
      </c>
      <c r="D60" t="s">
        <v>6</v>
      </c>
      <c r="E60" t="s">
        <v>37</v>
      </c>
      <c r="F60" t="s">
        <v>130</v>
      </c>
      <c r="G60" t="s">
        <v>170</v>
      </c>
      <c r="I60" t="s">
        <v>26</v>
      </c>
      <c r="J60" s="15">
        <v>45958</v>
      </c>
      <c r="K60" t="s">
        <v>38</v>
      </c>
      <c r="L60" t="s">
        <v>130</v>
      </c>
      <c r="O60" s="15">
        <v>45958</v>
      </c>
      <c r="P60" t="s">
        <v>27</v>
      </c>
      <c r="Q60" t="s">
        <v>132</v>
      </c>
      <c r="R60" t="s">
        <v>133</v>
      </c>
      <c r="S60" t="s">
        <v>133</v>
      </c>
      <c r="T60" t="s">
        <v>133</v>
      </c>
      <c r="U60" t="s">
        <v>133</v>
      </c>
      <c r="V60" t="s">
        <v>132</v>
      </c>
      <c r="W60" t="s">
        <v>146</v>
      </c>
      <c r="X60" t="s">
        <v>211</v>
      </c>
      <c r="Y60" t="str">
        <f>_xlfn.XLOOKUP(C60,[1]Especificação!$G:$G,[1]Especificação!$C:$C)</f>
        <v>B2. Re-especificação de campos complexos - Resto</v>
      </c>
    </row>
    <row r="61" spans="1:25" x14ac:dyDescent="0.3">
      <c r="A61" s="50" t="str">
        <f t="shared" si="1"/>
        <v>ENTITY_DBT_RPYMNT_CPCTY_TTL</v>
      </c>
      <c r="B61" t="s">
        <v>142</v>
      </c>
      <c r="C61" t="s">
        <v>214</v>
      </c>
      <c r="D61" t="s">
        <v>6</v>
      </c>
      <c r="E61" t="s">
        <v>38</v>
      </c>
      <c r="F61" t="s">
        <v>130</v>
      </c>
      <c r="G61" t="s">
        <v>131</v>
      </c>
      <c r="I61" t="s">
        <v>26</v>
      </c>
      <c r="J61" s="15">
        <v>45958</v>
      </c>
      <c r="K61" t="s">
        <v>38</v>
      </c>
      <c r="L61" t="s">
        <v>130</v>
      </c>
      <c r="O61" s="15">
        <v>45958</v>
      </c>
      <c r="P61" t="s">
        <v>30</v>
      </c>
      <c r="Q61" t="s">
        <v>132</v>
      </c>
      <c r="R61" t="s">
        <v>133</v>
      </c>
      <c r="S61" t="s">
        <v>133</v>
      </c>
      <c r="T61" t="s">
        <v>133</v>
      </c>
      <c r="U61" t="s">
        <v>133</v>
      </c>
      <c r="V61" t="s">
        <v>132</v>
      </c>
      <c r="W61" t="s">
        <v>5</v>
      </c>
      <c r="X61" t="s">
        <v>135</v>
      </c>
      <c r="Y61" t="str">
        <f>_xlfn.XLOOKUP(C61,[1]Especificação!$G:$G,[1]Especificação!$C:$C)</f>
        <v>B2. Re-especificação de campos complexos - Resto</v>
      </c>
    </row>
    <row r="62" spans="1:25" x14ac:dyDescent="0.3">
      <c r="A62" s="50" t="str">
        <f t="shared" si="1"/>
        <v>ENTITY_DBT_SRVC_RT</v>
      </c>
      <c r="B62" t="s">
        <v>142</v>
      </c>
      <c r="C62" t="s">
        <v>215</v>
      </c>
      <c r="D62" t="s">
        <v>14</v>
      </c>
      <c r="E62" t="s">
        <v>25</v>
      </c>
      <c r="F62" t="s">
        <v>130</v>
      </c>
      <c r="G62" t="s">
        <v>144</v>
      </c>
      <c r="H62" t="s">
        <v>145</v>
      </c>
      <c r="I62" t="s">
        <v>29</v>
      </c>
      <c r="J62" s="15">
        <v>45450</v>
      </c>
      <c r="K62" t="s">
        <v>25</v>
      </c>
      <c r="L62" t="str">
        <f t="shared" si="3"/>
        <v>OK</v>
      </c>
      <c r="P62" t="s">
        <v>13</v>
      </c>
      <c r="Q62" t="s">
        <v>132</v>
      </c>
      <c r="R62" t="s">
        <v>133</v>
      </c>
      <c r="S62" t="s">
        <v>133</v>
      </c>
      <c r="T62" t="s">
        <v>133</v>
      </c>
      <c r="U62" t="s">
        <v>133</v>
      </c>
      <c r="V62" t="s">
        <v>133</v>
      </c>
      <c r="W62" t="s">
        <v>5</v>
      </c>
      <c r="X62">
        <v>0</v>
      </c>
      <c r="Y62" t="e">
        <f>_xlfn.XLOOKUP(C62,[1]Especificação!$G:$G,[1]Especificação!$C:$C)</f>
        <v>#N/A</v>
      </c>
    </row>
    <row r="63" spans="1:25" x14ac:dyDescent="0.3">
      <c r="A63" s="50" t="str">
        <f t="shared" si="1"/>
        <v>ENTITY_DBT_SRVC_RT_12M</v>
      </c>
      <c r="B63" t="s">
        <v>142</v>
      </c>
      <c r="C63" t="s">
        <v>216</v>
      </c>
      <c r="D63" t="s">
        <v>14</v>
      </c>
      <c r="E63" t="s">
        <v>25</v>
      </c>
      <c r="F63" t="s">
        <v>130</v>
      </c>
      <c r="G63" t="s">
        <v>144</v>
      </c>
      <c r="H63" t="s">
        <v>145</v>
      </c>
      <c r="I63" t="s">
        <v>29</v>
      </c>
      <c r="J63" s="15">
        <v>45450</v>
      </c>
      <c r="K63" t="s">
        <v>25</v>
      </c>
      <c r="L63" t="str">
        <f t="shared" si="3"/>
        <v>OK</v>
      </c>
      <c r="P63" t="s">
        <v>13</v>
      </c>
      <c r="Q63" t="s">
        <v>132</v>
      </c>
      <c r="R63" t="s">
        <v>133</v>
      </c>
      <c r="S63" t="s">
        <v>133</v>
      </c>
      <c r="T63" t="s">
        <v>133</v>
      </c>
      <c r="U63" t="s">
        <v>133</v>
      </c>
      <c r="V63" t="s">
        <v>133</v>
      </c>
      <c r="W63" t="s">
        <v>5</v>
      </c>
      <c r="X63">
        <v>0</v>
      </c>
      <c r="Y63" t="e">
        <f>_xlfn.XLOOKUP(C63,[1]Especificação!$G:$G,[1]Especificação!$C:$C)</f>
        <v>#N/A</v>
      </c>
    </row>
    <row r="64" spans="1:25" x14ac:dyDescent="0.3">
      <c r="A64" s="50" t="str">
        <f t="shared" si="1"/>
        <v>INSTRUMENT_DBT_YLD</v>
      </c>
      <c r="B64" t="s">
        <v>128</v>
      </c>
      <c r="C64" t="s">
        <v>217</v>
      </c>
      <c r="D64" t="s">
        <v>6</v>
      </c>
      <c r="E64" t="s">
        <v>37</v>
      </c>
      <c r="F64" t="s">
        <v>130</v>
      </c>
      <c r="G64" t="s">
        <v>131</v>
      </c>
      <c r="I64" t="s">
        <v>26</v>
      </c>
      <c r="J64" s="15">
        <v>45450</v>
      </c>
      <c r="K64" t="s">
        <v>37</v>
      </c>
      <c r="L64" t="str">
        <f t="shared" si="3"/>
        <v>OK</v>
      </c>
      <c r="P64" t="s">
        <v>27</v>
      </c>
      <c r="Q64" t="s">
        <v>132</v>
      </c>
      <c r="R64" t="s">
        <v>133</v>
      </c>
      <c r="S64" t="s">
        <v>133</v>
      </c>
      <c r="T64" t="s">
        <v>133</v>
      </c>
      <c r="U64" t="s">
        <v>133</v>
      </c>
      <c r="V64" t="s">
        <v>133</v>
      </c>
      <c r="W64" t="s">
        <v>5</v>
      </c>
      <c r="X64">
        <v>0</v>
      </c>
      <c r="Y64" t="e">
        <f>_xlfn.XLOOKUP(C64,[1]Especificação!$G:$G,[1]Especificação!$C:$C)</f>
        <v>#N/A</v>
      </c>
    </row>
    <row r="65" spans="1:25" x14ac:dyDescent="0.3">
      <c r="A65" s="50" t="str">
        <f t="shared" si="1"/>
        <v>ENTITY_DCSD</v>
      </c>
      <c r="B65" t="s">
        <v>142</v>
      </c>
      <c r="C65" t="s">
        <v>218</v>
      </c>
      <c r="D65" t="s">
        <v>6</v>
      </c>
      <c r="E65" t="s">
        <v>38</v>
      </c>
      <c r="F65" t="s">
        <v>130</v>
      </c>
      <c r="G65" t="s">
        <v>131</v>
      </c>
      <c r="I65" t="s">
        <v>26</v>
      </c>
      <c r="J65" s="15">
        <v>45450</v>
      </c>
      <c r="K65" t="s">
        <v>38</v>
      </c>
      <c r="L65" t="str">
        <f t="shared" si="3"/>
        <v>OK</v>
      </c>
      <c r="P65" t="s">
        <v>30</v>
      </c>
      <c r="Q65" t="s">
        <v>132</v>
      </c>
      <c r="R65" t="s">
        <v>133</v>
      </c>
      <c r="S65" t="s">
        <v>133</v>
      </c>
      <c r="T65" t="s">
        <v>133</v>
      </c>
      <c r="U65" t="s">
        <v>133</v>
      </c>
      <c r="V65" t="s">
        <v>133</v>
      </c>
      <c r="W65" t="s">
        <v>5</v>
      </c>
      <c r="X65">
        <v>0</v>
      </c>
      <c r="Y65" t="e">
        <f>_xlfn.XLOOKUP(C65,[1]Especificação!$G:$G,[1]Especificação!$C:$C)</f>
        <v>#N/A</v>
      </c>
    </row>
    <row r="66" spans="1:25" x14ac:dyDescent="0.3">
      <c r="A66" s="50" t="str">
        <f t="shared" si="1"/>
        <v>ENTITY_DFLT_STTS</v>
      </c>
      <c r="B66" t="s">
        <v>142</v>
      </c>
      <c r="C66" s="10" t="s">
        <v>219</v>
      </c>
      <c r="D66" t="s">
        <v>14</v>
      </c>
      <c r="E66" t="s">
        <v>28</v>
      </c>
      <c r="F66" t="s">
        <v>149</v>
      </c>
      <c r="G66" t="s">
        <v>220</v>
      </c>
      <c r="H66" t="s">
        <v>221</v>
      </c>
      <c r="I66" t="s">
        <v>32</v>
      </c>
      <c r="J66" s="15">
        <v>45957</v>
      </c>
      <c r="K66" t="s">
        <v>55</v>
      </c>
      <c r="L66" t="str">
        <f t="shared" si="3"/>
        <v>NOK</v>
      </c>
      <c r="M66" t="s">
        <v>1342</v>
      </c>
      <c r="N66" s="15">
        <v>45957</v>
      </c>
      <c r="P66" t="s">
        <v>39</v>
      </c>
      <c r="Q66" t="s">
        <v>132</v>
      </c>
      <c r="R66" t="s">
        <v>133</v>
      </c>
      <c r="S66" t="s">
        <v>133</v>
      </c>
      <c r="T66" t="s">
        <v>133</v>
      </c>
      <c r="U66" t="s">
        <v>133</v>
      </c>
      <c r="V66" t="s">
        <v>132</v>
      </c>
      <c r="W66" t="s">
        <v>138</v>
      </c>
      <c r="X66" t="s">
        <v>222</v>
      </c>
      <c r="Y66" t="str">
        <f>_xlfn.XLOOKUP(C66,[1]Especificação!$G:$G,[1]Especificação!$C:$C)</f>
        <v xml:space="preserve">E. Campos com outras possíveis alterações - Dependente de decisões OSI </v>
      </c>
    </row>
    <row r="67" spans="1:25" x14ac:dyDescent="0.3">
      <c r="A67" s="50" t="str">
        <f t="shared" si="1"/>
        <v>INSTRUMENT_RFNNC_PRPS</v>
      </c>
      <c r="B67" t="s">
        <v>128</v>
      </c>
      <c r="C67" t="s">
        <v>223</v>
      </c>
      <c r="D67" t="s">
        <v>14</v>
      </c>
      <c r="E67" t="s">
        <v>25</v>
      </c>
      <c r="F67" t="s">
        <v>130</v>
      </c>
      <c r="G67" t="s">
        <v>224</v>
      </c>
      <c r="H67" t="s">
        <v>225</v>
      </c>
      <c r="I67" t="s">
        <v>29</v>
      </c>
      <c r="J67" s="15">
        <v>45450</v>
      </c>
      <c r="K67" t="s">
        <v>25</v>
      </c>
      <c r="L67" t="str">
        <f t="shared" si="3"/>
        <v>OK</v>
      </c>
      <c r="P67" t="s">
        <v>13</v>
      </c>
      <c r="Q67" t="s">
        <v>132</v>
      </c>
      <c r="R67" t="s">
        <v>133</v>
      </c>
      <c r="S67" t="s">
        <v>133</v>
      </c>
      <c r="T67" t="s">
        <v>133</v>
      </c>
      <c r="U67" t="s">
        <v>133</v>
      </c>
      <c r="V67" t="s">
        <v>133</v>
      </c>
      <c r="W67" t="s">
        <v>5</v>
      </c>
      <c r="X67">
        <v>0</v>
      </c>
      <c r="Y67" t="e">
        <f>_xlfn.XLOOKUP(C67,[1]Especificação!$G:$G,[1]Especificação!$C:$C)</f>
        <v>#N/A</v>
      </c>
    </row>
    <row r="68" spans="1:25" x14ac:dyDescent="0.3">
      <c r="A68" s="50" t="str">
        <f t="shared" si="1"/>
        <v>INSTRUMENT_DPD</v>
      </c>
      <c r="B68" t="s">
        <v>128</v>
      </c>
      <c r="C68" t="s">
        <v>226</v>
      </c>
      <c r="D68" t="s">
        <v>14</v>
      </c>
      <c r="E68" t="s">
        <v>36</v>
      </c>
      <c r="F68" t="s">
        <v>149</v>
      </c>
      <c r="G68" t="s">
        <v>163</v>
      </c>
      <c r="I68" t="s">
        <v>29</v>
      </c>
      <c r="J68" s="15">
        <v>45958</v>
      </c>
      <c r="K68" t="s">
        <v>38</v>
      </c>
      <c r="O68" s="15">
        <v>45958</v>
      </c>
      <c r="P68" t="s">
        <v>8</v>
      </c>
      <c r="Q68" t="s">
        <v>132</v>
      </c>
      <c r="R68" t="s">
        <v>133</v>
      </c>
      <c r="S68" t="s">
        <v>133</v>
      </c>
      <c r="T68" t="s">
        <v>133</v>
      </c>
      <c r="U68" t="s">
        <v>133</v>
      </c>
      <c r="V68" t="s">
        <v>132</v>
      </c>
      <c r="W68" t="s">
        <v>138</v>
      </c>
      <c r="X68" t="s">
        <v>166</v>
      </c>
      <c r="Y68" t="str">
        <f>_xlfn.XLOOKUP(C68,[1]Especificação!$G:$G,[1]Especificação!$C:$C)</f>
        <v>D. Campos com NOK controlos Corporativos</v>
      </c>
    </row>
    <row r="69" spans="1:25" x14ac:dyDescent="0.3">
      <c r="A69" s="50" t="str">
        <f t="shared" si="1"/>
        <v>INSTRUMENT_DPD_12M</v>
      </c>
      <c r="B69" t="s">
        <v>128</v>
      </c>
      <c r="C69" t="s">
        <v>227</v>
      </c>
      <c r="D69" t="s">
        <v>14</v>
      </c>
      <c r="E69" t="s">
        <v>36</v>
      </c>
      <c r="F69" t="s">
        <v>149</v>
      </c>
      <c r="G69" t="s">
        <v>163</v>
      </c>
      <c r="I69" t="s">
        <v>29</v>
      </c>
      <c r="J69" s="15">
        <v>45450</v>
      </c>
      <c r="K69" t="s">
        <v>36</v>
      </c>
      <c r="L69" t="str">
        <f t="shared" si="3"/>
        <v>NOK</v>
      </c>
      <c r="P69" t="s">
        <v>8</v>
      </c>
      <c r="Q69" t="s">
        <v>132</v>
      </c>
      <c r="R69" t="s">
        <v>133</v>
      </c>
      <c r="S69" t="s">
        <v>133</v>
      </c>
      <c r="T69" t="s">
        <v>133</v>
      </c>
      <c r="U69" t="s">
        <v>133</v>
      </c>
      <c r="V69" t="s">
        <v>133</v>
      </c>
      <c r="W69" t="s">
        <v>5</v>
      </c>
      <c r="X69">
        <v>0</v>
      </c>
      <c r="Y69" t="e">
        <f>_xlfn.XLOOKUP(C69,[1]Especificação!$G:$G,[1]Especificação!$C:$C)</f>
        <v>#N/A</v>
      </c>
    </row>
    <row r="70" spans="1:25" x14ac:dyDescent="0.3">
      <c r="A70" s="50" t="str">
        <f t="shared" ref="A70:A133" si="4">B70&amp;"_"&amp;C70</f>
        <v>INSTRUMENT_DPD_12M_FRBRNC_STTS</v>
      </c>
      <c r="B70" t="s">
        <v>128</v>
      </c>
      <c r="C70" t="s">
        <v>228</v>
      </c>
      <c r="D70" t="s">
        <v>14</v>
      </c>
      <c r="E70" t="s">
        <v>33</v>
      </c>
      <c r="F70" t="s">
        <v>149</v>
      </c>
      <c r="G70" t="s">
        <v>229</v>
      </c>
      <c r="I70" t="s">
        <v>29</v>
      </c>
      <c r="J70" s="15">
        <v>45450</v>
      </c>
      <c r="K70" t="s">
        <v>33</v>
      </c>
      <c r="L70" t="str">
        <f t="shared" si="3"/>
        <v>NOK</v>
      </c>
      <c r="N70" s="15">
        <v>44679</v>
      </c>
      <c r="O70" s="15">
        <v>44700</v>
      </c>
      <c r="P70" t="s">
        <v>13</v>
      </c>
      <c r="Q70" t="s">
        <v>132</v>
      </c>
      <c r="R70" t="s">
        <v>133</v>
      </c>
      <c r="S70" t="s">
        <v>133</v>
      </c>
      <c r="T70" t="s">
        <v>133</v>
      </c>
      <c r="U70" t="s">
        <v>133</v>
      </c>
      <c r="V70" t="s">
        <v>133</v>
      </c>
      <c r="W70" t="s">
        <v>5</v>
      </c>
      <c r="X70">
        <v>0</v>
      </c>
      <c r="Y70" t="e">
        <f>_xlfn.XLOOKUP(C70,[1]Especificação!$G:$G,[1]Especificação!$C:$C)</f>
        <v>#N/A</v>
      </c>
    </row>
    <row r="71" spans="1:25" x14ac:dyDescent="0.3">
      <c r="A71" s="50" t="str">
        <f t="shared" si="4"/>
        <v>INSTRUMENT_DPD_12M_PRFRMNG_STTS</v>
      </c>
      <c r="B71" t="s">
        <v>128</v>
      </c>
      <c r="C71" s="11" t="s">
        <v>48</v>
      </c>
      <c r="D71" t="s">
        <v>14</v>
      </c>
      <c r="E71" t="s">
        <v>33</v>
      </c>
      <c r="F71" t="s">
        <v>149</v>
      </c>
      <c r="G71" t="s">
        <v>230</v>
      </c>
      <c r="I71" t="s">
        <v>32</v>
      </c>
      <c r="J71" s="15">
        <v>45952</v>
      </c>
      <c r="K71" t="s">
        <v>38</v>
      </c>
      <c r="L71" t="s">
        <v>130</v>
      </c>
      <c r="N71" s="15">
        <v>45562</v>
      </c>
      <c r="O71" s="15">
        <v>45952</v>
      </c>
      <c r="P71" t="s">
        <v>39</v>
      </c>
      <c r="Q71" t="s">
        <v>132</v>
      </c>
      <c r="R71" t="s">
        <v>133</v>
      </c>
      <c r="S71" t="s">
        <v>133</v>
      </c>
      <c r="T71" t="s">
        <v>133</v>
      </c>
      <c r="U71" t="s">
        <v>133</v>
      </c>
      <c r="V71" t="s">
        <v>133</v>
      </c>
      <c r="W71" t="s">
        <v>5</v>
      </c>
      <c r="X71">
        <v>0</v>
      </c>
      <c r="Y71" t="e">
        <f>_xlfn.XLOOKUP(C71,[1]Especificação!$G:$G,[1]Especificação!$C:$C)</f>
        <v>#N/A</v>
      </c>
    </row>
    <row r="72" spans="1:25" x14ac:dyDescent="0.3">
      <c r="A72" s="50" t="str">
        <f t="shared" si="4"/>
        <v>INSTRUMENT_DPD_24M_FRBRNC_STTS</v>
      </c>
      <c r="B72" t="s">
        <v>128</v>
      </c>
      <c r="C72" t="s">
        <v>231</v>
      </c>
      <c r="D72" t="s">
        <v>14</v>
      </c>
      <c r="E72" t="s">
        <v>36</v>
      </c>
      <c r="F72" t="s">
        <v>149</v>
      </c>
      <c r="G72" t="s">
        <v>163</v>
      </c>
      <c r="I72" t="s">
        <v>29</v>
      </c>
      <c r="J72" s="15">
        <v>45450</v>
      </c>
      <c r="K72" t="s">
        <v>36</v>
      </c>
      <c r="L72" t="str">
        <f>F72</f>
        <v>NOK</v>
      </c>
      <c r="N72" s="15"/>
      <c r="O72" s="15"/>
      <c r="P72" t="s">
        <v>8</v>
      </c>
      <c r="Q72" t="s">
        <v>132</v>
      </c>
      <c r="R72" t="s">
        <v>133</v>
      </c>
      <c r="S72" t="s">
        <v>133</v>
      </c>
      <c r="T72" t="s">
        <v>133</v>
      </c>
      <c r="U72" t="s">
        <v>133</v>
      </c>
      <c r="V72" t="s">
        <v>133</v>
      </c>
      <c r="W72" t="s">
        <v>5</v>
      </c>
      <c r="X72">
        <v>0</v>
      </c>
      <c r="Y72" t="e">
        <f>_xlfn.XLOOKUP(C72,[1]Especificação!$G:$G,[1]Especificação!$C:$C)</f>
        <v>#N/A</v>
      </c>
    </row>
    <row r="73" spans="1:25" x14ac:dyDescent="0.3">
      <c r="A73" s="50" t="str">
        <f t="shared" si="4"/>
        <v>INSTRUMENT_DPD_24M_PRFRMNG_STTS</v>
      </c>
      <c r="B73" t="s">
        <v>128</v>
      </c>
      <c r="C73" s="11" t="s">
        <v>49</v>
      </c>
      <c r="D73" t="s">
        <v>14</v>
      </c>
      <c r="E73" t="s">
        <v>33</v>
      </c>
      <c r="F73" t="s">
        <v>149</v>
      </c>
      <c r="G73" t="s">
        <v>232</v>
      </c>
      <c r="I73" t="s">
        <v>32</v>
      </c>
      <c r="J73" s="15">
        <v>45952</v>
      </c>
      <c r="K73" t="s">
        <v>38</v>
      </c>
      <c r="L73" t="s">
        <v>130</v>
      </c>
      <c r="N73" s="15">
        <v>45562</v>
      </c>
      <c r="O73" s="15">
        <v>45952</v>
      </c>
      <c r="P73" t="s">
        <v>39</v>
      </c>
      <c r="Q73" t="s">
        <v>132</v>
      </c>
      <c r="R73" t="s">
        <v>133</v>
      </c>
      <c r="S73" t="s">
        <v>133</v>
      </c>
      <c r="T73" t="s">
        <v>133</v>
      </c>
      <c r="U73" t="s">
        <v>133</v>
      </c>
      <c r="V73" t="s">
        <v>133</v>
      </c>
      <c r="W73" t="s">
        <v>5</v>
      </c>
      <c r="X73">
        <v>0</v>
      </c>
      <c r="Y73" t="e">
        <f>_xlfn.XLOOKUP(C73,[1]Especificação!$G:$G,[1]Especificação!$C:$C)</f>
        <v>#N/A</v>
      </c>
    </row>
    <row r="74" spans="1:25" x14ac:dyDescent="0.3">
      <c r="A74" s="50" t="str">
        <f t="shared" si="4"/>
        <v>INSTRUMENT_DPD_FRBRNC_STTS</v>
      </c>
      <c r="B74" t="s">
        <v>128</v>
      </c>
      <c r="C74" t="s">
        <v>233</v>
      </c>
      <c r="D74" t="s">
        <v>14</v>
      </c>
      <c r="E74" t="s">
        <v>36</v>
      </c>
      <c r="F74" t="s">
        <v>149</v>
      </c>
      <c r="G74" t="s">
        <v>163</v>
      </c>
      <c r="I74" t="s">
        <v>29</v>
      </c>
      <c r="J74" s="15">
        <v>45450</v>
      </c>
      <c r="K74" t="s">
        <v>36</v>
      </c>
      <c r="L74" t="str">
        <f>F74</f>
        <v>NOK</v>
      </c>
      <c r="N74" s="15"/>
      <c r="O74" s="15"/>
      <c r="P74" t="s">
        <v>8</v>
      </c>
      <c r="Q74" t="s">
        <v>132</v>
      </c>
      <c r="R74" t="s">
        <v>133</v>
      </c>
      <c r="S74" t="s">
        <v>133</v>
      </c>
      <c r="T74" t="s">
        <v>133</v>
      </c>
      <c r="U74" t="s">
        <v>133</v>
      </c>
      <c r="V74" t="s">
        <v>133</v>
      </c>
      <c r="W74" t="s">
        <v>5</v>
      </c>
      <c r="X74">
        <v>0</v>
      </c>
      <c r="Y74" t="e">
        <f>_xlfn.XLOOKUP(C74,[1]Especificação!$G:$G,[1]Especificação!$C:$C)</f>
        <v>#N/A</v>
      </c>
    </row>
    <row r="75" spans="1:25" x14ac:dyDescent="0.3">
      <c r="A75" s="50" t="str">
        <f t="shared" si="4"/>
        <v>INSTRUMENT_DPD_PRFRMNG_STTS</v>
      </c>
      <c r="B75" t="s">
        <v>128</v>
      </c>
      <c r="C75" s="11" t="s">
        <v>50</v>
      </c>
      <c r="D75" t="s">
        <v>14</v>
      </c>
      <c r="E75" t="s">
        <v>33</v>
      </c>
      <c r="F75" t="s">
        <v>130</v>
      </c>
      <c r="G75" t="s">
        <v>232</v>
      </c>
      <c r="I75" t="s">
        <v>32</v>
      </c>
      <c r="J75" s="15">
        <v>45952</v>
      </c>
      <c r="K75" t="s">
        <v>38</v>
      </c>
      <c r="L75" t="s">
        <v>130</v>
      </c>
      <c r="N75" s="15">
        <v>45562</v>
      </c>
      <c r="O75" s="15">
        <v>45952</v>
      </c>
      <c r="P75" t="s">
        <v>39</v>
      </c>
      <c r="Q75" t="s">
        <v>132</v>
      </c>
      <c r="R75" t="s">
        <v>133</v>
      </c>
      <c r="S75" t="s">
        <v>133</v>
      </c>
      <c r="T75" t="s">
        <v>133</v>
      </c>
      <c r="U75" t="s">
        <v>133</v>
      </c>
      <c r="V75" t="s">
        <v>133</v>
      </c>
      <c r="W75" t="s">
        <v>5</v>
      </c>
      <c r="X75">
        <v>0</v>
      </c>
      <c r="Y75" t="e">
        <f>_xlfn.XLOOKUP(C75,[1]Especificação!$G:$G,[1]Especificação!$C:$C)</f>
        <v>#N/A</v>
      </c>
    </row>
    <row r="76" spans="1:25" x14ac:dyDescent="0.3">
      <c r="A76" s="50" t="str">
        <f t="shared" si="4"/>
        <v>INSTRUMENT_DSTI</v>
      </c>
      <c r="B76" t="s">
        <v>128</v>
      </c>
      <c r="C76" t="s">
        <v>234</v>
      </c>
      <c r="D76" t="s">
        <v>6</v>
      </c>
      <c r="E76" t="s">
        <v>20</v>
      </c>
      <c r="F76" t="s">
        <v>130</v>
      </c>
      <c r="G76" t="s">
        <v>235</v>
      </c>
      <c r="I76" t="s">
        <v>29</v>
      </c>
      <c r="J76" s="15">
        <v>45450</v>
      </c>
      <c r="K76" t="s">
        <v>20</v>
      </c>
      <c r="L76" t="str">
        <f>F76</f>
        <v>OK</v>
      </c>
      <c r="P76" t="s">
        <v>19</v>
      </c>
      <c r="Q76" t="s">
        <v>132</v>
      </c>
      <c r="R76" t="s">
        <v>133</v>
      </c>
      <c r="S76" t="s">
        <v>133</v>
      </c>
      <c r="T76" t="s">
        <v>133</v>
      </c>
      <c r="U76" t="s">
        <v>133</v>
      </c>
      <c r="V76" t="s">
        <v>133</v>
      </c>
      <c r="W76" t="s">
        <v>5</v>
      </c>
      <c r="X76">
        <v>0</v>
      </c>
      <c r="Y76" t="e">
        <f>_xlfn.XLOOKUP(C76,[1]Especificação!$G:$G,[1]Especificação!$C:$C)</f>
        <v>#N/A</v>
      </c>
    </row>
    <row r="77" spans="1:25" x14ac:dyDescent="0.3">
      <c r="A77" s="50" t="str">
        <f t="shared" si="4"/>
        <v>PROTECTION_TYP_PRTCTN</v>
      </c>
      <c r="B77" t="s">
        <v>161</v>
      </c>
      <c r="C77" s="10" t="s">
        <v>236</v>
      </c>
      <c r="D77" t="s">
        <v>14</v>
      </c>
      <c r="E77" t="s">
        <v>25</v>
      </c>
      <c r="F77" t="s">
        <v>149</v>
      </c>
      <c r="G77" t="s">
        <v>237</v>
      </c>
      <c r="H77" t="s">
        <v>238</v>
      </c>
      <c r="I77" t="s">
        <v>26</v>
      </c>
      <c r="J77" s="15">
        <v>45670</v>
      </c>
      <c r="K77" t="s">
        <v>38</v>
      </c>
      <c r="L77" t="s">
        <v>130</v>
      </c>
      <c r="M77" t="s">
        <v>239</v>
      </c>
      <c r="N77" s="15">
        <v>45492</v>
      </c>
      <c r="O77" s="15">
        <v>45646</v>
      </c>
      <c r="P77" t="s">
        <v>24</v>
      </c>
      <c r="Q77" t="s">
        <v>132</v>
      </c>
      <c r="R77" t="s">
        <v>132</v>
      </c>
      <c r="S77" t="s">
        <v>132</v>
      </c>
      <c r="T77" t="s">
        <v>133</v>
      </c>
      <c r="U77" t="s">
        <v>132</v>
      </c>
      <c r="V77" t="s">
        <v>133</v>
      </c>
      <c r="W77" t="s">
        <v>5</v>
      </c>
      <c r="X77">
        <v>0</v>
      </c>
      <c r="Y77" t="e">
        <f>_xlfn.XLOOKUP(C77,[1]Especificação!$G:$G,[1]Especificação!$C:$C)</f>
        <v>#N/A</v>
      </c>
    </row>
    <row r="78" spans="1:25" x14ac:dyDescent="0.3">
      <c r="A78" s="50" t="str">
        <f t="shared" si="4"/>
        <v>ENTITY_DT_BRTH</v>
      </c>
      <c r="B78" t="s">
        <v>142</v>
      </c>
      <c r="C78" t="s">
        <v>240</v>
      </c>
      <c r="D78" t="s">
        <v>6</v>
      </c>
      <c r="E78" t="s">
        <v>36</v>
      </c>
      <c r="F78" t="s">
        <v>149</v>
      </c>
      <c r="G78" t="s">
        <v>163</v>
      </c>
      <c r="I78" t="s">
        <v>29</v>
      </c>
      <c r="J78" s="15">
        <v>45450</v>
      </c>
      <c r="K78" t="s">
        <v>36</v>
      </c>
      <c r="L78" t="str">
        <f>F78</f>
        <v>NOK</v>
      </c>
      <c r="P78" t="s">
        <v>8</v>
      </c>
      <c r="Q78" t="s">
        <v>132</v>
      </c>
      <c r="R78" t="s">
        <v>133</v>
      </c>
      <c r="S78" t="s">
        <v>133</v>
      </c>
      <c r="T78" t="s">
        <v>133</v>
      </c>
      <c r="U78" t="s">
        <v>133</v>
      </c>
      <c r="V78" t="s">
        <v>133</v>
      </c>
      <c r="W78" t="s">
        <v>5</v>
      </c>
      <c r="X78">
        <v>0</v>
      </c>
      <c r="Y78" t="e">
        <f>_xlfn.XLOOKUP(C78,[1]Especificação!$G:$G,[1]Especificação!$C:$C)</f>
        <v>#N/A</v>
      </c>
    </row>
    <row r="79" spans="1:25" x14ac:dyDescent="0.3">
      <c r="A79" s="50" t="str">
        <f t="shared" si="4"/>
        <v>INSTRUMENT_DT_CMPLNT_MRTR_STTS_C19</v>
      </c>
      <c r="B79" t="s">
        <v>128</v>
      </c>
      <c r="C79" t="s">
        <v>241</v>
      </c>
      <c r="D79" t="s">
        <v>6</v>
      </c>
      <c r="E79" t="s">
        <v>38</v>
      </c>
      <c r="F79" t="s">
        <v>130</v>
      </c>
      <c r="G79" t="s">
        <v>131</v>
      </c>
      <c r="I79" t="s">
        <v>26</v>
      </c>
      <c r="J79" s="15">
        <v>45450</v>
      </c>
      <c r="K79" t="s">
        <v>38</v>
      </c>
      <c r="L79" t="str">
        <f>F79</f>
        <v>OK</v>
      </c>
      <c r="P79" t="s">
        <v>30</v>
      </c>
      <c r="Q79" t="s">
        <v>132</v>
      </c>
      <c r="R79" t="s">
        <v>133</v>
      </c>
      <c r="S79" t="s">
        <v>133</v>
      </c>
      <c r="T79" t="s">
        <v>133</v>
      </c>
      <c r="U79" t="s">
        <v>133</v>
      </c>
      <c r="V79" t="s">
        <v>133</v>
      </c>
      <c r="W79" t="s">
        <v>5</v>
      </c>
      <c r="X79">
        <v>0</v>
      </c>
      <c r="Y79" t="e">
        <f>_xlfn.XLOOKUP(C79,[1]Especificação!$G:$G,[1]Especificação!$C:$C)</f>
        <v>#N/A</v>
      </c>
    </row>
    <row r="80" spans="1:25" x14ac:dyDescent="0.3">
      <c r="A80" s="50" t="str">
        <f t="shared" si="4"/>
        <v>INSTRUMENT_DT_CMPLNT_MRTR_STTS_PRVS_C19</v>
      </c>
      <c r="B80" t="s">
        <v>128</v>
      </c>
      <c r="C80" t="s">
        <v>242</v>
      </c>
      <c r="D80" t="s">
        <v>6</v>
      </c>
      <c r="E80" t="s">
        <v>38</v>
      </c>
      <c r="F80" t="s">
        <v>130</v>
      </c>
      <c r="G80" t="s">
        <v>131</v>
      </c>
      <c r="I80" t="s">
        <v>26</v>
      </c>
      <c r="J80" s="15">
        <v>45450</v>
      </c>
      <c r="K80" t="s">
        <v>38</v>
      </c>
      <c r="L80" t="str">
        <f>F80</f>
        <v>OK</v>
      </c>
      <c r="P80" t="s">
        <v>30</v>
      </c>
      <c r="Q80" t="s">
        <v>132</v>
      </c>
      <c r="R80" t="s">
        <v>133</v>
      </c>
      <c r="S80" t="s">
        <v>133</v>
      </c>
      <c r="T80" t="s">
        <v>133</v>
      </c>
      <c r="U80" t="s">
        <v>133</v>
      </c>
      <c r="V80" t="s">
        <v>133</v>
      </c>
      <c r="W80" t="s">
        <v>5</v>
      </c>
      <c r="X80">
        <v>0</v>
      </c>
      <c r="Y80" t="e">
        <f>_xlfn.XLOOKUP(C80,[1]Especificação!$G:$G,[1]Especificação!$C:$C)</f>
        <v>#N/A</v>
      </c>
    </row>
    <row r="81" spans="1:25" x14ac:dyDescent="0.3">
      <c r="A81" s="50" t="str">
        <f t="shared" si="4"/>
        <v>PROTECTION_DT_PRTCTN_VL</v>
      </c>
      <c r="B81" t="s">
        <v>161</v>
      </c>
      <c r="C81" s="10" t="s">
        <v>243</v>
      </c>
      <c r="D81" t="s">
        <v>14</v>
      </c>
      <c r="E81" t="s">
        <v>35</v>
      </c>
      <c r="F81" t="s">
        <v>149</v>
      </c>
      <c r="G81" t="s">
        <v>244</v>
      </c>
      <c r="H81" t="s">
        <v>245</v>
      </c>
      <c r="I81" t="s">
        <v>26</v>
      </c>
      <c r="J81" s="15">
        <v>45670</v>
      </c>
      <c r="K81" t="s">
        <v>38</v>
      </c>
      <c r="L81" t="s">
        <v>130</v>
      </c>
      <c r="M81" t="s">
        <v>246</v>
      </c>
      <c r="N81" s="15">
        <v>45492</v>
      </c>
      <c r="O81" s="15">
        <v>45646</v>
      </c>
      <c r="P81" t="s">
        <v>24</v>
      </c>
      <c r="Q81" t="s">
        <v>132</v>
      </c>
      <c r="R81" t="s">
        <v>133</v>
      </c>
      <c r="S81" t="s">
        <v>133</v>
      </c>
      <c r="T81" t="s">
        <v>133</v>
      </c>
      <c r="U81" t="s">
        <v>133</v>
      </c>
      <c r="V81" t="s">
        <v>133</v>
      </c>
      <c r="W81" t="s">
        <v>5</v>
      </c>
      <c r="X81">
        <v>0</v>
      </c>
      <c r="Y81" t="e">
        <f>_xlfn.XLOOKUP(C81,[1]Especificação!$G:$G,[1]Especificação!$C:$C)</f>
        <v>#N/A</v>
      </c>
    </row>
    <row r="82" spans="1:25" x14ac:dyDescent="0.3">
      <c r="A82" s="50" t="str">
        <f t="shared" si="4"/>
        <v>ENTITY_DT_DFLT_STTS</v>
      </c>
      <c r="B82" t="s">
        <v>142</v>
      </c>
      <c r="C82" s="10" t="s">
        <v>247</v>
      </c>
      <c r="D82" t="s">
        <v>14</v>
      </c>
      <c r="E82" t="s">
        <v>28</v>
      </c>
      <c r="F82" t="s">
        <v>149</v>
      </c>
      <c r="G82" t="s">
        <v>220</v>
      </c>
      <c r="H82" t="s">
        <v>248</v>
      </c>
      <c r="I82" t="s">
        <v>32</v>
      </c>
      <c r="J82" s="15">
        <v>45957</v>
      </c>
      <c r="K82" t="s">
        <v>55</v>
      </c>
      <c r="L82" t="str">
        <f t="shared" ref="L82:L87" si="5">F82</f>
        <v>NOK</v>
      </c>
      <c r="M82" t="s">
        <v>1342</v>
      </c>
      <c r="N82" s="15">
        <v>45957</v>
      </c>
      <c r="P82" t="s">
        <v>39</v>
      </c>
      <c r="Q82" t="s">
        <v>132</v>
      </c>
      <c r="R82" t="s">
        <v>133</v>
      </c>
      <c r="S82" t="s">
        <v>133</v>
      </c>
      <c r="T82" t="s">
        <v>133</v>
      </c>
      <c r="U82" t="s">
        <v>133</v>
      </c>
      <c r="V82" t="s">
        <v>132</v>
      </c>
      <c r="W82" t="s">
        <v>138</v>
      </c>
      <c r="X82" t="s">
        <v>222</v>
      </c>
      <c r="Y82" t="str">
        <f>_xlfn.XLOOKUP(C82,[1]Especificação!$G:$G,[1]Especificação!$C:$C)</f>
        <v xml:space="preserve">E. Campos com outras possíveis alterações - Dependente de decisões OSI </v>
      </c>
    </row>
    <row r="83" spans="1:25" x14ac:dyDescent="0.3">
      <c r="A83" s="50" t="str">
        <f t="shared" si="4"/>
        <v>INSTRUMENT_DT_DFLT_STTS_INSTRMNT</v>
      </c>
      <c r="B83" t="s">
        <v>128</v>
      </c>
      <c r="C83" t="s">
        <v>249</v>
      </c>
      <c r="D83" t="s">
        <v>14</v>
      </c>
      <c r="E83" t="s">
        <v>35</v>
      </c>
      <c r="F83" t="s">
        <v>149</v>
      </c>
      <c r="G83" t="s">
        <v>250</v>
      </c>
      <c r="H83" t="s">
        <v>248</v>
      </c>
      <c r="I83" t="s">
        <v>29</v>
      </c>
      <c r="J83" s="15">
        <v>45957</v>
      </c>
      <c r="K83" t="s">
        <v>55</v>
      </c>
      <c r="L83" t="str">
        <f t="shared" si="5"/>
        <v>NOK</v>
      </c>
      <c r="M83" t="s">
        <v>1342</v>
      </c>
      <c r="N83" s="15">
        <v>45957</v>
      </c>
      <c r="O83" s="15">
        <v>45958</v>
      </c>
      <c r="P83" t="s">
        <v>13</v>
      </c>
      <c r="Q83" t="s">
        <v>132</v>
      </c>
      <c r="R83" t="s">
        <v>133</v>
      </c>
      <c r="S83" t="s">
        <v>133</v>
      </c>
      <c r="T83" t="s">
        <v>133</v>
      </c>
      <c r="U83" t="s">
        <v>133</v>
      </c>
      <c r="V83" t="s">
        <v>132</v>
      </c>
      <c r="W83" t="s">
        <v>138</v>
      </c>
      <c r="X83" t="s">
        <v>139</v>
      </c>
      <c r="Y83" t="str">
        <f>_xlfn.XLOOKUP(C83,[1]Especificação!$G:$G,[1]Especificação!$C:$C)</f>
        <v>C. Campos em testes ou c/ incidências</v>
      </c>
    </row>
    <row r="84" spans="1:25" x14ac:dyDescent="0.3">
      <c r="A84" s="50" t="str">
        <f t="shared" si="4"/>
        <v>INSTRUMENT_DT_END_GP_PPAL</v>
      </c>
      <c r="B84" t="s">
        <v>128</v>
      </c>
      <c r="C84" t="s">
        <v>251</v>
      </c>
      <c r="D84" t="s">
        <v>14</v>
      </c>
      <c r="E84" t="s">
        <v>36</v>
      </c>
      <c r="F84" t="s">
        <v>149</v>
      </c>
      <c r="G84" t="s">
        <v>163</v>
      </c>
      <c r="I84" t="s">
        <v>29</v>
      </c>
      <c r="J84" s="15">
        <v>45450</v>
      </c>
      <c r="K84" t="s">
        <v>36</v>
      </c>
      <c r="L84" t="str">
        <f t="shared" si="5"/>
        <v>NOK</v>
      </c>
      <c r="P84" t="s">
        <v>8</v>
      </c>
      <c r="Q84" t="s">
        <v>132</v>
      </c>
      <c r="R84" t="s">
        <v>133</v>
      </c>
      <c r="S84" t="s">
        <v>133</v>
      </c>
      <c r="T84" t="s">
        <v>133</v>
      </c>
      <c r="U84" t="s">
        <v>133</v>
      </c>
      <c r="V84" t="s">
        <v>133</v>
      </c>
      <c r="W84" t="s">
        <v>5</v>
      </c>
      <c r="X84">
        <v>0</v>
      </c>
      <c r="Y84" t="e">
        <f>_xlfn.XLOOKUP(C84,[1]Especificação!$G:$G,[1]Especificação!$C:$C)</f>
        <v>#N/A</v>
      </c>
    </row>
    <row r="85" spans="1:25" x14ac:dyDescent="0.3">
      <c r="A85" s="50" t="str">
        <f t="shared" si="4"/>
        <v>INSTRUMENT_DT_END_GP_PPAL_C19</v>
      </c>
      <c r="B85" t="s">
        <v>128</v>
      </c>
      <c r="C85" t="s">
        <v>252</v>
      </c>
      <c r="D85" t="s">
        <v>6</v>
      </c>
      <c r="E85" t="s">
        <v>38</v>
      </c>
      <c r="F85" t="s">
        <v>130</v>
      </c>
      <c r="G85" t="s">
        <v>131</v>
      </c>
      <c r="I85" t="s">
        <v>26</v>
      </c>
      <c r="J85" s="15">
        <v>45450</v>
      </c>
      <c r="K85" t="s">
        <v>38</v>
      </c>
      <c r="L85" t="str">
        <f t="shared" si="5"/>
        <v>OK</v>
      </c>
      <c r="P85" t="s">
        <v>30</v>
      </c>
      <c r="Q85" t="s">
        <v>132</v>
      </c>
      <c r="R85" t="s">
        <v>133</v>
      </c>
      <c r="S85" t="s">
        <v>133</v>
      </c>
      <c r="T85" t="s">
        <v>133</v>
      </c>
      <c r="U85" t="s">
        <v>133</v>
      </c>
      <c r="V85" t="s">
        <v>133</v>
      </c>
      <c r="W85" t="s">
        <v>5</v>
      </c>
      <c r="X85">
        <v>0</v>
      </c>
      <c r="Y85" t="e">
        <f>_xlfn.XLOOKUP(C85,[1]Especificação!$G:$G,[1]Especificação!$C:$C)</f>
        <v>#N/A</v>
      </c>
    </row>
    <row r="86" spans="1:25" x14ac:dyDescent="0.3">
      <c r="A86" s="50" t="str">
        <f t="shared" si="4"/>
        <v>INSTRUMENT_DT_END_INTRST_ONLY</v>
      </c>
      <c r="B86" t="s">
        <v>128</v>
      </c>
      <c r="C86" t="s">
        <v>253</v>
      </c>
      <c r="D86" t="s">
        <v>14</v>
      </c>
      <c r="E86" t="s">
        <v>36</v>
      </c>
      <c r="F86" t="s">
        <v>149</v>
      </c>
      <c r="G86" t="s">
        <v>163</v>
      </c>
      <c r="I86" t="s">
        <v>29</v>
      </c>
      <c r="J86" s="15">
        <v>45450</v>
      </c>
      <c r="K86" t="s">
        <v>36</v>
      </c>
      <c r="L86" t="str">
        <f t="shared" si="5"/>
        <v>NOK</v>
      </c>
      <c r="P86" t="s">
        <v>8</v>
      </c>
      <c r="Q86" t="s">
        <v>132</v>
      </c>
      <c r="R86" t="s">
        <v>133</v>
      </c>
      <c r="S86" t="s">
        <v>133</v>
      </c>
      <c r="T86" t="s">
        <v>133</v>
      </c>
      <c r="U86" t="s">
        <v>133</v>
      </c>
      <c r="V86" t="s">
        <v>133</v>
      </c>
      <c r="W86" t="s">
        <v>5</v>
      </c>
      <c r="X86">
        <v>0</v>
      </c>
      <c r="Y86" t="e">
        <f>_xlfn.XLOOKUP(C86,[1]Especificação!$G:$G,[1]Especificação!$C:$C)</f>
        <v>#N/A</v>
      </c>
    </row>
    <row r="87" spans="1:25" x14ac:dyDescent="0.3">
      <c r="A87" s="50" t="str">
        <f t="shared" si="4"/>
        <v>INSTRUMENT_DT_END_INTRST_ONLY_C19</v>
      </c>
      <c r="B87" t="s">
        <v>128</v>
      </c>
      <c r="C87" t="s">
        <v>254</v>
      </c>
      <c r="D87" t="s">
        <v>6</v>
      </c>
      <c r="E87" t="s">
        <v>38</v>
      </c>
      <c r="F87" t="s">
        <v>130</v>
      </c>
      <c r="G87" t="s">
        <v>131</v>
      </c>
      <c r="I87" t="s">
        <v>26</v>
      </c>
      <c r="J87" s="15">
        <v>45450</v>
      </c>
      <c r="K87" t="s">
        <v>38</v>
      </c>
      <c r="L87" t="str">
        <f t="shared" si="5"/>
        <v>OK</v>
      </c>
      <c r="P87" t="s">
        <v>30</v>
      </c>
      <c r="Q87" t="s">
        <v>132</v>
      </c>
      <c r="R87" t="s">
        <v>133</v>
      </c>
      <c r="S87" t="s">
        <v>133</v>
      </c>
      <c r="T87" t="s">
        <v>133</v>
      </c>
      <c r="U87" t="s">
        <v>133</v>
      </c>
      <c r="V87" t="s">
        <v>133</v>
      </c>
      <c r="W87" t="s">
        <v>5</v>
      </c>
      <c r="X87">
        <v>0</v>
      </c>
      <c r="Y87" t="e">
        <f>_xlfn.XLOOKUP(C87,[1]Especificação!$G:$G,[1]Especificação!$C:$C)</f>
        <v>#N/A</v>
      </c>
    </row>
    <row r="88" spans="1:25" x14ac:dyDescent="0.3">
      <c r="A88" s="50" t="str">
        <f t="shared" si="4"/>
        <v>PROTECTION_CNSTRCTN_STTS</v>
      </c>
      <c r="B88" t="s">
        <v>161</v>
      </c>
      <c r="C88" s="11" t="s">
        <v>255</v>
      </c>
      <c r="D88" t="s">
        <v>6</v>
      </c>
      <c r="E88" t="s">
        <v>25</v>
      </c>
      <c r="F88" t="s">
        <v>149</v>
      </c>
      <c r="G88" t="s">
        <v>256</v>
      </c>
      <c r="H88" t="s">
        <v>238</v>
      </c>
      <c r="I88" t="s">
        <v>26</v>
      </c>
      <c r="J88" s="15">
        <v>45670</v>
      </c>
      <c r="K88" t="s">
        <v>38</v>
      </c>
      <c r="L88" t="s">
        <v>130</v>
      </c>
      <c r="N88" s="15">
        <v>45513</v>
      </c>
      <c r="O88" s="15">
        <v>45646</v>
      </c>
      <c r="P88" t="s">
        <v>24</v>
      </c>
      <c r="Q88" t="s">
        <v>132</v>
      </c>
      <c r="R88" t="s">
        <v>133</v>
      </c>
      <c r="S88" t="s">
        <v>133</v>
      </c>
      <c r="T88" t="s">
        <v>133</v>
      </c>
      <c r="U88" t="s">
        <v>133</v>
      </c>
      <c r="V88" t="s">
        <v>133</v>
      </c>
      <c r="W88" t="s">
        <v>5</v>
      </c>
      <c r="X88">
        <v>0</v>
      </c>
      <c r="Y88" t="e">
        <f>_xlfn.XLOOKUP(C88,[1]Especificação!$G:$G,[1]Especificação!$C:$C)</f>
        <v>#N/A</v>
      </c>
    </row>
    <row r="89" spans="1:25" x14ac:dyDescent="0.3">
      <c r="A89" s="50" t="str">
        <f t="shared" si="4"/>
        <v>ENTITY_DT_FNNCL_STTMTS</v>
      </c>
      <c r="B89" t="s">
        <v>142</v>
      </c>
      <c r="C89" t="s">
        <v>257</v>
      </c>
      <c r="D89" t="s">
        <v>14</v>
      </c>
      <c r="E89" t="s">
        <v>25</v>
      </c>
      <c r="F89" t="s">
        <v>149</v>
      </c>
      <c r="G89" t="s">
        <v>144</v>
      </c>
      <c r="H89" t="s">
        <v>145</v>
      </c>
      <c r="I89" t="s">
        <v>29</v>
      </c>
      <c r="J89" s="15">
        <v>45450</v>
      </c>
      <c r="K89" t="s">
        <v>25</v>
      </c>
      <c r="L89" t="str">
        <f t="shared" ref="L89:L101" si="6">F89</f>
        <v>NOK</v>
      </c>
      <c r="P89" t="s">
        <v>13</v>
      </c>
      <c r="Q89" t="s">
        <v>132</v>
      </c>
      <c r="R89" t="s">
        <v>133</v>
      </c>
      <c r="S89" t="s">
        <v>133</v>
      </c>
      <c r="T89" t="s">
        <v>133</v>
      </c>
      <c r="U89" t="s">
        <v>133</v>
      </c>
      <c r="V89" t="s">
        <v>132</v>
      </c>
      <c r="W89" t="s">
        <v>146</v>
      </c>
      <c r="X89" t="s">
        <v>147</v>
      </c>
      <c r="Y89" t="str">
        <f>_xlfn.XLOOKUP(C89,[1]Especificação!$G:$G,[1]Especificação!$C:$C)</f>
        <v>F4. Fora âmbito | Re-especificação de campos complexos - Dem. Fin. CIB</v>
      </c>
    </row>
    <row r="90" spans="1:25" x14ac:dyDescent="0.3">
      <c r="A90" s="50" t="str">
        <f t="shared" si="4"/>
        <v>ENTITY_DT_FNNCL_STTMTS_PRVS</v>
      </c>
      <c r="B90" t="s">
        <v>142</v>
      </c>
      <c r="C90" t="s">
        <v>258</v>
      </c>
      <c r="D90" t="s">
        <v>14</v>
      </c>
      <c r="E90" t="s">
        <v>25</v>
      </c>
      <c r="F90" t="s">
        <v>149</v>
      </c>
      <c r="G90" t="s">
        <v>144</v>
      </c>
      <c r="H90" t="s">
        <v>145</v>
      </c>
      <c r="I90" t="s">
        <v>29</v>
      </c>
      <c r="J90" s="15">
        <v>45450</v>
      </c>
      <c r="K90" t="s">
        <v>25</v>
      </c>
      <c r="L90" t="str">
        <f t="shared" si="6"/>
        <v>NOK</v>
      </c>
      <c r="P90" t="s">
        <v>13</v>
      </c>
      <c r="Q90" t="s">
        <v>132</v>
      </c>
      <c r="R90" t="s">
        <v>133</v>
      </c>
      <c r="S90" t="s">
        <v>133</v>
      </c>
      <c r="T90" t="s">
        <v>133</v>
      </c>
      <c r="U90" t="s">
        <v>133</v>
      </c>
      <c r="V90" t="s">
        <v>132</v>
      </c>
      <c r="W90" t="s">
        <v>146</v>
      </c>
      <c r="X90" t="s">
        <v>147</v>
      </c>
      <c r="Y90" t="str">
        <f>_xlfn.XLOOKUP(C90,[1]Especificação!$G:$G,[1]Especificação!$C:$C)</f>
        <v>F4. Fora âmbito | Re-especificação de campos complexos - Dem. Fin. CIB</v>
      </c>
    </row>
    <row r="91" spans="1:25" x14ac:dyDescent="0.3">
      <c r="A91" s="50" t="str">
        <f t="shared" si="4"/>
        <v>INSTRUMENT_RCVD_INTRST_24M</v>
      </c>
      <c r="B91" t="s">
        <v>128</v>
      </c>
      <c r="C91" t="s">
        <v>259</v>
      </c>
      <c r="D91" t="s">
        <v>14</v>
      </c>
      <c r="E91" t="s">
        <v>25</v>
      </c>
      <c r="F91" t="s">
        <v>130</v>
      </c>
      <c r="G91" t="s">
        <v>260</v>
      </c>
      <c r="I91" t="s">
        <v>29</v>
      </c>
      <c r="J91" s="15">
        <v>45958</v>
      </c>
      <c r="K91" t="s">
        <v>38</v>
      </c>
      <c r="L91" t="s">
        <v>130</v>
      </c>
      <c r="O91" s="15">
        <v>45958</v>
      </c>
      <c r="P91" t="s">
        <v>13</v>
      </c>
      <c r="Q91" t="s">
        <v>132</v>
      </c>
      <c r="R91" t="s">
        <v>133</v>
      </c>
      <c r="S91" t="s">
        <v>133</v>
      </c>
      <c r="T91" t="s">
        <v>133</v>
      </c>
      <c r="U91" t="s">
        <v>133</v>
      </c>
      <c r="V91" t="s">
        <v>132</v>
      </c>
      <c r="W91" t="s">
        <v>138</v>
      </c>
      <c r="X91" t="s">
        <v>153</v>
      </c>
      <c r="Y91" t="str">
        <f>_xlfn.XLOOKUP(C91,[1]Especificação!$G:$G,[1]Especificação!$C:$C)</f>
        <v>B2. Re-especificação de campos complexos - Resto</v>
      </c>
    </row>
    <row r="92" spans="1:25" x14ac:dyDescent="0.3">
      <c r="A92" s="50" t="str">
        <f t="shared" si="4"/>
        <v>INSTRUMENT_DT_FRBRNC_STTS_C19</v>
      </c>
      <c r="B92" t="s">
        <v>128</v>
      </c>
      <c r="C92" t="s">
        <v>261</v>
      </c>
      <c r="D92" t="s">
        <v>6</v>
      </c>
      <c r="E92" t="s">
        <v>38</v>
      </c>
      <c r="F92" t="s">
        <v>130</v>
      </c>
      <c r="G92" t="s">
        <v>131</v>
      </c>
      <c r="I92" t="s">
        <v>26</v>
      </c>
      <c r="J92" s="15">
        <v>45450</v>
      </c>
      <c r="K92" t="s">
        <v>38</v>
      </c>
      <c r="L92" t="str">
        <f t="shared" si="6"/>
        <v>OK</v>
      </c>
      <c r="P92" t="s">
        <v>30</v>
      </c>
      <c r="Q92" t="s">
        <v>132</v>
      </c>
      <c r="R92" t="s">
        <v>133</v>
      </c>
      <c r="S92" t="s">
        <v>133</v>
      </c>
      <c r="T92" t="s">
        <v>133</v>
      </c>
      <c r="U92" t="s">
        <v>133</v>
      </c>
      <c r="V92" t="s">
        <v>133</v>
      </c>
      <c r="W92" t="s">
        <v>5</v>
      </c>
      <c r="X92">
        <v>0</v>
      </c>
      <c r="Y92" t="e">
        <f>_xlfn.XLOOKUP(C92,[1]Especificação!$G:$G,[1]Especificação!$C:$C)</f>
        <v>#N/A</v>
      </c>
    </row>
    <row r="93" spans="1:25" x14ac:dyDescent="0.3">
      <c r="A93" s="50" t="str">
        <f t="shared" si="4"/>
        <v>INSTRUMENT_RCVD_INTRST_12M</v>
      </c>
      <c r="B93" t="s">
        <v>128</v>
      </c>
      <c r="C93" t="s">
        <v>262</v>
      </c>
      <c r="D93" t="s">
        <v>14</v>
      </c>
      <c r="E93" t="s">
        <v>25</v>
      </c>
      <c r="F93" t="s">
        <v>149</v>
      </c>
      <c r="G93" t="s">
        <v>178</v>
      </c>
      <c r="I93" t="s">
        <v>29</v>
      </c>
      <c r="J93" s="15">
        <v>45958</v>
      </c>
      <c r="K93" t="s">
        <v>38</v>
      </c>
      <c r="L93" t="s">
        <v>130</v>
      </c>
      <c r="O93" s="15">
        <v>45958</v>
      </c>
      <c r="P93" t="s">
        <v>13</v>
      </c>
      <c r="Q93" t="s">
        <v>132</v>
      </c>
      <c r="R93" t="s">
        <v>133</v>
      </c>
      <c r="S93" t="s">
        <v>133</v>
      </c>
      <c r="T93" t="s">
        <v>133</v>
      </c>
      <c r="U93" t="s">
        <v>133</v>
      </c>
      <c r="V93" t="s">
        <v>132</v>
      </c>
      <c r="W93" t="s">
        <v>138</v>
      </c>
      <c r="X93" t="s">
        <v>153</v>
      </c>
      <c r="Y93" t="str">
        <f>_xlfn.XLOOKUP(C93,[1]Especificação!$G:$G,[1]Especificação!$C:$C)</f>
        <v>B2. Re-especificação de campos complexos - Resto</v>
      </c>
    </row>
    <row r="94" spans="1:25" x14ac:dyDescent="0.3">
      <c r="A94" s="50" t="str">
        <f t="shared" si="4"/>
        <v>INSTRUMENT_DT_FRBRNC_STTS_PRVS_C19</v>
      </c>
      <c r="B94" t="s">
        <v>128</v>
      </c>
      <c r="C94" t="s">
        <v>263</v>
      </c>
      <c r="D94" t="s">
        <v>6</v>
      </c>
      <c r="E94" t="s">
        <v>38</v>
      </c>
      <c r="F94" t="s">
        <v>130</v>
      </c>
      <c r="G94" t="s">
        <v>131</v>
      </c>
      <c r="I94" t="s">
        <v>26</v>
      </c>
      <c r="J94" s="15">
        <v>45450</v>
      </c>
      <c r="K94" t="s">
        <v>38</v>
      </c>
      <c r="L94" t="str">
        <f t="shared" si="6"/>
        <v>OK</v>
      </c>
      <c r="P94" t="s">
        <v>30</v>
      </c>
      <c r="Q94" t="s">
        <v>132</v>
      </c>
      <c r="R94" t="s">
        <v>133</v>
      </c>
      <c r="S94" t="s">
        <v>133</v>
      </c>
      <c r="T94" t="s">
        <v>133</v>
      </c>
      <c r="U94" t="s">
        <v>133</v>
      </c>
      <c r="V94" t="s">
        <v>133</v>
      </c>
      <c r="W94" t="s">
        <v>5</v>
      </c>
      <c r="X94">
        <v>0</v>
      </c>
      <c r="Y94" t="e">
        <f>_xlfn.XLOOKUP(C94,[1]Especificação!$G:$G,[1]Especificação!$C:$C)</f>
        <v>#N/A</v>
      </c>
    </row>
    <row r="95" spans="1:25" x14ac:dyDescent="0.3">
      <c r="A95" s="50" t="str">
        <f t="shared" si="4"/>
        <v>PROTECTION_DT_FRST_USG</v>
      </c>
      <c r="B95" t="s">
        <v>161</v>
      </c>
      <c r="C95" t="s">
        <v>264</v>
      </c>
      <c r="D95" t="s">
        <v>6</v>
      </c>
      <c r="E95" t="s">
        <v>36</v>
      </c>
      <c r="F95" t="s">
        <v>149</v>
      </c>
      <c r="G95" t="s">
        <v>265</v>
      </c>
      <c r="I95" t="s">
        <v>29</v>
      </c>
      <c r="J95" s="15">
        <v>45450</v>
      </c>
      <c r="K95" t="s">
        <v>36</v>
      </c>
      <c r="L95" t="str">
        <f t="shared" si="6"/>
        <v>NOK</v>
      </c>
      <c r="P95" t="s">
        <v>8</v>
      </c>
      <c r="Q95" t="s">
        <v>132</v>
      </c>
      <c r="R95" t="s">
        <v>133</v>
      </c>
      <c r="S95" t="s">
        <v>133</v>
      </c>
      <c r="T95" t="s">
        <v>133</v>
      </c>
      <c r="U95" t="s">
        <v>133</v>
      </c>
      <c r="V95" t="s">
        <v>133</v>
      </c>
      <c r="W95" t="s">
        <v>5</v>
      </c>
      <c r="X95">
        <v>0</v>
      </c>
      <c r="Y95" t="e">
        <f>_xlfn.XLOOKUP(C95,[1]Especificação!$G:$G,[1]Especificação!$C:$C)</f>
        <v>#N/A</v>
      </c>
    </row>
    <row r="96" spans="1:25" x14ac:dyDescent="0.3">
      <c r="A96" s="50" t="str">
        <f t="shared" si="4"/>
        <v>INSTRUMENT_DT_IMPRMNT_STTS</v>
      </c>
      <c r="B96" t="s">
        <v>128</v>
      </c>
      <c r="C96" s="11" t="s">
        <v>51</v>
      </c>
      <c r="D96" t="s">
        <v>14</v>
      </c>
      <c r="E96" t="s">
        <v>28</v>
      </c>
      <c r="F96" t="s">
        <v>149</v>
      </c>
      <c r="G96" t="s">
        <v>159</v>
      </c>
      <c r="H96" t="s">
        <v>266</v>
      </c>
      <c r="I96" t="s">
        <v>32</v>
      </c>
      <c r="J96" s="15">
        <v>45952</v>
      </c>
      <c r="K96" t="s">
        <v>38</v>
      </c>
      <c r="L96" t="s">
        <v>130</v>
      </c>
      <c r="N96" s="15">
        <v>45562</v>
      </c>
      <c r="O96" s="15">
        <v>45952</v>
      </c>
      <c r="P96" t="s">
        <v>39</v>
      </c>
      <c r="Q96" t="s">
        <v>132</v>
      </c>
      <c r="R96" t="s">
        <v>133</v>
      </c>
      <c r="S96" t="s">
        <v>133</v>
      </c>
      <c r="T96" t="s">
        <v>133</v>
      </c>
      <c r="U96" t="s">
        <v>133</v>
      </c>
      <c r="V96" t="s">
        <v>132</v>
      </c>
      <c r="W96" t="s">
        <v>5</v>
      </c>
      <c r="X96" t="s">
        <v>267</v>
      </c>
      <c r="Y96" t="str">
        <f>_xlfn.XLOOKUP(C96,[1]Especificação!$G:$G,[1]Especificação!$C:$C)</f>
        <v>F2. Fora âmbito | Campos em testes ou c/ incidências (LT - PM)</v>
      </c>
    </row>
    <row r="97" spans="1:25" x14ac:dyDescent="0.3">
      <c r="A97" s="50" t="str">
        <f t="shared" si="4"/>
        <v>INSTRUMENT_DT_IMPRMNT_STTS_PRVS</v>
      </c>
      <c r="B97" t="s">
        <v>128</v>
      </c>
      <c r="C97" s="11" t="s">
        <v>52</v>
      </c>
      <c r="D97" t="s">
        <v>14</v>
      </c>
      <c r="E97" t="s">
        <v>28</v>
      </c>
      <c r="F97" t="s">
        <v>149</v>
      </c>
      <c r="G97" t="s">
        <v>159</v>
      </c>
      <c r="H97" t="s">
        <v>266</v>
      </c>
      <c r="I97" t="s">
        <v>32</v>
      </c>
      <c r="J97" s="15">
        <v>45952</v>
      </c>
      <c r="K97" t="s">
        <v>38</v>
      </c>
      <c r="L97" t="s">
        <v>130</v>
      </c>
      <c r="N97" s="15">
        <v>45562</v>
      </c>
      <c r="O97" s="15">
        <v>45952</v>
      </c>
      <c r="P97" t="s">
        <v>39</v>
      </c>
      <c r="Q97" t="s">
        <v>132</v>
      </c>
      <c r="R97" t="s">
        <v>133</v>
      </c>
      <c r="S97" t="s">
        <v>133</v>
      </c>
      <c r="T97" t="s">
        <v>133</v>
      </c>
      <c r="U97" t="s">
        <v>133</v>
      </c>
      <c r="V97" t="s">
        <v>133</v>
      </c>
      <c r="W97" t="s">
        <v>5</v>
      </c>
      <c r="X97">
        <v>0</v>
      </c>
      <c r="Y97" t="e">
        <f>_xlfn.XLOOKUP(C97,[1]Especificação!$G:$G,[1]Especificação!$C:$C)</f>
        <v>#N/A</v>
      </c>
    </row>
    <row r="98" spans="1:25" x14ac:dyDescent="0.3">
      <c r="A98" s="50" t="str">
        <f t="shared" si="4"/>
        <v>INSTRUMENT_DT_INCPTN</v>
      </c>
      <c r="B98" t="s">
        <v>128</v>
      </c>
      <c r="C98" t="s">
        <v>268</v>
      </c>
      <c r="D98" t="s">
        <v>14</v>
      </c>
      <c r="E98" t="s">
        <v>36</v>
      </c>
      <c r="F98" t="s">
        <v>149</v>
      </c>
      <c r="G98" t="s">
        <v>163</v>
      </c>
      <c r="I98" t="s">
        <v>29</v>
      </c>
      <c r="J98" s="15">
        <v>45958</v>
      </c>
      <c r="K98" t="s">
        <v>38</v>
      </c>
      <c r="O98" s="15">
        <v>45958</v>
      </c>
      <c r="P98" t="s">
        <v>8</v>
      </c>
      <c r="Q98" t="s">
        <v>132</v>
      </c>
      <c r="R98" t="s">
        <v>133</v>
      </c>
      <c r="S98" t="s">
        <v>132</v>
      </c>
      <c r="T98" t="s">
        <v>133</v>
      </c>
      <c r="U98" t="s">
        <v>133</v>
      </c>
      <c r="V98" t="s">
        <v>132</v>
      </c>
      <c r="W98" t="s">
        <v>138</v>
      </c>
      <c r="X98" t="s">
        <v>166</v>
      </c>
      <c r="Y98" t="str">
        <f>_xlfn.XLOOKUP(C98,[1]Especificação!$G:$G,[1]Especificação!$C:$C)</f>
        <v>D. Campos com NOK controlos Corporativos</v>
      </c>
    </row>
    <row r="99" spans="1:25" x14ac:dyDescent="0.3">
      <c r="A99" s="50" t="str">
        <f t="shared" si="4"/>
        <v>ENTITY_DT_INTRNL_RTNG</v>
      </c>
      <c r="B99" t="s">
        <v>142</v>
      </c>
      <c r="C99" s="10" t="s">
        <v>269</v>
      </c>
      <c r="D99" t="s">
        <v>14</v>
      </c>
      <c r="E99" t="s">
        <v>33</v>
      </c>
      <c r="F99" t="s">
        <v>149</v>
      </c>
      <c r="G99" t="s">
        <v>270</v>
      </c>
      <c r="I99" t="s">
        <v>32</v>
      </c>
      <c r="J99" s="15">
        <v>45958</v>
      </c>
      <c r="K99" t="s">
        <v>55</v>
      </c>
      <c r="L99" t="str">
        <f t="shared" si="6"/>
        <v>NOK</v>
      </c>
      <c r="N99" s="15"/>
      <c r="O99" s="15">
        <v>45958</v>
      </c>
      <c r="P99" t="s">
        <v>24</v>
      </c>
      <c r="Q99" t="s">
        <v>132</v>
      </c>
      <c r="R99" t="s">
        <v>133</v>
      </c>
      <c r="S99" t="s">
        <v>133</v>
      </c>
      <c r="T99" t="s">
        <v>133</v>
      </c>
      <c r="U99" t="s">
        <v>133</v>
      </c>
      <c r="V99" t="s">
        <v>132</v>
      </c>
      <c r="W99" t="s">
        <v>138</v>
      </c>
      <c r="X99" t="s">
        <v>139</v>
      </c>
      <c r="Y99" t="str">
        <f>_xlfn.XLOOKUP(C99,[1]Especificação!$G:$G,[1]Especificação!$C:$C)</f>
        <v>C. Campos em testes ou c/ incidências</v>
      </c>
    </row>
    <row r="100" spans="1:25" x14ac:dyDescent="0.3">
      <c r="A100" s="50" t="str">
        <f t="shared" si="4"/>
        <v>INSTRUMENT_DT_INTRNL_RTNG</v>
      </c>
      <c r="B100" t="s">
        <v>128</v>
      </c>
      <c r="C100" s="10" t="s">
        <v>269</v>
      </c>
      <c r="D100" t="s">
        <v>14</v>
      </c>
      <c r="E100" t="s">
        <v>33</v>
      </c>
      <c r="F100" t="s">
        <v>149</v>
      </c>
      <c r="G100" t="s">
        <v>271</v>
      </c>
      <c r="I100" t="s">
        <v>32</v>
      </c>
      <c r="J100" s="15">
        <v>45958</v>
      </c>
      <c r="K100" t="s">
        <v>55</v>
      </c>
      <c r="L100" t="str">
        <f t="shared" si="6"/>
        <v>NOK</v>
      </c>
      <c r="N100" s="15"/>
      <c r="O100" s="15">
        <v>45958</v>
      </c>
      <c r="P100" t="s">
        <v>24</v>
      </c>
      <c r="Q100" t="s">
        <v>132</v>
      </c>
      <c r="R100" t="s">
        <v>133</v>
      </c>
      <c r="S100" t="s">
        <v>133</v>
      </c>
      <c r="T100" t="s">
        <v>133</v>
      </c>
      <c r="U100" t="s">
        <v>133</v>
      </c>
      <c r="V100" t="s">
        <v>132</v>
      </c>
      <c r="W100" t="s">
        <v>138</v>
      </c>
      <c r="X100" t="s">
        <v>139</v>
      </c>
      <c r="Y100" t="str">
        <f>_xlfn.XLOOKUP(C100,[1]Especificação!$G:$G,[1]Especificação!$C:$C)</f>
        <v>C. Campos em testes ou c/ incidências</v>
      </c>
    </row>
    <row r="101" spans="1:25" x14ac:dyDescent="0.3">
      <c r="A101" s="50" t="str">
        <f t="shared" si="4"/>
        <v>ENTITY_DT_INTTN_LGL_PRCDNGS_LE</v>
      </c>
      <c r="B101" t="s">
        <v>142</v>
      </c>
      <c r="C101" t="s">
        <v>272</v>
      </c>
      <c r="D101" t="s">
        <v>14</v>
      </c>
      <c r="E101" t="s">
        <v>38</v>
      </c>
      <c r="F101" t="s">
        <v>130</v>
      </c>
      <c r="G101" t="s">
        <v>131</v>
      </c>
      <c r="I101" t="s">
        <v>26</v>
      </c>
      <c r="J101" s="15">
        <v>45450</v>
      </c>
      <c r="K101" t="s">
        <v>38</v>
      </c>
      <c r="L101" t="str">
        <f t="shared" si="6"/>
        <v>OK</v>
      </c>
      <c r="P101" t="s">
        <v>30</v>
      </c>
      <c r="Q101" t="s">
        <v>132</v>
      </c>
      <c r="R101" t="s">
        <v>133</v>
      </c>
      <c r="S101" t="s">
        <v>133</v>
      </c>
      <c r="T101" t="s">
        <v>133</v>
      </c>
      <c r="U101" t="s">
        <v>133</v>
      </c>
      <c r="V101" t="s">
        <v>132</v>
      </c>
      <c r="W101" t="s">
        <v>5</v>
      </c>
      <c r="X101" t="s">
        <v>135</v>
      </c>
      <c r="Y101" t="str">
        <f>_xlfn.XLOOKUP(C101,[1]Especificação!$G:$G,[1]Especificação!$C:$C)</f>
        <v>F1. Fora âmbito | Campos concluídos - Sem necessidade de espec.</v>
      </c>
    </row>
    <row r="102" spans="1:25" x14ac:dyDescent="0.3">
      <c r="A102" s="50" t="str">
        <f t="shared" si="4"/>
        <v>PROTECTION_DVLPMNT_STTS</v>
      </c>
      <c r="B102" t="s">
        <v>161</v>
      </c>
      <c r="C102" s="10" t="s">
        <v>273</v>
      </c>
      <c r="D102" t="s">
        <v>14</v>
      </c>
      <c r="E102" t="s">
        <v>25</v>
      </c>
      <c r="F102" t="s">
        <v>149</v>
      </c>
      <c r="G102" t="s">
        <v>274</v>
      </c>
      <c r="H102" t="s">
        <v>238</v>
      </c>
      <c r="I102" t="s">
        <v>26</v>
      </c>
      <c r="J102" s="15">
        <v>45670</v>
      </c>
      <c r="K102" t="s">
        <v>38</v>
      </c>
      <c r="L102" t="s">
        <v>130</v>
      </c>
      <c r="M102" t="s">
        <v>275</v>
      </c>
      <c r="N102" s="15">
        <v>45513</v>
      </c>
      <c r="O102" s="15">
        <v>45646</v>
      </c>
      <c r="P102" t="s">
        <v>24</v>
      </c>
      <c r="Q102" t="s">
        <v>132</v>
      </c>
      <c r="R102" t="s">
        <v>133</v>
      </c>
      <c r="S102" t="s">
        <v>133</v>
      </c>
      <c r="T102" t="s">
        <v>133</v>
      </c>
      <c r="U102" t="s">
        <v>133</v>
      </c>
      <c r="V102" t="s">
        <v>133</v>
      </c>
      <c r="W102" t="s">
        <v>5</v>
      </c>
      <c r="X102">
        <v>0</v>
      </c>
      <c r="Y102" t="e">
        <f>_xlfn.XLOOKUP(C102,[1]Especificação!$G:$G,[1]Especificação!$C:$C)</f>
        <v>#N/A</v>
      </c>
    </row>
    <row r="103" spans="1:25" x14ac:dyDescent="0.3">
      <c r="A103" s="50" t="str">
        <f t="shared" si="4"/>
        <v>PROTECTION_DT_LST_FLL_APPRSL</v>
      </c>
      <c r="B103" t="s">
        <v>161</v>
      </c>
      <c r="C103" s="10" t="s">
        <v>276</v>
      </c>
      <c r="D103" t="s">
        <v>14</v>
      </c>
      <c r="E103" t="s">
        <v>35</v>
      </c>
      <c r="F103" t="s">
        <v>149</v>
      </c>
      <c r="G103" t="s">
        <v>186</v>
      </c>
      <c r="H103" t="s">
        <v>187</v>
      </c>
      <c r="I103" t="s">
        <v>26</v>
      </c>
      <c r="J103" s="15">
        <v>45670</v>
      </c>
      <c r="K103" t="s">
        <v>38</v>
      </c>
      <c r="L103" t="s">
        <v>130</v>
      </c>
      <c r="M103" t="s">
        <v>277</v>
      </c>
      <c r="N103" s="15">
        <v>45471</v>
      </c>
      <c r="O103" s="15">
        <v>45646</v>
      </c>
      <c r="P103" t="s">
        <v>24</v>
      </c>
      <c r="Q103" t="s">
        <v>132</v>
      </c>
      <c r="R103" t="s">
        <v>133</v>
      </c>
      <c r="S103" t="s">
        <v>133</v>
      </c>
      <c r="T103" t="s">
        <v>133</v>
      </c>
      <c r="U103" t="s">
        <v>133</v>
      </c>
      <c r="V103" t="s">
        <v>133</v>
      </c>
      <c r="W103" t="s">
        <v>5</v>
      </c>
      <c r="X103">
        <v>0</v>
      </c>
      <c r="Y103" t="e">
        <f>_xlfn.XLOOKUP(C103,[1]Especificação!$G:$G,[1]Especificação!$C:$C)</f>
        <v>#N/A</v>
      </c>
    </row>
    <row r="104" spans="1:25" x14ac:dyDescent="0.3">
      <c r="A104" s="50" t="str">
        <f t="shared" si="4"/>
        <v>PROTECTION_DT_MTRTY_PRTCTN</v>
      </c>
      <c r="B104" t="s">
        <v>161</v>
      </c>
      <c r="C104" t="s">
        <v>278</v>
      </c>
      <c r="D104" t="s">
        <v>14</v>
      </c>
      <c r="E104" t="s">
        <v>36</v>
      </c>
      <c r="F104" t="s">
        <v>149</v>
      </c>
      <c r="G104" t="s">
        <v>265</v>
      </c>
      <c r="I104" t="s">
        <v>29</v>
      </c>
      <c r="J104" s="15">
        <v>45450</v>
      </c>
      <c r="K104" t="s">
        <v>36</v>
      </c>
      <c r="L104" t="str">
        <f>F104</f>
        <v>NOK</v>
      </c>
      <c r="P104" t="s">
        <v>8</v>
      </c>
      <c r="Q104" t="s">
        <v>132</v>
      </c>
      <c r="R104" t="s">
        <v>133</v>
      </c>
      <c r="S104" t="s">
        <v>133</v>
      </c>
      <c r="T104" t="s">
        <v>133</v>
      </c>
      <c r="U104" t="s">
        <v>133</v>
      </c>
      <c r="V104" t="s">
        <v>133</v>
      </c>
      <c r="W104" t="s">
        <v>5</v>
      </c>
      <c r="X104">
        <v>0</v>
      </c>
      <c r="Y104" t="e">
        <f>_xlfn.XLOOKUP(C104,[1]Especificação!$G:$G,[1]Especificação!$C:$C)</f>
        <v>#N/A</v>
      </c>
    </row>
    <row r="105" spans="1:25" x14ac:dyDescent="0.3">
      <c r="A105" s="50" t="str">
        <f t="shared" si="4"/>
        <v>INSTRUMENT_SICR_ASSSSMNT_MTHD</v>
      </c>
      <c r="B105" t="s">
        <v>128</v>
      </c>
      <c r="C105" s="10" t="s">
        <v>279</v>
      </c>
      <c r="D105" t="s">
        <v>14</v>
      </c>
      <c r="E105" t="s">
        <v>28</v>
      </c>
      <c r="F105" t="s">
        <v>130</v>
      </c>
      <c r="G105" t="s">
        <v>280</v>
      </c>
      <c r="I105" t="s">
        <v>26</v>
      </c>
      <c r="J105" s="15">
        <v>45471</v>
      </c>
      <c r="K105" t="s">
        <v>38</v>
      </c>
      <c r="L105" t="str">
        <f>F105</f>
        <v>OK</v>
      </c>
      <c r="M105" t="s">
        <v>281</v>
      </c>
      <c r="O105" s="43" t="s">
        <v>282</v>
      </c>
      <c r="P105" t="s">
        <v>30</v>
      </c>
      <c r="Q105" t="s">
        <v>132</v>
      </c>
      <c r="R105" t="s">
        <v>133</v>
      </c>
      <c r="S105" t="s">
        <v>133</v>
      </c>
      <c r="T105" t="s">
        <v>133</v>
      </c>
      <c r="U105" t="s">
        <v>133</v>
      </c>
      <c r="V105" t="s">
        <v>132</v>
      </c>
      <c r="W105" t="s">
        <v>5</v>
      </c>
      <c r="X105" t="s">
        <v>135</v>
      </c>
      <c r="Y105" t="str">
        <f>_xlfn.XLOOKUP(C105,[1]Especificação!$G:$G,[1]Especificação!$C:$C)</f>
        <v>F1. Fora âmbito | Campos concluídos - Sem necessidade de espec.</v>
      </c>
    </row>
    <row r="106" spans="1:25" x14ac:dyDescent="0.3">
      <c r="A106" s="50" t="str">
        <f t="shared" si="4"/>
        <v>INSTRUMENT_DT_ORGNL_MTRTY</v>
      </c>
      <c r="B106" t="s">
        <v>128</v>
      </c>
      <c r="C106" t="s">
        <v>283</v>
      </c>
      <c r="D106" t="s">
        <v>14</v>
      </c>
      <c r="E106" t="s">
        <v>36</v>
      </c>
      <c r="F106" t="s">
        <v>149</v>
      </c>
      <c r="G106" t="s">
        <v>163</v>
      </c>
      <c r="I106" t="s">
        <v>29</v>
      </c>
      <c r="J106" s="15">
        <v>45958</v>
      </c>
      <c r="K106" t="s">
        <v>38</v>
      </c>
      <c r="O106" s="15">
        <v>45958</v>
      </c>
      <c r="P106" t="s">
        <v>8</v>
      </c>
      <c r="Q106" t="s">
        <v>132</v>
      </c>
      <c r="R106" t="s">
        <v>133</v>
      </c>
      <c r="S106" t="s">
        <v>133</v>
      </c>
      <c r="T106" t="s">
        <v>133</v>
      </c>
      <c r="U106" t="s">
        <v>133</v>
      </c>
      <c r="V106" t="s">
        <v>132</v>
      </c>
      <c r="W106" t="s">
        <v>138</v>
      </c>
      <c r="X106" t="s">
        <v>166</v>
      </c>
      <c r="Y106" t="str">
        <f>_xlfn.XLOOKUP(C106,[1]Especificação!$G:$G,[1]Especificação!$C:$C)</f>
        <v>D. Campos com NOK controlos Corporativos</v>
      </c>
    </row>
    <row r="107" spans="1:25" x14ac:dyDescent="0.3">
      <c r="A107" s="50" t="str">
        <f t="shared" si="4"/>
        <v>PROTECTION_NTNL_ID</v>
      </c>
      <c r="B107" t="s">
        <v>161</v>
      </c>
      <c r="C107" s="10" t="s">
        <v>284</v>
      </c>
      <c r="D107" t="s">
        <v>14</v>
      </c>
      <c r="E107" t="s">
        <v>35</v>
      </c>
      <c r="F107" t="s">
        <v>149</v>
      </c>
      <c r="G107" t="s">
        <v>285</v>
      </c>
      <c r="I107" t="s">
        <v>26</v>
      </c>
      <c r="J107" s="15">
        <v>45670</v>
      </c>
      <c r="K107" t="s">
        <v>38</v>
      </c>
      <c r="L107" t="s">
        <v>130</v>
      </c>
      <c r="N107" s="15">
        <v>45513</v>
      </c>
      <c r="O107" s="15">
        <v>45646</v>
      </c>
      <c r="P107" t="s">
        <v>24</v>
      </c>
      <c r="Q107" t="s">
        <v>132</v>
      </c>
      <c r="R107" t="s">
        <v>133</v>
      </c>
      <c r="S107" t="s">
        <v>133</v>
      </c>
      <c r="T107" t="s">
        <v>133</v>
      </c>
      <c r="U107" t="s">
        <v>133</v>
      </c>
      <c r="V107" t="s">
        <v>133</v>
      </c>
      <c r="W107" t="s">
        <v>5</v>
      </c>
      <c r="X107">
        <v>0</v>
      </c>
      <c r="Y107" t="e">
        <f>_xlfn.XLOOKUP(C107,[1]Especificação!$G:$G,[1]Especificação!$C:$C)</f>
        <v>#N/A</v>
      </c>
    </row>
    <row r="108" spans="1:25" x14ac:dyDescent="0.3">
      <c r="A108" s="50" t="str">
        <f t="shared" si="4"/>
        <v>INSTRUMENT_DT_PRFRMNG_STTS</v>
      </c>
      <c r="B108" t="s">
        <v>128</v>
      </c>
      <c r="C108" s="11" t="s">
        <v>53</v>
      </c>
      <c r="D108" t="s">
        <v>14</v>
      </c>
      <c r="E108" t="s">
        <v>28</v>
      </c>
      <c r="F108" t="s">
        <v>130</v>
      </c>
      <c r="G108" t="s">
        <v>159</v>
      </c>
      <c r="H108" t="s">
        <v>266</v>
      </c>
      <c r="I108" t="s">
        <v>32</v>
      </c>
      <c r="J108" s="15">
        <v>45952</v>
      </c>
      <c r="K108" t="s">
        <v>38</v>
      </c>
      <c r="L108" t="s">
        <v>130</v>
      </c>
      <c r="N108" s="15">
        <v>45562</v>
      </c>
      <c r="O108" s="15">
        <v>45952</v>
      </c>
      <c r="P108" t="s">
        <v>39</v>
      </c>
      <c r="Q108" t="s">
        <v>132</v>
      </c>
      <c r="R108" t="s">
        <v>133</v>
      </c>
      <c r="S108" t="s">
        <v>133</v>
      </c>
      <c r="T108" t="s">
        <v>133</v>
      </c>
      <c r="U108" t="s">
        <v>133</v>
      </c>
      <c r="V108" t="s">
        <v>132</v>
      </c>
      <c r="W108" t="s">
        <v>5</v>
      </c>
      <c r="X108" t="s">
        <v>267</v>
      </c>
      <c r="Y108" t="str">
        <f>_xlfn.XLOOKUP(C108,[1]Especificação!$G:$G,[1]Especificação!$C:$C)</f>
        <v>F2. Fora âmbito | Campos em testes ou c/ incidências (LT - PM)</v>
      </c>
    </row>
    <row r="109" spans="1:25" x14ac:dyDescent="0.3">
      <c r="A109" s="50" t="str">
        <f t="shared" si="4"/>
        <v>ENTITY_DT_PRFRMNG_STTS_LE</v>
      </c>
      <c r="B109" t="s">
        <v>142</v>
      </c>
      <c r="C109" s="11" t="s">
        <v>286</v>
      </c>
      <c r="D109" t="s">
        <v>14</v>
      </c>
      <c r="E109" t="s">
        <v>28</v>
      </c>
      <c r="F109" t="s">
        <v>149</v>
      </c>
      <c r="G109" t="s">
        <v>220</v>
      </c>
      <c r="H109" t="s">
        <v>248</v>
      </c>
      <c r="I109" t="s">
        <v>32</v>
      </c>
      <c r="J109" s="15">
        <v>45958</v>
      </c>
      <c r="K109" t="s">
        <v>38</v>
      </c>
      <c r="L109" t="str">
        <f>F109</f>
        <v>NOK</v>
      </c>
      <c r="N109" s="15">
        <v>45958</v>
      </c>
      <c r="P109" t="s">
        <v>39</v>
      </c>
      <c r="Q109" t="s">
        <v>132</v>
      </c>
      <c r="R109" t="s">
        <v>133</v>
      </c>
      <c r="S109" t="s">
        <v>133</v>
      </c>
      <c r="T109" t="s">
        <v>133</v>
      </c>
      <c r="U109" t="s">
        <v>133</v>
      </c>
      <c r="V109" t="s">
        <v>132</v>
      </c>
      <c r="W109" t="s">
        <v>138</v>
      </c>
      <c r="X109" t="s">
        <v>222</v>
      </c>
      <c r="Y109" t="str">
        <f>_xlfn.XLOOKUP(C109,[1]Especificação!$G:$G,[1]Especificação!$C:$C)</f>
        <v xml:space="preserve">E. Campos com outras possíveis alterações - Dependente de decisões OSI </v>
      </c>
    </row>
    <row r="110" spans="1:25" x14ac:dyDescent="0.3">
      <c r="A110" s="50" t="str">
        <f t="shared" si="4"/>
        <v>INSTRUMENT_DT_PRFRMNG_STTS_PRVS</v>
      </c>
      <c r="B110" t="s">
        <v>128</v>
      </c>
      <c r="C110" s="11" t="s">
        <v>54</v>
      </c>
      <c r="D110" t="s">
        <v>14</v>
      </c>
      <c r="E110" t="s">
        <v>28</v>
      </c>
      <c r="F110" t="s">
        <v>130</v>
      </c>
      <c r="G110" t="s">
        <v>159</v>
      </c>
      <c r="H110" t="s">
        <v>266</v>
      </c>
      <c r="I110" t="s">
        <v>32</v>
      </c>
      <c r="J110" s="15">
        <v>45952</v>
      </c>
      <c r="K110" t="s">
        <v>38</v>
      </c>
      <c r="L110" t="s">
        <v>130</v>
      </c>
      <c r="N110" s="15">
        <v>45562</v>
      </c>
      <c r="O110" s="15">
        <v>45952</v>
      </c>
      <c r="P110" t="s">
        <v>39</v>
      </c>
      <c r="Q110" t="s">
        <v>132</v>
      </c>
      <c r="R110" t="s">
        <v>133</v>
      </c>
      <c r="S110" t="s">
        <v>133</v>
      </c>
      <c r="T110" t="s">
        <v>133</v>
      </c>
      <c r="U110" t="s">
        <v>133</v>
      </c>
      <c r="V110" t="s">
        <v>132</v>
      </c>
      <c r="W110" t="s">
        <v>5</v>
      </c>
      <c r="X110" t="s">
        <v>267</v>
      </c>
      <c r="Y110" t="str">
        <f>_xlfn.XLOOKUP(C110,[1]Especificação!$G:$G,[1]Especificação!$C:$C)</f>
        <v>F2. Fora âmbito | Campos em testes ou c/ incidências (LT - PM)</v>
      </c>
    </row>
    <row r="111" spans="1:25" x14ac:dyDescent="0.3">
      <c r="A111" s="50" t="str">
        <f t="shared" si="4"/>
        <v>INSTRUMENT_IFRS9_BHVRL_MTRTY</v>
      </c>
      <c r="B111" t="s">
        <v>128</v>
      </c>
      <c r="C111" s="10" t="s">
        <v>287</v>
      </c>
      <c r="D111" t="s">
        <v>14</v>
      </c>
      <c r="E111" t="s">
        <v>25</v>
      </c>
      <c r="F111" t="s">
        <v>130</v>
      </c>
      <c r="G111" t="s">
        <v>288</v>
      </c>
      <c r="H111" t="s">
        <v>289</v>
      </c>
      <c r="I111" t="s">
        <v>32</v>
      </c>
      <c r="J111" s="15">
        <v>45869</v>
      </c>
      <c r="K111" t="s">
        <v>38</v>
      </c>
      <c r="L111" t="s">
        <v>130</v>
      </c>
      <c r="M111" t="s">
        <v>290</v>
      </c>
      <c r="N111" s="15">
        <v>45534</v>
      </c>
      <c r="O111" s="15">
        <v>45747</v>
      </c>
      <c r="P111" t="s">
        <v>24</v>
      </c>
      <c r="Q111" t="s">
        <v>132</v>
      </c>
      <c r="R111" t="s">
        <v>133</v>
      </c>
      <c r="S111" t="s">
        <v>132</v>
      </c>
      <c r="T111" t="s">
        <v>133</v>
      </c>
      <c r="U111" t="s">
        <v>133</v>
      </c>
      <c r="V111" t="s">
        <v>132</v>
      </c>
      <c r="W111" t="s">
        <v>5</v>
      </c>
      <c r="X111" t="s">
        <v>267</v>
      </c>
      <c r="Y111" t="str">
        <f>_xlfn.XLOOKUP(C111,[1]Especificação!$G:$G,[1]Especificação!$C:$C)</f>
        <v>F2. Fora âmbito | Campos em testes ou c/ incidências (LT - PM)</v>
      </c>
    </row>
    <row r="112" spans="1:25" x14ac:dyDescent="0.3">
      <c r="A112" s="50" t="str">
        <f t="shared" si="4"/>
        <v>INSTRUMENT_DT_PST_D</v>
      </c>
      <c r="B112" t="s">
        <v>128</v>
      </c>
      <c r="C112" t="s">
        <v>291</v>
      </c>
      <c r="D112" t="s">
        <v>14</v>
      </c>
      <c r="E112" t="s">
        <v>36</v>
      </c>
      <c r="F112" t="s">
        <v>149</v>
      </c>
      <c r="G112" t="s">
        <v>163</v>
      </c>
      <c r="I112" t="s">
        <v>29</v>
      </c>
      <c r="J112" s="15">
        <v>45958</v>
      </c>
      <c r="K112" t="s">
        <v>38</v>
      </c>
      <c r="O112" s="15">
        <v>45958</v>
      </c>
      <c r="P112" t="s">
        <v>8</v>
      </c>
      <c r="Q112" t="s">
        <v>132</v>
      </c>
      <c r="R112" t="s">
        <v>133</v>
      </c>
      <c r="S112" t="s">
        <v>133</v>
      </c>
      <c r="T112" t="s">
        <v>133</v>
      </c>
      <c r="U112" t="s">
        <v>133</v>
      </c>
      <c r="V112" t="s">
        <v>132</v>
      </c>
      <c r="W112" t="s">
        <v>138</v>
      </c>
      <c r="X112" t="s">
        <v>166</v>
      </c>
      <c r="Y112" t="str">
        <f>_xlfn.XLOOKUP(C112,[1]Especificação!$G:$G,[1]Especificação!$C:$C)</f>
        <v>D. Campos com NOK controlos Corporativos</v>
      </c>
    </row>
    <row r="113" spans="1:25" x14ac:dyDescent="0.3">
      <c r="A113" s="50" t="str">
        <f t="shared" si="4"/>
        <v>ENTITY_DT_RFRNC</v>
      </c>
      <c r="B113" t="s">
        <v>142</v>
      </c>
      <c r="C113" t="s">
        <v>292</v>
      </c>
      <c r="D113" t="s">
        <v>14</v>
      </c>
      <c r="E113" t="s">
        <v>38</v>
      </c>
      <c r="F113" t="s">
        <v>130</v>
      </c>
      <c r="G113" t="s">
        <v>131</v>
      </c>
      <c r="I113" t="s">
        <v>26</v>
      </c>
      <c r="J113" s="15">
        <v>45450</v>
      </c>
      <c r="K113" t="s">
        <v>38</v>
      </c>
      <c r="L113" t="str">
        <f t="shared" ref="L112:L120" si="7">F113</f>
        <v>OK</v>
      </c>
      <c r="P113" t="s">
        <v>30</v>
      </c>
      <c r="Q113" t="s">
        <v>132</v>
      </c>
      <c r="R113" t="s">
        <v>133</v>
      </c>
      <c r="S113" t="s">
        <v>132</v>
      </c>
      <c r="T113" t="s">
        <v>133</v>
      </c>
      <c r="U113" t="s">
        <v>133</v>
      </c>
      <c r="V113" t="s">
        <v>132</v>
      </c>
      <c r="W113" t="s">
        <v>5</v>
      </c>
      <c r="X113" t="s">
        <v>135</v>
      </c>
      <c r="Y113" t="str">
        <f>_xlfn.XLOOKUP(C113,[1]Especificação!$G:$G,[1]Especificação!$C:$C)</f>
        <v>F1. Fora âmbito | Campos concluídos - Sem necessidade de espec.</v>
      </c>
    </row>
    <row r="114" spans="1:25" x14ac:dyDescent="0.3">
      <c r="A114" s="50" t="str">
        <f t="shared" si="4"/>
        <v>INSTR_ENTITY_DT_RFRNC</v>
      </c>
      <c r="B114" t="s">
        <v>193</v>
      </c>
      <c r="C114" t="s">
        <v>292</v>
      </c>
      <c r="D114" t="s">
        <v>14</v>
      </c>
      <c r="E114" t="s">
        <v>38</v>
      </c>
      <c r="F114" t="s">
        <v>130</v>
      </c>
      <c r="G114" t="s">
        <v>131</v>
      </c>
      <c r="I114" t="s">
        <v>26</v>
      </c>
      <c r="J114" s="15">
        <v>45450</v>
      </c>
      <c r="K114" t="s">
        <v>38</v>
      </c>
      <c r="L114" t="str">
        <f t="shared" si="7"/>
        <v>OK</v>
      </c>
      <c r="P114" t="s">
        <v>30</v>
      </c>
      <c r="Q114" t="s">
        <v>132</v>
      </c>
      <c r="R114" t="s">
        <v>133</v>
      </c>
      <c r="S114" t="s">
        <v>132</v>
      </c>
      <c r="T114" t="s">
        <v>133</v>
      </c>
      <c r="U114" t="s">
        <v>133</v>
      </c>
      <c r="V114" t="s">
        <v>132</v>
      </c>
      <c r="W114" t="s">
        <v>5</v>
      </c>
      <c r="X114" t="s">
        <v>135</v>
      </c>
      <c r="Y114" t="str">
        <f>_xlfn.XLOOKUP(C114,[1]Especificação!$G:$G,[1]Especificação!$C:$C)</f>
        <v>F1. Fora âmbito | Campos concluídos - Sem necessidade de espec.</v>
      </c>
    </row>
    <row r="115" spans="1:25" x14ac:dyDescent="0.3">
      <c r="A115" s="50" t="str">
        <f t="shared" si="4"/>
        <v>INSTR_PROTECTION_DT_RFRNC</v>
      </c>
      <c r="B115" t="s">
        <v>194</v>
      </c>
      <c r="C115" t="s">
        <v>292</v>
      </c>
      <c r="D115" t="s">
        <v>14</v>
      </c>
      <c r="E115" t="s">
        <v>38</v>
      </c>
      <c r="F115" t="s">
        <v>130</v>
      </c>
      <c r="G115" t="s">
        <v>131</v>
      </c>
      <c r="I115" t="s">
        <v>26</v>
      </c>
      <c r="J115" s="15">
        <v>45450</v>
      </c>
      <c r="K115" t="s">
        <v>38</v>
      </c>
      <c r="L115" t="str">
        <f t="shared" si="7"/>
        <v>OK</v>
      </c>
      <c r="P115" t="s">
        <v>30</v>
      </c>
      <c r="Q115" t="s">
        <v>132</v>
      </c>
      <c r="R115" t="s">
        <v>132</v>
      </c>
      <c r="S115" t="s">
        <v>132</v>
      </c>
      <c r="T115" t="s">
        <v>133</v>
      </c>
      <c r="U115" t="s">
        <v>133</v>
      </c>
      <c r="V115" t="s">
        <v>133</v>
      </c>
      <c r="W115" t="s">
        <v>5</v>
      </c>
      <c r="X115">
        <v>0</v>
      </c>
      <c r="Y115" t="str">
        <f>_xlfn.XLOOKUP(C115,[1]Especificação!$G:$G,[1]Especificação!$C:$C)</f>
        <v>F1. Fora âmbito | Campos concluídos - Sem necessidade de espec.</v>
      </c>
    </row>
    <row r="116" spans="1:25" x14ac:dyDescent="0.3">
      <c r="A116" s="50" t="str">
        <f t="shared" si="4"/>
        <v>INSTRUMENT_DT_RFRNC</v>
      </c>
      <c r="B116" t="s">
        <v>128</v>
      </c>
      <c r="C116" t="s">
        <v>292</v>
      </c>
      <c r="D116" t="s">
        <v>14</v>
      </c>
      <c r="E116" t="s">
        <v>38</v>
      </c>
      <c r="F116" t="s">
        <v>130</v>
      </c>
      <c r="G116" t="s">
        <v>131</v>
      </c>
      <c r="I116" t="s">
        <v>26</v>
      </c>
      <c r="J116" s="15">
        <v>45450</v>
      </c>
      <c r="K116" t="s">
        <v>38</v>
      </c>
      <c r="L116" t="str">
        <f t="shared" si="7"/>
        <v>OK</v>
      </c>
      <c r="P116" t="s">
        <v>30</v>
      </c>
      <c r="Q116" t="s">
        <v>132</v>
      </c>
      <c r="R116" t="s">
        <v>132</v>
      </c>
      <c r="S116" t="s">
        <v>132</v>
      </c>
      <c r="T116" t="s">
        <v>133</v>
      </c>
      <c r="U116" t="s">
        <v>132</v>
      </c>
      <c r="V116" t="s">
        <v>132</v>
      </c>
      <c r="W116" t="s">
        <v>5</v>
      </c>
      <c r="X116" t="s">
        <v>135</v>
      </c>
      <c r="Y116" t="str">
        <f>_xlfn.XLOOKUP(C116,[1]Especificação!$G:$G,[1]Especificação!$C:$C)</f>
        <v>F1. Fora âmbito | Campos concluídos - Sem necessidade de espec.</v>
      </c>
    </row>
    <row r="117" spans="1:25" x14ac:dyDescent="0.3">
      <c r="A117" s="50" t="str">
        <f t="shared" si="4"/>
        <v>PROTECTION_DT_RFRNC</v>
      </c>
      <c r="B117" t="s">
        <v>161</v>
      </c>
      <c r="C117" t="s">
        <v>292</v>
      </c>
      <c r="D117" t="s">
        <v>14</v>
      </c>
      <c r="E117" t="s">
        <v>38</v>
      </c>
      <c r="F117" t="s">
        <v>130</v>
      </c>
      <c r="G117" t="s">
        <v>131</v>
      </c>
      <c r="I117" t="s">
        <v>26</v>
      </c>
      <c r="J117" s="15">
        <v>45450</v>
      </c>
      <c r="K117" t="s">
        <v>38</v>
      </c>
      <c r="L117" t="str">
        <f t="shared" si="7"/>
        <v>OK</v>
      </c>
      <c r="P117" t="s">
        <v>30</v>
      </c>
      <c r="Q117" t="s">
        <v>132</v>
      </c>
      <c r="R117" t="s">
        <v>132</v>
      </c>
      <c r="S117" t="s">
        <v>132</v>
      </c>
      <c r="T117" t="s">
        <v>133</v>
      </c>
      <c r="U117" t="s">
        <v>132</v>
      </c>
      <c r="V117" t="s">
        <v>133</v>
      </c>
      <c r="W117" t="s">
        <v>5</v>
      </c>
      <c r="X117">
        <v>0</v>
      </c>
      <c r="Y117" t="str">
        <f>_xlfn.XLOOKUP(C117,[1]Especificação!$G:$G,[1]Especificação!$C:$C)</f>
        <v>F1. Fora âmbito | Campos concluídos - Sem necessidade de espec.</v>
      </c>
    </row>
    <row r="118" spans="1:25" x14ac:dyDescent="0.3">
      <c r="A118" s="50" t="str">
        <f t="shared" si="4"/>
        <v>INSTRUMENT_DT_STRT_GP_PPAL</v>
      </c>
      <c r="B118" t="s">
        <v>128</v>
      </c>
      <c r="C118" t="s">
        <v>293</v>
      </c>
      <c r="D118" t="s">
        <v>14</v>
      </c>
      <c r="E118" t="s">
        <v>36</v>
      </c>
      <c r="F118" t="s">
        <v>149</v>
      </c>
      <c r="G118" t="s">
        <v>163</v>
      </c>
      <c r="I118" t="s">
        <v>29</v>
      </c>
      <c r="J118" s="15">
        <v>45450</v>
      </c>
      <c r="K118" t="s">
        <v>36</v>
      </c>
      <c r="L118" t="str">
        <f t="shared" si="7"/>
        <v>NOK</v>
      </c>
      <c r="P118" t="s">
        <v>8</v>
      </c>
      <c r="Q118" t="s">
        <v>132</v>
      </c>
      <c r="R118" t="s">
        <v>133</v>
      </c>
      <c r="S118" t="s">
        <v>133</v>
      </c>
      <c r="T118" t="s">
        <v>133</v>
      </c>
      <c r="U118" t="s">
        <v>133</v>
      </c>
      <c r="V118" t="s">
        <v>133</v>
      </c>
      <c r="W118" t="s">
        <v>5</v>
      </c>
      <c r="X118">
        <v>0</v>
      </c>
      <c r="Y118" t="e">
        <f>_xlfn.XLOOKUP(C118,[1]Especificação!$G:$G,[1]Especificação!$C:$C)</f>
        <v>#N/A</v>
      </c>
    </row>
    <row r="119" spans="1:25" x14ac:dyDescent="0.3">
      <c r="A119" s="50" t="str">
        <f t="shared" si="4"/>
        <v>INSTRUMENT_DT_STRT_INTRST_ONLY</v>
      </c>
      <c r="B119" t="s">
        <v>128</v>
      </c>
      <c r="C119" t="s">
        <v>294</v>
      </c>
      <c r="D119" t="s">
        <v>14</v>
      </c>
      <c r="E119" t="s">
        <v>36</v>
      </c>
      <c r="F119" t="s">
        <v>149</v>
      </c>
      <c r="G119" t="s">
        <v>163</v>
      </c>
      <c r="I119" t="s">
        <v>29</v>
      </c>
      <c r="J119" s="15">
        <v>45450</v>
      </c>
      <c r="K119" t="s">
        <v>36</v>
      </c>
      <c r="L119" t="str">
        <f t="shared" si="7"/>
        <v>NOK</v>
      </c>
      <c r="P119" t="s">
        <v>8</v>
      </c>
      <c r="Q119" t="s">
        <v>132</v>
      </c>
      <c r="R119" t="s">
        <v>133</v>
      </c>
      <c r="S119" t="s">
        <v>133</v>
      </c>
      <c r="T119" t="s">
        <v>133</v>
      </c>
      <c r="U119" t="s">
        <v>133</v>
      </c>
      <c r="V119" t="s">
        <v>133</v>
      </c>
      <c r="W119" t="s">
        <v>5</v>
      </c>
      <c r="X119">
        <v>0</v>
      </c>
      <c r="Y119" t="e">
        <f>_xlfn.XLOOKUP(C119,[1]Especificação!$G:$G,[1]Especificação!$C:$C)</f>
        <v>#N/A</v>
      </c>
    </row>
    <row r="120" spans="1:25" x14ac:dyDescent="0.3">
      <c r="A120" s="50" t="str">
        <f t="shared" si="4"/>
        <v>INSTRUMENT_DT_VLTN</v>
      </c>
      <c r="B120" t="s">
        <v>128</v>
      </c>
      <c r="C120" t="s">
        <v>295</v>
      </c>
      <c r="D120" t="s">
        <v>6</v>
      </c>
      <c r="E120" t="s">
        <v>38</v>
      </c>
      <c r="F120" t="s">
        <v>130</v>
      </c>
      <c r="G120" t="s">
        <v>131</v>
      </c>
      <c r="I120" t="s">
        <v>26</v>
      </c>
      <c r="J120" s="15">
        <v>45450</v>
      </c>
      <c r="K120" t="s">
        <v>38</v>
      </c>
      <c r="L120" t="str">
        <f t="shared" si="7"/>
        <v>OK</v>
      </c>
      <c r="P120" t="s">
        <v>30</v>
      </c>
      <c r="Q120" t="s">
        <v>132</v>
      </c>
      <c r="R120" t="s">
        <v>133</v>
      </c>
      <c r="S120" t="s">
        <v>133</v>
      </c>
      <c r="T120" t="s">
        <v>133</v>
      </c>
      <c r="U120" t="s">
        <v>133</v>
      </c>
      <c r="V120" t="s">
        <v>133</v>
      </c>
      <c r="W120" t="s">
        <v>5</v>
      </c>
      <c r="X120">
        <v>0</v>
      </c>
      <c r="Y120" t="e">
        <f>_xlfn.XLOOKUP(C120,[1]Especificação!$G:$G,[1]Especificação!$C:$C)</f>
        <v>#N/A</v>
      </c>
    </row>
    <row r="121" spans="1:25" x14ac:dyDescent="0.3">
      <c r="A121" s="50" t="str">
        <f t="shared" si="4"/>
        <v>INSTRUMENT_POCI</v>
      </c>
      <c r="B121" t="s">
        <v>128</v>
      </c>
      <c r="C121" s="10" t="s">
        <v>296</v>
      </c>
      <c r="D121" t="s">
        <v>14</v>
      </c>
      <c r="E121" t="s">
        <v>38</v>
      </c>
      <c r="F121" t="s">
        <v>130</v>
      </c>
      <c r="G121" t="s">
        <v>131</v>
      </c>
      <c r="I121" t="s">
        <v>26</v>
      </c>
      <c r="J121" s="15">
        <v>45520</v>
      </c>
      <c r="K121" t="s">
        <v>25</v>
      </c>
      <c r="M121" t="s">
        <v>297</v>
      </c>
      <c r="N121" s="15"/>
      <c r="O121" s="15"/>
      <c r="P121" t="s">
        <v>30</v>
      </c>
      <c r="Q121" t="s">
        <v>132</v>
      </c>
      <c r="R121" t="s">
        <v>133</v>
      </c>
      <c r="S121" t="s">
        <v>133</v>
      </c>
      <c r="T121" t="s">
        <v>133</v>
      </c>
      <c r="U121" t="s">
        <v>133</v>
      </c>
      <c r="V121" t="s">
        <v>133</v>
      </c>
      <c r="W121" t="s">
        <v>5</v>
      </c>
      <c r="X121">
        <v>0</v>
      </c>
      <c r="Y121" t="e">
        <f>_xlfn.XLOOKUP(C121,[1]Especificação!$G:$G,[1]Especificação!$C:$C)</f>
        <v>#N/A</v>
      </c>
    </row>
    <row r="122" spans="1:25" x14ac:dyDescent="0.3">
      <c r="A122" s="50" t="str">
        <f t="shared" si="4"/>
        <v>INSTRUMENT_EAD</v>
      </c>
      <c r="B122" t="s">
        <v>128</v>
      </c>
      <c r="C122" s="10" t="s">
        <v>298</v>
      </c>
      <c r="D122" t="s">
        <v>14</v>
      </c>
      <c r="E122" t="s">
        <v>33</v>
      </c>
      <c r="F122" t="s">
        <v>130</v>
      </c>
      <c r="G122" t="s">
        <v>299</v>
      </c>
      <c r="I122" t="s">
        <v>32</v>
      </c>
      <c r="J122" s="15">
        <v>45958</v>
      </c>
      <c r="K122" t="s">
        <v>38</v>
      </c>
      <c r="L122" t="s">
        <v>149</v>
      </c>
      <c r="N122" s="15"/>
      <c r="O122" s="15">
        <v>45958</v>
      </c>
      <c r="P122" t="s">
        <v>24</v>
      </c>
      <c r="Q122" t="s">
        <v>132</v>
      </c>
      <c r="R122" t="s">
        <v>132</v>
      </c>
      <c r="S122" t="s">
        <v>133</v>
      </c>
      <c r="T122" t="s">
        <v>133</v>
      </c>
      <c r="U122" t="s">
        <v>132</v>
      </c>
      <c r="V122" t="s">
        <v>132</v>
      </c>
      <c r="W122" t="s">
        <v>138</v>
      </c>
      <c r="X122" t="s">
        <v>139</v>
      </c>
      <c r="Y122" t="str">
        <f>_xlfn.XLOOKUP(C122,[1]Especificação!$G:$G,[1]Especificação!$C:$C)</f>
        <v>C. Campos em testes ou c/ incidências</v>
      </c>
    </row>
    <row r="123" spans="1:25" x14ac:dyDescent="0.3">
      <c r="A123" s="50" t="str">
        <f t="shared" si="4"/>
        <v>INSTRUMENT_EBA_CMPLNT_MRTR_ST_C19</v>
      </c>
      <c r="B123" t="s">
        <v>128</v>
      </c>
      <c r="C123" t="s">
        <v>300</v>
      </c>
      <c r="D123" t="s">
        <v>6</v>
      </c>
      <c r="E123" t="s">
        <v>38</v>
      </c>
      <c r="F123" t="s">
        <v>130</v>
      </c>
      <c r="G123" t="s">
        <v>131</v>
      </c>
      <c r="I123" t="s">
        <v>26</v>
      </c>
      <c r="J123" s="15">
        <v>45450</v>
      </c>
      <c r="K123" t="s">
        <v>38</v>
      </c>
      <c r="L123" t="str">
        <f>F123</f>
        <v>OK</v>
      </c>
      <c r="P123" t="s">
        <v>30</v>
      </c>
      <c r="Q123" t="s">
        <v>132</v>
      </c>
      <c r="R123" t="s">
        <v>133</v>
      </c>
      <c r="S123" t="s">
        <v>133</v>
      </c>
      <c r="T123" t="s">
        <v>133</v>
      </c>
      <c r="U123" t="s">
        <v>133</v>
      </c>
      <c r="V123" t="s">
        <v>133</v>
      </c>
      <c r="W123" t="s">
        <v>5</v>
      </c>
      <c r="X123">
        <v>0</v>
      </c>
      <c r="Y123" t="e">
        <f>_xlfn.XLOOKUP(C123,[1]Especificação!$G:$G,[1]Especificação!$C:$C)</f>
        <v>#N/A</v>
      </c>
    </row>
    <row r="124" spans="1:25" x14ac:dyDescent="0.3">
      <c r="A124" s="50" t="str">
        <f t="shared" si="4"/>
        <v>INSTRUMENT_OTSTNDNG_NMNL_AMNT_INSTRMNT_PRVS</v>
      </c>
      <c r="B124" t="s">
        <v>128</v>
      </c>
      <c r="C124" s="11" t="s">
        <v>301</v>
      </c>
      <c r="D124" t="s">
        <v>14</v>
      </c>
      <c r="E124" t="s">
        <v>35</v>
      </c>
      <c r="F124" t="s">
        <v>130</v>
      </c>
      <c r="G124" t="s">
        <v>302</v>
      </c>
      <c r="H124" t="s">
        <v>303</v>
      </c>
      <c r="I124" t="s">
        <v>32</v>
      </c>
      <c r="J124" s="15">
        <v>45952</v>
      </c>
      <c r="K124" t="s">
        <v>38</v>
      </c>
      <c r="L124" t="s">
        <v>130</v>
      </c>
      <c r="N124" s="15"/>
      <c r="O124" s="15">
        <v>45952</v>
      </c>
      <c r="P124" t="s">
        <v>39</v>
      </c>
      <c r="Q124" t="s">
        <v>132</v>
      </c>
      <c r="R124" t="s">
        <v>133</v>
      </c>
      <c r="S124" t="s">
        <v>133</v>
      </c>
      <c r="T124" t="s">
        <v>133</v>
      </c>
      <c r="U124" t="s">
        <v>133</v>
      </c>
      <c r="V124" t="s">
        <v>133</v>
      </c>
      <c r="W124" t="s">
        <v>5</v>
      </c>
      <c r="X124">
        <v>0</v>
      </c>
      <c r="Y124" t="e">
        <f>_xlfn.XLOOKUP(C124,[1]Especificação!$G:$G,[1]Especificação!$C:$C)</f>
        <v>#N/A</v>
      </c>
    </row>
    <row r="125" spans="1:25" x14ac:dyDescent="0.3">
      <c r="A125" s="50" t="str">
        <f t="shared" si="4"/>
        <v>INSTRUMENT_INSTLMNT_PAY</v>
      </c>
      <c r="B125" t="s">
        <v>128</v>
      </c>
      <c r="C125" t="s">
        <v>304</v>
      </c>
      <c r="D125" t="s">
        <v>6</v>
      </c>
      <c r="E125" t="s">
        <v>25</v>
      </c>
      <c r="F125" t="s">
        <v>130</v>
      </c>
      <c r="G125" t="s">
        <v>305</v>
      </c>
      <c r="I125" t="s">
        <v>29</v>
      </c>
      <c r="J125" s="15">
        <v>45450</v>
      </c>
      <c r="K125" t="s">
        <v>25</v>
      </c>
      <c r="L125" t="str">
        <f t="shared" ref="L125:L156" si="8">F125</f>
        <v>OK</v>
      </c>
      <c r="P125" t="s">
        <v>27</v>
      </c>
      <c r="Q125" t="s">
        <v>132</v>
      </c>
      <c r="R125" t="s">
        <v>133</v>
      </c>
      <c r="S125" t="s">
        <v>133</v>
      </c>
      <c r="T125" t="s">
        <v>133</v>
      </c>
      <c r="U125" t="s">
        <v>133</v>
      </c>
      <c r="V125" t="s">
        <v>133</v>
      </c>
      <c r="W125" t="s">
        <v>5</v>
      </c>
      <c r="X125">
        <v>0</v>
      </c>
      <c r="Y125" t="e">
        <f>_xlfn.XLOOKUP(C125,[1]Especificação!$G:$G,[1]Especificação!$C:$C)</f>
        <v>#N/A</v>
      </c>
    </row>
    <row r="126" spans="1:25" x14ac:dyDescent="0.3">
      <c r="A126" s="50" t="str">
        <f t="shared" si="4"/>
        <v>ENTITY_EC_GRP_ID</v>
      </c>
      <c r="B126" t="s">
        <v>142</v>
      </c>
      <c r="C126" t="s">
        <v>306</v>
      </c>
      <c r="D126" t="s">
        <v>6</v>
      </c>
      <c r="E126" t="s">
        <v>20</v>
      </c>
      <c r="F126" t="s">
        <v>130</v>
      </c>
      <c r="G126" t="s">
        <v>235</v>
      </c>
      <c r="I126" t="s">
        <v>29</v>
      </c>
      <c r="J126" s="15">
        <v>45958</v>
      </c>
      <c r="K126" t="s">
        <v>38</v>
      </c>
      <c r="L126" t="s">
        <v>130</v>
      </c>
      <c r="O126" s="15">
        <v>45958</v>
      </c>
      <c r="P126" t="s">
        <v>19</v>
      </c>
      <c r="Q126" t="s">
        <v>132</v>
      </c>
      <c r="R126" t="s">
        <v>133</v>
      </c>
      <c r="S126" t="s">
        <v>133</v>
      </c>
      <c r="T126" t="s">
        <v>133</v>
      </c>
      <c r="U126" t="s">
        <v>133</v>
      </c>
      <c r="V126" t="s">
        <v>132</v>
      </c>
      <c r="W126" t="s">
        <v>138</v>
      </c>
      <c r="X126" t="s">
        <v>153</v>
      </c>
      <c r="Y126" t="str">
        <f>_xlfn.XLOOKUP(C126,[1]Especificação!$G:$G,[1]Especificação!$C:$C)</f>
        <v>B2. Re-especificação de campos complexos - Resto</v>
      </c>
    </row>
    <row r="127" spans="1:25" x14ac:dyDescent="0.3">
      <c r="A127" s="50" t="str">
        <f t="shared" si="4"/>
        <v>ENTITY_EC_GRP_NM</v>
      </c>
      <c r="B127" t="s">
        <v>142</v>
      </c>
      <c r="C127" t="s">
        <v>307</v>
      </c>
      <c r="D127" t="s">
        <v>6</v>
      </c>
      <c r="E127" t="s">
        <v>20</v>
      </c>
      <c r="F127" t="s">
        <v>130</v>
      </c>
      <c r="G127" t="s">
        <v>235</v>
      </c>
      <c r="I127" t="s">
        <v>29</v>
      </c>
      <c r="J127" s="15">
        <v>45958</v>
      </c>
      <c r="K127" t="s">
        <v>38</v>
      </c>
      <c r="L127" t="s">
        <v>130</v>
      </c>
      <c r="O127" s="15">
        <v>45958</v>
      </c>
      <c r="P127" t="s">
        <v>19</v>
      </c>
      <c r="Q127" t="s">
        <v>132</v>
      </c>
      <c r="R127" t="s">
        <v>133</v>
      </c>
      <c r="S127" t="s">
        <v>132</v>
      </c>
      <c r="T127" t="s">
        <v>133</v>
      </c>
      <c r="U127" t="s">
        <v>133</v>
      </c>
      <c r="V127" t="s">
        <v>132</v>
      </c>
      <c r="W127" t="s">
        <v>138</v>
      </c>
      <c r="X127" t="s">
        <v>153</v>
      </c>
      <c r="Y127" t="str">
        <f>_xlfn.XLOOKUP(C127,[1]Especificação!$G:$G,[1]Especificação!$C:$C)</f>
        <v>B2. Re-especificação de campos complexos - Resto</v>
      </c>
    </row>
    <row r="128" spans="1:25" x14ac:dyDescent="0.3">
      <c r="A128" s="50" t="str">
        <f t="shared" si="4"/>
        <v>ENTITY_ECNMC_ACTVTY</v>
      </c>
      <c r="B128" t="s">
        <v>142</v>
      </c>
      <c r="C128" t="s">
        <v>308</v>
      </c>
      <c r="D128" t="s">
        <v>14</v>
      </c>
      <c r="E128" t="s">
        <v>38</v>
      </c>
      <c r="F128" t="s">
        <v>130</v>
      </c>
      <c r="G128" t="s">
        <v>131</v>
      </c>
      <c r="I128" t="s">
        <v>26</v>
      </c>
      <c r="J128" s="15">
        <v>45958</v>
      </c>
      <c r="K128" t="s">
        <v>38</v>
      </c>
      <c r="L128" t="s">
        <v>130</v>
      </c>
      <c r="O128" s="15">
        <v>45958</v>
      </c>
      <c r="P128" t="s">
        <v>30</v>
      </c>
      <c r="Q128" t="s">
        <v>132</v>
      </c>
      <c r="R128" t="s">
        <v>133</v>
      </c>
      <c r="S128" t="s">
        <v>132</v>
      </c>
      <c r="T128" t="s">
        <v>133</v>
      </c>
      <c r="U128" t="s">
        <v>132</v>
      </c>
      <c r="V128" t="s">
        <v>132</v>
      </c>
      <c r="W128" t="s">
        <v>5</v>
      </c>
      <c r="X128" t="s">
        <v>135</v>
      </c>
      <c r="Y128" t="str">
        <f>_xlfn.XLOOKUP(C128,[1]Especificação!$G:$G,[1]Especificação!$C:$C)</f>
        <v>B2. Re-especificação de campos complexos - Resto</v>
      </c>
    </row>
    <row r="129" spans="1:25" x14ac:dyDescent="0.3">
      <c r="A129" s="50" t="str">
        <f t="shared" si="4"/>
        <v>INSTRUMENT_EIR</v>
      </c>
      <c r="B129" t="s">
        <v>128</v>
      </c>
      <c r="C129" t="s">
        <v>309</v>
      </c>
      <c r="D129" t="s">
        <v>14</v>
      </c>
      <c r="E129" t="s">
        <v>36</v>
      </c>
      <c r="F129" t="s">
        <v>149</v>
      </c>
      <c r="G129" t="s">
        <v>163</v>
      </c>
      <c r="I129" t="s">
        <v>29</v>
      </c>
      <c r="J129" s="15">
        <v>45958</v>
      </c>
      <c r="K129" t="s">
        <v>38</v>
      </c>
      <c r="O129" s="15">
        <v>45958</v>
      </c>
      <c r="P129" t="s">
        <v>8</v>
      </c>
      <c r="Q129" t="s">
        <v>132</v>
      </c>
      <c r="R129" t="s">
        <v>133</v>
      </c>
      <c r="S129" t="s">
        <v>133</v>
      </c>
      <c r="T129" t="s">
        <v>133</v>
      </c>
      <c r="U129" t="s">
        <v>133</v>
      </c>
      <c r="V129" t="s">
        <v>132</v>
      </c>
      <c r="W129" t="s">
        <v>138</v>
      </c>
      <c r="X129" t="s">
        <v>166</v>
      </c>
      <c r="Y129" t="str">
        <f>_xlfn.XLOOKUP(C129,[1]Especificação!$G:$G,[1]Especificação!$C:$C)</f>
        <v>D. Campos com NOK controlos Corporativos</v>
      </c>
    </row>
    <row r="130" spans="1:25" x14ac:dyDescent="0.3">
      <c r="A130" s="50" t="str">
        <f t="shared" si="4"/>
        <v>INSTRUMENT_EIR_INCPTN</v>
      </c>
      <c r="B130" t="s">
        <v>128</v>
      </c>
      <c r="C130" t="s">
        <v>310</v>
      </c>
      <c r="D130" t="s">
        <v>14</v>
      </c>
      <c r="E130" t="s">
        <v>36</v>
      </c>
      <c r="F130" t="s">
        <v>149</v>
      </c>
      <c r="G130" t="s">
        <v>163</v>
      </c>
      <c r="I130" t="s">
        <v>29</v>
      </c>
      <c r="J130" s="15">
        <v>45450</v>
      </c>
      <c r="K130" t="s">
        <v>36</v>
      </c>
      <c r="L130" t="str">
        <f t="shared" si="8"/>
        <v>NOK</v>
      </c>
      <c r="P130" t="s">
        <v>8</v>
      </c>
      <c r="Q130" t="s">
        <v>132</v>
      </c>
      <c r="R130" t="s">
        <v>133</v>
      </c>
      <c r="S130" t="s">
        <v>132</v>
      </c>
      <c r="T130" t="s">
        <v>133</v>
      </c>
      <c r="U130" t="s">
        <v>133</v>
      </c>
      <c r="V130" t="s">
        <v>133</v>
      </c>
      <c r="W130" t="s">
        <v>5</v>
      </c>
      <c r="X130">
        <v>0</v>
      </c>
      <c r="Y130" t="e">
        <f>_xlfn.XLOOKUP(C130,[1]Especificação!$G:$G,[1]Especificação!$C:$C)</f>
        <v>#N/A</v>
      </c>
    </row>
    <row r="131" spans="1:25" x14ac:dyDescent="0.3">
      <c r="A131" s="50" t="str">
        <f t="shared" si="4"/>
        <v>INSTRUMENT_ELGBLTY_ECB</v>
      </c>
      <c r="B131" t="s">
        <v>128</v>
      </c>
      <c r="C131" t="s">
        <v>311</v>
      </c>
      <c r="D131" t="s">
        <v>6</v>
      </c>
      <c r="E131" t="s">
        <v>38</v>
      </c>
      <c r="F131" t="s">
        <v>130</v>
      </c>
      <c r="G131" t="s">
        <v>131</v>
      </c>
      <c r="I131" t="s">
        <v>26</v>
      </c>
      <c r="J131" s="15">
        <v>45450</v>
      </c>
      <c r="K131" t="s">
        <v>38</v>
      </c>
      <c r="L131" t="str">
        <f t="shared" si="8"/>
        <v>OK</v>
      </c>
      <c r="P131" t="s">
        <v>30</v>
      </c>
      <c r="Q131" t="s">
        <v>132</v>
      </c>
      <c r="R131" t="s">
        <v>133</v>
      </c>
      <c r="S131" t="s">
        <v>133</v>
      </c>
      <c r="T131" t="s">
        <v>133</v>
      </c>
      <c r="U131" t="s">
        <v>133</v>
      </c>
      <c r="V131" t="s">
        <v>133</v>
      </c>
      <c r="W131" t="s">
        <v>5</v>
      </c>
      <c r="X131">
        <v>0</v>
      </c>
      <c r="Y131" t="e">
        <f>_xlfn.XLOOKUP(C131,[1]Especificação!$G:$G,[1]Especificação!$C:$C)</f>
        <v>#N/A</v>
      </c>
    </row>
    <row r="132" spans="1:25" x14ac:dyDescent="0.3">
      <c r="A132" s="50" t="str">
        <f t="shared" si="4"/>
        <v>ENTITY_EMPLYMNT_STTS</v>
      </c>
      <c r="B132" t="s">
        <v>142</v>
      </c>
      <c r="C132" t="s">
        <v>312</v>
      </c>
      <c r="D132" t="s">
        <v>6</v>
      </c>
      <c r="E132" t="s">
        <v>38</v>
      </c>
      <c r="F132" t="s">
        <v>130</v>
      </c>
      <c r="G132" t="s">
        <v>131</v>
      </c>
      <c r="I132" t="s">
        <v>26</v>
      </c>
      <c r="J132" s="15">
        <v>45450</v>
      </c>
      <c r="K132" t="s">
        <v>38</v>
      </c>
      <c r="L132" t="str">
        <f t="shared" si="8"/>
        <v>OK</v>
      </c>
      <c r="P132" t="s">
        <v>30</v>
      </c>
      <c r="Q132" t="s">
        <v>132</v>
      </c>
      <c r="R132" t="s">
        <v>133</v>
      </c>
      <c r="S132" t="s">
        <v>133</v>
      </c>
      <c r="T132" t="s">
        <v>133</v>
      </c>
      <c r="U132" t="s">
        <v>133</v>
      </c>
      <c r="V132" t="s">
        <v>133</v>
      </c>
      <c r="W132" t="s">
        <v>5</v>
      </c>
      <c r="X132">
        <v>0</v>
      </c>
      <c r="Y132" t="e">
        <f>_xlfn.XLOOKUP(C132,[1]Especificação!$G:$G,[1]Especificação!$C:$C)</f>
        <v>#N/A</v>
      </c>
    </row>
    <row r="133" spans="1:25" x14ac:dyDescent="0.3">
      <c r="A133" s="50" t="str">
        <f t="shared" si="4"/>
        <v>ENTITY_EMPLYMNT_STTS_INTRNL</v>
      </c>
      <c r="B133" t="s">
        <v>142</v>
      </c>
      <c r="C133" t="s">
        <v>313</v>
      </c>
      <c r="D133" t="s">
        <v>6</v>
      </c>
      <c r="E133" t="s">
        <v>38</v>
      </c>
      <c r="F133" t="s">
        <v>130</v>
      </c>
      <c r="G133" t="s">
        <v>131</v>
      </c>
      <c r="I133" t="s">
        <v>26</v>
      </c>
      <c r="J133" s="15">
        <v>45450</v>
      </c>
      <c r="K133" t="s">
        <v>38</v>
      </c>
      <c r="L133" t="str">
        <f t="shared" si="8"/>
        <v>OK</v>
      </c>
      <c r="P133" t="s">
        <v>30</v>
      </c>
      <c r="Q133" t="s">
        <v>132</v>
      </c>
      <c r="R133" t="s">
        <v>133</v>
      </c>
      <c r="S133" t="s">
        <v>133</v>
      </c>
      <c r="T133" t="s">
        <v>133</v>
      </c>
      <c r="U133" t="s">
        <v>133</v>
      </c>
      <c r="V133" t="s">
        <v>133</v>
      </c>
      <c r="W133" t="s">
        <v>5</v>
      </c>
      <c r="X133">
        <v>0</v>
      </c>
      <c r="Y133" t="e">
        <f>_xlfn.XLOOKUP(C133,[1]Especificação!$G:$G,[1]Especificação!$C:$C)</f>
        <v>#N/A</v>
      </c>
    </row>
    <row r="134" spans="1:25" x14ac:dyDescent="0.3">
      <c r="A134" s="50" t="str">
        <f t="shared" ref="A134:A197" si="9">B134&amp;"_"&amp;C134</f>
        <v>ENTITY_ENTRPRS_SZ_LE</v>
      </c>
      <c r="B134" t="s">
        <v>142</v>
      </c>
      <c r="C134" t="s">
        <v>314</v>
      </c>
      <c r="D134" t="s">
        <v>14</v>
      </c>
      <c r="E134" t="s">
        <v>36</v>
      </c>
      <c r="F134" t="s">
        <v>149</v>
      </c>
      <c r="G134" t="s">
        <v>163</v>
      </c>
      <c r="I134" t="s">
        <v>29</v>
      </c>
      <c r="J134" s="15">
        <v>45952</v>
      </c>
      <c r="K134" t="s">
        <v>38</v>
      </c>
      <c r="L134" t="s">
        <v>130</v>
      </c>
      <c r="O134" s="15">
        <v>45952</v>
      </c>
      <c r="P134" t="s">
        <v>8</v>
      </c>
      <c r="Q134" t="s">
        <v>132</v>
      </c>
      <c r="R134" t="s">
        <v>133</v>
      </c>
      <c r="S134" t="s">
        <v>133</v>
      </c>
      <c r="T134" t="s">
        <v>133</v>
      </c>
      <c r="U134" t="s">
        <v>133</v>
      </c>
      <c r="V134" t="s">
        <v>133</v>
      </c>
      <c r="W134" t="s">
        <v>5</v>
      </c>
      <c r="X134">
        <v>0</v>
      </c>
      <c r="Y134" t="e">
        <f>_xlfn.XLOOKUP(C134,[1]Especificação!$G:$G,[1]Especificação!$C:$C)</f>
        <v>#N/A</v>
      </c>
    </row>
    <row r="135" spans="1:25" x14ac:dyDescent="0.3">
      <c r="A135" s="50" t="str">
        <f t="shared" si="9"/>
        <v>ENTITY_ENTTY_ID</v>
      </c>
      <c r="B135" t="s">
        <v>142</v>
      </c>
      <c r="C135" t="s">
        <v>315</v>
      </c>
      <c r="D135" t="s">
        <v>14</v>
      </c>
      <c r="E135" t="s">
        <v>36</v>
      </c>
      <c r="F135" t="s">
        <v>149</v>
      </c>
      <c r="G135" t="s">
        <v>163</v>
      </c>
      <c r="I135" t="s">
        <v>29</v>
      </c>
      <c r="J135" s="15">
        <v>45958</v>
      </c>
      <c r="K135" t="s">
        <v>38</v>
      </c>
      <c r="O135" s="15">
        <v>45958</v>
      </c>
      <c r="P135" t="s">
        <v>8</v>
      </c>
      <c r="Q135" t="s">
        <v>132</v>
      </c>
      <c r="R135" t="s">
        <v>133</v>
      </c>
      <c r="S135" t="s">
        <v>132</v>
      </c>
      <c r="T135" t="s">
        <v>133</v>
      </c>
      <c r="U135" t="s">
        <v>132</v>
      </c>
      <c r="V135" t="s">
        <v>132</v>
      </c>
      <c r="W135" t="s">
        <v>138</v>
      </c>
      <c r="X135" t="s">
        <v>166</v>
      </c>
      <c r="Y135" t="str">
        <f>_xlfn.XLOOKUP(C135,[1]Especificação!$G:$G,[1]Especificação!$C:$C)</f>
        <v>D. Campos com NOK controlos Corporativos</v>
      </c>
    </row>
    <row r="136" spans="1:25" x14ac:dyDescent="0.3">
      <c r="A136" s="50" t="str">
        <f t="shared" si="9"/>
        <v>INSTR_ENTITY_ENTTY_ID</v>
      </c>
      <c r="B136" t="s">
        <v>193</v>
      </c>
      <c r="C136" t="s">
        <v>315</v>
      </c>
      <c r="D136" t="s">
        <v>14</v>
      </c>
      <c r="E136" t="s">
        <v>36</v>
      </c>
      <c r="F136" t="s">
        <v>149</v>
      </c>
      <c r="G136" t="s">
        <v>163</v>
      </c>
      <c r="I136" t="s">
        <v>29</v>
      </c>
      <c r="J136" s="15">
        <v>45958</v>
      </c>
      <c r="K136" t="s">
        <v>38</v>
      </c>
      <c r="O136" s="15">
        <v>45958</v>
      </c>
      <c r="P136" t="s">
        <v>8</v>
      </c>
      <c r="Q136" t="s">
        <v>132</v>
      </c>
      <c r="R136" t="s">
        <v>133</v>
      </c>
      <c r="S136" t="s">
        <v>132</v>
      </c>
      <c r="T136" t="s">
        <v>133</v>
      </c>
      <c r="U136" t="s">
        <v>133</v>
      </c>
      <c r="V136" t="s">
        <v>132</v>
      </c>
      <c r="W136" t="s">
        <v>138</v>
      </c>
      <c r="X136" t="s">
        <v>166</v>
      </c>
      <c r="Y136" t="str">
        <f>_xlfn.XLOOKUP(C136,[1]Especificação!$G:$G,[1]Especificação!$C:$C)</f>
        <v>D. Campos com NOK controlos Corporativos</v>
      </c>
    </row>
    <row r="137" spans="1:25" x14ac:dyDescent="0.3">
      <c r="A137" s="50" t="str">
        <f t="shared" si="9"/>
        <v>ENTITY_ENTTY_NM</v>
      </c>
      <c r="B137" t="s">
        <v>142</v>
      </c>
      <c r="C137" t="s">
        <v>316</v>
      </c>
      <c r="D137" t="s">
        <v>14</v>
      </c>
      <c r="E137" t="s">
        <v>38</v>
      </c>
      <c r="F137" t="s">
        <v>130</v>
      </c>
      <c r="G137" t="s">
        <v>131</v>
      </c>
      <c r="I137" t="s">
        <v>26</v>
      </c>
      <c r="J137" s="15">
        <v>45450</v>
      </c>
      <c r="K137" t="s">
        <v>38</v>
      </c>
      <c r="L137" t="str">
        <f t="shared" si="8"/>
        <v>OK</v>
      </c>
      <c r="P137" t="s">
        <v>30</v>
      </c>
      <c r="Q137" t="s">
        <v>132</v>
      </c>
      <c r="R137" t="s">
        <v>133</v>
      </c>
      <c r="S137" t="s">
        <v>132</v>
      </c>
      <c r="T137" t="s">
        <v>133</v>
      </c>
      <c r="U137" t="s">
        <v>133</v>
      </c>
      <c r="V137" t="s">
        <v>132</v>
      </c>
      <c r="W137" t="s">
        <v>5</v>
      </c>
      <c r="X137" t="s">
        <v>135</v>
      </c>
      <c r="Y137" t="str">
        <f>_xlfn.XLOOKUP(C137,[1]Especificação!$G:$G,[1]Especificação!$C:$C)</f>
        <v>F1. Fora âmbito | Campos concluídos - Sem necessidade de espec.</v>
      </c>
    </row>
    <row r="138" spans="1:25" x14ac:dyDescent="0.3">
      <c r="A138" s="50" t="str">
        <f t="shared" si="9"/>
        <v>ENTITY_EQTY</v>
      </c>
      <c r="B138" t="s">
        <v>142</v>
      </c>
      <c r="C138" t="s">
        <v>317</v>
      </c>
      <c r="D138" t="s">
        <v>14</v>
      </c>
      <c r="E138" t="s">
        <v>25</v>
      </c>
      <c r="F138" t="s">
        <v>130</v>
      </c>
      <c r="G138" t="s">
        <v>144</v>
      </c>
      <c r="H138" t="s">
        <v>145</v>
      </c>
      <c r="I138" t="s">
        <v>29</v>
      </c>
      <c r="J138" s="15">
        <v>45450</v>
      </c>
      <c r="K138" t="s">
        <v>25</v>
      </c>
      <c r="L138" t="str">
        <f t="shared" si="8"/>
        <v>OK</v>
      </c>
      <c r="P138" t="s">
        <v>13</v>
      </c>
      <c r="Q138" t="s">
        <v>132</v>
      </c>
      <c r="R138" t="s">
        <v>133</v>
      </c>
      <c r="S138" t="s">
        <v>132</v>
      </c>
      <c r="T138" t="s">
        <v>133</v>
      </c>
      <c r="U138" t="s">
        <v>133</v>
      </c>
      <c r="V138" t="s">
        <v>132</v>
      </c>
      <c r="W138" t="s">
        <v>146</v>
      </c>
      <c r="X138" t="s">
        <v>147</v>
      </c>
      <c r="Y138" t="str">
        <f>_xlfn.XLOOKUP(C138,[1]Especificação!$G:$G,[1]Especificação!$C:$C)</f>
        <v>F4. Fora âmbito | Re-especificação de campos complexos - Dem. Fin. CIB</v>
      </c>
    </row>
    <row r="139" spans="1:25" x14ac:dyDescent="0.3">
      <c r="A139" s="50" t="str">
        <f t="shared" si="9"/>
        <v>ENTITY_EQTY_PRVS</v>
      </c>
      <c r="B139" t="s">
        <v>142</v>
      </c>
      <c r="C139" t="s">
        <v>318</v>
      </c>
      <c r="D139" t="s">
        <v>14</v>
      </c>
      <c r="E139" t="s">
        <v>25</v>
      </c>
      <c r="F139" t="s">
        <v>130</v>
      </c>
      <c r="G139" t="s">
        <v>144</v>
      </c>
      <c r="H139" t="s">
        <v>145</v>
      </c>
      <c r="I139" t="s">
        <v>29</v>
      </c>
      <c r="J139" s="15">
        <v>45450</v>
      </c>
      <c r="K139" t="s">
        <v>25</v>
      </c>
      <c r="L139" t="str">
        <f t="shared" si="8"/>
        <v>OK</v>
      </c>
      <c r="P139" t="s">
        <v>13</v>
      </c>
      <c r="Q139" t="s">
        <v>132</v>
      </c>
      <c r="R139" t="s">
        <v>133</v>
      </c>
      <c r="S139" t="s">
        <v>133</v>
      </c>
      <c r="T139" t="s">
        <v>133</v>
      </c>
      <c r="U139" t="s">
        <v>133</v>
      </c>
      <c r="V139" t="s">
        <v>132</v>
      </c>
      <c r="W139" t="s">
        <v>146</v>
      </c>
      <c r="X139" t="s">
        <v>147</v>
      </c>
      <c r="Y139" t="str">
        <f>_xlfn.XLOOKUP(C139,[1]Especificação!$G:$G,[1]Especificação!$C:$C)</f>
        <v>F4. Fora âmbito | Re-especificação de campos complexos - Dem. Fin. CIB</v>
      </c>
    </row>
    <row r="140" spans="1:25" x14ac:dyDescent="0.3">
      <c r="A140" s="50" t="str">
        <f t="shared" si="9"/>
        <v>INSTRUMENT_EXPCTD_LSS_CRR</v>
      </c>
      <c r="B140" t="s">
        <v>128</v>
      </c>
      <c r="C140" t="s">
        <v>319</v>
      </c>
      <c r="D140" t="s">
        <v>6</v>
      </c>
      <c r="E140" t="s">
        <v>31</v>
      </c>
      <c r="F140" t="s">
        <v>130</v>
      </c>
      <c r="G140" t="s">
        <v>175</v>
      </c>
      <c r="I140" t="s">
        <v>29</v>
      </c>
      <c r="J140" s="15">
        <v>45460</v>
      </c>
      <c r="K140" t="s">
        <v>33</v>
      </c>
      <c r="L140" t="str">
        <f t="shared" si="8"/>
        <v>OK</v>
      </c>
      <c r="N140" s="15">
        <v>45324</v>
      </c>
      <c r="O140" s="15">
        <v>45379</v>
      </c>
      <c r="P140" t="s">
        <v>19</v>
      </c>
      <c r="Q140" t="s">
        <v>132</v>
      </c>
      <c r="R140" t="s">
        <v>133</v>
      </c>
      <c r="S140" t="s">
        <v>133</v>
      </c>
      <c r="T140" t="s">
        <v>133</v>
      </c>
      <c r="U140" t="s">
        <v>133</v>
      </c>
      <c r="V140" t="s">
        <v>133</v>
      </c>
      <c r="W140" t="s">
        <v>5</v>
      </c>
      <c r="X140">
        <v>0</v>
      </c>
      <c r="Y140" t="e">
        <f>_xlfn.XLOOKUP(C140,[1]Especificação!$G:$G,[1]Especificação!$C:$C)</f>
        <v>#N/A</v>
      </c>
    </row>
    <row r="141" spans="1:25" x14ac:dyDescent="0.3">
      <c r="A141" s="50" t="str">
        <f t="shared" si="9"/>
        <v>INSTRUMENT_EXPSR_IN_SCP</v>
      </c>
      <c r="B141" t="s">
        <v>128</v>
      </c>
      <c r="C141" t="s">
        <v>320</v>
      </c>
      <c r="D141" t="s">
        <v>14</v>
      </c>
      <c r="E141" t="s">
        <v>38</v>
      </c>
      <c r="F141" t="s">
        <v>130</v>
      </c>
      <c r="G141" t="s">
        <v>131</v>
      </c>
      <c r="I141" t="s">
        <v>26</v>
      </c>
      <c r="J141" s="15">
        <v>45450</v>
      </c>
      <c r="K141" t="s">
        <v>38</v>
      </c>
      <c r="L141" t="str">
        <f t="shared" si="8"/>
        <v>OK</v>
      </c>
      <c r="P141" t="s">
        <v>30</v>
      </c>
      <c r="Q141" t="s">
        <v>132</v>
      </c>
      <c r="R141" t="s">
        <v>133</v>
      </c>
      <c r="S141" t="s">
        <v>133</v>
      </c>
      <c r="T141" t="s">
        <v>133</v>
      </c>
      <c r="U141" t="s">
        <v>133</v>
      </c>
      <c r="V141" t="s">
        <v>132</v>
      </c>
      <c r="W141" t="s">
        <v>5</v>
      </c>
      <c r="X141" t="s">
        <v>135</v>
      </c>
      <c r="Y141" t="str">
        <f>_xlfn.XLOOKUP(C141,[1]Especificação!$G:$G,[1]Especificação!$C:$C)</f>
        <v>F1. Fora âmbito | Campos concluídos - Sem necessidade de espec.</v>
      </c>
    </row>
    <row r="142" spans="1:25" x14ac:dyDescent="0.3">
      <c r="A142" s="50" t="str">
        <f t="shared" si="9"/>
        <v>INSTRUMENT_FRBRNC_STTS_INSTRMNT</v>
      </c>
      <c r="B142" t="s">
        <v>128</v>
      </c>
      <c r="C142" t="s">
        <v>321</v>
      </c>
      <c r="D142" t="s">
        <v>14</v>
      </c>
      <c r="E142" t="s">
        <v>25</v>
      </c>
      <c r="F142" t="s">
        <v>130</v>
      </c>
      <c r="G142" t="s">
        <v>442</v>
      </c>
      <c r="H142" t="s">
        <v>322</v>
      </c>
      <c r="I142" t="s">
        <v>29</v>
      </c>
      <c r="J142" s="15">
        <v>45958</v>
      </c>
      <c r="K142" t="s">
        <v>38</v>
      </c>
      <c r="L142" t="s">
        <v>130</v>
      </c>
      <c r="O142" s="15">
        <v>45958</v>
      </c>
      <c r="P142" t="s">
        <v>13</v>
      </c>
      <c r="Q142" t="s">
        <v>132</v>
      </c>
      <c r="R142" t="s">
        <v>133</v>
      </c>
      <c r="S142" t="s">
        <v>132</v>
      </c>
      <c r="T142" t="s">
        <v>133</v>
      </c>
      <c r="U142" t="s">
        <v>133</v>
      </c>
      <c r="V142" t="s">
        <v>132</v>
      </c>
      <c r="W142" t="s">
        <v>138</v>
      </c>
      <c r="X142" t="s">
        <v>153</v>
      </c>
      <c r="Y142" t="str">
        <f>_xlfn.XLOOKUP(C142,[1]Especificação!$G:$G,[1]Especificação!$C:$C)</f>
        <v>B2. Re-especificação de campos complexos - Resto</v>
      </c>
    </row>
    <row r="143" spans="1:25" x14ac:dyDescent="0.3">
      <c r="A143" s="50" t="str">
        <f t="shared" si="9"/>
        <v>ENTITY_EXTRNL_RTNG_PRVS</v>
      </c>
      <c r="B143" t="s">
        <v>142</v>
      </c>
      <c r="C143" s="10" t="s">
        <v>323</v>
      </c>
      <c r="D143" t="s">
        <v>14</v>
      </c>
      <c r="E143" t="s">
        <v>25</v>
      </c>
      <c r="F143" t="s">
        <v>130</v>
      </c>
      <c r="G143" t="s">
        <v>324</v>
      </c>
      <c r="H143" t="s">
        <v>325</v>
      </c>
      <c r="I143" t="s">
        <v>32</v>
      </c>
      <c r="J143" s="15">
        <v>45958</v>
      </c>
      <c r="K143" t="s">
        <v>38</v>
      </c>
      <c r="L143" t="s">
        <v>130</v>
      </c>
      <c r="O143" s="15">
        <v>45958</v>
      </c>
      <c r="P143" t="s">
        <v>34</v>
      </c>
      <c r="Q143" t="s">
        <v>132</v>
      </c>
      <c r="R143" t="s">
        <v>133</v>
      </c>
      <c r="S143" t="s">
        <v>133</v>
      </c>
      <c r="T143" t="s">
        <v>133</v>
      </c>
      <c r="U143" t="s">
        <v>133</v>
      </c>
      <c r="V143" t="s">
        <v>132</v>
      </c>
      <c r="W143" t="s">
        <v>138</v>
      </c>
      <c r="X143" t="s">
        <v>153</v>
      </c>
      <c r="Y143" t="str">
        <f>_xlfn.XLOOKUP(C143,[1]Especificação!$G:$G,[1]Especificação!$C:$C)</f>
        <v>B2. Re-especificação de campos complexos - Resto</v>
      </c>
    </row>
    <row r="144" spans="1:25" x14ac:dyDescent="0.3">
      <c r="A144" s="50" t="str">
        <f t="shared" si="9"/>
        <v>ENTITY_EXTRNL_RTNG_NM</v>
      </c>
      <c r="B144" t="s">
        <v>142</v>
      </c>
      <c r="C144" s="10" t="s">
        <v>326</v>
      </c>
      <c r="D144" t="s">
        <v>14</v>
      </c>
      <c r="E144" t="s">
        <v>25</v>
      </c>
      <c r="F144" t="s">
        <v>149</v>
      </c>
      <c r="G144" t="s">
        <v>324</v>
      </c>
      <c r="H144" t="s">
        <v>325</v>
      </c>
      <c r="I144" t="s">
        <v>32</v>
      </c>
      <c r="J144" s="15">
        <v>45958</v>
      </c>
      <c r="K144" t="s">
        <v>38</v>
      </c>
      <c r="L144" t="s">
        <v>130</v>
      </c>
      <c r="O144" s="15">
        <v>45958</v>
      </c>
      <c r="P144" t="s">
        <v>34</v>
      </c>
      <c r="Q144" t="s">
        <v>132</v>
      </c>
      <c r="R144" t="s">
        <v>133</v>
      </c>
      <c r="S144" t="s">
        <v>133</v>
      </c>
      <c r="T144" t="s">
        <v>133</v>
      </c>
      <c r="U144" t="s">
        <v>133</v>
      </c>
      <c r="V144" t="s">
        <v>132</v>
      </c>
      <c r="W144" t="s">
        <v>138</v>
      </c>
      <c r="X144" t="s">
        <v>153</v>
      </c>
      <c r="Y144" t="str">
        <f>_xlfn.XLOOKUP(C144,[1]Especificação!$G:$G,[1]Especificação!$C:$C)</f>
        <v>B2. Re-especificação de campos complexos - Resto</v>
      </c>
    </row>
    <row r="145" spans="1:25" x14ac:dyDescent="0.3">
      <c r="A145" s="50" t="str">
        <f t="shared" si="9"/>
        <v>INSTRUMENT_FLD_SYNDCTN</v>
      </c>
      <c r="B145" t="s">
        <v>128</v>
      </c>
      <c r="C145" t="s">
        <v>327</v>
      </c>
      <c r="D145" t="s">
        <v>6</v>
      </c>
      <c r="E145" t="s">
        <v>56</v>
      </c>
      <c r="F145" t="s">
        <v>130</v>
      </c>
      <c r="G145" t="s">
        <v>328</v>
      </c>
      <c r="H145" t="s">
        <v>329</v>
      </c>
      <c r="I145" t="s">
        <v>29</v>
      </c>
      <c r="J145" s="15">
        <v>45953</v>
      </c>
      <c r="K145" t="s">
        <v>38</v>
      </c>
      <c r="L145" t="str">
        <f t="shared" si="8"/>
        <v>OK</v>
      </c>
      <c r="O145" s="15">
        <v>45952</v>
      </c>
      <c r="P145" t="s">
        <v>13</v>
      </c>
      <c r="Q145" t="s">
        <v>132</v>
      </c>
      <c r="R145" t="s">
        <v>133</v>
      </c>
      <c r="S145" t="s">
        <v>133</v>
      </c>
      <c r="T145" t="s">
        <v>133</v>
      </c>
      <c r="U145" t="s">
        <v>133</v>
      </c>
      <c r="V145" t="s">
        <v>132</v>
      </c>
      <c r="W145" t="s">
        <v>138</v>
      </c>
      <c r="X145" t="s">
        <v>330</v>
      </c>
      <c r="Y145" t="str">
        <f>_xlfn.XLOOKUP(C145,[1]Especificação!$G:$G,[1]Especificação!$C:$C)</f>
        <v>B1. Re-especificação de campos complexos | Sindicados</v>
      </c>
    </row>
    <row r="146" spans="1:25" x14ac:dyDescent="0.3">
      <c r="A146" s="50" t="str">
        <f t="shared" si="9"/>
        <v>ENTITY_FLG_BNKRPTCY_IN_GRP</v>
      </c>
      <c r="B146" t="s">
        <v>142</v>
      </c>
      <c r="C146" t="s">
        <v>331</v>
      </c>
      <c r="D146" t="s">
        <v>14</v>
      </c>
      <c r="E146" t="s">
        <v>38</v>
      </c>
      <c r="F146" t="s">
        <v>130</v>
      </c>
      <c r="G146" t="s">
        <v>131</v>
      </c>
      <c r="I146" t="s">
        <v>26</v>
      </c>
      <c r="J146" s="15">
        <v>45450</v>
      </c>
      <c r="K146" t="s">
        <v>38</v>
      </c>
      <c r="L146" t="str">
        <f t="shared" si="8"/>
        <v>OK</v>
      </c>
      <c r="P146" t="s">
        <v>30</v>
      </c>
      <c r="Q146" t="s">
        <v>132</v>
      </c>
      <c r="R146" t="s">
        <v>133</v>
      </c>
      <c r="S146" t="s">
        <v>133</v>
      </c>
      <c r="T146" t="s">
        <v>133</v>
      </c>
      <c r="U146" t="s">
        <v>133</v>
      </c>
      <c r="V146" t="s">
        <v>133</v>
      </c>
      <c r="W146" t="s">
        <v>5</v>
      </c>
      <c r="X146">
        <v>0</v>
      </c>
      <c r="Y146" t="e">
        <f>_xlfn.XLOOKUP(C146,[1]Especificação!$G:$G,[1]Especificação!$C:$C)</f>
        <v>#N/A</v>
      </c>
    </row>
    <row r="147" spans="1:25" x14ac:dyDescent="0.3">
      <c r="A147" s="50" t="str">
        <f t="shared" si="9"/>
        <v>ENTITY_FLG_HGH_CDS</v>
      </c>
      <c r="B147" t="s">
        <v>142</v>
      </c>
      <c r="C147" t="s">
        <v>332</v>
      </c>
      <c r="D147" t="s">
        <v>14</v>
      </c>
      <c r="E147" t="s">
        <v>38</v>
      </c>
      <c r="F147" t="s">
        <v>130</v>
      </c>
      <c r="G147" t="s">
        <v>131</v>
      </c>
      <c r="I147" t="s">
        <v>26</v>
      </c>
      <c r="J147" s="15">
        <v>45450</v>
      </c>
      <c r="K147" t="s">
        <v>38</v>
      </c>
      <c r="L147" t="str">
        <f t="shared" si="8"/>
        <v>OK</v>
      </c>
      <c r="P147" t="s">
        <v>30</v>
      </c>
      <c r="Q147" t="s">
        <v>132</v>
      </c>
      <c r="R147" t="s">
        <v>133</v>
      </c>
      <c r="S147" t="s">
        <v>133</v>
      </c>
      <c r="T147" t="s">
        <v>133</v>
      </c>
      <c r="U147" t="s">
        <v>133</v>
      </c>
      <c r="V147" t="s">
        <v>133</v>
      </c>
      <c r="W147" t="s">
        <v>5</v>
      </c>
      <c r="X147">
        <v>0</v>
      </c>
      <c r="Y147" t="e">
        <f>_xlfn.XLOOKUP(C147,[1]Especificação!$G:$G,[1]Especificação!$C:$C)</f>
        <v>#N/A</v>
      </c>
    </row>
    <row r="148" spans="1:25" x14ac:dyDescent="0.3">
      <c r="A148" s="50" t="str">
        <f t="shared" si="9"/>
        <v>ENTITY_FLG_ISDA_CRDT_EVNT</v>
      </c>
      <c r="B148" t="s">
        <v>142</v>
      </c>
      <c r="C148" t="s">
        <v>333</v>
      </c>
      <c r="D148" t="s">
        <v>14</v>
      </c>
      <c r="E148" t="s">
        <v>38</v>
      </c>
      <c r="F148" t="s">
        <v>130</v>
      </c>
      <c r="G148" t="s">
        <v>131</v>
      </c>
      <c r="I148" t="s">
        <v>26</v>
      </c>
      <c r="J148" s="15">
        <v>45450</v>
      </c>
      <c r="K148" t="s">
        <v>38</v>
      </c>
      <c r="L148" t="str">
        <f t="shared" si="8"/>
        <v>OK</v>
      </c>
      <c r="P148" t="s">
        <v>30</v>
      </c>
      <c r="Q148" t="s">
        <v>132</v>
      </c>
      <c r="R148" t="s">
        <v>133</v>
      </c>
      <c r="S148" t="s">
        <v>133</v>
      </c>
      <c r="T148" t="s">
        <v>133</v>
      </c>
      <c r="U148" t="s">
        <v>133</v>
      </c>
      <c r="V148" t="s">
        <v>133</v>
      </c>
      <c r="W148" t="s">
        <v>5</v>
      </c>
      <c r="X148">
        <v>0</v>
      </c>
      <c r="Y148" t="e">
        <f>_xlfn.XLOOKUP(C148,[1]Especificação!$G:$G,[1]Especificação!$C:$C)</f>
        <v>#N/A</v>
      </c>
    </row>
    <row r="149" spans="1:25" x14ac:dyDescent="0.3">
      <c r="A149" s="50" t="str">
        <f t="shared" si="9"/>
        <v>INSTRUMENT_FLG_LBO</v>
      </c>
      <c r="B149" t="s">
        <v>128</v>
      </c>
      <c r="C149" t="s">
        <v>334</v>
      </c>
      <c r="D149" t="s">
        <v>6</v>
      </c>
      <c r="E149" t="s">
        <v>38</v>
      </c>
      <c r="F149" t="s">
        <v>130</v>
      </c>
      <c r="G149" t="s">
        <v>131</v>
      </c>
      <c r="I149" t="s">
        <v>26</v>
      </c>
      <c r="J149" s="15">
        <v>45958</v>
      </c>
      <c r="K149" t="s">
        <v>38</v>
      </c>
      <c r="L149" t="s">
        <v>130</v>
      </c>
      <c r="O149" s="15">
        <v>45958</v>
      </c>
      <c r="P149" t="s">
        <v>30</v>
      </c>
      <c r="Q149" t="s">
        <v>132</v>
      </c>
      <c r="R149" t="s">
        <v>133</v>
      </c>
      <c r="S149" t="s">
        <v>133</v>
      </c>
      <c r="T149" t="s">
        <v>133</v>
      </c>
      <c r="U149" t="s">
        <v>133</v>
      </c>
      <c r="V149" t="s">
        <v>132</v>
      </c>
      <c r="W149" t="s">
        <v>146</v>
      </c>
      <c r="X149" t="s">
        <v>211</v>
      </c>
      <c r="Y149" t="str">
        <f>_xlfn.XLOOKUP(C149,[1]Especificação!$G:$G,[1]Especificação!$C:$C)</f>
        <v>B2. Re-especificação de campos complexos - Resto</v>
      </c>
    </row>
    <row r="150" spans="1:25" x14ac:dyDescent="0.3">
      <c r="A150" s="50" t="str">
        <f t="shared" si="9"/>
        <v>ENTITY_FLG_NN_ACCRL</v>
      </c>
      <c r="B150" t="s">
        <v>142</v>
      </c>
      <c r="C150" t="s">
        <v>335</v>
      </c>
      <c r="D150" t="s">
        <v>14</v>
      </c>
      <c r="E150" t="s">
        <v>38</v>
      </c>
      <c r="F150" t="s">
        <v>130</v>
      </c>
      <c r="G150" t="s">
        <v>131</v>
      </c>
      <c r="I150" t="s">
        <v>26</v>
      </c>
      <c r="J150" s="15">
        <v>45450</v>
      </c>
      <c r="K150" t="s">
        <v>38</v>
      </c>
      <c r="L150" t="str">
        <f t="shared" si="8"/>
        <v>OK</v>
      </c>
      <c r="P150" t="s">
        <v>30</v>
      </c>
      <c r="Q150" t="s">
        <v>132</v>
      </c>
      <c r="R150" t="s">
        <v>133</v>
      </c>
      <c r="S150" t="s">
        <v>133</v>
      </c>
      <c r="T150" t="s">
        <v>133</v>
      </c>
      <c r="U150" t="s">
        <v>133</v>
      </c>
      <c r="V150" t="s">
        <v>133</v>
      </c>
      <c r="W150" t="s">
        <v>5</v>
      </c>
      <c r="X150">
        <v>0</v>
      </c>
      <c r="Y150" t="e">
        <f>_xlfn.XLOOKUP(C150,[1]Especificação!$G:$G,[1]Especificação!$C:$C)</f>
        <v>#N/A</v>
      </c>
    </row>
    <row r="151" spans="1:25" x14ac:dyDescent="0.3">
      <c r="A151" s="50" t="str">
        <f t="shared" si="9"/>
        <v>ENTITY_FLG_RQST_BNKRPTCY</v>
      </c>
      <c r="B151" t="s">
        <v>142</v>
      </c>
      <c r="C151" t="s">
        <v>336</v>
      </c>
      <c r="D151" t="s">
        <v>14</v>
      </c>
      <c r="E151" t="s">
        <v>38</v>
      </c>
      <c r="F151" t="s">
        <v>130</v>
      </c>
      <c r="G151" t="s">
        <v>131</v>
      </c>
      <c r="I151" t="s">
        <v>26</v>
      </c>
      <c r="J151" s="15">
        <v>45450</v>
      </c>
      <c r="K151" t="s">
        <v>38</v>
      </c>
      <c r="L151" t="str">
        <f t="shared" si="8"/>
        <v>OK</v>
      </c>
      <c r="P151" t="s">
        <v>30</v>
      </c>
      <c r="Q151" t="s">
        <v>132</v>
      </c>
      <c r="R151" t="s">
        <v>133</v>
      </c>
      <c r="S151" t="s">
        <v>133</v>
      </c>
      <c r="T151" t="s">
        <v>133</v>
      </c>
      <c r="U151" t="s">
        <v>133</v>
      </c>
      <c r="V151" t="s">
        <v>133</v>
      </c>
      <c r="W151" t="s">
        <v>5</v>
      </c>
      <c r="X151">
        <v>0</v>
      </c>
      <c r="Y151" t="e">
        <f>_xlfn.XLOOKUP(C151,[1]Especificação!$G:$G,[1]Especificação!$C:$C)</f>
        <v>#N/A</v>
      </c>
    </row>
    <row r="152" spans="1:25" x14ac:dyDescent="0.3">
      <c r="A152" s="50" t="str">
        <f t="shared" si="9"/>
        <v>ENTITY_FLG_RQST_DSTRSSD_RSTRCTRNG</v>
      </c>
      <c r="B152" t="s">
        <v>142</v>
      </c>
      <c r="C152" t="s">
        <v>337</v>
      </c>
      <c r="D152" t="s">
        <v>14</v>
      </c>
      <c r="E152" t="s">
        <v>20</v>
      </c>
      <c r="F152" t="s">
        <v>149</v>
      </c>
      <c r="G152" t="s">
        <v>338</v>
      </c>
      <c r="I152" t="s">
        <v>29</v>
      </c>
      <c r="J152" s="15">
        <v>45450</v>
      </c>
      <c r="K152" t="s">
        <v>20</v>
      </c>
      <c r="L152" t="str">
        <f t="shared" si="8"/>
        <v>NOK</v>
      </c>
      <c r="P152" t="s">
        <v>13</v>
      </c>
      <c r="Q152" t="s">
        <v>132</v>
      </c>
      <c r="R152" t="s">
        <v>133</v>
      </c>
      <c r="S152" t="s">
        <v>133</v>
      </c>
      <c r="T152" t="s">
        <v>133</v>
      </c>
      <c r="U152" t="s">
        <v>133</v>
      </c>
      <c r="V152" t="s">
        <v>133</v>
      </c>
      <c r="W152" t="s">
        <v>5</v>
      </c>
      <c r="X152">
        <v>0</v>
      </c>
      <c r="Y152" t="e">
        <f>_xlfn.XLOOKUP(C152,[1]Especificação!$G:$G,[1]Especificação!$C:$C)</f>
        <v>#N/A</v>
      </c>
    </row>
    <row r="153" spans="1:25" x14ac:dyDescent="0.3">
      <c r="A153" s="50" t="str">
        <f t="shared" si="9"/>
        <v>ENTITY_FLG_RQST_EMRGNCY_FNDNG</v>
      </c>
      <c r="B153" t="s">
        <v>142</v>
      </c>
      <c r="C153" t="s">
        <v>339</v>
      </c>
      <c r="D153" t="s">
        <v>14</v>
      </c>
      <c r="E153" t="s">
        <v>38</v>
      </c>
      <c r="F153" t="s">
        <v>130</v>
      </c>
      <c r="G153" t="s">
        <v>131</v>
      </c>
      <c r="I153" t="s">
        <v>29</v>
      </c>
      <c r="J153" s="15">
        <v>45450</v>
      </c>
      <c r="K153" t="s">
        <v>38</v>
      </c>
      <c r="L153" t="str">
        <f t="shared" si="8"/>
        <v>OK</v>
      </c>
      <c r="O153" s="15">
        <v>45952</v>
      </c>
      <c r="P153" t="s">
        <v>30</v>
      </c>
      <c r="Q153" t="s">
        <v>132</v>
      </c>
      <c r="R153" t="s">
        <v>133</v>
      </c>
      <c r="S153" t="s">
        <v>133</v>
      </c>
      <c r="T153" t="s">
        <v>133</v>
      </c>
      <c r="U153" t="s">
        <v>133</v>
      </c>
      <c r="V153" t="s">
        <v>132</v>
      </c>
      <c r="W153" t="s">
        <v>5</v>
      </c>
      <c r="X153" t="s">
        <v>135</v>
      </c>
      <c r="Y153" t="str">
        <f>_xlfn.XLOOKUP(C153,[1]Especificação!$G:$G,[1]Especificação!$C:$C)</f>
        <v>A. Novos Campos</v>
      </c>
    </row>
    <row r="154" spans="1:25" x14ac:dyDescent="0.3">
      <c r="A154" s="50" t="str">
        <f t="shared" si="9"/>
        <v>ENTITY_FLG_SLL_WTH_LSS</v>
      </c>
      <c r="B154" t="s">
        <v>142</v>
      </c>
      <c r="C154" t="s">
        <v>340</v>
      </c>
      <c r="D154" t="s">
        <v>14</v>
      </c>
      <c r="E154" t="s">
        <v>38</v>
      </c>
      <c r="F154" t="s">
        <v>130</v>
      </c>
      <c r="G154" t="s">
        <v>131</v>
      </c>
      <c r="I154" t="s">
        <v>26</v>
      </c>
      <c r="J154" s="15">
        <v>45450</v>
      </c>
      <c r="K154" t="s">
        <v>38</v>
      </c>
      <c r="L154" t="str">
        <f t="shared" si="8"/>
        <v>OK</v>
      </c>
      <c r="P154" t="s">
        <v>30</v>
      </c>
      <c r="Q154" t="s">
        <v>132</v>
      </c>
      <c r="R154" t="s">
        <v>133</v>
      </c>
      <c r="S154" t="s">
        <v>133</v>
      </c>
      <c r="T154" t="s">
        <v>133</v>
      </c>
      <c r="U154" t="s">
        <v>133</v>
      </c>
      <c r="V154" t="s">
        <v>133</v>
      </c>
      <c r="W154" t="s">
        <v>5</v>
      </c>
      <c r="X154">
        <v>0</v>
      </c>
      <c r="Y154" t="e">
        <f>_xlfn.XLOOKUP(C154,[1]Especificação!$G:$G,[1]Especificação!$C:$C)</f>
        <v>#N/A</v>
      </c>
    </row>
    <row r="155" spans="1:25" x14ac:dyDescent="0.3">
      <c r="A155" s="50" t="str">
        <f t="shared" si="9"/>
        <v>ENTITY_FR_CSH_FLW</v>
      </c>
      <c r="B155" t="s">
        <v>142</v>
      </c>
      <c r="C155" t="s">
        <v>341</v>
      </c>
      <c r="D155" t="s">
        <v>14</v>
      </c>
      <c r="E155" t="s">
        <v>20</v>
      </c>
      <c r="F155" t="s">
        <v>130</v>
      </c>
      <c r="G155" t="s">
        <v>235</v>
      </c>
      <c r="I155" t="s">
        <v>29</v>
      </c>
      <c r="J155" s="15">
        <v>45958</v>
      </c>
      <c r="K155" t="s">
        <v>38</v>
      </c>
      <c r="L155" t="s">
        <v>130</v>
      </c>
      <c r="O155" s="15">
        <v>45958</v>
      </c>
      <c r="P155" t="s">
        <v>19</v>
      </c>
      <c r="Q155" t="s">
        <v>132</v>
      </c>
      <c r="R155" t="s">
        <v>133</v>
      </c>
      <c r="S155" t="s">
        <v>133</v>
      </c>
      <c r="T155" t="s">
        <v>133</v>
      </c>
      <c r="U155" t="s">
        <v>133</v>
      </c>
      <c r="V155" t="s">
        <v>132</v>
      </c>
      <c r="W155" t="s">
        <v>138</v>
      </c>
      <c r="X155" t="s">
        <v>153</v>
      </c>
      <c r="Y155" t="str">
        <f>_xlfn.XLOOKUP(C155,[1]Especificação!$G:$G,[1]Especificação!$C:$C)</f>
        <v>B2. Re-especificação de campos complexos - Resto</v>
      </c>
    </row>
    <row r="156" spans="1:25" x14ac:dyDescent="0.3">
      <c r="A156" s="50" t="str">
        <f t="shared" si="9"/>
        <v>ENTITY_FR_CSH_FLW_T1</v>
      </c>
      <c r="B156" t="s">
        <v>142</v>
      </c>
      <c r="C156" t="s">
        <v>342</v>
      </c>
      <c r="D156" t="s">
        <v>14</v>
      </c>
      <c r="E156" t="s">
        <v>20</v>
      </c>
      <c r="F156" t="s">
        <v>130</v>
      </c>
      <c r="G156" t="s">
        <v>235</v>
      </c>
      <c r="I156" t="s">
        <v>29</v>
      </c>
      <c r="J156" s="15">
        <v>45958</v>
      </c>
      <c r="K156" t="s">
        <v>38</v>
      </c>
      <c r="L156" t="s">
        <v>130</v>
      </c>
      <c r="O156" s="15">
        <v>45958</v>
      </c>
      <c r="P156" t="s">
        <v>19</v>
      </c>
      <c r="Q156" t="s">
        <v>132</v>
      </c>
      <c r="R156" t="s">
        <v>133</v>
      </c>
      <c r="S156" t="s">
        <v>133</v>
      </c>
      <c r="T156" t="s">
        <v>133</v>
      </c>
      <c r="U156" t="s">
        <v>133</v>
      </c>
      <c r="V156" t="s">
        <v>132</v>
      </c>
      <c r="W156" t="s">
        <v>138</v>
      </c>
      <c r="X156" t="s">
        <v>153</v>
      </c>
      <c r="Y156" t="str">
        <f>_xlfn.XLOOKUP(C156,[1]Especificação!$G:$G,[1]Especificação!$C:$C)</f>
        <v>B2. Re-especificação de campos complexos - Resto</v>
      </c>
    </row>
    <row r="157" spans="1:25" x14ac:dyDescent="0.3">
      <c r="A157" s="50" t="str">
        <f t="shared" si="9"/>
        <v>ENTITY_FR_CSH_FLW_T2</v>
      </c>
      <c r="B157" t="s">
        <v>142</v>
      </c>
      <c r="C157" t="s">
        <v>343</v>
      </c>
      <c r="D157" t="s">
        <v>14</v>
      </c>
      <c r="E157" t="s">
        <v>20</v>
      </c>
      <c r="F157" t="s">
        <v>130</v>
      </c>
      <c r="G157" t="s">
        <v>235</v>
      </c>
      <c r="I157" t="s">
        <v>29</v>
      </c>
      <c r="J157" s="15">
        <v>45958</v>
      </c>
      <c r="K157" t="s">
        <v>38</v>
      </c>
      <c r="L157" t="s">
        <v>130</v>
      </c>
      <c r="O157" s="15">
        <v>45958</v>
      </c>
      <c r="P157" t="s">
        <v>19</v>
      </c>
      <c r="Q157" t="s">
        <v>132</v>
      </c>
      <c r="R157" t="s">
        <v>133</v>
      </c>
      <c r="S157" t="s">
        <v>133</v>
      </c>
      <c r="T157" t="s">
        <v>133</v>
      </c>
      <c r="U157" t="s">
        <v>133</v>
      </c>
      <c r="V157" t="s">
        <v>132</v>
      </c>
      <c r="W157" t="s">
        <v>138</v>
      </c>
      <c r="X157" t="s">
        <v>153</v>
      </c>
      <c r="Y157" t="str">
        <f>_xlfn.XLOOKUP(C157,[1]Especificação!$G:$G,[1]Especificação!$C:$C)</f>
        <v>B2. Re-especificação de campos complexos - Resto</v>
      </c>
    </row>
    <row r="158" spans="1:25" x14ac:dyDescent="0.3">
      <c r="A158" s="50" t="str">
        <f t="shared" si="9"/>
        <v>ENTITY_FR_CSH_FLW_T3</v>
      </c>
      <c r="B158" t="s">
        <v>142</v>
      </c>
      <c r="C158" t="s">
        <v>344</v>
      </c>
      <c r="D158" t="s">
        <v>14</v>
      </c>
      <c r="E158" t="s">
        <v>20</v>
      </c>
      <c r="F158" t="s">
        <v>130</v>
      </c>
      <c r="G158" t="s">
        <v>235</v>
      </c>
      <c r="I158" t="s">
        <v>29</v>
      </c>
      <c r="J158" s="15">
        <v>45958</v>
      </c>
      <c r="K158" t="s">
        <v>38</v>
      </c>
      <c r="L158" t="s">
        <v>130</v>
      </c>
      <c r="O158" s="15">
        <v>45958</v>
      </c>
      <c r="P158" t="s">
        <v>19</v>
      </c>
      <c r="Q158" t="s">
        <v>132</v>
      </c>
      <c r="R158" t="s">
        <v>133</v>
      </c>
      <c r="S158" t="s">
        <v>133</v>
      </c>
      <c r="T158" t="s">
        <v>133</v>
      </c>
      <c r="U158" t="s">
        <v>133</v>
      </c>
      <c r="V158" t="s">
        <v>132</v>
      </c>
      <c r="W158" t="s">
        <v>138</v>
      </c>
      <c r="X158" t="s">
        <v>153</v>
      </c>
      <c r="Y158" t="str">
        <f>_xlfn.XLOOKUP(C158,[1]Especificação!$G:$G,[1]Especificação!$C:$C)</f>
        <v>B2. Re-especificação de campos complexos - Resto</v>
      </c>
    </row>
    <row r="159" spans="1:25" x14ac:dyDescent="0.3">
      <c r="A159" s="50" t="str">
        <f t="shared" si="9"/>
        <v>INSTRUMENT_FRBRNC_STTS_C19</v>
      </c>
      <c r="B159" t="s">
        <v>128</v>
      </c>
      <c r="C159" t="s">
        <v>345</v>
      </c>
      <c r="D159" t="s">
        <v>6</v>
      </c>
      <c r="E159" t="s">
        <v>38</v>
      </c>
      <c r="F159" t="s">
        <v>130</v>
      </c>
      <c r="G159" t="s">
        <v>131</v>
      </c>
      <c r="I159" t="s">
        <v>26</v>
      </c>
      <c r="J159" s="15">
        <v>45450</v>
      </c>
      <c r="K159" t="s">
        <v>38</v>
      </c>
      <c r="L159" t="str">
        <f t="shared" ref="L157:L188" si="10">F159</f>
        <v>OK</v>
      </c>
      <c r="P159" t="s">
        <v>30</v>
      </c>
      <c r="Q159" t="s">
        <v>132</v>
      </c>
      <c r="R159" t="s">
        <v>133</v>
      </c>
      <c r="S159" t="s">
        <v>133</v>
      </c>
      <c r="T159" t="s">
        <v>133</v>
      </c>
      <c r="U159" t="s">
        <v>133</v>
      </c>
      <c r="V159" t="s">
        <v>133</v>
      </c>
      <c r="W159" t="s">
        <v>5</v>
      </c>
      <c r="X159">
        <v>0</v>
      </c>
      <c r="Y159" t="e">
        <f>_xlfn.XLOOKUP(C159,[1]Especificação!$G:$G,[1]Especificação!$C:$C)</f>
        <v>#N/A</v>
      </c>
    </row>
    <row r="160" spans="1:25" x14ac:dyDescent="0.3">
      <c r="A160" s="50" t="str">
        <f t="shared" si="9"/>
        <v>ENTITY_EXTRNL_RTNG</v>
      </c>
      <c r="B160" t="s">
        <v>142</v>
      </c>
      <c r="C160" s="10" t="s">
        <v>346</v>
      </c>
      <c r="D160" t="s">
        <v>14</v>
      </c>
      <c r="E160" t="s">
        <v>25</v>
      </c>
      <c r="F160" t="s">
        <v>130</v>
      </c>
      <c r="G160" t="s">
        <v>324</v>
      </c>
      <c r="H160" t="s">
        <v>325</v>
      </c>
      <c r="I160" t="s">
        <v>32</v>
      </c>
      <c r="J160" s="15">
        <v>45958</v>
      </c>
      <c r="K160" t="s">
        <v>38</v>
      </c>
      <c r="L160" t="s">
        <v>130</v>
      </c>
      <c r="O160" s="15">
        <v>45958</v>
      </c>
      <c r="P160" t="s">
        <v>34</v>
      </c>
      <c r="Q160" t="s">
        <v>132</v>
      </c>
      <c r="R160" t="s">
        <v>133</v>
      </c>
      <c r="S160" t="s">
        <v>133</v>
      </c>
      <c r="T160" t="s">
        <v>133</v>
      </c>
      <c r="U160" t="s">
        <v>133</v>
      </c>
      <c r="V160" t="s">
        <v>132</v>
      </c>
      <c r="W160" t="s">
        <v>138</v>
      </c>
      <c r="X160" t="s">
        <v>153</v>
      </c>
      <c r="Y160" t="str">
        <f>_xlfn.XLOOKUP(C160,[1]Especificação!$G:$G,[1]Especificação!$C:$C)</f>
        <v>B2. Re-especificação de campos complexos - Resto</v>
      </c>
    </row>
    <row r="161" spans="1:25" x14ac:dyDescent="0.3">
      <c r="A161" s="50" t="str">
        <f t="shared" si="9"/>
        <v>ENTITY_GCC_PRNT_ID</v>
      </c>
      <c r="B161" t="s">
        <v>142</v>
      </c>
      <c r="C161" t="s">
        <v>347</v>
      </c>
      <c r="D161" t="s">
        <v>14</v>
      </c>
      <c r="E161" t="s">
        <v>38</v>
      </c>
      <c r="F161" t="s">
        <v>130</v>
      </c>
      <c r="G161" t="s">
        <v>131</v>
      </c>
      <c r="I161" t="s">
        <v>26</v>
      </c>
      <c r="J161" s="15">
        <v>45450</v>
      </c>
      <c r="K161" t="s">
        <v>38</v>
      </c>
      <c r="L161" t="str">
        <f t="shared" si="10"/>
        <v>OK</v>
      </c>
      <c r="P161" t="s">
        <v>30</v>
      </c>
      <c r="Q161" t="s">
        <v>132</v>
      </c>
      <c r="R161" t="s">
        <v>133</v>
      </c>
      <c r="S161" t="s">
        <v>133</v>
      </c>
      <c r="T161" t="s">
        <v>133</v>
      </c>
      <c r="U161" t="s">
        <v>133</v>
      </c>
      <c r="V161" t="s">
        <v>132</v>
      </c>
      <c r="W161" t="s">
        <v>5</v>
      </c>
      <c r="X161" t="s">
        <v>135</v>
      </c>
      <c r="Y161" t="str">
        <f>_xlfn.XLOOKUP(C161,[1]Especificação!$G:$G,[1]Especificação!$C:$C)</f>
        <v>F1. Fora âmbito | Campos concluídos - Sem necessidade de espec.</v>
      </c>
    </row>
    <row r="162" spans="1:25" x14ac:dyDescent="0.3">
      <c r="A162" s="50" t="str">
        <f t="shared" si="9"/>
        <v>ENTITY_GCC_PRNT_NM</v>
      </c>
      <c r="B162" t="s">
        <v>142</v>
      </c>
      <c r="C162" t="s">
        <v>348</v>
      </c>
      <c r="D162" t="s">
        <v>14</v>
      </c>
      <c r="E162" t="s">
        <v>38</v>
      </c>
      <c r="F162" t="s">
        <v>130</v>
      </c>
      <c r="G162" t="s">
        <v>131</v>
      </c>
      <c r="I162" t="s">
        <v>26</v>
      </c>
      <c r="J162" s="15">
        <v>45450</v>
      </c>
      <c r="K162" t="s">
        <v>38</v>
      </c>
      <c r="L162" t="str">
        <f t="shared" si="10"/>
        <v>OK</v>
      </c>
      <c r="P162" t="s">
        <v>30</v>
      </c>
      <c r="Q162" t="s">
        <v>132</v>
      </c>
      <c r="R162" t="s">
        <v>133</v>
      </c>
      <c r="S162" t="s">
        <v>133</v>
      </c>
      <c r="T162" t="s">
        <v>133</v>
      </c>
      <c r="U162" t="s">
        <v>133</v>
      </c>
      <c r="V162" t="s">
        <v>132</v>
      </c>
      <c r="W162" t="s">
        <v>5</v>
      </c>
      <c r="X162" t="s">
        <v>135</v>
      </c>
      <c r="Y162" t="str">
        <f>_xlfn.XLOOKUP(C162,[1]Especificação!$G:$G,[1]Especificação!$C:$C)</f>
        <v>F1. Fora âmbito | Campos concluídos - Sem necessidade de espec.</v>
      </c>
    </row>
    <row r="163" spans="1:25" x14ac:dyDescent="0.3">
      <c r="A163" s="50" t="str">
        <f t="shared" si="9"/>
        <v>ENTITY_GDWILL</v>
      </c>
      <c r="B163" t="s">
        <v>142</v>
      </c>
      <c r="C163" t="s">
        <v>349</v>
      </c>
      <c r="D163" t="s">
        <v>14</v>
      </c>
      <c r="E163" t="s">
        <v>38</v>
      </c>
      <c r="F163" t="s">
        <v>130</v>
      </c>
      <c r="G163" t="s">
        <v>131</v>
      </c>
      <c r="I163" t="s">
        <v>26</v>
      </c>
      <c r="J163" s="15">
        <v>45450</v>
      </c>
      <c r="K163" t="s">
        <v>38</v>
      </c>
      <c r="L163" t="str">
        <f t="shared" si="10"/>
        <v>OK</v>
      </c>
      <c r="P163" t="s">
        <v>30</v>
      </c>
      <c r="Q163" t="s">
        <v>132</v>
      </c>
      <c r="R163" t="s">
        <v>133</v>
      </c>
      <c r="S163" t="s">
        <v>133</v>
      </c>
      <c r="T163" t="s">
        <v>133</v>
      </c>
      <c r="U163" t="s">
        <v>133</v>
      </c>
      <c r="V163" t="s">
        <v>133</v>
      </c>
      <c r="W163" t="s">
        <v>5</v>
      </c>
      <c r="X163">
        <v>0</v>
      </c>
      <c r="Y163" t="e">
        <f>_xlfn.XLOOKUP(C163,[1]Especificação!$G:$G,[1]Especificação!$C:$C)</f>
        <v>#N/A</v>
      </c>
    </row>
    <row r="164" spans="1:25" x14ac:dyDescent="0.3">
      <c r="A164" s="50" t="str">
        <f t="shared" si="9"/>
        <v>ENTITY_GDWILL_PRVS</v>
      </c>
      <c r="B164" t="s">
        <v>142</v>
      </c>
      <c r="C164" t="s">
        <v>350</v>
      </c>
      <c r="D164" t="s">
        <v>14</v>
      </c>
      <c r="E164" t="s">
        <v>38</v>
      </c>
      <c r="F164" t="s">
        <v>130</v>
      </c>
      <c r="G164" t="s">
        <v>131</v>
      </c>
      <c r="I164" t="s">
        <v>26</v>
      </c>
      <c r="J164" s="15">
        <v>45450</v>
      </c>
      <c r="K164" t="s">
        <v>38</v>
      </c>
      <c r="L164" t="str">
        <f t="shared" si="10"/>
        <v>OK</v>
      </c>
      <c r="P164" t="s">
        <v>30</v>
      </c>
      <c r="Q164" t="s">
        <v>132</v>
      </c>
      <c r="R164" t="s">
        <v>133</v>
      </c>
      <c r="S164" t="s">
        <v>133</v>
      </c>
      <c r="T164" t="s">
        <v>133</v>
      </c>
      <c r="U164" t="s">
        <v>133</v>
      </c>
      <c r="V164" t="s">
        <v>133</v>
      </c>
      <c r="W164" t="s">
        <v>5</v>
      </c>
      <c r="X164">
        <v>0</v>
      </c>
      <c r="Y164" t="e">
        <f>_xlfn.XLOOKUP(C164,[1]Especificação!$G:$G,[1]Especificação!$C:$C)</f>
        <v>#N/A</v>
      </c>
    </row>
    <row r="165" spans="1:25" x14ac:dyDescent="0.3">
      <c r="A165" s="50" t="str">
        <f t="shared" si="9"/>
        <v>INSTRUMENT_GRC_PRD_CPTL_INTRST_C19</v>
      </c>
      <c r="B165" t="s">
        <v>128</v>
      </c>
      <c r="C165" t="s">
        <v>351</v>
      </c>
      <c r="D165" t="s">
        <v>6</v>
      </c>
      <c r="E165" t="s">
        <v>38</v>
      </c>
      <c r="F165" t="s">
        <v>130</v>
      </c>
      <c r="G165" t="s">
        <v>131</v>
      </c>
      <c r="I165" t="s">
        <v>26</v>
      </c>
      <c r="J165" s="15">
        <v>45450</v>
      </c>
      <c r="K165" t="s">
        <v>38</v>
      </c>
      <c r="L165" t="str">
        <f t="shared" si="10"/>
        <v>OK</v>
      </c>
      <c r="P165" t="s">
        <v>30</v>
      </c>
      <c r="Q165" t="s">
        <v>132</v>
      </c>
      <c r="R165" t="s">
        <v>133</v>
      </c>
      <c r="S165" t="s">
        <v>133</v>
      </c>
      <c r="T165" t="s">
        <v>133</v>
      </c>
      <c r="U165" t="s">
        <v>133</v>
      </c>
      <c r="V165" t="s">
        <v>133</v>
      </c>
      <c r="W165" t="s">
        <v>5</v>
      </c>
      <c r="X165">
        <v>0</v>
      </c>
      <c r="Y165" t="e">
        <f>_xlfn.XLOOKUP(C165,[1]Especificação!$G:$G,[1]Especificação!$C:$C)</f>
        <v>#N/A</v>
      </c>
    </row>
    <row r="166" spans="1:25" x14ac:dyDescent="0.3">
      <c r="A166" s="50" t="str">
        <f t="shared" si="9"/>
        <v>INSTRUMENT_GRNTR_ID</v>
      </c>
      <c r="B166" t="s">
        <v>128</v>
      </c>
      <c r="C166" t="s">
        <v>352</v>
      </c>
      <c r="D166" t="s">
        <v>6</v>
      </c>
      <c r="E166" t="s">
        <v>38</v>
      </c>
      <c r="F166" t="s">
        <v>130</v>
      </c>
      <c r="G166" t="s">
        <v>131</v>
      </c>
      <c r="I166" t="s">
        <v>26</v>
      </c>
      <c r="J166" s="15">
        <v>45450</v>
      </c>
      <c r="K166" t="s">
        <v>38</v>
      </c>
      <c r="L166" t="str">
        <f t="shared" si="10"/>
        <v>OK</v>
      </c>
      <c r="P166" t="s">
        <v>30</v>
      </c>
      <c r="Q166" t="s">
        <v>132</v>
      </c>
      <c r="R166" t="s">
        <v>133</v>
      </c>
      <c r="S166" t="s">
        <v>133</v>
      </c>
      <c r="T166" t="s">
        <v>133</v>
      </c>
      <c r="U166" t="s">
        <v>133</v>
      </c>
      <c r="V166" t="s">
        <v>133</v>
      </c>
      <c r="W166" t="s">
        <v>5</v>
      </c>
      <c r="X166">
        <v>0</v>
      </c>
      <c r="Y166" t="e">
        <f>_xlfn.XLOOKUP(C166,[1]Especificação!$G:$G,[1]Especificação!$C:$C)</f>
        <v>#N/A</v>
      </c>
    </row>
    <row r="167" spans="1:25" x14ac:dyDescent="0.3">
      <c r="A167" s="50" t="str">
        <f t="shared" si="9"/>
        <v>INSTRUMENT_GRNTR_ID_TYP</v>
      </c>
      <c r="B167" t="s">
        <v>128</v>
      </c>
      <c r="C167" t="s">
        <v>353</v>
      </c>
      <c r="D167" t="s">
        <v>6</v>
      </c>
      <c r="E167" t="s">
        <v>38</v>
      </c>
      <c r="F167" t="s">
        <v>130</v>
      </c>
      <c r="G167" t="s">
        <v>131</v>
      </c>
      <c r="I167" t="s">
        <v>26</v>
      </c>
      <c r="J167" s="15">
        <v>45450</v>
      </c>
      <c r="K167" t="s">
        <v>38</v>
      </c>
      <c r="L167" t="str">
        <f t="shared" si="10"/>
        <v>OK</v>
      </c>
      <c r="P167" t="s">
        <v>30</v>
      </c>
      <c r="Q167" t="s">
        <v>132</v>
      </c>
      <c r="R167" t="s">
        <v>133</v>
      </c>
      <c r="S167" t="s">
        <v>133</v>
      </c>
      <c r="T167" t="s">
        <v>133</v>
      </c>
      <c r="U167" t="s">
        <v>133</v>
      </c>
      <c r="V167" t="s">
        <v>133</v>
      </c>
      <c r="W167" t="s">
        <v>5</v>
      </c>
      <c r="X167">
        <v>0</v>
      </c>
      <c r="Y167" t="e">
        <f>_xlfn.XLOOKUP(C167,[1]Especificação!$G:$G,[1]Especificação!$C:$C)</f>
        <v>#N/A</v>
      </c>
    </row>
    <row r="168" spans="1:25" x14ac:dyDescent="0.3">
      <c r="A168" s="50" t="str">
        <f t="shared" si="9"/>
        <v>ENTITY_GRP_EBITDA</v>
      </c>
      <c r="B168" t="s">
        <v>142</v>
      </c>
      <c r="C168" t="s">
        <v>354</v>
      </c>
      <c r="D168" t="s">
        <v>14</v>
      </c>
      <c r="E168" t="s">
        <v>38</v>
      </c>
      <c r="F168" t="s">
        <v>130</v>
      </c>
      <c r="G168" t="s">
        <v>131</v>
      </c>
      <c r="I168" t="s">
        <v>26</v>
      </c>
      <c r="J168" s="15">
        <v>45450</v>
      </c>
      <c r="K168" t="s">
        <v>38</v>
      </c>
      <c r="L168" t="str">
        <f t="shared" si="10"/>
        <v>OK</v>
      </c>
      <c r="P168" t="s">
        <v>30</v>
      </c>
      <c r="Q168" t="s">
        <v>132</v>
      </c>
      <c r="R168" t="s">
        <v>133</v>
      </c>
      <c r="S168" t="s">
        <v>133</v>
      </c>
      <c r="T168" t="s">
        <v>133</v>
      </c>
      <c r="U168" t="s">
        <v>133</v>
      </c>
      <c r="V168" t="s">
        <v>132</v>
      </c>
      <c r="W168" t="s">
        <v>5</v>
      </c>
      <c r="X168" t="s">
        <v>135</v>
      </c>
      <c r="Y168" t="str">
        <f>_xlfn.XLOOKUP(C168,[1]Especificação!$G:$G,[1]Especificação!$C:$C)</f>
        <v>F1. Fora âmbito | Campos concluídos - Sem necessidade de espec.</v>
      </c>
    </row>
    <row r="169" spans="1:25" x14ac:dyDescent="0.3">
      <c r="A169" s="50" t="str">
        <f t="shared" si="9"/>
        <v>ENTITY_GRP_EQTY</v>
      </c>
      <c r="B169" t="s">
        <v>142</v>
      </c>
      <c r="C169" t="s">
        <v>355</v>
      </c>
      <c r="D169" t="s">
        <v>14</v>
      </c>
      <c r="E169" t="s">
        <v>38</v>
      </c>
      <c r="F169" t="s">
        <v>130</v>
      </c>
      <c r="G169" t="s">
        <v>131</v>
      </c>
      <c r="I169" t="s">
        <v>26</v>
      </c>
      <c r="J169" s="15">
        <v>45450</v>
      </c>
      <c r="K169" t="s">
        <v>38</v>
      </c>
      <c r="L169" t="str">
        <f t="shared" si="10"/>
        <v>OK</v>
      </c>
      <c r="P169" t="s">
        <v>30</v>
      </c>
      <c r="Q169" t="s">
        <v>132</v>
      </c>
      <c r="R169" t="s">
        <v>133</v>
      </c>
      <c r="S169" t="s">
        <v>132</v>
      </c>
      <c r="T169" t="s">
        <v>133</v>
      </c>
      <c r="U169" t="s">
        <v>133</v>
      </c>
      <c r="V169" t="s">
        <v>132</v>
      </c>
      <c r="W169" t="s">
        <v>5</v>
      </c>
      <c r="X169" t="s">
        <v>135</v>
      </c>
      <c r="Y169" t="str">
        <f>_xlfn.XLOOKUP(C169,[1]Especificação!$G:$G,[1]Especificação!$C:$C)</f>
        <v>F1. Fora âmbito | Campos concluídos - Sem necessidade de espec.</v>
      </c>
    </row>
    <row r="170" spans="1:25" x14ac:dyDescent="0.3">
      <c r="A170" s="50" t="str">
        <f t="shared" si="9"/>
        <v>ENTITY_GRP_NT_DBT</v>
      </c>
      <c r="B170" t="s">
        <v>142</v>
      </c>
      <c r="C170" t="s">
        <v>356</v>
      </c>
      <c r="D170" t="s">
        <v>14</v>
      </c>
      <c r="E170" t="s">
        <v>38</v>
      </c>
      <c r="F170" t="s">
        <v>130</v>
      </c>
      <c r="G170" t="s">
        <v>131</v>
      </c>
      <c r="I170" t="s">
        <v>26</v>
      </c>
      <c r="J170" s="15">
        <v>45450</v>
      </c>
      <c r="K170" t="s">
        <v>38</v>
      </c>
      <c r="L170" t="str">
        <f t="shared" si="10"/>
        <v>OK</v>
      </c>
      <c r="P170" t="s">
        <v>30</v>
      </c>
      <c r="Q170" t="s">
        <v>132</v>
      </c>
      <c r="R170" t="s">
        <v>133</v>
      </c>
      <c r="S170" t="s">
        <v>133</v>
      </c>
      <c r="T170" t="s">
        <v>133</v>
      </c>
      <c r="U170" t="s">
        <v>133</v>
      </c>
      <c r="V170" t="s">
        <v>132</v>
      </c>
      <c r="W170" t="s">
        <v>5</v>
      </c>
      <c r="X170" t="s">
        <v>135</v>
      </c>
      <c r="Y170" t="str">
        <f>_xlfn.XLOOKUP(C170,[1]Especificação!$G:$G,[1]Especificação!$C:$C)</f>
        <v>F1. Fora âmbito | Campos concluídos - Sem necessidade de espec.</v>
      </c>
    </row>
    <row r="171" spans="1:25" x14ac:dyDescent="0.3">
      <c r="A171" s="50" t="str">
        <f t="shared" si="9"/>
        <v>ENTITY_GRP_TTL_DBT</v>
      </c>
      <c r="B171" t="s">
        <v>142</v>
      </c>
      <c r="C171" t="s">
        <v>357</v>
      </c>
      <c r="D171" t="s">
        <v>6</v>
      </c>
      <c r="E171" t="s">
        <v>25</v>
      </c>
      <c r="F171" t="s">
        <v>130</v>
      </c>
      <c r="G171" t="s">
        <v>144</v>
      </c>
      <c r="H171" t="s">
        <v>145</v>
      </c>
      <c r="I171" t="s">
        <v>29</v>
      </c>
      <c r="J171" s="15">
        <v>45450</v>
      </c>
      <c r="K171" t="s">
        <v>25</v>
      </c>
      <c r="L171" t="str">
        <f t="shared" si="10"/>
        <v>OK</v>
      </c>
      <c r="P171" t="s">
        <v>13</v>
      </c>
      <c r="Q171" t="s">
        <v>132</v>
      </c>
      <c r="R171" t="s">
        <v>133</v>
      </c>
      <c r="S171" t="s">
        <v>132</v>
      </c>
      <c r="T171" t="s">
        <v>133</v>
      </c>
      <c r="U171" t="s">
        <v>133</v>
      </c>
      <c r="V171" t="s">
        <v>133</v>
      </c>
      <c r="W171" t="s">
        <v>5</v>
      </c>
      <c r="X171">
        <v>0</v>
      </c>
      <c r="Y171" t="e">
        <f>_xlfn.XLOOKUP(C171,[1]Especificação!$G:$G,[1]Especificação!$C:$C)</f>
        <v>#N/A</v>
      </c>
    </row>
    <row r="172" spans="1:25" x14ac:dyDescent="0.3">
      <c r="A172" s="50" t="str">
        <f t="shared" si="9"/>
        <v>INSTRUMENT_GRSS_CRRYNG_AMNT_INSTRMNT</v>
      </c>
      <c r="B172" t="s">
        <v>128</v>
      </c>
      <c r="C172" t="s">
        <v>358</v>
      </c>
      <c r="D172" t="s">
        <v>14</v>
      </c>
      <c r="E172" t="s">
        <v>38</v>
      </c>
      <c r="F172" t="s">
        <v>130</v>
      </c>
      <c r="G172" t="s">
        <v>131</v>
      </c>
      <c r="I172" t="s">
        <v>26</v>
      </c>
      <c r="J172" s="15">
        <v>45450</v>
      </c>
      <c r="K172" t="s">
        <v>38</v>
      </c>
      <c r="L172" t="str">
        <f t="shared" si="10"/>
        <v>OK</v>
      </c>
      <c r="P172" t="s">
        <v>30</v>
      </c>
      <c r="Q172" t="s">
        <v>132</v>
      </c>
      <c r="R172" t="s">
        <v>132</v>
      </c>
      <c r="S172" t="s">
        <v>132</v>
      </c>
      <c r="T172" t="s">
        <v>133</v>
      </c>
      <c r="U172" t="s">
        <v>132</v>
      </c>
      <c r="V172" t="s">
        <v>132</v>
      </c>
      <c r="W172" t="s">
        <v>5</v>
      </c>
      <c r="X172" t="s">
        <v>135</v>
      </c>
      <c r="Y172" t="str">
        <f>_xlfn.XLOOKUP(C172,[1]Especificação!$G:$G,[1]Especificação!$C:$C)</f>
        <v>F1. Fora âmbito | Campos concluídos - Sem necessidade de espec.</v>
      </c>
    </row>
    <row r="173" spans="1:25" x14ac:dyDescent="0.3">
      <c r="A173" s="50" t="str">
        <f t="shared" si="9"/>
        <v>INSTRUMENT_HEDGE_ID</v>
      </c>
      <c r="B173" t="s">
        <v>128</v>
      </c>
      <c r="C173" t="s">
        <v>359</v>
      </c>
      <c r="D173" t="s">
        <v>6</v>
      </c>
      <c r="E173" t="s">
        <v>38</v>
      </c>
      <c r="F173" t="s">
        <v>130</v>
      </c>
      <c r="G173" t="s">
        <v>131</v>
      </c>
      <c r="I173" t="s">
        <v>26</v>
      </c>
      <c r="J173" s="15">
        <v>45450</v>
      </c>
      <c r="K173" t="s">
        <v>38</v>
      </c>
      <c r="L173" t="str">
        <f t="shared" si="10"/>
        <v>OK</v>
      </c>
      <c r="P173" t="s">
        <v>30</v>
      </c>
      <c r="Q173" t="s">
        <v>132</v>
      </c>
      <c r="R173" t="s">
        <v>133</v>
      </c>
      <c r="S173" t="s">
        <v>133</v>
      </c>
      <c r="T173" t="s">
        <v>133</v>
      </c>
      <c r="U173" t="s">
        <v>133</v>
      </c>
      <c r="V173" t="s">
        <v>133</v>
      </c>
      <c r="W173" t="s">
        <v>5</v>
      </c>
      <c r="X173">
        <v>0</v>
      </c>
      <c r="Y173" t="e">
        <f>_xlfn.XLOOKUP(C173,[1]Especificação!$G:$G,[1]Especificação!$C:$C)</f>
        <v>#N/A</v>
      </c>
    </row>
    <row r="174" spans="1:25" x14ac:dyDescent="0.3">
      <c r="A174" s="50" t="str">
        <f t="shared" si="9"/>
        <v>PROTECTION_HRCT_MV</v>
      </c>
      <c r="B174" t="s">
        <v>161</v>
      </c>
      <c r="C174" t="s">
        <v>360</v>
      </c>
      <c r="D174" t="s">
        <v>14</v>
      </c>
      <c r="E174" t="s">
        <v>38</v>
      </c>
      <c r="F174" t="s">
        <v>130</v>
      </c>
      <c r="G174" t="s">
        <v>131</v>
      </c>
      <c r="I174" t="s">
        <v>26</v>
      </c>
      <c r="J174" s="15">
        <v>45450</v>
      </c>
      <c r="K174" t="s">
        <v>38</v>
      </c>
      <c r="L174" t="str">
        <f t="shared" si="10"/>
        <v>OK</v>
      </c>
      <c r="P174" t="s">
        <v>30</v>
      </c>
      <c r="Q174" t="s">
        <v>132</v>
      </c>
      <c r="R174" t="s">
        <v>133</v>
      </c>
      <c r="S174" t="s">
        <v>133</v>
      </c>
      <c r="T174" t="s">
        <v>133</v>
      </c>
      <c r="U174" t="s">
        <v>133</v>
      </c>
      <c r="V174" t="s">
        <v>133</v>
      </c>
      <c r="W174" t="s">
        <v>5</v>
      </c>
      <c r="X174">
        <v>0</v>
      </c>
      <c r="Y174" t="e">
        <f>_xlfn.XLOOKUP(C174,[1]Especificação!$G:$G,[1]Especificação!$C:$C)</f>
        <v>#N/A</v>
      </c>
    </row>
    <row r="175" spans="1:25" x14ac:dyDescent="0.3">
      <c r="A175" s="50" t="str">
        <f t="shared" si="9"/>
        <v>INSTRUMENT_IDCMB</v>
      </c>
      <c r="B175" t="s">
        <v>128</v>
      </c>
      <c r="C175" s="11" t="s">
        <v>361</v>
      </c>
      <c r="D175" t="s">
        <v>6</v>
      </c>
      <c r="E175" t="s">
        <v>33</v>
      </c>
      <c r="F175" t="s">
        <v>149</v>
      </c>
      <c r="G175" s="86" t="s">
        <v>362</v>
      </c>
      <c r="I175" t="s">
        <v>32</v>
      </c>
      <c r="J175" s="15">
        <v>45958</v>
      </c>
      <c r="K175" t="s">
        <v>38</v>
      </c>
      <c r="L175" t="str">
        <f t="shared" si="10"/>
        <v>NOK</v>
      </c>
      <c r="N175" s="15"/>
      <c r="O175" s="15">
        <v>45958</v>
      </c>
      <c r="P175" t="s">
        <v>19</v>
      </c>
      <c r="Q175" t="s">
        <v>132</v>
      </c>
      <c r="R175" t="s">
        <v>132</v>
      </c>
      <c r="S175" t="s">
        <v>132</v>
      </c>
      <c r="T175" t="s">
        <v>133</v>
      </c>
      <c r="U175" t="s">
        <v>132</v>
      </c>
      <c r="V175" t="s">
        <v>132</v>
      </c>
      <c r="W175" t="s">
        <v>138</v>
      </c>
      <c r="X175" t="s">
        <v>139</v>
      </c>
      <c r="Y175" t="str">
        <f>_xlfn.XLOOKUP(C175,[1]Especificação!$G:$G,[1]Especificação!$C:$C)</f>
        <v>C. Campos em testes ou c/ incidências</v>
      </c>
    </row>
    <row r="176" spans="1:25" x14ac:dyDescent="0.3">
      <c r="A176" s="50" t="str">
        <f t="shared" si="9"/>
        <v>ENTITY_EBITDA_PRVS</v>
      </c>
      <c r="B176" t="s">
        <v>142</v>
      </c>
      <c r="C176" t="s">
        <v>363</v>
      </c>
      <c r="D176" t="s">
        <v>14</v>
      </c>
      <c r="E176" t="s">
        <v>25</v>
      </c>
      <c r="F176" t="s">
        <v>130</v>
      </c>
      <c r="G176" t="s">
        <v>364</v>
      </c>
      <c r="I176" t="s">
        <v>29</v>
      </c>
      <c r="J176" s="15">
        <v>45450</v>
      </c>
      <c r="K176" t="s">
        <v>25</v>
      </c>
      <c r="L176" t="str">
        <f t="shared" si="10"/>
        <v>OK</v>
      </c>
      <c r="P176" t="s">
        <v>13</v>
      </c>
      <c r="Q176" t="s">
        <v>132</v>
      </c>
      <c r="R176" t="s">
        <v>133</v>
      </c>
      <c r="S176" t="s">
        <v>133</v>
      </c>
      <c r="T176" t="s">
        <v>133</v>
      </c>
      <c r="U176" t="s">
        <v>133</v>
      </c>
      <c r="V176" t="s">
        <v>132</v>
      </c>
      <c r="W176" t="s">
        <v>146</v>
      </c>
      <c r="X176" t="s">
        <v>147</v>
      </c>
      <c r="Y176" t="str">
        <f>_xlfn.XLOOKUP(C176,[1]Especificação!$G:$G,[1]Especificação!$C:$C)</f>
        <v>F4. Fora âmbito | Re-especificação de campos complexos - Dem. Fin. CIB</v>
      </c>
    </row>
    <row r="177" spans="1:25" x14ac:dyDescent="0.3">
      <c r="A177" s="50" t="str">
        <f t="shared" si="9"/>
        <v>INSTRUMENT_IFRS9_CCF</v>
      </c>
      <c r="B177" t="s">
        <v>128</v>
      </c>
      <c r="C177" t="s">
        <v>365</v>
      </c>
      <c r="D177" t="s">
        <v>14</v>
      </c>
      <c r="E177" t="s">
        <v>38</v>
      </c>
      <c r="F177" t="s">
        <v>130</v>
      </c>
      <c r="G177" t="s">
        <v>131</v>
      </c>
      <c r="I177" t="s">
        <v>26</v>
      </c>
      <c r="J177" s="15">
        <v>45450</v>
      </c>
      <c r="K177" t="s">
        <v>38</v>
      </c>
      <c r="L177" t="str">
        <f t="shared" si="10"/>
        <v>OK</v>
      </c>
      <c r="M177" t="s">
        <v>366</v>
      </c>
      <c r="P177" t="s">
        <v>30</v>
      </c>
      <c r="Q177" t="s">
        <v>132</v>
      </c>
      <c r="R177" t="s">
        <v>133</v>
      </c>
      <c r="S177" t="s">
        <v>133</v>
      </c>
      <c r="T177" t="s">
        <v>133</v>
      </c>
      <c r="U177" t="s">
        <v>133</v>
      </c>
      <c r="V177" t="s">
        <v>133</v>
      </c>
      <c r="W177" t="s">
        <v>5</v>
      </c>
      <c r="X177">
        <v>0</v>
      </c>
      <c r="Y177" t="e">
        <f>_xlfn.XLOOKUP(C177,[1]Especificação!$G:$G,[1]Especificação!$C:$C)</f>
        <v>#N/A</v>
      </c>
    </row>
    <row r="178" spans="1:25" x14ac:dyDescent="0.3">
      <c r="A178" s="50" t="str">
        <f t="shared" si="9"/>
        <v>INSTRUMENT_IFRS9_EAD</v>
      </c>
      <c r="B178" t="s">
        <v>128</v>
      </c>
      <c r="C178" t="s">
        <v>367</v>
      </c>
      <c r="D178" t="s">
        <v>14</v>
      </c>
      <c r="E178" t="s">
        <v>36</v>
      </c>
      <c r="F178" t="s">
        <v>149</v>
      </c>
      <c r="G178" t="s">
        <v>163</v>
      </c>
      <c r="I178" t="s">
        <v>29</v>
      </c>
      <c r="J178" s="15">
        <v>45450</v>
      </c>
      <c r="K178" t="s">
        <v>36</v>
      </c>
      <c r="L178" t="str">
        <f t="shared" si="10"/>
        <v>NOK</v>
      </c>
      <c r="M178" t="s">
        <v>366</v>
      </c>
      <c r="P178" t="s">
        <v>8</v>
      </c>
      <c r="Q178" t="s">
        <v>132</v>
      </c>
      <c r="R178" t="s">
        <v>133</v>
      </c>
      <c r="S178" t="s">
        <v>133</v>
      </c>
      <c r="T178" t="s">
        <v>133</v>
      </c>
      <c r="U178" t="s">
        <v>133</v>
      </c>
      <c r="V178" t="s">
        <v>133</v>
      </c>
      <c r="W178" t="s">
        <v>5</v>
      </c>
      <c r="X178">
        <v>0</v>
      </c>
      <c r="Y178" t="e">
        <f>_xlfn.XLOOKUP(C178,[1]Especificação!$G:$G,[1]Especificação!$C:$C)</f>
        <v>#N/A</v>
      </c>
    </row>
    <row r="179" spans="1:25" x14ac:dyDescent="0.3">
      <c r="A179" s="50" t="str">
        <f t="shared" si="9"/>
        <v>INSTRUMENT_IFRS9_LGD</v>
      </c>
      <c r="B179" t="s">
        <v>128</v>
      </c>
      <c r="C179" t="s">
        <v>368</v>
      </c>
      <c r="D179" t="s">
        <v>14</v>
      </c>
      <c r="E179" t="s">
        <v>38</v>
      </c>
      <c r="F179" t="s">
        <v>130</v>
      </c>
      <c r="G179" t="s">
        <v>131</v>
      </c>
      <c r="I179" t="s">
        <v>26</v>
      </c>
      <c r="J179" s="15">
        <v>45450</v>
      </c>
      <c r="K179" t="s">
        <v>38</v>
      </c>
      <c r="L179" t="str">
        <f t="shared" si="10"/>
        <v>OK</v>
      </c>
      <c r="M179" t="s">
        <v>366</v>
      </c>
      <c r="P179" t="s">
        <v>30</v>
      </c>
      <c r="Q179" t="s">
        <v>132</v>
      </c>
      <c r="R179" t="s">
        <v>133</v>
      </c>
      <c r="S179" t="s">
        <v>133</v>
      </c>
      <c r="T179" t="s">
        <v>133</v>
      </c>
      <c r="U179" t="s">
        <v>133</v>
      </c>
      <c r="V179" t="s">
        <v>133</v>
      </c>
      <c r="W179" t="s">
        <v>5</v>
      </c>
      <c r="X179">
        <v>0</v>
      </c>
      <c r="Y179" t="e">
        <f>_xlfn.XLOOKUP(C179,[1]Especificação!$G:$G,[1]Especificação!$C:$C)</f>
        <v>#N/A</v>
      </c>
    </row>
    <row r="180" spans="1:25" x14ac:dyDescent="0.3">
      <c r="A180" s="50" t="str">
        <f t="shared" si="9"/>
        <v>INSTRUMENT_IMPRMNT_ASSSSMNT_MTHD</v>
      </c>
      <c r="B180" t="s">
        <v>128</v>
      </c>
      <c r="C180" t="s">
        <v>369</v>
      </c>
      <c r="D180" t="s">
        <v>14</v>
      </c>
      <c r="E180" t="s">
        <v>38</v>
      </c>
      <c r="F180" t="s">
        <v>130</v>
      </c>
      <c r="G180" t="s">
        <v>131</v>
      </c>
      <c r="I180" t="s">
        <v>26</v>
      </c>
      <c r="J180" s="15">
        <v>45450</v>
      </c>
      <c r="K180" t="s">
        <v>38</v>
      </c>
      <c r="L180" t="str">
        <f t="shared" si="10"/>
        <v>OK</v>
      </c>
      <c r="P180" t="s">
        <v>30</v>
      </c>
      <c r="Q180" t="s">
        <v>132</v>
      </c>
      <c r="R180" t="s">
        <v>133</v>
      </c>
      <c r="S180" t="s">
        <v>133</v>
      </c>
      <c r="T180" t="s">
        <v>133</v>
      </c>
      <c r="U180" t="s">
        <v>133</v>
      </c>
      <c r="V180" t="s">
        <v>132</v>
      </c>
      <c r="W180" t="s">
        <v>5</v>
      </c>
      <c r="X180" t="s">
        <v>135</v>
      </c>
      <c r="Y180" t="str">
        <f>_xlfn.XLOOKUP(C180,[1]Especificação!$G:$G,[1]Especificação!$C:$C)</f>
        <v>F1. Fora âmbito | Campos concluídos - Sem necessidade de espec.</v>
      </c>
    </row>
    <row r="181" spans="1:25" x14ac:dyDescent="0.3">
      <c r="A181" s="50" t="str">
        <f t="shared" si="9"/>
        <v>INSTRUMENT_IMPRMNT_CLCLTN_MTHD</v>
      </c>
      <c r="B181" t="s">
        <v>128</v>
      </c>
      <c r="C181" t="s">
        <v>370</v>
      </c>
      <c r="D181" t="s">
        <v>14</v>
      </c>
      <c r="E181" t="s">
        <v>36</v>
      </c>
      <c r="F181" t="s">
        <v>149</v>
      </c>
      <c r="G181" t="s">
        <v>163</v>
      </c>
      <c r="I181" t="s">
        <v>29</v>
      </c>
      <c r="J181" s="15">
        <v>45450</v>
      </c>
      <c r="K181" t="s">
        <v>36</v>
      </c>
      <c r="L181" t="str">
        <f t="shared" si="10"/>
        <v>NOK</v>
      </c>
      <c r="P181" t="s">
        <v>8</v>
      </c>
      <c r="Q181" t="s">
        <v>132</v>
      </c>
      <c r="R181" t="s">
        <v>133</v>
      </c>
      <c r="S181" t="s">
        <v>133</v>
      </c>
      <c r="T181" t="s">
        <v>133</v>
      </c>
      <c r="U181" t="s">
        <v>133</v>
      </c>
      <c r="V181" t="s">
        <v>133</v>
      </c>
      <c r="W181" t="s">
        <v>5</v>
      </c>
      <c r="X181">
        <v>0</v>
      </c>
      <c r="Y181" t="e">
        <f>_xlfn.XLOOKUP(C181,[1]Especificação!$G:$G,[1]Especificação!$C:$C)</f>
        <v>#N/A</v>
      </c>
    </row>
    <row r="182" spans="1:25" x14ac:dyDescent="0.3">
      <c r="A182" s="50" t="str">
        <f t="shared" si="9"/>
        <v>INSTRUMENT_IMPRMNT_STTS</v>
      </c>
      <c r="B182" t="s">
        <v>128</v>
      </c>
      <c r="C182" s="11" t="s">
        <v>44</v>
      </c>
      <c r="D182" t="s">
        <v>14</v>
      </c>
      <c r="E182" t="s">
        <v>28</v>
      </c>
      <c r="F182" t="s">
        <v>149</v>
      </c>
      <c r="G182" t="s">
        <v>371</v>
      </c>
      <c r="I182" t="s">
        <v>32</v>
      </c>
      <c r="J182" s="15">
        <v>45952</v>
      </c>
      <c r="K182" t="s">
        <v>36</v>
      </c>
      <c r="L182" t="s">
        <v>149</v>
      </c>
      <c r="M182" t="s">
        <v>1270</v>
      </c>
      <c r="N182" s="15"/>
      <c r="O182" s="15">
        <v>45952</v>
      </c>
      <c r="P182" t="s">
        <v>39</v>
      </c>
      <c r="Q182" t="s">
        <v>132</v>
      </c>
      <c r="R182" t="s">
        <v>132</v>
      </c>
      <c r="S182" t="s">
        <v>132</v>
      </c>
      <c r="T182" t="s">
        <v>133</v>
      </c>
      <c r="U182" t="s">
        <v>133</v>
      </c>
      <c r="V182" t="s">
        <v>132</v>
      </c>
      <c r="W182" t="s">
        <v>5</v>
      </c>
      <c r="X182" t="s">
        <v>267</v>
      </c>
      <c r="Y182" t="str">
        <f>_xlfn.XLOOKUP(C182,[1]Especificação!$G:$G,[1]Especificação!$C:$C)</f>
        <v>F2. Fora âmbito | Campos em testes ou c/ incidências (LT - PM)</v>
      </c>
    </row>
    <row r="183" spans="1:25" x14ac:dyDescent="0.3">
      <c r="A183" s="50" t="str">
        <f t="shared" si="9"/>
        <v>INSTRUMENT_IMPRMNT_STTS_PRVS</v>
      </c>
      <c r="B183" t="s">
        <v>128</v>
      </c>
      <c r="C183" s="11" t="s">
        <v>46</v>
      </c>
      <c r="D183" t="s">
        <v>14</v>
      </c>
      <c r="E183" t="s">
        <v>28</v>
      </c>
      <c r="F183" t="s">
        <v>130</v>
      </c>
      <c r="G183" t="s">
        <v>159</v>
      </c>
      <c r="H183" t="s">
        <v>266</v>
      </c>
      <c r="I183" t="s">
        <v>32</v>
      </c>
      <c r="J183" s="15">
        <v>45952</v>
      </c>
      <c r="K183" t="s">
        <v>36</v>
      </c>
      <c r="L183" t="s">
        <v>149</v>
      </c>
      <c r="M183" t="s">
        <v>1269</v>
      </c>
      <c r="N183" s="15"/>
      <c r="O183" s="15">
        <v>45952</v>
      </c>
      <c r="P183" t="s">
        <v>39</v>
      </c>
      <c r="Q183" t="s">
        <v>132</v>
      </c>
      <c r="R183" t="s">
        <v>133</v>
      </c>
      <c r="S183" t="s">
        <v>133</v>
      </c>
      <c r="T183" t="s">
        <v>133</v>
      </c>
      <c r="U183" t="s">
        <v>133</v>
      </c>
      <c r="V183" t="s">
        <v>132</v>
      </c>
      <c r="W183" t="s">
        <v>5</v>
      </c>
      <c r="X183" t="s">
        <v>267</v>
      </c>
      <c r="Y183" t="str">
        <f>_xlfn.XLOOKUP(C183,[1]Especificação!$G:$G,[1]Especificação!$C:$C)</f>
        <v>F2. Fora âmbito | Campos em testes ou c/ incidências (LT - PM)</v>
      </c>
    </row>
    <row r="184" spans="1:25" x14ac:dyDescent="0.3">
      <c r="A184" s="50" t="str">
        <f t="shared" si="9"/>
        <v>ENTITY_INCM_SC</v>
      </c>
      <c r="B184" t="s">
        <v>142</v>
      </c>
      <c r="C184" t="s">
        <v>372</v>
      </c>
      <c r="D184" t="s">
        <v>6</v>
      </c>
      <c r="E184" t="s">
        <v>20</v>
      </c>
      <c r="F184" t="s">
        <v>130</v>
      </c>
      <c r="G184" t="s">
        <v>373</v>
      </c>
      <c r="I184" t="s">
        <v>29</v>
      </c>
      <c r="J184" s="15">
        <v>45450</v>
      </c>
      <c r="K184" t="s">
        <v>20</v>
      </c>
      <c r="L184" t="str">
        <f t="shared" si="10"/>
        <v>OK</v>
      </c>
      <c r="P184" t="s">
        <v>13</v>
      </c>
      <c r="Q184" t="s">
        <v>132</v>
      </c>
      <c r="R184" t="s">
        <v>133</v>
      </c>
      <c r="S184" t="s">
        <v>133</v>
      </c>
      <c r="T184" t="s">
        <v>133</v>
      </c>
      <c r="U184" t="s">
        <v>133</v>
      </c>
      <c r="V184" t="s">
        <v>133</v>
      </c>
      <c r="W184" t="s">
        <v>5</v>
      </c>
      <c r="X184">
        <v>0</v>
      </c>
      <c r="Y184" t="e">
        <f>_xlfn.XLOOKUP(C184,[1]Especificação!$G:$G,[1]Especificação!$C:$C)</f>
        <v>#N/A</v>
      </c>
    </row>
    <row r="185" spans="1:25" x14ac:dyDescent="0.3">
      <c r="A185" s="50" t="str">
        <f t="shared" si="9"/>
        <v>ENTITY_EBITDA</v>
      </c>
      <c r="B185" t="s">
        <v>142</v>
      </c>
      <c r="C185" t="s">
        <v>374</v>
      </c>
      <c r="D185" t="s">
        <v>14</v>
      </c>
      <c r="E185" t="s">
        <v>25</v>
      </c>
      <c r="F185" t="s">
        <v>130</v>
      </c>
      <c r="G185" t="s">
        <v>364</v>
      </c>
      <c r="I185" t="s">
        <v>29</v>
      </c>
      <c r="J185" s="15">
        <v>45450</v>
      </c>
      <c r="K185" t="s">
        <v>25</v>
      </c>
      <c r="L185" t="str">
        <f t="shared" si="10"/>
        <v>OK</v>
      </c>
      <c r="P185" t="s">
        <v>13</v>
      </c>
      <c r="Q185" t="s">
        <v>132</v>
      </c>
      <c r="R185" t="s">
        <v>133</v>
      </c>
      <c r="S185" t="s">
        <v>133</v>
      </c>
      <c r="T185" t="s">
        <v>133</v>
      </c>
      <c r="U185" t="s">
        <v>133</v>
      </c>
      <c r="V185" t="s">
        <v>132</v>
      </c>
      <c r="W185" t="s">
        <v>146</v>
      </c>
      <c r="X185" t="s">
        <v>147</v>
      </c>
      <c r="Y185" t="str">
        <f>_xlfn.XLOOKUP(C185,[1]Especificação!$G:$G,[1]Especificação!$C:$C)</f>
        <v>F4. Fora âmbito | Re-especificação de campos complexos - Dem. Fin. CIB</v>
      </c>
    </row>
    <row r="186" spans="1:25" x14ac:dyDescent="0.3">
      <c r="A186" s="50" t="str">
        <f t="shared" si="9"/>
        <v>INSTRUMENT_INSTR_SNRTY_CLSS</v>
      </c>
      <c r="B186" t="s">
        <v>128</v>
      </c>
      <c r="C186" t="s">
        <v>375</v>
      </c>
      <c r="D186" t="s">
        <v>6</v>
      </c>
      <c r="E186" t="s">
        <v>38</v>
      </c>
      <c r="F186" t="s">
        <v>130</v>
      </c>
      <c r="G186" t="s">
        <v>131</v>
      </c>
      <c r="I186" t="s">
        <v>26</v>
      </c>
      <c r="J186" s="15">
        <v>45450</v>
      </c>
      <c r="K186" t="s">
        <v>38</v>
      </c>
      <c r="L186" t="str">
        <f t="shared" si="10"/>
        <v>OK</v>
      </c>
      <c r="P186" t="s">
        <v>30</v>
      </c>
      <c r="Q186" t="s">
        <v>132</v>
      </c>
      <c r="R186" t="s">
        <v>133</v>
      </c>
      <c r="S186" t="s">
        <v>133</v>
      </c>
      <c r="T186" t="s">
        <v>133</v>
      </c>
      <c r="U186" t="s">
        <v>133</v>
      </c>
      <c r="V186" t="s">
        <v>132</v>
      </c>
      <c r="W186" t="s">
        <v>5</v>
      </c>
      <c r="X186" t="s">
        <v>135</v>
      </c>
      <c r="Y186" t="str">
        <f>_xlfn.XLOOKUP(C186,[1]Especificação!$G:$G,[1]Especificação!$C:$C)</f>
        <v>F1. Fora âmbito | Campos concluídos - Sem necessidade de espec.</v>
      </c>
    </row>
    <row r="187" spans="1:25" x14ac:dyDescent="0.3">
      <c r="A187" s="50" t="str">
        <f t="shared" si="9"/>
        <v>INSTRUMENT_INSTRMNT_CLSS</v>
      </c>
      <c r="B187" t="s">
        <v>128</v>
      </c>
      <c r="C187" t="s">
        <v>376</v>
      </c>
      <c r="D187" t="s">
        <v>6</v>
      </c>
      <c r="E187" t="s">
        <v>38</v>
      </c>
      <c r="F187" t="s">
        <v>130</v>
      </c>
      <c r="G187" t="s">
        <v>131</v>
      </c>
      <c r="I187" t="s">
        <v>26</v>
      </c>
      <c r="J187" s="15">
        <v>45450</v>
      </c>
      <c r="K187" t="s">
        <v>38</v>
      </c>
      <c r="L187" t="str">
        <f t="shared" si="10"/>
        <v>OK</v>
      </c>
      <c r="P187" t="s">
        <v>30</v>
      </c>
      <c r="Q187" t="s">
        <v>132</v>
      </c>
      <c r="R187" t="s">
        <v>133</v>
      </c>
      <c r="S187" t="s">
        <v>133</v>
      </c>
      <c r="T187" t="s">
        <v>133</v>
      </c>
      <c r="U187" t="s">
        <v>133</v>
      </c>
      <c r="V187" t="s">
        <v>133</v>
      </c>
      <c r="W187" t="s">
        <v>5</v>
      </c>
      <c r="X187">
        <v>0</v>
      </c>
      <c r="Y187" t="e">
        <f>_xlfn.XLOOKUP(C187,[1]Especificação!$G:$G,[1]Especificação!$C:$C)</f>
        <v>#N/A</v>
      </c>
    </row>
    <row r="188" spans="1:25" x14ac:dyDescent="0.3">
      <c r="A188" s="50" t="str">
        <f t="shared" si="9"/>
        <v>INSTR_ENTITY_INSTRMNT_ID</v>
      </c>
      <c r="B188" t="s">
        <v>193</v>
      </c>
      <c r="C188" t="s">
        <v>377</v>
      </c>
      <c r="D188" t="s">
        <v>14</v>
      </c>
      <c r="E188" t="s">
        <v>38</v>
      </c>
      <c r="F188" t="s">
        <v>130</v>
      </c>
      <c r="G188" t="s">
        <v>131</v>
      </c>
      <c r="I188" t="s">
        <v>26</v>
      </c>
      <c r="J188" s="15">
        <v>45450</v>
      </c>
      <c r="K188" t="s">
        <v>38</v>
      </c>
      <c r="L188" t="str">
        <f t="shared" si="10"/>
        <v>OK</v>
      </c>
      <c r="P188" t="s">
        <v>30</v>
      </c>
      <c r="Q188" t="s">
        <v>132</v>
      </c>
      <c r="R188" t="s">
        <v>133</v>
      </c>
      <c r="S188" t="s">
        <v>132</v>
      </c>
      <c r="T188" t="s">
        <v>133</v>
      </c>
      <c r="U188" t="s">
        <v>133</v>
      </c>
      <c r="V188" t="s">
        <v>132</v>
      </c>
      <c r="W188" t="s">
        <v>5</v>
      </c>
      <c r="X188" t="s">
        <v>135</v>
      </c>
      <c r="Y188" t="str">
        <f>_xlfn.XLOOKUP(C188,[1]Especificação!$G:$G,[1]Especificação!$C:$C)</f>
        <v>F1. Fora âmbito | Campos concluídos - Sem necessidade de espec.</v>
      </c>
    </row>
    <row r="189" spans="1:25" x14ac:dyDescent="0.3">
      <c r="A189" s="50" t="str">
        <f t="shared" si="9"/>
        <v>INSTR_PROTECTION_INSTRMNT_ID</v>
      </c>
      <c r="B189" t="s">
        <v>194</v>
      </c>
      <c r="C189" t="s">
        <v>377</v>
      </c>
      <c r="D189" t="s">
        <v>14</v>
      </c>
      <c r="E189" t="s">
        <v>38</v>
      </c>
      <c r="F189" t="s">
        <v>130</v>
      </c>
      <c r="G189" t="s">
        <v>131</v>
      </c>
      <c r="I189" t="s">
        <v>26</v>
      </c>
      <c r="J189" s="15">
        <v>45450</v>
      </c>
      <c r="K189" t="s">
        <v>38</v>
      </c>
      <c r="L189" t="str">
        <f t="shared" ref="L189:L220" si="11">F189</f>
        <v>OK</v>
      </c>
      <c r="P189" t="s">
        <v>30</v>
      </c>
      <c r="Q189" t="s">
        <v>132</v>
      </c>
      <c r="R189" t="s">
        <v>132</v>
      </c>
      <c r="S189" t="s">
        <v>132</v>
      </c>
      <c r="T189" t="s">
        <v>133</v>
      </c>
      <c r="U189" t="s">
        <v>133</v>
      </c>
      <c r="V189" t="s">
        <v>133</v>
      </c>
      <c r="W189" t="s">
        <v>5</v>
      </c>
      <c r="X189">
        <v>0</v>
      </c>
      <c r="Y189" t="str">
        <f>_xlfn.XLOOKUP(C189,[1]Especificação!$G:$G,[1]Especificação!$C:$C)</f>
        <v>F1. Fora âmbito | Campos concluídos - Sem necessidade de espec.</v>
      </c>
    </row>
    <row r="190" spans="1:25" x14ac:dyDescent="0.3">
      <c r="A190" s="50" t="str">
        <f t="shared" si="9"/>
        <v>INSTRUMENT_INSTRMNT_ID</v>
      </c>
      <c r="B190" t="s">
        <v>128</v>
      </c>
      <c r="C190" t="s">
        <v>377</v>
      </c>
      <c r="D190" t="s">
        <v>14</v>
      </c>
      <c r="E190" t="s">
        <v>38</v>
      </c>
      <c r="F190" t="s">
        <v>130</v>
      </c>
      <c r="G190" t="s">
        <v>131</v>
      </c>
      <c r="I190" t="s">
        <v>26</v>
      </c>
      <c r="J190" s="15">
        <v>45450</v>
      </c>
      <c r="K190" t="s">
        <v>38</v>
      </c>
      <c r="L190" t="str">
        <f t="shared" si="11"/>
        <v>OK</v>
      </c>
      <c r="P190" t="s">
        <v>30</v>
      </c>
      <c r="Q190" t="s">
        <v>132</v>
      </c>
      <c r="R190" t="s">
        <v>132</v>
      </c>
      <c r="S190" t="s">
        <v>132</v>
      </c>
      <c r="T190" t="s">
        <v>133</v>
      </c>
      <c r="U190" t="s">
        <v>132</v>
      </c>
      <c r="V190" t="s">
        <v>132</v>
      </c>
      <c r="W190" t="s">
        <v>5</v>
      </c>
      <c r="X190" t="s">
        <v>135</v>
      </c>
      <c r="Y190" t="str">
        <f>_xlfn.XLOOKUP(C190,[1]Especificação!$G:$G,[1]Especificação!$C:$C)</f>
        <v>F1. Fora âmbito | Campos concluídos - Sem necessidade de espec.</v>
      </c>
    </row>
    <row r="191" spans="1:25" x14ac:dyDescent="0.3">
      <c r="A191" s="50" t="str">
        <f t="shared" si="9"/>
        <v>ENTITY_INTRNL_RTNG</v>
      </c>
      <c r="B191" t="s">
        <v>142</v>
      </c>
      <c r="C191" s="10" t="s">
        <v>378</v>
      </c>
      <c r="D191" t="s">
        <v>14</v>
      </c>
      <c r="E191" t="s">
        <v>33</v>
      </c>
      <c r="F191" t="s">
        <v>149</v>
      </c>
      <c r="G191" t="s">
        <v>379</v>
      </c>
      <c r="I191" t="s">
        <v>32</v>
      </c>
      <c r="J191" s="15">
        <v>45958</v>
      </c>
      <c r="K191" t="s">
        <v>55</v>
      </c>
      <c r="L191" t="str">
        <f t="shared" si="11"/>
        <v>NOK</v>
      </c>
      <c r="N191" s="15"/>
      <c r="O191" s="15">
        <v>45958</v>
      </c>
      <c r="P191" t="s">
        <v>24</v>
      </c>
      <c r="Q191" t="s">
        <v>132</v>
      </c>
      <c r="R191" t="s">
        <v>133</v>
      </c>
      <c r="S191" t="s">
        <v>133</v>
      </c>
      <c r="T191" t="s">
        <v>133</v>
      </c>
      <c r="U191" t="s">
        <v>133</v>
      </c>
      <c r="V191" t="s">
        <v>132</v>
      </c>
      <c r="W191" t="s">
        <v>138</v>
      </c>
      <c r="X191" t="s">
        <v>139</v>
      </c>
      <c r="Y191" t="str">
        <f>_xlfn.XLOOKUP(C191,[1]Especificação!$G:$G,[1]Especificação!$C:$C)</f>
        <v>C. Campos em testes ou c/ incidências</v>
      </c>
    </row>
    <row r="192" spans="1:25" x14ac:dyDescent="0.3">
      <c r="A192" s="50" t="str">
        <f t="shared" si="9"/>
        <v>INSTRUMENT_INTRNL_RTNG</v>
      </c>
      <c r="B192" t="s">
        <v>128</v>
      </c>
      <c r="C192" s="10" t="s">
        <v>378</v>
      </c>
      <c r="D192" t="s">
        <v>14</v>
      </c>
      <c r="E192" t="s">
        <v>33</v>
      </c>
      <c r="F192" t="s">
        <v>149</v>
      </c>
      <c r="G192" t="s">
        <v>379</v>
      </c>
      <c r="I192" t="s">
        <v>32</v>
      </c>
      <c r="J192" s="15">
        <v>45958</v>
      </c>
      <c r="K192" t="s">
        <v>55</v>
      </c>
      <c r="L192" t="str">
        <f t="shared" si="11"/>
        <v>NOK</v>
      </c>
      <c r="N192" s="15"/>
      <c r="O192" s="15">
        <v>45958</v>
      </c>
      <c r="P192" t="s">
        <v>24</v>
      </c>
      <c r="Q192" t="s">
        <v>132</v>
      </c>
      <c r="R192" t="s">
        <v>133</v>
      </c>
      <c r="S192" t="s">
        <v>133</v>
      </c>
      <c r="T192" t="s">
        <v>133</v>
      </c>
      <c r="U192" t="s">
        <v>133</v>
      </c>
      <c r="V192" t="s">
        <v>132</v>
      </c>
      <c r="W192" t="s">
        <v>138</v>
      </c>
      <c r="X192" t="s">
        <v>139</v>
      </c>
      <c r="Y192" t="str">
        <f>_xlfn.XLOOKUP(C192,[1]Especificação!$G:$G,[1]Especificação!$C:$C)</f>
        <v>C. Campos em testes ou c/ incidências</v>
      </c>
    </row>
    <row r="193" spans="1:25" x14ac:dyDescent="0.3">
      <c r="A193" s="50" t="str">
        <f t="shared" si="9"/>
        <v>INSTRUMENT_INTRNL_RTNG_INCPTN</v>
      </c>
      <c r="B193" t="s">
        <v>128</v>
      </c>
      <c r="C193" t="s">
        <v>380</v>
      </c>
      <c r="D193" t="s">
        <v>14</v>
      </c>
      <c r="E193" t="s">
        <v>35</v>
      </c>
      <c r="F193" t="s">
        <v>149</v>
      </c>
      <c r="G193" t="s">
        <v>381</v>
      </c>
      <c r="H193" t="s">
        <v>382</v>
      </c>
      <c r="I193" t="s">
        <v>29</v>
      </c>
      <c r="J193" s="15">
        <v>45958</v>
      </c>
      <c r="K193" t="s">
        <v>38</v>
      </c>
      <c r="L193" t="str">
        <f t="shared" si="11"/>
        <v>NOK</v>
      </c>
      <c r="O193" s="15">
        <v>45958</v>
      </c>
      <c r="P193" t="s">
        <v>13</v>
      </c>
      <c r="Q193" t="s">
        <v>132</v>
      </c>
      <c r="R193" t="s">
        <v>133</v>
      </c>
      <c r="S193" t="s">
        <v>133</v>
      </c>
      <c r="T193" t="s">
        <v>133</v>
      </c>
      <c r="U193" t="s">
        <v>133</v>
      </c>
      <c r="V193" t="s">
        <v>132</v>
      </c>
      <c r="W193" t="s">
        <v>138</v>
      </c>
      <c r="X193" t="s">
        <v>139</v>
      </c>
      <c r="Y193" t="str">
        <f>_xlfn.XLOOKUP(C193,[1]Especificação!$G:$G,[1]Especificação!$C:$C)</f>
        <v>C. Campos em testes ou c/ incidências</v>
      </c>
    </row>
    <row r="194" spans="1:25" x14ac:dyDescent="0.3">
      <c r="A194" s="50" t="str">
        <f t="shared" si="9"/>
        <v>ENTITY_INTRNL_RTNG_PRVS</v>
      </c>
      <c r="B194" t="s">
        <v>142</v>
      </c>
      <c r="C194" s="10" t="s">
        <v>383</v>
      </c>
      <c r="D194" t="s">
        <v>14</v>
      </c>
      <c r="E194" t="s">
        <v>33</v>
      </c>
      <c r="F194" t="s">
        <v>130</v>
      </c>
      <c r="G194" s="86" t="s">
        <v>271</v>
      </c>
      <c r="I194" t="s">
        <v>32</v>
      </c>
      <c r="J194" s="15">
        <v>45958</v>
      </c>
      <c r="K194" t="s">
        <v>55</v>
      </c>
      <c r="L194" t="str">
        <f t="shared" si="11"/>
        <v>OK</v>
      </c>
      <c r="N194" s="15"/>
      <c r="O194" s="15">
        <v>45958</v>
      </c>
      <c r="P194" t="s">
        <v>24</v>
      </c>
      <c r="Q194" t="s">
        <v>132</v>
      </c>
      <c r="R194" t="s">
        <v>133</v>
      </c>
      <c r="S194" t="s">
        <v>133</v>
      </c>
      <c r="T194" t="s">
        <v>133</v>
      </c>
      <c r="U194" t="s">
        <v>133</v>
      </c>
      <c r="V194" t="s">
        <v>132</v>
      </c>
      <c r="W194" t="s">
        <v>138</v>
      </c>
      <c r="X194" t="s">
        <v>139</v>
      </c>
      <c r="Y194" t="str">
        <f>_xlfn.XLOOKUP(C194,[1]Especificação!$G:$G,[1]Especificação!$C:$C)</f>
        <v>C. Campos em testes ou c/ incidências</v>
      </c>
    </row>
    <row r="195" spans="1:25" x14ac:dyDescent="0.3">
      <c r="A195" s="50" t="str">
        <f t="shared" si="9"/>
        <v>ENTITY_INTRNL_SGMNT</v>
      </c>
      <c r="B195" t="s">
        <v>142</v>
      </c>
      <c r="C195" t="s">
        <v>384</v>
      </c>
      <c r="D195" t="s">
        <v>14</v>
      </c>
      <c r="E195" t="s">
        <v>38</v>
      </c>
      <c r="F195" t="s">
        <v>130</v>
      </c>
      <c r="G195" t="s">
        <v>131</v>
      </c>
      <c r="I195" t="s">
        <v>26</v>
      </c>
      <c r="J195" s="15">
        <v>45450</v>
      </c>
      <c r="K195" t="s">
        <v>38</v>
      </c>
      <c r="L195" t="str">
        <f t="shared" si="11"/>
        <v>OK</v>
      </c>
      <c r="P195" t="s">
        <v>30</v>
      </c>
      <c r="Q195" t="s">
        <v>132</v>
      </c>
      <c r="R195" t="s">
        <v>133</v>
      </c>
      <c r="S195" t="s">
        <v>133</v>
      </c>
      <c r="T195" t="s">
        <v>133</v>
      </c>
      <c r="U195" t="s">
        <v>133</v>
      </c>
      <c r="V195" t="s">
        <v>132</v>
      </c>
      <c r="W195" t="s">
        <v>5</v>
      </c>
      <c r="X195" t="s">
        <v>135</v>
      </c>
      <c r="Y195" t="str">
        <f>_xlfn.XLOOKUP(C195,[1]Especificação!$G:$G,[1]Especificação!$C:$C)</f>
        <v>F1. Fora âmbito | Campos concluídos - Sem necessidade de espec.</v>
      </c>
    </row>
    <row r="196" spans="1:25" x14ac:dyDescent="0.3">
      <c r="A196" s="50" t="str">
        <f t="shared" si="9"/>
        <v>INSTRUMENT_INTRNL_SGMNT</v>
      </c>
      <c r="B196" t="s">
        <v>128</v>
      </c>
      <c r="C196" t="s">
        <v>384</v>
      </c>
      <c r="D196" t="s">
        <v>14</v>
      </c>
      <c r="E196" t="s">
        <v>38</v>
      </c>
      <c r="F196" t="s">
        <v>130</v>
      </c>
      <c r="G196" t="s">
        <v>131</v>
      </c>
      <c r="I196" t="s">
        <v>26</v>
      </c>
      <c r="J196" s="15">
        <v>45450</v>
      </c>
      <c r="K196" t="s">
        <v>38</v>
      </c>
      <c r="L196" t="str">
        <f t="shared" si="11"/>
        <v>OK</v>
      </c>
      <c r="P196" t="s">
        <v>30</v>
      </c>
      <c r="Q196" t="s">
        <v>132</v>
      </c>
      <c r="R196" t="s">
        <v>133</v>
      </c>
      <c r="S196" t="s">
        <v>133</v>
      </c>
      <c r="T196" t="s">
        <v>133</v>
      </c>
      <c r="U196" t="s">
        <v>132</v>
      </c>
      <c r="V196" t="s">
        <v>132</v>
      </c>
      <c r="W196" t="s">
        <v>5</v>
      </c>
      <c r="X196" t="s">
        <v>135</v>
      </c>
      <c r="Y196" t="str">
        <f>_xlfn.XLOOKUP(C196,[1]Especificação!$G:$G,[1]Especificação!$C:$C)</f>
        <v>F1. Fora âmbito | Campos concluídos - Sem necessidade de espec.</v>
      </c>
    </row>
    <row r="197" spans="1:25" x14ac:dyDescent="0.3">
      <c r="A197" s="50" t="str">
        <f t="shared" si="9"/>
        <v>INSTRUMENT_INTRNL_SGMNT_CAT_MSTA</v>
      </c>
      <c r="B197" t="s">
        <v>128</v>
      </c>
      <c r="C197" t="s">
        <v>385</v>
      </c>
      <c r="D197" t="s">
        <v>6</v>
      </c>
      <c r="E197" t="s">
        <v>38</v>
      </c>
      <c r="F197" t="s">
        <v>130</v>
      </c>
      <c r="G197" t="s">
        <v>131</v>
      </c>
      <c r="I197" t="s">
        <v>26</v>
      </c>
      <c r="J197" s="15">
        <v>45450</v>
      </c>
      <c r="K197" t="s">
        <v>38</v>
      </c>
      <c r="L197" t="str">
        <f t="shared" si="11"/>
        <v>OK</v>
      </c>
      <c r="P197" t="s">
        <v>30</v>
      </c>
      <c r="Q197" t="s">
        <v>132</v>
      </c>
      <c r="R197" t="s">
        <v>133</v>
      </c>
      <c r="S197" t="s">
        <v>133</v>
      </c>
      <c r="T197" t="s">
        <v>133</v>
      </c>
      <c r="U197" t="s">
        <v>132</v>
      </c>
      <c r="V197" t="s">
        <v>133</v>
      </c>
      <c r="W197" t="s">
        <v>5</v>
      </c>
      <c r="X197">
        <v>0</v>
      </c>
      <c r="Y197" t="e">
        <f>_xlfn.XLOOKUP(C197,[1]Especificação!$G:$G,[1]Especificação!$C:$C)</f>
        <v>#N/A</v>
      </c>
    </row>
    <row r="198" spans="1:25" x14ac:dyDescent="0.3">
      <c r="A198" s="50" t="str">
        <f t="shared" ref="A198:A261" si="12">B198&amp;"_"&amp;C198</f>
        <v>INSTRUMENT_INTRNL_SGMNT_CATGSUB</v>
      </c>
      <c r="B198" t="s">
        <v>128</v>
      </c>
      <c r="C198" t="s">
        <v>386</v>
      </c>
      <c r="D198" t="s">
        <v>6</v>
      </c>
      <c r="E198" t="s">
        <v>38</v>
      </c>
      <c r="F198" t="s">
        <v>130</v>
      </c>
      <c r="G198" t="s">
        <v>131</v>
      </c>
      <c r="I198" t="s">
        <v>26</v>
      </c>
      <c r="J198" s="15">
        <v>45450</v>
      </c>
      <c r="K198" t="s">
        <v>38</v>
      </c>
      <c r="L198" t="str">
        <f t="shared" si="11"/>
        <v>OK</v>
      </c>
      <c r="P198" t="s">
        <v>30</v>
      </c>
      <c r="Q198" t="s">
        <v>132</v>
      </c>
      <c r="R198" t="s">
        <v>133</v>
      </c>
      <c r="S198" t="s">
        <v>133</v>
      </c>
      <c r="T198" t="s">
        <v>133</v>
      </c>
      <c r="U198" t="s">
        <v>132</v>
      </c>
      <c r="V198" t="s">
        <v>133</v>
      </c>
      <c r="W198" t="s">
        <v>5</v>
      </c>
      <c r="X198">
        <v>0</v>
      </c>
      <c r="Y198" t="e">
        <f>_xlfn.XLOOKUP(C198,[1]Especificação!$G:$G,[1]Especificação!$C:$C)</f>
        <v>#N/A</v>
      </c>
    </row>
    <row r="199" spans="1:25" x14ac:dyDescent="0.3">
      <c r="A199" s="50" t="str">
        <f t="shared" si="12"/>
        <v>INSTRUMENT_INTRNL_SGMNT_IFRS9</v>
      </c>
      <c r="B199" t="s">
        <v>128</v>
      </c>
      <c r="C199" t="s">
        <v>387</v>
      </c>
      <c r="D199" t="s">
        <v>6</v>
      </c>
      <c r="E199" t="s">
        <v>38</v>
      </c>
      <c r="F199" t="s">
        <v>130</v>
      </c>
      <c r="G199" t="s">
        <v>131</v>
      </c>
      <c r="I199" t="s">
        <v>26</v>
      </c>
      <c r="J199" s="15">
        <v>45450</v>
      </c>
      <c r="K199" t="s">
        <v>38</v>
      </c>
      <c r="L199" t="str">
        <f t="shared" si="11"/>
        <v>OK</v>
      </c>
      <c r="M199" t="s">
        <v>366</v>
      </c>
      <c r="P199" t="s">
        <v>30</v>
      </c>
      <c r="Q199" t="s">
        <v>132</v>
      </c>
      <c r="R199" t="s">
        <v>133</v>
      </c>
      <c r="S199" t="s">
        <v>133</v>
      </c>
      <c r="T199" t="s">
        <v>133</v>
      </c>
      <c r="U199" t="s">
        <v>133</v>
      </c>
      <c r="V199" t="s">
        <v>133</v>
      </c>
      <c r="W199" t="s">
        <v>5</v>
      </c>
      <c r="X199">
        <v>0</v>
      </c>
      <c r="Y199" t="e">
        <f>_xlfn.XLOOKUP(C199,[1]Especificação!$G:$G,[1]Especificação!$C:$C)</f>
        <v>#N/A</v>
      </c>
    </row>
    <row r="200" spans="1:25" x14ac:dyDescent="0.3">
      <c r="A200" s="50" t="str">
        <f t="shared" si="12"/>
        <v>ENTITY_INTRNL_UNT</v>
      </c>
      <c r="B200" t="s">
        <v>142</v>
      </c>
      <c r="C200" t="s">
        <v>388</v>
      </c>
      <c r="D200" t="s">
        <v>14</v>
      </c>
      <c r="E200" t="s">
        <v>38</v>
      </c>
      <c r="F200" t="s">
        <v>130</v>
      </c>
      <c r="G200" t="s">
        <v>131</v>
      </c>
      <c r="I200" t="s">
        <v>26</v>
      </c>
      <c r="J200" s="15">
        <v>45450</v>
      </c>
      <c r="K200" t="s">
        <v>38</v>
      </c>
      <c r="L200" t="str">
        <f t="shared" si="11"/>
        <v>OK</v>
      </c>
      <c r="P200" t="s">
        <v>30</v>
      </c>
      <c r="Q200" t="s">
        <v>132</v>
      </c>
      <c r="R200" t="s">
        <v>133</v>
      </c>
      <c r="S200" t="s">
        <v>133</v>
      </c>
      <c r="T200" t="s">
        <v>133</v>
      </c>
      <c r="U200" t="s">
        <v>133</v>
      </c>
      <c r="V200" t="s">
        <v>132</v>
      </c>
      <c r="W200" t="s">
        <v>5</v>
      </c>
      <c r="X200" t="s">
        <v>135</v>
      </c>
      <c r="Y200" t="str">
        <f>_xlfn.XLOOKUP(C200,[1]Especificação!$G:$G,[1]Especificação!$C:$C)</f>
        <v>F1. Fora âmbito | Campos concluídos - Sem necessidade de espec.</v>
      </c>
    </row>
    <row r="201" spans="1:25" x14ac:dyDescent="0.3">
      <c r="A201" s="50" t="str">
        <f t="shared" si="12"/>
        <v>INSTRUMENT_INTRNL_UNT</v>
      </c>
      <c r="B201" t="s">
        <v>128</v>
      </c>
      <c r="C201" t="s">
        <v>388</v>
      </c>
      <c r="D201" t="s">
        <v>14</v>
      </c>
      <c r="E201" t="s">
        <v>38</v>
      </c>
      <c r="F201" t="s">
        <v>130</v>
      </c>
      <c r="G201" t="s">
        <v>131</v>
      </c>
      <c r="I201" t="s">
        <v>26</v>
      </c>
      <c r="J201" s="15">
        <v>45450</v>
      </c>
      <c r="K201" t="s">
        <v>38</v>
      </c>
      <c r="L201" t="str">
        <f t="shared" si="11"/>
        <v>OK</v>
      </c>
      <c r="P201" t="s">
        <v>30</v>
      </c>
      <c r="Q201" t="s">
        <v>132</v>
      </c>
      <c r="R201" t="s">
        <v>133</v>
      </c>
      <c r="S201" t="s">
        <v>133</v>
      </c>
      <c r="T201" t="s">
        <v>133</v>
      </c>
      <c r="U201" t="s">
        <v>133</v>
      </c>
      <c r="V201" t="s">
        <v>132</v>
      </c>
      <c r="W201" t="s">
        <v>5</v>
      </c>
      <c r="X201" t="s">
        <v>135</v>
      </c>
      <c r="Y201" t="str">
        <f>_xlfn.XLOOKUP(C201,[1]Especificação!$G:$G,[1]Especificação!$C:$C)</f>
        <v>F1. Fora âmbito | Campos concluídos - Sem necessidade de espec.</v>
      </c>
    </row>
    <row r="202" spans="1:25" x14ac:dyDescent="0.3">
      <c r="A202" s="50" t="str">
        <f t="shared" si="12"/>
        <v>INSTRUMENT_INTRST_RT_RST_FRQNCY</v>
      </c>
      <c r="B202" t="s">
        <v>128</v>
      </c>
      <c r="C202" t="s">
        <v>389</v>
      </c>
      <c r="D202" t="s">
        <v>14</v>
      </c>
      <c r="E202" t="s">
        <v>38</v>
      </c>
      <c r="F202" t="s">
        <v>130</v>
      </c>
      <c r="G202" t="s">
        <v>131</v>
      </c>
      <c r="I202" t="s">
        <v>26</v>
      </c>
      <c r="J202" s="15">
        <v>45450</v>
      </c>
      <c r="K202" t="s">
        <v>38</v>
      </c>
      <c r="L202" t="str">
        <f t="shared" si="11"/>
        <v>OK</v>
      </c>
      <c r="P202" t="s">
        <v>30</v>
      </c>
      <c r="Q202" t="s">
        <v>132</v>
      </c>
      <c r="R202" t="s">
        <v>133</v>
      </c>
      <c r="S202" t="s">
        <v>133</v>
      </c>
      <c r="T202" t="s">
        <v>133</v>
      </c>
      <c r="U202" t="s">
        <v>133</v>
      </c>
      <c r="V202" t="s">
        <v>133</v>
      </c>
      <c r="W202" t="s">
        <v>5</v>
      </c>
      <c r="X202">
        <v>0</v>
      </c>
      <c r="Y202" t="e">
        <f>_xlfn.XLOOKUP(C202,[1]Especificação!$G:$G,[1]Especificação!$C:$C)</f>
        <v>#N/A</v>
      </c>
    </row>
    <row r="203" spans="1:25" x14ac:dyDescent="0.3">
      <c r="A203" s="50" t="str">
        <f t="shared" si="12"/>
        <v>INSTRUMENT_ISIN</v>
      </c>
      <c r="B203" t="s">
        <v>128</v>
      </c>
      <c r="C203" t="s">
        <v>390</v>
      </c>
      <c r="D203" t="s">
        <v>6</v>
      </c>
      <c r="E203" t="s">
        <v>38</v>
      </c>
      <c r="F203" t="s">
        <v>130</v>
      </c>
      <c r="G203" t="s">
        <v>131</v>
      </c>
      <c r="I203" t="s">
        <v>26</v>
      </c>
      <c r="J203" s="15">
        <v>45450</v>
      </c>
      <c r="K203" t="s">
        <v>38</v>
      </c>
      <c r="L203" t="str">
        <f t="shared" si="11"/>
        <v>OK</v>
      </c>
      <c r="P203" t="s">
        <v>30</v>
      </c>
      <c r="Q203" t="s">
        <v>132</v>
      </c>
      <c r="R203" t="s">
        <v>133</v>
      </c>
      <c r="S203" t="s">
        <v>133</v>
      </c>
      <c r="T203" t="s">
        <v>133</v>
      </c>
      <c r="U203" t="s">
        <v>133</v>
      </c>
      <c r="V203" t="s">
        <v>133</v>
      </c>
      <c r="W203" t="s">
        <v>5</v>
      </c>
      <c r="X203">
        <v>0</v>
      </c>
      <c r="Y203" t="e">
        <f>_xlfn.XLOOKUP(C203,[1]Especificação!$G:$G,[1]Especificação!$C:$C)</f>
        <v>#N/A</v>
      </c>
    </row>
    <row r="204" spans="1:25" x14ac:dyDescent="0.3">
      <c r="A204" s="50" t="str">
        <f t="shared" si="12"/>
        <v>INSTRUMENT_ISIN_SCRTSTN</v>
      </c>
      <c r="B204" t="s">
        <v>128</v>
      </c>
      <c r="C204" t="s">
        <v>391</v>
      </c>
      <c r="D204" t="s">
        <v>6</v>
      </c>
      <c r="E204" t="s">
        <v>38</v>
      </c>
      <c r="F204" t="s">
        <v>130</v>
      </c>
      <c r="G204" t="s">
        <v>131</v>
      </c>
      <c r="I204" t="s">
        <v>26</v>
      </c>
      <c r="J204" s="15">
        <v>45450</v>
      </c>
      <c r="K204" t="s">
        <v>38</v>
      </c>
      <c r="L204" t="str">
        <f t="shared" si="11"/>
        <v>OK</v>
      </c>
      <c r="P204" t="s">
        <v>30</v>
      </c>
      <c r="Q204" t="s">
        <v>132</v>
      </c>
      <c r="R204" t="s">
        <v>133</v>
      </c>
      <c r="S204" t="s">
        <v>133</v>
      </c>
      <c r="T204" t="s">
        <v>133</v>
      </c>
      <c r="U204" t="s">
        <v>133</v>
      </c>
      <c r="V204" t="s">
        <v>133</v>
      </c>
      <c r="W204" t="s">
        <v>5</v>
      </c>
      <c r="X204">
        <v>0</v>
      </c>
      <c r="Y204" t="e">
        <f>_xlfn.XLOOKUP(C204,[1]Especificação!$G:$G,[1]Especificação!$C:$C)</f>
        <v>#N/A</v>
      </c>
    </row>
    <row r="205" spans="1:25" x14ac:dyDescent="0.3">
      <c r="A205" s="50" t="str">
        <f t="shared" si="12"/>
        <v>INSTRUMENT_ISSR_CNTRY</v>
      </c>
      <c r="B205" t="s">
        <v>128</v>
      </c>
      <c r="C205" t="s">
        <v>392</v>
      </c>
      <c r="D205" t="s">
        <v>6</v>
      </c>
      <c r="E205" t="s">
        <v>38</v>
      </c>
      <c r="F205" t="s">
        <v>130</v>
      </c>
      <c r="G205" t="s">
        <v>131</v>
      </c>
      <c r="I205" t="s">
        <v>26</v>
      </c>
      <c r="J205" s="15">
        <v>45450</v>
      </c>
      <c r="K205" t="s">
        <v>38</v>
      </c>
      <c r="L205" t="str">
        <f t="shared" si="11"/>
        <v>OK</v>
      </c>
      <c r="P205" t="s">
        <v>30</v>
      </c>
      <c r="Q205" t="s">
        <v>132</v>
      </c>
      <c r="R205" t="s">
        <v>133</v>
      </c>
      <c r="S205" t="s">
        <v>132</v>
      </c>
      <c r="T205" t="s">
        <v>133</v>
      </c>
      <c r="U205" t="s">
        <v>133</v>
      </c>
      <c r="V205" t="s">
        <v>133</v>
      </c>
      <c r="W205" t="s">
        <v>5</v>
      </c>
      <c r="X205">
        <v>0</v>
      </c>
      <c r="Y205" t="e">
        <f>_xlfn.XLOOKUP(C205,[1]Especificação!$G:$G,[1]Especificação!$C:$C)</f>
        <v>#N/A</v>
      </c>
    </row>
    <row r="206" spans="1:25" x14ac:dyDescent="0.3">
      <c r="A206" s="50" t="str">
        <f t="shared" si="12"/>
        <v>INSTRUMENT_ISSR_ESA_2010</v>
      </c>
      <c r="B206" t="s">
        <v>128</v>
      </c>
      <c r="C206" t="s">
        <v>393</v>
      </c>
      <c r="D206" t="s">
        <v>6</v>
      </c>
      <c r="E206" t="s">
        <v>36</v>
      </c>
      <c r="F206" t="s">
        <v>149</v>
      </c>
      <c r="G206" t="s">
        <v>163</v>
      </c>
      <c r="I206" t="s">
        <v>29</v>
      </c>
      <c r="J206" s="15">
        <v>45450</v>
      </c>
      <c r="K206" t="s">
        <v>36</v>
      </c>
      <c r="L206" t="str">
        <f t="shared" si="11"/>
        <v>NOK</v>
      </c>
      <c r="P206" t="s">
        <v>8</v>
      </c>
      <c r="Q206" t="s">
        <v>132</v>
      </c>
      <c r="R206" t="s">
        <v>133</v>
      </c>
      <c r="S206" t="s">
        <v>133</v>
      </c>
      <c r="T206" t="s">
        <v>133</v>
      </c>
      <c r="U206" t="s">
        <v>133</v>
      </c>
      <c r="V206" t="s">
        <v>133</v>
      </c>
      <c r="W206" t="s">
        <v>5</v>
      </c>
      <c r="X206">
        <v>0</v>
      </c>
      <c r="Y206" t="e">
        <f>_xlfn.XLOOKUP(C206,[1]Especificação!$G:$G,[1]Especificação!$C:$C)</f>
        <v>#N/A</v>
      </c>
    </row>
    <row r="207" spans="1:25" x14ac:dyDescent="0.3">
      <c r="A207" s="50" t="str">
        <f t="shared" si="12"/>
        <v>INSTRUMENT_ISSR_ID</v>
      </c>
      <c r="B207" t="s">
        <v>128</v>
      </c>
      <c r="C207" t="s">
        <v>394</v>
      </c>
      <c r="D207" t="s">
        <v>6</v>
      </c>
      <c r="E207" t="s">
        <v>38</v>
      </c>
      <c r="F207" t="s">
        <v>130</v>
      </c>
      <c r="G207" t="s">
        <v>131</v>
      </c>
      <c r="I207" t="s">
        <v>26</v>
      </c>
      <c r="J207" s="15">
        <v>45450</v>
      </c>
      <c r="K207" t="s">
        <v>38</v>
      </c>
      <c r="L207" t="str">
        <f t="shared" si="11"/>
        <v>OK</v>
      </c>
      <c r="P207" t="s">
        <v>30</v>
      </c>
      <c r="Q207" t="s">
        <v>132</v>
      </c>
      <c r="R207" t="s">
        <v>133</v>
      </c>
      <c r="S207" t="s">
        <v>133</v>
      </c>
      <c r="T207" t="s">
        <v>133</v>
      </c>
      <c r="U207" t="s">
        <v>133</v>
      </c>
      <c r="V207" t="s">
        <v>133</v>
      </c>
      <c r="W207" t="s">
        <v>5</v>
      </c>
      <c r="X207">
        <v>0</v>
      </c>
      <c r="Y207" t="e">
        <f>_xlfn.XLOOKUP(C207,[1]Especificação!$G:$G,[1]Especificação!$C:$C)</f>
        <v>#N/A</v>
      </c>
    </row>
    <row r="208" spans="1:25" x14ac:dyDescent="0.3">
      <c r="A208" s="50" t="str">
        <f t="shared" si="12"/>
        <v>INSTRUMENT_ISSR_ID_TYP</v>
      </c>
      <c r="B208" t="s">
        <v>128</v>
      </c>
      <c r="C208" t="s">
        <v>395</v>
      </c>
      <c r="D208" t="s">
        <v>6</v>
      </c>
      <c r="E208" t="s">
        <v>38</v>
      </c>
      <c r="F208" t="s">
        <v>130</v>
      </c>
      <c r="G208" t="s">
        <v>131</v>
      </c>
      <c r="I208" t="s">
        <v>26</v>
      </c>
      <c r="J208" s="15">
        <v>45450</v>
      </c>
      <c r="K208" t="s">
        <v>38</v>
      </c>
      <c r="L208" t="str">
        <f t="shared" si="11"/>
        <v>OK</v>
      </c>
      <c r="P208" t="s">
        <v>30</v>
      </c>
      <c r="Q208" t="s">
        <v>132</v>
      </c>
      <c r="R208" t="s">
        <v>133</v>
      </c>
      <c r="S208" t="s">
        <v>133</v>
      </c>
      <c r="T208" t="s">
        <v>133</v>
      </c>
      <c r="U208" t="s">
        <v>133</v>
      </c>
      <c r="V208" t="s">
        <v>133</v>
      </c>
      <c r="W208" t="s">
        <v>5</v>
      </c>
      <c r="X208">
        <v>0</v>
      </c>
      <c r="Y208" t="e">
        <f>_xlfn.XLOOKUP(C208,[1]Especificação!$G:$G,[1]Especificação!$C:$C)</f>
        <v>#N/A</v>
      </c>
    </row>
    <row r="209" spans="1:25" x14ac:dyDescent="0.3">
      <c r="A209" s="50" t="str">
        <f t="shared" si="12"/>
        <v>INSTRUMENT_ISSR_NACE_SCTR</v>
      </c>
      <c r="B209" t="s">
        <v>128</v>
      </c>
      <c r="C209" t="s">
        <v>396</v>
      </c>
      <c r="D209" t="s">
        <v>6</v>
      </c>
      <c r="E209" t="s">
        <v>38</v>
      </c>
      <c r="F209" t="s">
        <v>130</v>
      </c>
      <c r="G209" t="s">
        <v>131</v>
      </c>
      <c r="I209" t="s">
        <v>26</v>
      </c>
      <c r="J209" s="15">
        <v>45450</v>
      </c>
      <c r="K209" t="s">
        <v>38</v>
      </c>
      <c r="L209" t="str">
        <f t="shared" si="11"/>
        <v>OK</v>
      </c>
      <c r="P209" t="s">
        <v>30</v>
      </c>
      <c r="Q209" t="s">
        <v>132</v>
      </c>
      <c r="R209" t="s">
        <v>133</v>
      </c>
      <c r="S209" t="s">
        <v>132</v>
      </c>
      <c r="T209" t="s">
        <v>133</v>
      </c>
      <c r="U209" t="s">
        <v>133</v>
      </c>
      <c r="V209" t="s">
        <v>133</v>
      </c>
      <c r="W209" t="s">
        <v>5</v>
      </c>
      <c r="X209">
        <v>0</v>
      </c>
      <c r="Y209" t="e">
        <f>_xlfn.XLOOKUP(C209,[1]Especificação!$G:$G,[1]Especificação!$C:$C)</f>
        <v>#N/A</v>
      </c>
    </row>
    <row r="210" spans="1:25" x14ac:dyDescent="0.3">
      <c r="A210" s="50" t="str">
        <f t="shared" si="12"/>
        <v>INSTRUMENT_ISSR_RTNG</v>
      </c>
      <c r="B210" t="s">
        <v>128</v>
      </c>
      <c r="C210" t="s">
        <v>397</v>
      </c>
      <c r="D210" t="s">
        <v>6</v>
      </c>
      <c r="E210" t="s">
        <v>37</v>
      </c>
      <c r="F210" t="s">
        <v>130</v>
      </c>
      <c r="G210" t="s">
        <v>170</v>
      </c>
      <c r="I210" t="s">
        <v>26</v>
      </c>
      <c r="J210" s="15">
        <v>45450</v>
      </c>
      <c r="K210" t="s">
        <v>37</v>
      </c>
      <c r="L210" t="str">
        <f t="shared" si="11"/>
        <v>OK</v>
      </c>
      <c r="P210" t="s">
        <v>27</v>
      </c>
      <c r="Q210" t="s">
        <v>132</v>
      </c>
      <c r="R210" t="s">
        <v>133</v>
      </c>
      <c r="S210" t="s">
        <v>133</v>
      </c>
      <c r="T210" t="s">
        <v>133</v>
      </c>
      <c r="U210" t="s">
        <v>133</v>
      </c>
      <c r="V210" t="s">
        <v>133</v>
      </c>
      <c r="W210" t="s">
        <v>5</v>
      </c>
      <c r="X210">
        <v>0</v>
      </c>
      <c r="Y210" t="e">
        <f>_xlfn.XLOOKUP(C210,[1]Especificação!$G:$G,[1]Especificação!$C:$C)</f>
        <v>#N/A</v>
      </c>
    </row>
    <row r="211" spans="1:25" x14ac:dyDescent="0.3">
      <c r="A211" s="50" t="str">
        <f t="shared" si="12"/>
        <v>INSTRUMENT_ISSR_RTNG_SRC</v>
      </c>
      <c r="B211" t="s">
        <v>128</v>
      </c>
      <c r="C211" t="s">
        <v>398</v>
      </c>
      <c r="D211" t="s">
        <v>6</v>
      </c>
      <c r="E211" t="s">
        <v>37</v>
      </c>
      <c r="F211" t="s">
        <v>130</v>
      </c>
      <c r="G211" t="s">
        <v>170</v>
      </c>
      <c r="I211" t="s">
        <v>26</v>
      </c>
      <c r="J211" s="15">
        <v>45450</v>
      </c>
      <c r="K211" t="s">
        <v>37</v>
      </c>
      <c r="L211" t="str">
        <f t="shared" si="11"/>
        <v>OK</v>
      </c>
      <c r="P211" t="s">
        <v>27</v>
      </c>
      <c r="Q211" t="s">
        <v>132</v>
      </c>
      <c r="R211" t="s">
        <v>133</v>
      </c>
      <c r="S211" t="s">
        <v>133</v>
      </c>
      <c r="T211" t="s">
        <v>133</v>
      </c>
      <c r="U211" t="s">
        <v>133</v>
      </c>
      <c r="V211" t="s">
        <v>133</v>
      </c>
      <c r="W211" t="s">
        <v>5</v>
      </c>
      <c r="X211">
        <v>0</v>
      </c>
      <c r="Y211" t="e">
        <f>_xlfn.XLOOKUP(C211,[1]Especificação!$G:$G,[1]Especificação!$C:$C)</f>
        <v>#N/A</v>
      </c>
    </row>
    <row r="212" spans="1:25" x14ac:dyDescent="0.3">
      <c r="A212" s="50" t="str">
        <f t="shared" si="12"/>
        <v>INSTRUMENT_ISSR_TYP</v>
      </c>
      <c r="B212" t="s">
        <v>128</v>
      </c>
      <c r="C212" t="s">
        <v>399</v>
      </c>
      <c r="D212" t="s">
        <v>6</v>
      </c>
      <c r="E212" t="s">
        <v>38</v>
      </c>
      <c r="F212" t="s">
        <v>130</v>
      </c>
      <c r="G212" t="s">
        <v>131</v>
      </c>
      <c r="I212" t="s">
        <v>26</v>
      </c>
      <c r="J212" s="15">
        <v>45450</v>
      </c>
      <c r="K212" t="s">
        <v>38</v>
      </c>
      <c r="L212" t="str">
        <f t="shared" si="11"/>
        <v>OK</v>
      </c>
      <c r="P212" t="s">
        <v>30</v>
      </c>
      <c r="Q212" t="s">
        <v>132</v>
      </c>
      <c r="R212" t="s">
        <v>133</v>
      </c>
      <c r="S212" t="s">
        <v>133</v>
      </c>
      <c r="T212" t="s">
        <v>133</v>
      </c>
      <c r="U212" t="s">
        <v>133</v>
      </c>
      <c r="V212" t="s">
        <v>133</v>
      </c>
      <c r="W212" t="s">
        <v>5</v>
      </c>
      <c r="X212">
        <v>0</v>
      </c>
      <c r="Y212" t="e">
        <f>_xlfn.XLOOKUP(C212,[1]Especificação!$G:$G,[1]Especificação!$C:$C)</f>
        <v>#N/A</v>
      </c>
    </row>
    <row r="213" spans="1:25" x14ac:dyDescent="0.3">
      <c r="A213" s="50" t="str">
        <f t="shared" si="12"/>
        <v>INSTR_ENTITY_JNT_LBLTY_AMNT</v>
      </c>
      <c r="B213" t="s">
        <v>193</v>
      </c>
      <c r="C213" t="s">
        <v>400</v>
      </c>
      <c r="D213" t="s">
        <v>14</v>
      </c>
      <c r="E213" t="s">
        <v>38</v>
      </c>
      <c r="F213" t="s">
        <v>130</v>
      </c>
      <c r="G213" t="s">
        <v>131</v>
      </c>
      <c r="I213" t="s">
        <v>26</v>
      </c>
      <c r="J213" s="15">
        <v>45450</v>
      </c>
      <c r="K213" t="s">
        <v>38</v>
      </c>
      <c r="L213" t="str">
        <f t="shared" si="11"/>
        <v>OK</v>
      </c>
      <c r="P213" t="s">
        <v>30</v>
      </c>
      <c r="Q213" t="s">
        <v>132</v>
      </c>
      <c r="R213" t="s">
        <v>133</v>
      </c>
      <c r="S213" t="s">
        <v>133</v>
      </c>
      <c r="T213" t="s">
        <v>133</v>
      </c>
      <c r="U213" t="s">
        <v>133</v>
      </c>
      <c r="V213" t="s">
        <v>132</v>
      </c>
      <c r="W213" t="s">
        <v>5</v>
      </c>
      <c r="X213" t="s">
        <v>135</v>
      </c>
      <c r="Y213" t="str">
        <f>_xlfn.XLOOKUP(C213,[1]Especificação!$G:$G,[1]Especificação!$C:$C)</f>
        <v>F1. Fora âmbito | Campos concluídos - Sem necessidade de espec.</v>
      </c>
    </row>
    <row r="214" spans="1:25" x14ac:dyDescent="0.3">
      <c r="A214" s="50" t="str">
        <f t="shared" si="12"/>
        <v>INSTRUMENT_LCL_INSTMRNT_ID</v>
      </c>
      <c r="B214" t="s">
        <v>128</v>
      </c>
      <c r="C214" t="s">
        <v>401</v>
      </c>
      <c r="D214" t="s">
        <v>6</v>
      </c>
      <c r="E214" t="s">
        <v>36</v>
      </c>
      <c r="F214" t="s">
        <v>149</v>
      </c>
      <c r="G214" t="s">
        <v>163</v>
      </c>
      <c r="I214" t="s">
        <v>29</v>
      </c>
      <c r="J214" s="15">
        <v>45450</v>
      </c>
      <c r="K214" t="s">
        <v>36</v>
      </c>
      <c r="L214" t="str">
        <f t="shared" si="11"/>
        <v>NOK</v>
      </c>
      <c r="P214" t="s">
        <v>8</v>
      </c>
      <c r="Q214" t="s">
        <v>132</v>
      </c>
      <c r="R214" t="s">
        <v>132</v>
      </c>
      <c r="S214" t="s">
        <v>132</v>
      </c>
      <c r="T214" t="s">
        <v>133</v>
      </c>
      <c r="U214" t="s">
        <v>133</v>
      </c>
      <c r="V214" t="s">
        <v>133</v>
      </c>
      <c r="W214" t="s">
        <v>5</v>
      </c>
      <c r="X214">
        <v>0</v>
      </c>
      <c r="Y214" t="e">
        <f>_xlfn.XLOOKUP(C214,[1]Especificação!$G:$G,[1]Especificação!$C:$C)</f>
        <v>#N/A</v>
      </c>
    </row>
    <row r="215" spans="1:25" x14ac:dyDescent="0.3">
      <c r="A215" s="50" t="str">
        <f t="shared" si="12"/>
        <v>INSTRUMENT_LCR_BFFR_CTGRY</v>
      </c>
      <c r="B215" t="s">
        <v>128</v>
      </c>
      <c r="C215" t="s">
        <v>402</v>
      </c>
      <c r="D215" t="s">
        <v>6</v>
      </c>
      <c r="E215" t="s">
        <v>38</v>
      </c>
      <c r="F215" t="s">
        <v>130</v>
      </c>
      <c r="G215" t="s">
        <v>131</v>
      </c>
      <c r="I215" t="s">
        <v>26</v>
      </c>
      <c r="J215" s="15">
        <v>45450</v>
      </c>
      <c r="K215" t="s">
        <v>38</v>
      </c>
      <c r="L215" t="str">
        <f t="shared" si="11"/>
        <v>OK</v>
      </c>
      <c r="P215" t="s">
        <v>30</v>
      </c>
      <c r="Q215" t="s">
        <v>132</v>
      </c>
      <c r="R215" t="s">
        <v>133</v>
      </c>
      <c r="S215" t="s">
        <v>133</v>
      </c>
      <c r="T215" t="s">
        <v>133</v>
      </c>
      <c r="U215" t="s">
        <v>133</v>
      </c>
      <c r="V215" t="s">
        <v>133</v>
      </c>
      <c r="W215" t="s">
        <v>5</v>
      </c>
      <c r="X215">
        <v>0</v>
      </c>
      <c r="Y215" t="e">
        <f>_xlfn.XLOOKUP(C215,[1]Especificação!$G:$G,[1]Especificação!$C:$C)</f>
        <v>#N/A</v>
      </c>
    </row>
    <row r="216" spans="1:25" x14ac:dyDescent="0.3">
      <c r="A216" s="50" t="str">
        <f t="shared" si="12"/>
        <v>INSTRUMENT_LCRE</v>
      </c>
      <c r="B216" t="s">
        <v>128</v>
      </c>
      <c r="C216" s="11" t="s">
        <v>403</v>
      </c>
      <c r="D216" t="s">
        <v>14</v>
      </c>
      <c r="E216" t="s">
        <v>28</v>
      </c>
      <c r="F216" t="s">
        <v>130</v>
      </c>
      <c r="G216" t="s">
        <v>159</v>
      </c>
      <c r="H216" t="s">
        <v>404</v>
      </c>
      <c r="I216" t="s">
        <v>32</v>
      </c>
      <c r="J216" s="15">
        <v>45450</v>
      </c>
      <c r="K216" t="s">
        <v>28</v>
      </c>
      <c r="L216" t="str">
        <f t="shared" si="11"/>
        <v>OK</v>
      </c>
      <c r="P216" t="s">
        <v>39</v>
      </c>
      <c r="Q216" t="s">
        <v>132</v>
      </c>
      <c r="R216" t="s">
        <v>133</v>
      </c>
      <c r="S216" t="s">
        <v>133</v>
      </c>
      <c r="T216" t="s">
        <v>133</v>
      </c>
      <c r="U216" t="s">
        <v>133</v>
      </c>
      <c r="V216" t="s">
        <v>133</v>
      </c>
      <c r="W216" t="s">
        <v>5</v>
      </c>
      <c r="X216">
        <v>0</v>
      </c>
      <c r="Y216" t="e">
        <f>_xlfn.XLOOKUP(C216,[1]Especificação!$G:$G,[1]Especificação!$C:$C)</f>
        <v>#N/A</v>
      </c>
    </row>
    <row r="217" spans="1:25" x14ac:dyDescent="0.3">
      <c r="A217" s="50" t="str">
        <f t="shared" si="12"/>
        <v>ENTITY_LEI</v>
      </c>
      <c r="B217" t="s">
        <v>142</v>
      </c>
      <c r="C217" t="s">
        <v>405</v>
      </c>
      <c r="D217" t="s">
        <v>14</v>
      </c>
      <c r="E217" t="s">
        <v>38</v>
      </c>
      <c r="F217" t="s">
        <v>130</v>
      </c>
      <c r="G217" t="s">
        <v>131</v>
      </c>
      <c r="I217" t="s">
        <v>26</v>
      </c>
      <c r="J217" s="15">
        <v>45450</v>
      </c>
      <c r="K217" t="s">
        <v>38</v>
      </c>
      <c r="L217" t="str">
        <f t="shared" si="11"/>
        <v>OK</v>
      </c>
      <c r="P217" t="s">
        <v>30</v>
      </c>
      <c r="Q217" t="s">
        <v>132</v>
      </c>
      <c r="R217" t="s">
        <v>133</v>
      </c>
      <c r="S217" t="s">
        <v>132</v>
      </c>
      <c r="T217" t="s">
        <v>133</v>
      </c>
      <c r="U217" t="s">
        <v>133</v>
      </c>
      <c r="V217" t="s">
        <v>132</v>
      </c>
      <c r="W217" t="s">
        <v>5</v>
      </c>
      <c r="X217" t="s">
        <v>135</v>
      </c>
      <c r="Y217" t="str">
        <f>_xlfn.XLOOKUP(C217,[1]Especificação!$G:$G,[1]Especificação!$C:$C)</f>
        <v>F1. Fora âmbito | Campos concluídos - Sem necessidade de espec.</v>
      </c>
    </row>
    <row r="218" spans="1:25" x14ac:dyDescent="0.3">
      <c r="A218" s="50" t="str">
        <f t="shared" si="12"/>
        <v>INSTRUMENT_LGD</v>
      </c>
      <c r="B218" t="s">
        <v>128</v>
      </c>
      <c r="C218" t="s">
        <v>406</v>
      </c>
      <c r="D218" t="s">
        <v>14</v>
      </c>
      <c r="E218" t="s">
        <v>38</v>
      </c>
      <c r="F218" t="s">
        <v>130</v>
      </c>
      <c r="G218" t="s">
        <v>131</v>
      </c>
      <c r="I218" t="s">
        <v>26</v>
      </c>
      <c r="J218" s="15">
        <v>45450</v>
      </c>
      <c r="K218" t="s">
        <v>38</v>
      </c>
      <c r="L218" t="str">
        <f t="shared" si="11"/>
        <v>OK</v>
      </c>
      <c r="P218" t="s">
        <v>30</v>
      </c>
      <c r="Q218" t="s">
        <v>132</v>
      </c>
      <c r="R218" t="s">
        <v>133</v>
      </c>
      <c r="S218" t="s">
        <v>133</v>
      </c>
      <c r="T218" t="s">
        <v>133</v>
      </c>
      <c r="U218" t="s">
        <v>133</v>
      </c>
      <c r="V218" t="s">
        <v>132</v>
      </c>
      <c r="W218" t="s">
        <v>5</v>
      </c>
      <c r="X218" t="s">
        <v>135</v>
      </c>
      <c r="Y218" t="str">
        <f>_xlfn.XLOOKUP(C218,[1]Especificação!$G:$G,[1]Especificação!$C:$C)</f>
        <v>F1. Fora âmbito | Campos concluídos - Sem necessidade de espec.</v>
      </c>
    </row>
    <row r="219" spans="1:25" x14ac:dyDescent="0.3">
      <c r="A219" s="50" t="str">
        <f t="shared" si="12"/>
        <v>INSTRUMENT_LGL_PRCDNG_STTS</v>
      </c>
      <c r="B219" t="s">
        <v>128</v>
      </c>
      <c r="C219" t="s">
        <v>407</v>
      </c>
      <c r="D219" t="s">
        <v>14</v>
      </c>
      <c r="E219" t="s">
        <v>38</v>
      </c>
      <c r="F219" t="s">
        <v>130</v>
      </c>
      <c r="G219" t="s">
        <v>131</v>
      </c>
      <c r="I219" t="s">
        <v>26</v>
      </c>
      <c r="J219" s="15">
        <v>45450</v>
      </c>
      <c r="K219" t="s">
        <v>38</v>
      </c>
      <c r="L219" t="str">
        <f t="shared" si="11"/>
        <v>OK</v>
      </c>
      <c r="P219" t="s">
        <v>30</v>
      </c>
      <c r="Q219" t="s">
        <v>132</v>
      </c>
      <c r="R219" t="s">
        <v>133</v>
      </c>
      <c r="S219" t="s">
        <v>133</v>
      </c>
      <c r="T219" t="s">
        <v>133</v>
      </c>
      <c r="U219" t="s">
        <v>133</v>
      </c>
      <c r="V219" t="s">
        <v>133</v>
      </c>
      <c r="W219" t="s">
        <v>5</v>
      </c>
      <c r="X219">
        <v>0</v>
      </c>
      <c r="Y219" t="e">
        <f>_xlfn.XLOOKUP(C219,[1]Especificação!$G:$G,[1]Especificação!$C:$C)</f>
        <v>#N/A</v>
      </c>
    </row>
    <row r="220" spans="1:25" x14ac:dyDescent="0.3">
      <c r="A220" s="50" t="str">
        <f t="shared" si="12"/>
        <v>ENTITY_LGL_PRCDNG_STTS_LE</v>
      </c>
      <c r="B220" t="s">
        <v>142</v>
      </c>
      <c r="C220" t="s">
        <v>408</v>
      </c>
      <c r="D220" t="s">
        <v>14</v>
      </c>
      <c r="E220" t="s">
        <v>36</v>
      </c>
      <c r="F220" t="s">
        <v>149</v>
      </c>
      <c r="G220" t="s">
        <v>163</v>
      </c>
      <c r="I220" t="s">
        <v>29</v>
      </c>
      <c r="J220" s="15">
        <v>45958</v>
      </c>
      <c r="K220" t="s">
        <v>38</v>
      </c>
      <c r="O220" s="15">
        <v>45958</v>
      </c>
      <c r="P220" t="s">
        <v>8</v>
      </c>
      <c r="Q220" t="s">
        <v>132</v>
      </c>
      <c r="R220" t="s">
        <v>133</v>
      </c>
      <c r="S220" t="s">
        <v>133</v>
      </c>
      <c r="T220" t="s">
        <v>133</v>
      </c>
      <c r="U220" t="s">
        <v>133</v>
      </c>
      <c r="V220" t="s">
        <v>132</v>
      </c>
      <c r="W220" t="s">
        <v>138</v>
      </c>
      <c r="X220" t="s">
        <v>166</v>
      </c>
      <c r="Y220" t="str">
        <f>_xlfn.XLOOKUP(C220,[1]Especificação!$G:$G,[1]Especificação!$C:$C)</f>
        <v>D. Campos com NOK controlos Corporativos</v>
      </c>
    </row>
    <row r="221" spans="1:25" x14ac:dyDescent="0.3">
      <c r="A221" s="50" t="str">
        <f t="shared" si="12"/>
        <v>INSTRUMENT_LND_DRGTN</v>
      </c>
      <c r="B221" t="s">
        <v>128</v>
      </c>
      <c r="C221" t="s">
        <v>409</v>
      </c>
      <c r="D221" t="s">
        <v>6</v>
      </c>
      <c r="E221" t="s">
        <v>38</v>
      </c>
      <c r="F221" t="s">
        <v>130</v>
      </c>
      <c r="G221" t="s">
        <v>131</v>
      </c>
      <c r="I221" t="s">
        <v>26</v>
      </c>
      <c r="J221" s="15">
        <v>45450</v>
      </c>
      <c r="K221" t="s">
        <v>38</v>
      </c>
      <c r="L221" t="str">
        <f t="shared" ref="L221:L244" si="13">F221</f>
        <v>OK</v>
      </c>
      <c r="P221" t="s">
        <v>30</v>
      </c>
      <c r="Q221" t="s">
        <v>132</v>
      </c>
      <c r="R221" t="s">
        <v>133</v>
      </c>
      <c r="S221" t="s">
        <v>133</v>
      </c>
      <c r="T221" t="s">
        <v>133</v>
      </c>
      <c r="U221" t="s">
        <v>133</v>
      </c>
      <c r="V221" t="s">
        <v>133</v>
      </c>
      <c r="W221" t="s">
        <v>5</v>
      </c>
      <c r="X221">
        <v>0</v>
      </c>
      <c r="Y221" t="e">
        <f>_xlfn.XLOOKUP(C221,[1]Especificação!$G:$G,[1]Especificação!$C:$C)</f>
        <v>#N/A</v>
      </c>
    </row>
    <row r="222" spans="1:25" x14ac:dyDescent="0.3">
      <c r="A222" s="50" t="str">
        <f t="shared" si="12"/>
        <v>INSTRUMENT_LSTI</v>
      </c>
      <c r="B222" t="s">
        <v>128</v>
      </c>
      <c r="C222" t="s">
        <v>410</v>
      </c>
      <c r="D222" t="s">
        <v>6</v>
      </c>
      <c r="E222" t="s">
        <v>20</v>
      </c>
      <c r="F222" t="s">
        <v>130</v>
      </c>
      <c r="G222" t="s">
        <v>235</v>
      </c>
      <c r="I222" t="s">
        <v>29</v>
      </c>
      <c r="J222" s="15">
        <v>45450</v>
      </c>
      <c r="K222" t="s">
        <v>20</v>
      </c>
      <c r="L222" t="str">
        <f t="shared" si="13"/>
        <v>OK</v>
      </c>
      <c r="P222" t="s">
        <v>19</v>
      </c>
      <c r="Q222" t="s">
        <v>132</v>
      </c>
      <c r="R222" t="s">
        <v>133</v>
      </c>
      <c r="S222" t="s">
        <v>133</v>
      </c>
      <c r="T222" t="s">
        <v>133</v>
      </c>
      <c r="U222" t="s">
        <v>133</v>
      </c>
      <c r="V222" t="s">
        <v>133</v>
      </c>
      <c r="W222" t="s">
        <v>5</v>
      </c>
      <c r="X222">
        <v>0</v>
      </c>
      <c r="Y222" t="e">
        <f>_xlfn.XLOOKUP(C222,[1]Especificação!$G:$G,[1]Especificação!$C:$C)</f>
        <v>#N/A</v>
      </c>
    </row>
    <row r="223" spans="1:25" x14ac:dyDescent="0.3">
      <c r="A223" s="50" t="str">
        <f t="shared" si="12"/>
        <v>ENTITY_LTI</v>
      </c>
      <c r="B223" t="s">
        <v>142</v>
      </c>
      <c r="C223" t="s">
        <v>411</v>
      </c>
      <c r="D223" t="s">
        <v>6</v>
      </c>
      <c r="E223" t="s">
        <v>20</v>
      </c>
      <c r="F223" t="s">
        <v>149</v>
      </c>
      <c r="G223" t="s">
        <v>373</v>
      </c>
      <c r="I223" t="s">
        <v>29</v>
      </c>
      <c r="J223" s="15">
        <v>45952</v>
      </c>
      <c r="K223" t="s">
        <v>38</v>
      </c>
      <c r="L223" t="s">
        <v>130</v>
      </c>
      <c r="O223" s="15">
        <v>45952</v>
      </c>
      <c r="P223" t="s">
        <v>13</v>
      </c>
      <c r="Q223" t="s">
        <v>132</v>
      </c>
      <c r="R223" t="s">
        <v>133</v>
      </c>
      <c r="S223" t="s">
        <v>133</v>
      </c>
      <c r="T223" t="s">
        <v>133</v>
      </c>
      <c r="U223" t="s">
        <v>133</v>
      </c>
      <c r="V223" t="s">
        <v>133</v>
      </c>
      <c r="W223" t="s">
        <v>5</v>
      </c>
      <c r="X223">
        <v>0</v>
      </c>
      <c r="Y223" t="e">
        <f>_xlfn.XLOOKUP(C223,[1]Especificação!$G:$G,[1]Especificação!$C:$C)</f>
        <v>#N/A</v>
      </c>
    </row>
    <row r="224" spans="1:25" x14ac:dyDescent="0.3">
      <c r="A224" s="50" t="str">
        <f t="shared" si="12"/>
        <v>INSTRUMENT_LTI_INSTRMNT</v>
      </c>
      <c r="B224" t="s">
        <v>128</v>
      </c>
      <c r="C224" t="s">
        <v>412</v>
      </c>
      <c r="D224" t="s">
        <v>6</v>
      </c>
      <c r="E224" t="s">
        <v>20</v>
      </c>
      <c r="F224" t="s">
        <v>130</v>
      </c>
      <c r="G224" t="s">
        <v>235</v>
      </c>
      <c r="I224" t="s">
        <v>29</v>
      </c>
      <c r="J224" s="15">
        <v>45450</v>
      </c>
      <c r="K224" t="s">
        <v>20</v>
      </c>
      <c r="L224" t="str">
        <f t="shared" si="13"/>
        <v>OK</v>
      </c>
      <c r="P224" t="s">
        <v>19</v>
      </c>
      <c r="Q224" t="s">
        <v>132</v>
      </c>
      <c r="R224" t="s">
        <v>133</v>
      </c>
      <c r="S224" t="s">
        <v>133</v>
      </c>
      <c r="T224" t="s">
        <v>133</v>
      </c>
      <c r="U224" t="s">
        <v>133</v>
      </c>
      <c r="V224" t="s">
        <v>133</v>
      </c>
      <c r="W224" t="s">
        <v>5</v>
      </c>
      <c r="X224">
        <v>0</v>
      </c>
      <c r="Y224" t="e">
        <f>_xlfn.XLOOKUP(C224,[1]Especificação!$G:$G,[1]Especificação!$C:$C)</f>
        <v>#N/A</v>
      </c>
    </row>
    <row r="225" spans="1:25" x14ac:dyDescent="0.3">
      <c r="A225" s="50" t="str">
        <f t="shared" si="12"/>
        <v>INSTRUMENT_LTV</v>
      </c>
      <c r="B225" t="s">
        <v>128</v>
      </c>
      <c r="C225" t="s">
        <v>413</v>
      </c>
      <c r="D225" t="s">
        <v>14</v>
      </c>
      <c r="E225" t="s">
        <v>36</v>
      </c>
      <c r="F225" t="s">
        <v>149</v>
      </c>
      <c r="G225" t="s">
        <v>163</v>
      </c>
      <c r="I225" t="s">
        <v>29</v>
      </c>
      <c r="J225" s="15">
        <v>45450</v>
      </c>
      <c r="K225" t="s">
        <v>36</v>
      </c>
      <c r="L225" t="str">
        <f t="shared" si="13"/>
        <v>NOK</v>
      </c>
      <c r="P225" t="s">
        <v>8</v>
      </c>
      <c r="Q225" t="s">
        <v>132</v>
      </c>
      <c r="R225" t="s">
        <v>133</v>
      </c>
      <c r="S225" t="s">
        <v>132</v>
      </c>
      <c r="T225" t="s">
        <v>133</v>
      </c>
      <c r="U225" t="s">
        <v>133</v>
      </c>
      <c r="V225" t="s">
        <v>133</v>
      </c>
      <c r="W225" t="s">
        <v>5</v>
      </c>
      <c r="X225">
        <v>0</v>
      </c>
      <c r="Y225" t="e">
        <f>_xlfn.XLOOKUP(C225,[1]Especificação!$G:$G,[1]Especificação!$C:$C)</f>
        <v>#N/A</v>
      </c>
    </row>
    <row r="226" spans="1:25" x14ac:dyDescent="0.3">
      <c r="A226" s="50" t="str">
        <f t="shared" si="12"/>
        <v>INSTRUMENT_LTV_INCPTN</v>
      </c>
      <c r="B226" t="s">
        <v>128</v>
      </c>
      <c r="C226" t="s">
        <v>414</v>
      </c>
      <c r="D226" t="s">
        <v>14</v>
      </c>
      <c r="E226" t="s">
        <v>38</v>
      </c>
      <c r="F226" t="s">
        <v>130</v>
      </c>
      <c r="G226" t="s">
        <v>131</v>
      </c>
      <c r="I226" t="s">
        <v>26</v>
      </c>
      <c r="J226" s="15">
        <v>45450</v>
      </c>
      <c r="K226" t="s">
        <v>38</v>
      </c>
      <c r="L226" t="str">
        <f t="shared" si="13"/>
        <v>OK</v>
      </c>
      <c r="P226" t="s">
        <v>30</v>
      </c>
      <c r="Q226" t="s">
        <v>132</v>
      </c>
      <c r="R226" t="s">
        <v>133</v>
      </c>
      <c r="S226" t="s">
        <v>132</v>
      </c>
      <c r="T226" t="s">
        <v>133</v>
      </c>
      <c r="U226" t="s">
        <v>133</v>
      </c>
      <c r="V226" t="s">
        <v>133</v>
      </c>
      <c r="W226" t="s">
        <v>5</v>
      </c>
      <c r="X226">
        <v>0</v>
      </c>
      <c r="Y226" t="e">
        <f>_xlfn.XLOOKUP(C226,[1]Especificação!$G:$G,[1]Especificação!$C:$C)</f>
        <v>#N/A</v>
      </c>
    </row>
    <row r="227" spans="1:25" x14ac:dyDescent="0.3">
      <c r="A227" s="50" t="str">
        <f t="shared" si="12"/>
        <v>INSTRUMENT_LTV_NPE</v>
      </c>
      <c r="B227" t="s">
        <v>128</v>
      </c>
      <c r="C227" s="11" t="s">
        <v>415</v>
      </c>
      <c r="D227" t="s">
        <v>14</v>
      </c>
      <c r="E227" t="s">
        <v>33</v>
      </c>
      <c r="F227" t="s">
        <v>130</v>
      </c>
      <c r="G227" t="s">
        <v>232</v>
      </c>
      <c r="I227" t="s">
        <v>32</v>
      </c>
      <c r="J227" s="15">
        <v>45450</v>
      </c>
      <c r="K227" t="s">
        <v>33</v>
      </c>
      <c r="L227" t="str">
        <f t="shared" si="13"/>
        <v>OK</v>
      </c>
      <c r="N227" s="15">
        <v>44697</v>
      </c>
      <c r="O227" s="15">
        <v>44708</v>
      </c>
      <c r="P227" t="s">
        <v>39</v>
      </c>
      <c r="Q227" t="s">
        <v>132</v>
      </c>
      <c r="R227" t="s">
        <v>133</v>
      </c>
      <c r="S227" t="s">
        <v>133</v>
      </c>
      <c r="T227" t="s">
        <v>133</v>
      </c>
      <c r="U227" t="s">
        <v>133</v>
      </c>
      <c r="V227" t="s">
        <v>133</v>
      </c>
      <c r="W227" t="s">
        <v>5</v>
      </c>
      <c r="X227">
        <v>0</v>
      </c>
      <c r="Y227" t="e">
        <f>_xlfn.XLOOKUP(C227,[1]Especificação!$G:$G,[1]Especificação!$C:$C)</f>
        <v>#N/A</v>
      </c>
    </row>
    <row r="228" spans="1:25" x14ac:dyDescent="0.3">
      <c r="A228" s="50" t="str">
        <f t="shared" si="12"/>
        <v>ENTITY_LVRG</v>
      </c>
      <c r="B228" t="s">
        <v>142</v>
      </c>
      <c r="C228" t="s">
        <v>416</v>
      </c>
      <c r="D228" t="s">
        <v>14</v>
      </c>
      <c r="E228" t="s">
        <v>38</v>
      </c>
      <c r="F228" t="s">
        <v>130</v>
      </c>
      <c r="G228" t="s">
        <v>131</v>
      </c>
      <c r="I228" t="s">
        <v>26</v>
      </c>
      <c r="J228" s="15">
        <v>45450</v>
      </c>
      <c r="K228" t="s">
        <v>38</v>
      </c>
      <c r="L228" t="str">
        <f t="shared" si="13"/>
        <v>OK</v>
      </c>
      <c r="N228" s="15"/>
      <c r="O228" s="15"/>
      <c r="P228" t="s">
        <v>30</v>
      </c>
      <c r="Q228" t="s">
        <v>132</v>
      </c>
      <c r="R228" t="s">
        <v>133</v>
      </c>
      <c r="S228" t="s">
        <v>133</v>
      </c>
      <c r="T228" t="s">
        <v>133</v>
      </c>
      <c r="U228" t="s">
        <v>133</v>
      </c>
      <c r="V228" t="s">
        <v>132</v>
      </c>
      <c r="W228" t="s">
        <v>5</v>
      </c>
      <c r="X228" t="s">
        <v>135</v>
      </c>
      <c r="Y228" t="str">
        <f>_xlfn.XLOOKUP(C228,[1]Especificação!$G:$G,[1]Especificação!$C:$C)</f>
        <v>F1. Fora âmbito | Campos concluídos - Sem necessidade de espec.</v>
      </c>
    </row>
    <row r="229" spans="1:25" x14ac:dyDescent="0.3">
      <c r="A229" s="50" t="str">
        <f t="shared" si="12"/>
        <v>INSTRUMENT_LVRG_FNNC_FLG</v>
      </c>
      <c r="B229" t="s">
        <v>128</v>
      </c>
      <c r="C229" t="s">
        <v>417</v>
      </c>
      <c r="D229" t="s">
        <v>6</v>
      </c>
      <c r="E229" t="s">
        <v>38</v>
      </c>
      <c r="F229" t="s">
        <v>130</v>
      </c>
      <c r="G229" t="s">
        <v>131</v>
      </c>
      <c r="I229" t="s">
        <v>26</v>
      </c>
      <c r="J229" s="15">
        <v>45958</v>
      </c>
      <c r="K229" t="s">
        <v>38</v>
      </c>
      <c r="L229" t="s">
        <v>130</v>
      </c>
      <c r="N229" s="15"/>
      <c r="O229" s="15">
        <v>45958</v>
      </c>
      <c r="P229" t="s">
        <v>30</v>
      </c>
      <c r="Q229" t="s">
        <v>132</v>
      </c>
      <c r="R229" t="s">
        <v>133</v>
      </c>
      <c r="S229" t="s">
        <v>133</v>
      </c>
      <c r="T229" t="s">
        <v>133</v>
      </c>
      <c r="U229" t="s">
        <v>133</v>
      </c>
      <c r="V229" t="s">
        <v>132</v>
      </c>
      <c r="W229" t="s">
        <v>146</v>
      </c>
      <c r="X229" t="s">
        <v>211</v>
      </c>
      <c r="Y229" t="str">
        <f>_xlfn.XLOOKUP(C229,[1]Especificação!$G:$G,[1]Especificação!$C:$C)</f>
        <v>B2. Re-especificação de campos complexos - Resto</v>
      </c>
    </row>
    <row r="230" spans="1:25" x14ac:dyDescent="0.3">
      <c r="A230" s="50" t="str">
        <f t="shared" si="12"/>
        <v>ENTITY_LVRG_PRVS</v>
      </c>
      <c r="B230" t="s">
        <v>142</v>
      </c>
      <c r="C230" t="s">
        <v>418</v>
      </c>
      <c r="D230" t="s">
        <v>14</v>
      </c>
      <c r="E230" t="s">
        <v>38</v>
      </c>
      <c r="F230" t="s">
        <v>130</v>
      </c>
      <c r="G230" t="s">
        <v>131</v>
      </c>
      <c r="I230" t="s">
        <v>26</v>
      </c>
      <c r="J230" s="15">
        <v>45450</v>
      </c>
      <c r="K230" t="s">
        <v>38</v>
      </c>
      <c r="L230" t="str">
        <f t="shared" si="13"/>
        <v>OK</v>
      </c>
      <c r="N230" s="15"/>
      <c r="O230" s="15"/>
      <c r="P230" t="s">
        <v>30</v>
      </c>
      <c r="Q230" t="s">
        <v>132</v>
      </c>
      <c r="R230" t="s">
        <v>133</v>
      </c>
      <c r="S230" t="s">
        <v>133</v>
      </c>
      <c r="T230" t="s">
        <v>133</v>
      </c>
      <c r="U230" t="s">
        <v>133</v>
      </c>
      <c r="V230" t="s">
        <v>132</v>
      </c>
      <c r="W230" t="s">
        <v>5</v>
      </c>
      <c r="X230" t="s">
        <v>135</v>
      </c>
      <c r="Y230" t="str">
        <f>_xlfn.XLOOKUP(C230,[1]Especificação!$G:$G,[1]Especificação!$C:$C)</f>
        <v>F1. Fora âmbito | Campos concluídos - Sem necessidade de espec.</v>
      </c>
    </row>
    <row r="231" spans="1:25" x14ac:dyDescent="0.3">
      <c r="A231" s="50" t="str">
        <f t="shared" si="12"/>
        <v>INSTR_ENTITY_MN_ENTTY_ID</v>
      </c>
      <c r="B231" t="s">
        <v>193</v>
      </c>
      <c r="C231" s="11" t="s">
        <v>419</v>
      </c>
      <c r="D231" t="s">
        <v>14</v>
      </c>
      <c r="E231" t="s">
        <v>35</v>
      </c>
      <c r="F231" t="s">
        <v>130</v>
      </c>
      <c r="G231" s="86" t="s">
        <v>420</v>
      </c>
      <c r="H231" t="s">
        <v>421</v>
      </c>
      <c r="I231" t="s">
        <v>32</v>
      </c>
      <c r="J231" s="15">
        <v>45958</v>
      </c>
      <c r="K231" t="s">
        <v>35</v>
      </c>
      <c r="L231" t="str">
        <f t="shared" si="13"/>
        <v>OK</v>
      </c>
      <c r="N231" s="15"/>
      <c r="O231" s="15">
        <v>45958</v>
      </c>
      <c r="P231" t="s">
        <v>39</v>
      </c>
      <c r="Q231" t="s">
        <v>132</v>
      </c>
      <c r="R231" t="s">
        <v>133</v>
      </c>
      <c r="S231" t="s">
        <v>132</v>
      </c>
      <c r="T231" t="s">
        <v>133</v>
      </c>
      <c r="U231" t="s">
        <v>133</v>
      </c>
      <c r="V231" t="s">
        <v>132</v>
      </c>
      <c r="W231" t="s">
        <v>138</v>
      </c>
      <c r="X231" t="s">
        <v>139</v>
      </c>
      <c r="Y231" t="str">
        <f>_xlfn.XLOOKUP(C231,[1]Especificação!$G:$G,[1]Especificação!$C:$C)</f>
        <v>C. Campos em testes ou c/ incidências</v>
      </c>
    </row>
    <row r="232" spans="1:25" x14ac:dyDescent="0.3">
      <c r="A232" s="50" t="str">
        <f t="shared" si="12"/>
        <v>PROTECTION_MN_PRPS</v>
      </c>
      <c r="B232" t="s">
        <v>161</v>
      </c>
      <c r="C232" t="s">
        <v>422</v>
      </c>
      <c r="D232" t="s">
        <v>6</v>
      </c>
      <c r="E232" t="s">
        <v>36</v>
      </c>
      <c r="F232" t="s">
        <v>149</v>
      </c>
      <c r="G232" t="s">
        <v>163</v>
      </c>
      <c r="I232" t="s">
        <v>29</v>
      </c>
      <c r="J232" s="15">
        <v>45450</v>
      </c>
      <c r="K232" t="s">
        <v>36</v>
      </c>
      <c r="L232" t="str">
        <f t="shared" si="13"/>
        <v>NOK</v>
      </c>
      <c r="N232" s="15"/>
      <c r="O232" s="15"/>
      <c r="P232" t="s">
        <v>8</v>
      </c>
      <c r="Q232" t="s">
        <v>132</v>
      </c>
      <c r="R232" t="s">
        <v>133</v>
      </c>
      <c r="S232" t="s">
        <v>133</v>
      </c>
      <c r="T232" t="s">
        <v>133</v>
      </c>
      <c r="U232" t="s">
        <v>133</v>
      </c>
      <c r="V232" t="s">
        <v>133</v>
      </c>
      <c r="W232" t="s">
        <v>5</v>
      </c>
      <c r="X232">
        <v>0</v>
      </c>
      <c r="Y232" t="e">
        <f>_xlfn.XLOOKUP(C232,[1]Especificação!$G:$G,[1]Especificação!$C:$C)</f>
        <v>#N/A</v>
      </c>
    </row>
    <row r="233" spans="1:25" x14ac:dyDescent="0.3">
      <c r="A233" s="50" t="str">
        <f t="shared" si="12"/>
        <v>ENTITY_MNTHL_INCM</v>
      </c>
      <c r="B233" t="s">
        <v>142</v>
      </c>
      <c r="C233" t="s">
        <v>423</v>
      </c>
      <c r="D233" t="s">
        <v>6</v>
      </c>
      <c r="E233" t="s">
        <v>20</v>
      </c>
      <c r="F233" t="s">
        <v>130</v>
      </c>
      <c r="G233" t="s">
        <v>373</v>
      </c>
      <c r="I233" t="s">
        <v>29</v>
      </c>
      <c r="J233" s="15">
        <v>45450</v>
      </c>
      <c r="K233" t="s">
        <v>20</v>
      </c>
      <c r="L233" t="str">
        <f t="shared" si="13"/>
        <v>OK</v>
      </c>
      <c r="N233" s="15"/>
      <c r="O233" s="15"/>
      <c r="P233" t="s">
        <v>13</v>
      </c>
      <c r="Q233" t="s">
        <v>132</v>
      </c>
      <c r="R233" t="s">
        <v>133</v>
      </c>
      <c r="S233" t="s">
        <v>133</v>
      </c>
      <c r="T233" t="s">
        <v>133</v>
      </c>
      <c r="U233" t="s">
        <v>133</v>
      </c>
      <c r="V233" t="s">
        <v>133</v>
      </c>
      <c r="W233" t="s">
        <v>5</v>
      </c>
      <c r="X233">
        <v>0</v>
      </c>
      <c r="Y233" t="e">
        <f>_xlfn.XLOOKUP(C233,[1]Especificação!$G:$G,[1]Especificação!$C:$C)</f>
        <v>#N/A</v>
      </c>
    </row>
    <row r="234" spans="1:25" x14ac:dyDescent="0.3">
      <c r="A234" s="50" t="str">
        <f t="shared" si="12"/>
        <v>ENTITY_MNTHL_INCM_SLR</v>
      </c>
      <c r="B234" t="s">
        <v>142</v>
      </c>
      <c r="C234" t="s">
        <v>424</v>
      </c>
      <c r="D234" t="s">
        <v>6</v>
      </c>
      <c r="E234" t="s">
        <v>20</v>
      </c>
      <c r="F234" t="s">
        <v>149</v>
      </c>
      <c r="G234" t="s">
        <v>373</v>
      </c>
      <c r="I234" t="s">
        <v>29</v>
      </c>
      <c r="J234" s="15">
        <v>45450</v>
      </c>
      <c r="K234" t="s">
        <v>20</v>
      </c>
      <c r="L234" t="str">
        <f t="shared" si="13"/>
        <v>NOK</v>
      </c>
      <c r="N234" s="15"/>
      <c r="O234" s="15"/>
      <c r="P234" t="s">
        <v>13</v>
      </c>
      <c r="Q234" t="s">
        <v>132</v>
      </c>
      <c r="R234" t="s">
        <v>133</v>
      </c>
      <c r="S234" t="s">
        <v>133</v>
      </c>
      <c r="T234" t="s">
        <v>133</v>
      </c>
      <c r="U234" t="s">
        <v>133</v>
      </c>
      <c r="V234" t="s">
        <v>133</v>
      </c>
      <c r="W234" t="s">
        <v>5</v>
      </c>
      <c r="X234">
        <v>0</v>
      </c>
      <c r="Y234" t="e">
        <f>_xlfn.XLOOKUP(C234,[1]Especificação!$G:$G,[1]Especificação!$C:$C)</f>
        <v>#N/A</v>
      </c>
    </row>
    <row r="235" spans="1:25" x14ac:dyDescent="0.3">
      <c r="A235" s="50" t="str">
        <f t="shared" si="12"/>
        <v>ENTITY_MNTHL_TRNVR</v>
      </c>
      <c r="B235" t="s">
        <v>142</v>
      </c>
      <c r="C235" t="s">
        <v>425</v>
      </c>
      <c r="D235" t="s">
        <v>6</v>
      </c>
      <c r="E235" t="s">
        <v>20</v>
      </c>
      <c r="F235" t="s">
        <v>130</v>
      </c>
      <c r="G235" t="s">
        <v>373</v>
      </c>
      <c r="I235" t="s">
        <v>29</v>
      </c>
      <c r="J235" s="15">
        <v>45952</v>
      </c>
      <c r="K235" t="s">
        <v>36</v>
      </c>
      <c r="L235" t="s">
        <v>149</v>
      </c>
      <c r="M235" t="s">
        <v>1320</v>
      </c>
      <c r="N235" s="15"/>
      <c r="O235" s="15">
        <v>45952</v>
      </c>
      <c r="P235" t="s">
        <v>13</v>
      </c>
      <c r="Q235" t="s">
        <v>132</v>
      </c>
      <c r="R235" t="s">
        <v>133</v>
      </c>
      <c r="S235" t="s">
        <v>133</v>
      </c>
      <c r="T235" t="s">
        <v>133</v>
      </c>
      <c r="U235" t="s">
        <v>133</v>
      </c>
      <c r="V235" t="s">
        <v>133</v>
      </c>
      <c r="W235" t="s">
        <v>5</v>
      </c>
      <c r="X235">
        <v>0</v>
      </c>
      <c r="Y235" t="e">
        <f>_xlfn.XLOOKUP(C235,[1]Especificação!$G:$G,[1]Especificação!$C:$C)</f>
        <v>#N/A</v>
      </c>
    </row>
    <row r="236" spans="1:25" x14ac:dyDescent="0.3">
      <c r="A236" s="50" t="str">
        <f t="shared" si="12"/>
        <v>INSTRUMENT_MTRTY_LTST_FRBRNC_MSR_C19</v>
      </c>
      <c r="B236" t="s">
        <v>128</v>
      </c>
      <c r="C236" t="s">
        <v>426</v>
      </c>
      <c r="D236" t="s">
        <v>6</v>
      </c>
      <c r="E236" t="s">
        <v>38</v>
      </c>
      <c r="F236" t="s">
        <v>130</v>
      </c>
      <c r="G236" t="s">
        <v>131</v>
      </c>
      <c r="I236" t="s">
        <v>26</v>
      </c>
      <c r="J236" s="15">
        <v>45450</v>
      </c>
      <c r="K236" t="s">
        <v>38</v>
      </c>
      <c r="L236" t="str">
        <f t="shared" si="13"/>
        <v>OK</v>
      </c>
      <c r="N236" s="15"/>
      <c r="O236" s="15"/>
      <c r="P236" t="s">
        <v>30</v>
      </c>
      <c r="Q236" t="s">
        <v>132</v>
      </c>
      <c r="R236" t="s">
        <v>133</v>
      </c>
      <c r="S236" t="s">
        <v>133</v>
      </c>
      <c r="T236" t="s">
        <v>133</v>
      </c>
      <c r="U236" t="s">
        <v>133</v>
      </c>
      <c r="V236" t="s">
        <v>133</v>
      </c>
      <c r="W236" t="s">
        <v>5</v>
      </c>
      <c r="X236">
        <v>0</v>
      </c>
      <c r="Y236" t="e">
        <f>_xlfn.XLOOKUP(C236,[1]Especificação!$G:$G,[1]Especificação!$C:$C)</f>
        <v>#N/A</v>
      </c>
    </row>
    <row r="237" spans="1:25" x14ac:dyDescent="0.3">
      <c r="A237" s="50" t="str">
        <f t="shared" si="12"/>
        <v>INSTRUMENT_MTRTY_LTST_MRTR_C19</v>
      </c>
      <c r="B237" t="s">
        <v>128</v>
      </c>
      <c r="C237" t="s">
        <v>427</v>
      </c>
      <c r="D237" t="s">
        <v>6</v>
      </c>
      <c r="E237" t="s">
        <v>38</v>
      </c>
      <c r="F237" t="s">
        <v>130</v>
      </c>
      <c r="G237" t="s">
        <v>131</v>
      </c>
      <c r="I237" t="s">
        <v>26</v>
      </c>
      <c r="J237" s="15">
        <v>45450</v>
      </c>
      <c r="K237" t="s">
        <v>38</v>
      </c>
      <c r="L237" t="str">
        <f t="shared" si="13"/>
        <v>OK</v>
      </c>
      <c r="N237" s="15"/>
      <c r="O237" s="15"/>
      <c r="P237" t="s">
        <v>30</v>
      </c>
      <c r="Q237" t="s">
        <v>132</v>
      </c>
      <c r="R237" t="s">
        <v>133</v>
      </c>
      <c r="S237" t="s">
        <v>133</v>
      </c>
      <c r="T237" t="s">
        <v>133</v>
      </c>
      <c r="U237" t="s">
        <v>133</v>
      </c>
      <c r="V237" t="s">
        <v>133</v>
      </c>
      <c r="W237" t="s">
        <v>5</v>
      </c>
      <c r="X237">
        <v>0</v>
      </c>
      <c r="Y237" t="e">
        <f>_xlfn.XLOOKUP(C237,[1]Especificação!$G:$G,[1]Especificação!$C:$C)</f>
        <v>#N/A</v>
      </c>
    </row>
    <row r="238" spans="1:25" x14ac:dyDescent="0.3">
      <c r="A238" s="50" t="str">
        <f t="shared" si="12"/>
        <v>INSTRUMENT_NMBR_FRBRNC_MSRS</v>
      </c>
      <c r="B238" t="s">
        <v>128</v>
      </c>
      <c r="C238" t="s">
        <v>428</v>
      </c>
      <c r="D238" t="s">
        <v>14</v>
      </c>
      <c r="E238" t="s">
        <v>38</v>
      </c>
      <c r="F238" t="s">
        <v>130</v>
      </c>
      <c r="G238" t="s">
        <v>131</v>
      </c>
      <c r="I238" t="s">
        <v>26</v>
      </c>
      <c r="J238" s="15">
        <v>45450</v>
      </c>
      <c r="K238" t="s">
        <v>38</v>
      </c>
      <c r="L238" t="str">
        <f t="shared" si="13"/>
        <v>OK</v>
      </c>
      <c r="N238" s="15"/>
      <c r="O238" s="15"/>
      <c r="P238" t="s">
        <v>30</v>
      </c>
      <c r="Q238" t="s">
        <v>132</v>
      </c>
      <c r="R238" t="s">
        <v>133</v>
      </c>
      <c r="S238" t="s">
        <v>133</v>
      </c>
      <c r="T238" t="s">
        <v>133</v>
      </c>
      <c r="U238" t="s">
        <v>133</v>
      </c>
      <c r="V238" t="s">
        <v>132</v>
      </c>
      <c r="W238" t="s">
        <v>5</v>
      </c>
      <c r="X238" t="s">
        <v>135</v>
      </c>
      <c r="Y238" t="str">
        <f>_xlfn.XLOOKUP(C238,[1]Especificação!$G:$G,[1]Especificação!$C:$C)</f>
        <v>F1. Fora âmbito | Campos concluídos - Sem necessidade de espec.</v>
      </c>
    </row>
    <row r="239" spans="1:25" x14ac:dyDescent="0.3">
      <c r="A239" s="50" t="str">
        <f t="shared" si="12"/>
        <v>ENTITY_NT_INCM</v>
      </c>
      <c r="B239" t="s">
        <v>142</v>
      </c>
      <c r="C239" t="s">
        <v>429</v>
      </c>
      <c r="D239" t="s">
        <v>14</v>
      </c>
      <c r="E239" t="s">
        <v>25</v>
      </c>
      <c r="F239" t="s">
        <v>130</v>
      </c>
      <c r="G239" t="s">
        <v>144</v>
      </c>
      <c r="H239" t="s">
        <v>145</v>
      </c>
      <c r="I239" t="s">
        <v>29</v>
      </c>
      <c r="J239" s="15">
        <v>45450</v>
      </c>
      <c r="K239" t="s">
        <v>25</v>
      </c>
      <c r="L239" t="str">
        <f t="shared" si="13"/>
        <v>OK</v>
      </c>
      <c r="N239" s="15"/>
      <c r="O239" s="15"/>
      <c r="P239" t="s">
        <v>13</v>
      </c>
      <c r="Q239" t="s">
        <v>132</v>
      </c>
      <c r="R239" t="s">
        <v>133</v>
      </c>
      <c r="S239" t="s">
        <v>133</v>
      </c>
      <c r="T239" t="s">
        <v>133</v>
      </c>
      <c r="U239" t="s">
        <v>133</v>
      </c>
      <c r="V239" t="s">
        <v>132</v>
      </c>
      <c r="W239" t="s">
        <v>146</v>
      </c>
      <c r="X239" t="s">
        <v>147</v>
      </c>
      <c r="Y239" t="str">
        <f>_xlfn.XLOOKUP(C239,[1]Especificação!$G:$G,[1]Especificação!$C:$C)</f>
        <v>F4. Fora âmbito | Re-especificação de campos complexos - Dem. Fin. CIB</v>
      </c>
    </row>
    <row r="240" spans="1:25" x14ac:dyDescent="0.3">
      <c r="A240" s="50" t="str">
        <f t="shared" si="12"/>
        <v>ENTITY_NT_INCM_PRVS</v>
      </c>
      <c r="B240" t="s">
        <v>142</v>
      </c>
      <c r="C240" t="s">
        <v>430</v>
      </c>
      <c r="D240" t="s">
        <v>14</v>
      </c>
      <c r="E240" t="s">
        <v>25</v>
      </c>
      <c r="F240" t="s">
        <v>130</v>
      </c>
      <c r="G240" t="s">
        <v>144</v>
      </c>
      <c r="H240" t="s">
        <v>145</v>
      </c>
      <c r="I240" t="s">
        <v>29</v>
      </c>
      <c r="J240" s="15">
        <v>45450</v>
      </c>
      <c r="K240" t="s">
        <v>25</v>
      </c>
      <c r="L240" t="str">
        <f t="shared" si="13"/>
        <v>OK</v>
      </c>
      <c r="N240" s="15"/>
      <c r="O240" s="15"/>
      <c r="P240" t="s">
        <v>13</v>
      </c>
      <c r="Q240" t="s">
        <v>132</v>
      </c>
      <c r="R240" t="s">
        <v>133</v>
      </c>
      <c r="S240" t="s">
        <v>133</v>
      </c>
      <c r="T240" t="s">
        <v>133</v>
      </c>
      <c r="U240" t="s">
        <v>133</v>
      </c>
      <c r="V240" t="s">
        <v>132</v>
      </c>
      <c r="W240" t="s">
        <v>146</v>
      </c>
      <c r="X240" t="s">
        <v>147</v>
      </c>
      <c r="Y240" t="str">
        <f>_xlfn.XLOOKUP(C240,[1]Especificação!$G:$G,[1]Especificação!$C:$C)</f>
        <v>F4. Fora âmbito | Re-especificação de campos complexos - Dem. Fin. CIB</v>
      </c>
    </row>
    <row r="241" spans="1:25" x14ac:dyDescent="0.3">
      <c r="A241" s="50" t="str">
        <f t="shared" si="12"/>
        <v>INSTRUMENT_RWA_MTHD</v>
      </c>
      <c r="B241" t="s">
        <v>128</v>
      </c>
      <c r="C241" s="10" t="s">
        <v>431</v>
      </c>
      <c r="D241" t="s">
        <v>14</v>
      </c>
      <c r="E241" t="s">
        <v>33</v>
      </c>
      <c r="F241" t="s">
        <v>130</v>
      </c>
      <c r="G241" t="s">
        <v>271</v>
      </c>
      <c r="H241" t="s">
        <v>432</v>
      </c>
      <c r="I241" t="s">
        <v>26</v>
      </c>
      <c r="J241" s="15">
        <v>45463</v>
      </c>
      <c r="K241" t="s">
        <v>38</v>
      </c>
      <c r="L241" t="str">
        <f t="shared" si="13"/>
        <v>OK</v>
      </c>
      <c r="M241" t="s">
        <v>433</v>
      </c>
      <c r="N241" s="15"/>
      <c r="O241" s="15">
        <v>45463</v>
      </c>
      <c r="P241" t="s">
        <v>30</v>
      </c>
      <c r="Q241" t="s">
        <v>132</v>
      </c>
      <c r="R241" t="s">
        <v>133</v>
      </c>
      <c r="S241" t="s">
        <v>133</v>
      </c>
      <c r="T241" t="s">
        <v>133</v>
      </c>
      <c r="U241" t="s">
        <v>133</v>
      </c>
      <c r="V241" t="s">
        <v>132</v>
      </c>
      <c r="W241" t="s">
        <v>5</v>
      </c>
      <c r="X241" t="s">
        <v>135</v>
      </c>
      <c r="Y241" t="str">
        <f>_xlfn.XLOOKUP(C241,[1]Especificação!$G:$G,[1]Especificação!$C:$C)</f>
        <v>F1. Fora âmbito | Campos concluídos - Sem necessidade de espec.</v>
      </c>
    </row>
    <row r="242" spans="1:25" x14ac:dyDescent="0.3">
      <c r="A242" s="50" t="str">
        <f t="shared" si="12"/>
        <v>INSTRUMENT_OBSRVD_AGNT_ID</v>
      </c>
      <c r="B242" t="s">
        <v>128</v>
      </c>
      <c r="C242" t="s">
        <v>434</v>
      </c>
      <c r="D242" t="s">
        <v>14</v>
      </c>
      <c r="E242" t="s">
        <v>38</v>
      </c>
      <c r="F242" t="s">
        <v>130</v>
      </c>
      <c r="G242" t="s">
        <v>131</v>
      </c>
      <c r="I242" t="s">
        <v>26</v>
      </c>
      <c r="J242" s="15">
        <v>45450</v>
      </c>
      <c r="K242" t="s">
        <v>38</v>
      </c>
      <c r="L242" t="str">
        <f t="shared" si="13"/>
        <v>OK</v>
      </c>
      <c r="N242" s="15"/>
      <c r="O242" s="15"/>
      <c r="P242" t="s">
        <v>30</v>
      </c>
      <c r="Q242" t="s">
        <v>132</v>
      </c>
      <c r="R242" t="s">
        <v>133</v>
      </c>
      <c r="S242" t="s">
        <v>133</v>
      </c>
      <c r="T242" t="s">
        <v>133</v>
      </c>
      <c r="U242" t="s">
        <v>133</v>
      </c>
      <c r="V242" t="s">
        <v>132</v>
      </c>
      <c r="W242" t="s">
        <v>5</v>
      </c>
      <c r="X242" t="s">
        <v>135</v>
      </c>
      <c r="Y242" t="str">
        <f>_xlfn.XLOOKUP(C242,[1]Especificação!$G:$G,[1]Especificação!$C:$C)</f>
        <v>F1. Fora âmbito | Campos concluídos - Sem necessidade de espec.</v>
      </c>
    </row>
    <row r="243" spans="1:25" x14ac:dyDescent="0.3">
      <c r="A243" s="50" t="str">
        <f t="shared" si="12"/>
        <v>INSTRUMENT_OBSRVD_AGNT_NM</v>
      </c>
      <c r="B243" t="s">
        <v>128</v>
      </c>
      <c r="C243" t="s">
        <v>435</v>
      </c>
      <c r="D243" t="s">
        <v>14</v>
      </c>
      <c r="E243" t="s">
        <v>38</v>
      </c>
      <c r="F243" t="s">
        <v>130</v>
      </c>
      <c r="G243" t="s">
        <v>131</v>
      </c>
      <c r="I243" t="s">
        <v>26</v>
      </c>
      <c r="J243" s="15">
        <v>45450</v>
      </c>
      <c r="K243" t="s">
        <v>38</v>
      </c>
      <c r="L243" t="str">
        <f t="shared" si="13"/>
        <v>OK</v>
      </c>
      <c r="N243" s="15"/>
      <c r="O243" s="15"/>
      <c r="P243" t="s">
        <v>30</v>
      </c>
      <c r="Q243" t="s">
        <v>132</v>
      </c>
      <c r="R243" t="s">
        <v>133</v>
      </c>
      <c r="S243" t="s">
        <v>133</v>
      </c>
      <c r="T243" t="s">
        <v>133</v>
      </c>
      <c r="U243" t="s">
        <v>133</v>
      </c>
      <c r="V243" t="s">
        <v>132</v>
      </c>
      <c r="W243" t="s">
        <v>5</v>
      </c>
      <c r="X243" t="s">
        <v>135</v>
      </c>
      <c r="Y243" t="str">
        <f>_xlfn.XLOOKUP(C243,[1]Especificação!$G:$G,[1]Especificação!$C:$C)</f>
        <v>F1. Fora âmbito | Campos concluídos - Sem necessidade de espec.</v>
      </c>
    </row>
    <row r="244" spans="1:25" x14ac:dyDescent="0.3">
      <c r="A244" s="50" t="str">
        <f t="shared" si="12"/>
        <v>INSTRUMENT_OFF_BLNC_SHT_AMNT_INSTRMNT</v>
      </c>
      <c r="B244" t="s">
        <v>128</v>
      </c>
      <c r="C244" t="s">
        <v>436</v>
      </c>
      <c r="D244" t="s">
        <v>14</v>
      </c>
      <c r="E244" t="s">
        <v>36</v>
      </c>
      <c r="F244" t="s">
        <v>149</v>
      </c>
      <c r="G244" t="s">
        <v>163</v>
      </c>
      <c r="I244" t="s">
        <v>29</v>
      </c>
      <c r="J244" s="15">
        <v>45958</v>
      </c>
      <c r="K244" t="s">
        <v>38</v>
      </c>
      <c r="N244" s="15"/>
      <c r="O244" s="15">
        <v>45958</v>
      </c>
      <c r="P244" t="s">
        <v>8</v>
      </c>
      <c r="Q244" t="s">
        <v>132</v>
      </c>
      <c r="R244" t="s">
        <v>132</v>
      </c>
      <c r="S244" t="s">
        <v>133</v>
      </c>
      <c r="T244" t="s">
        <v>133</v>
      </c>
      <c r="U244" t="s">
        <v>132</v>
      </c>
      <c r="V244" t="s">
        <v>132</v>
      </c>
      <c r="W244" t="s">
        <v>138</v>
      </c>
      <c r="X244" t="s">
        <v>166</v>
      </c>
      <c r="Y244" t="str">
        <f>_xlfn.XLOOKUP(C244,[1]Especificação!$G:$G,[1]Especificação!$C:$C)</f>
        <v>D. Campos com NOK controlos Corporativos</v>
      </c>
    </row>
    <row r="245" spans="1:25" x14ac:dyDescent="0.3">
      <c r="A245" s="50" t="str">
        <f t="shared" si="12"/>
        <v>INSTRUMENT_OFF_BLNC_SHT_AMNT_INSTRMNT_PRVS</v>
      </c>
      <c r="B245" t="s">
        <v>128</v>
      </c>
      <c r="C245" s="10" t="s">
        <v>437</v>
      </c>
      <c r="D245" t="s">
        <v>14</v>
      </c>
      <c r="E245" t="s">
        <v>35</v>
      </c>
      <c r="F245" t="s">
        <v>130</v>
      </c>
      <c r="G245" t="s">
        <v>302</v>
      </c>
      <c r="H245" t="s">
        <v>438</v>
      </c>
      <c r="I245" t="s">
        <v>32</v>
      </c>
      <c r="J245" s="15">
        <v>45952</v>
      </c>
      <c r="K245" t="s">
        <v>38</v>
      </c>
      <c r="L245" t="s">
        <v>130</v>
      </c>
      <c r="N245" s="15">
        <v>45471</v>
      </c>
      <c r="O245" s="15">
        <v>45952</v>
      </c>
      <c r="P245" t="s">
        <v>24</v>
      </c>
      <c r="Q245" t="s">
        <v>132</v>
      </c>
      <c r="R245" t="s">
        <v>133</v>
      </c>
      <c r="S245" t="s">
        <v>133</v>
      </c>
      <c r="T245" t="s">
        <v>133</v>
      </c>
      <c r="U245" t="s">
        <v>133</v>
      </c>
      <c r="V245" t="s">
        <v>133</v>
      </c>
      <c r="W245" t="s">
        <v>5</v>
      </c>
      <c r="X245">
        <v>0</v>
      </c>
      <c r="Y245" t="e">
        <f>_xlfn.XLOOKUP(C245,[1]Especificação!$G:$G,[1]Especificação!$C:$C)</f>
        <v>#N/A</v>
      </c>
    </row>
    <row r="246" spans="1:25" x14ac:dyDescent="0.3">
      <c r="A246" s="50" t="str">
        <f t="shared" si="12"/>
        <v>PROTECTION_DT_ORGNL_PRTCTN_VL</v>
      </c>
      <c r="B246" t="s">
        <v>161</v>
      </c>
      <c r="C246" s="10" t="s">
        <v>43</v>
      </c>
      <c r="D246" t="s">
        <v>14</v>
      </c>
      <c r="E246" t="s">
        <v>35</v>
      </c>
      <c r="F246" t="s">
        <v>149</v>
      </c>
      <c r="G246" t="s">
        <v>186</v>
      </c>
      <c r="H246" t="s">
        <v>187</v>
      </c>
      <c r="I246" t="s">
        <v>26</v>
      </c>
      <c r="J246" s="15">
        <v>45670</v>
      </c>
      <c r="K246" t="s">
        <v>38</v>
      </c>
      <c r="L246" t="s">
        <v>130</v>
      </c>
      <c r="N246" s="15">
        <v>45555</v>
      </c>
      <c r="O246" s="15">
        <v>45646</v>
      </c>
      <c r="P246" t="s">
        <v>24</v>
      </c>
      <c r="Q246" t="s">
        <v>132</v>
      </c>
      <c r="R246" t="s">
        <v>133</v>
      </c>
      <c r="S246" t="s">
        <v>133</v>
      </c>
      <c r="T246" t="s">
        <v>133</v>
      </c>
      <c r="U246" t="s">
        <v>133</v>
      </c>
      <c r="V246" t="s">
        <v>133</v>
      </c>
      <c r="W246" t="s">
        <v>5</v>
      </c>
      <c r="X246">
        <v>0</v>
      </c>
      <c r="Y246" t="e">
        <f>_xlfn.XLOOKUP(C246,[1]Especificação!$G:$G,[1]Especificação!$C:$C)</f>
        <v>#N/A</v>
      </c>
    </row>
    <row r="247" spans="1:25" x14ac:dyDescent="0.3">
      <c r="A247" s="50" t="str">
        <f t="shared" si="12"/>
        <v>ENTITY_OSI_ID</v>
      </c>
      <c r="B247" t="s">
        <v>142</v>
      </c>
      <c r="C247" t="s">
        <v>439</v>
      </c>
      <c r="D247" t="s">
        <v>14</v>
      </c>
      <c r="E247" t="s">
        <v>38</v>
      </c>
      <c r="F247" t="s">
        <v>130</v>
      </c>
      <c r="G247" t="s">
        <v>131</v>
      </c>
      <c r="I247" t="s">
        <v>26</v>
      </c>
      <c r="J247" s="15">
        <v>45450</v>
      </c>
      <c r="K247" t="s">
        <v>38</v>
      </c>
      <c r="L247" t="str">
        <f t="shared" ref="L247:L273" si="14">F247</f>
        <v>OK</v>
      </c>
      <c r="N247" s="15"/>
      <c r="O247" s="15"/>
      <c r="P247" t="s">
        <v>30</v>
      </c>
      <c r="Q247" t="s">
        <v>132</v>
      </c>
      <c r="R247" t="s">
        <v>133</v>
      </c>
      <c r="S247" t="s">
        <v>133</v>
      </c>
      <c r="T247" t="s">
        <v>133</v>
      </c>
      <c r="U247" t="s">
        <v>133</v>
      </c>
      <c r="V247" t="s">
        <v>132</v>
      </c>
      <c r="W247" t="s">
        <v>5</v>
      </c>
      <c r="X247" t="s">
        <v>135</v>
      </c>
      <c r="Y247" t="str">
        <f>_xlfn.XLOOKUP(C247,[1]Especificação!$G:$G,[1]Especificação!$C:$C)</f>
        <v>F1. Fora âmbito | Campos concluídos - Sem necessidade de espec.</v>
      </c>
    </row>
    <row r="248" spans="1:25" x14ac:dyDescent="0.3">
      <c r="A248" s="50" t="str">
        <f t="shared" si="12"/>
        <v>INSTRUMENT_OTSTNDNG_NMNL_AMNT_INSTRMNT</v>
      </c>
      <c r="B248" t="s">
        <v>128</v>
      </c>
      <c r="C248" t="s">
        <v>440</v>
      </c>
      <c r="D248" t="s">
        <v>14</v>
      </c>
      <c r="E248" t="s">
        <v>36</v>
      </c>
      <c r="F248" t="s">
        <v>149</v>
      </c>
      <c r="G248" t="s">
        <v>163</v>
      </c>
      <c r="I248" t="s">
        <v>29</v>
      </c>
      <c r="J248" s="15">
        <v>45952</v>
      </c>
      <c r="K248" t="s">
        <v>38</v>
      </c>
      <c r="L248" t="s">
        <v>130</v>
      </c>
      <c r="N248" s="15"/>
      <c r="O248" s="15">
        <v>45952</v>
      </c>
      <c r="P248" t="s">
        <v>8</v>
      </c>
      <c r="Q248" t="s">
        <v>132</v>
      </c>
      <c r="R248" t="s">
        <v>133</v>
      </c>
      <c r="S248" t="s">
        <v>133</v>
      </c>
      <c r="T248" t="s">
        <v>133</v>
      </c>
      <c r="U248" t="s">
        <v>133</v>
      </c>
      <c r="V248" t="s">
        <v>132</v>
      </c>
      <c r="W248" t="s">
        <v>138</v>
      </c>
      <c r="X248" t="s">
        <v>166</v>
      </c>
      <c r="Y248" t="str">
        <f>_xlfn.XLOOKUP(C248,[1]Especificação!$G:$G,[1]Especificação!$C:$C)</f>
        <v>D. Campos com NOK controlos Corporativos</v>
      </c>
    </row>
    <row r="249" spans="1:25" x14ac:dyDescent="0.3">
      <c r="A249" s="50" t="str">
        <f t="shared" si="12"/>
        <v>INSTRUMENT_DT_FRBRNC_STTS_PRVS</v>
      </c>
      <c r="B249" t="s">
        <v>128</v>
      </c>
      <c r="C249" t="s">
        <v>441</v>
      </c>
      <c r="D249" t="s">
        <v>14</v>
      </c>
      <c r="E249" t="s">
        <v>25</v>
      </c>
      <c r="F249" t="s">
        <v>149</v>
      </c>
      <c r="G249" t="s">
        <v>442</v>
      </c>
      <c r="H249" t="s">
        <v>322</v>
      </c>
      <c r="I249" t="s">
        <v>29</v>
      </c>
      <c r="J249" s="15">
        <v>45450</v>
      </c>
      <c r="K249" t="s">
        <v>25</v>
      </c>
      <c r="L249" t="str">
        <f t="shared" si="14"/>
        <v>NOK</v>
      </c>
      <c r="P249" t="s">
        <v>13</v>
      </c>
      <c r="Q249" t="s">
        <v>132</v>
      </c>
      <c r="R249" t="s">
        <v>133</v>
      </c>
      <c r="S249" t="s">
        <v>133</v>
      </c>
      <c r="T249" t="s">
        <v>133</v>
      </c>
      <c r="U249" t="s">
        <v>133</v>
      </c>
      <c r="V249" t="s">
        <v>133</v>
      </c>
      <c r="W249" t="s">
        <v>5</v>
      </c>
      <c r="X249">
        <v>0</v>
      </c>
      <c r="Y249" t="e">
        <f>_xlfn.XLOOKUP(C249,[1]Especificação!$G:$G,[1]Especificação!$C:$C)</f>
        <v>#N/A</v>
      </c>
    </row>
    <row r="250" spans="1:25" x14ac:dyDescent="0.3">
      <c r="A250" s="50" t="str">
        <f t="shared" si="12"/>
        <v>ENTITY_OWND_BY_SPNSR</v>
      </c>
      <c r="B250" t="s">
        <v>142</v>
      </c>
      <c r="C250" t="s">
        <v>443</v>
      </c>
      <c r="D250" t="s">
        <v>6</v>
      </c>
      <c r="E250" t="s">
        <v>38</v>
      </c>
      <c r="F250" t="s">
        <v>130</v>
      </c>
      <c r="G250" t="s">
        <v>131</v>
      </c>
      <c r="I250" t="s">
        <v>26</v>
      </c>
      <c r="J250" s="15">
        <v>45450</v>
      </c>
      <c r="K250" t="s">
        <v>38</v>
      </c>
      <c r="L250" t="str">
        <f t="shared" si="14"/>
        <v>OK</v>
      </c>
      <c r="N250" s="15"/>
      <c r="O250" s="15"/>
      <c r="P250" t="s">
        <v>30</v>
      </c>
      <c r="Q250" t="s">
        <v>132</v>
      </c>
      <c r="R250" t="s">
        <v>133</v>
      </c>
      <c r="S250" t="s">
        <v>133</v>
      </c>
      <c r="T250" t="s">
        <v>133</v>
      </c>
      <c r="U250" t="s">
        <v>133</v>
      </c>
      <c r="V250" t="s">
        <v>132</v>
      </c>
      <c r="W250" t="s">
        <v>146</v>
      </c>
      <c r="X250" t="s">
        <v>211</v>
      </c>
      <c r="Y250" t="str">
        <f>_xlfn.XLOOKUP(C250,[1]Especificação!$G:$G,[1]Especificação!$C:$C)</f>
        <v>F3. Fora âmbito | Fonte Manual LF</v>
      </c>
    </row>
    <row r="251" spans="1:25" x14ac:dyDescent="0.3">
      <c r="A251" s="50" t="str">
        <f t="shared" si="12"/>
        <v>INSTRUMENT_PBLC_GRNT_SCHM_C19_NM</v>
      </c>
      <c r="B251" t="s">
        <v>128</v>
      </c>
      <c r="C251" t="s">
        <v>444</v>
      </c>
      <c r="D251" t="s">
        <v>6</v>
      </c>
      <c r="E251" t="s">
        <v>38</v>
      </c>
      <c r="F251" t="s">
        <v>130</v>
      </c>
      <c r="G251" t="s">
        <v>131</v>
      </c>
      <c r="I251" t="s">
        <v>26</v>
      </c>
      <c r="J251" s="15">
        <v>45450</v>
      </c>
      <c r="K251" t="s">
        <v>38</v>
      </c>
      <c r="L251" t="str">
        <f t="shared" si="14"/>
        <v>OK</v>
      </c>
      <c r="N251" s="15"/>
      <c r="O251" s="15"/>
      <c r="P251" t="s">
        <v>30</v>
      </c>
      <c r="Q251" t="s">
        <v>132</v>
      </c>
      <c r="R251" t="s">
        <v>133</v>
      </c>
      <c r="S251" t="s">
        <v>133</v>
      </c>
      <c r="T251" t="s">
        <v>133</v>
      </c>
      <c r="U251" t="s">
        <v>133</v>
      </c>
      <c r="V251" t="s">
        <v>133</v>
      </c>
      <c r="W251" t="s">
        <v>5</v>
      </c>
      <c r="X251">
        <v>0</v>
      </c>
      <c r="Y251" t="e">
        <f>_xlfn.XLOOKUP(C251,[1]Especificação!$G:$G,[1]Especificação!$C:$C)</f>
        <v>#N/A</v>
      </c>
    </row>
    <row r="252" spans="1:25" x14ac:dyDescent="0.3">
      <c r="A252" s="50" t="str">
        <f t="shared" si="12"/>
        <v>INSTRUMENT_PD_CRR_INCPTN</v>
      </c>
      <c r="B252" t="s">
        <v>128</v>
      </c>
      <c r="C252" t="s">
        <v>445</v>
      </c>
      <c r="D252" t="s">
        <v>14</v>
      </c>
      <c r="E252" t="s">
        <v>35</v>
      </c>
      <c r="F252" t="s">
        <v>130</v>
      </c>
      <c r="G252" s="86" t="s">
        <v>302</v>
      </c>
      <c r="H252" t="s">
        <v>446</v>
      </c>
      <c r="I252" t="s">
        <v>29</v>
      </c>
      <c r="J252" s="15">
        <v>45958</v>
      </c>
      <c r="K252" t="s">
        <v>35</v>
      </c>
      <c r="L252" t="str">
        <f t="shared" si="14"/>
        <v>OK</v>
      </c>
      <c r="N252" s="15"/>
      <c r="O252" s="15">
        <v>45958</v>
      </c>
      <c r="P252" t="s">
        <v>13</v>
      </c>
      <c r="Q252" t="s">
        <v>132</v>
      </c>
      <c r="R252" t="s">
        <v>133</v>
      </c>
      <c r="S252" t="s">
        <v>133</v>
      </c>
      <c r="T252" t="s">
        <v>133</v>
      </c>
      <c r="U252" t="s">
        <v>133</v>
      </c>
      <c r="V252" t="s">
        <v>132</v>
      </c>
      <c r="W252" t="s">
        <v>138</v>
      </c>
      <c r="X252" t="s">
        <v>139</v>
      </c>
      <c r="Y252" t="str">
        <f>_xlfn.XLOOKUP(C252,[1]Especificação!$G:$G,[1]Especificação!$C:$C)</f>
        <v>C. Campos em testes ou c/ incidências</v>
      </c>
    </row>
    <row r="253" spans="1:25" x14ac:dyDescent="0.3">
      <c r="A253" s="50" t="str">
        <f t="shared" si="12"/>
        <v>ENTITY_PD_CRR_RD</v>
      </c>
      <c r="B253" t="s">
        <v>142</v>
      </c>
      <c r="C253" t="s">
        <v>447</v>
      </c>
      <c r="D253" t="s">
        <v>14</v>
      </c>
      <c r="E253" t="s">
        <v>36</v>
      </c>
      <c r="F253" t="s">
        <v>149</v>
      </c>
      <c r="G253" t="s">
        <v>163</v>
      </c>
      <c r="I253" t="s">
        <v>29</v>
      </c>
      <c r="J253" s="15">
        <v>45958</v>
      </c>
      <c r="K253" t="s">
        <v>38</v>
      </c>
      <c r="N253" s="15"/>
      <c r="O253" s="15">
        <v>45958</v>
      </c>
      <c r="P253" t="s">
        <v>8</v>
      </c>
      <c r="Q253" t="s">
        <v>132</v>
      </c>
      <c r="R253" t="s">
        <v>133</v>
      </c>
      <c r="S253" t="s">
        <v>133</v>
      </c>
      <c r="T253" t="s">
        <v>133</v>
      </c>
      <c r="U253" t="s">
        <v>133</v>
      </c>
      <c r="V253" t="s">
        <v>132</v>
      </c>
      <c r="W253" t="s">
        <v>138</v>
      </c>
      <c r="X253" t="s">
        <v>166</v>
      </c>
      <c r="Y253" t="str">
        <f>_xlfn.XLOOKUP(C253,[1]Especificação!$G:$G,[1]Especificação!$C:$C)</f>
        <v>D. Campos com NOK controlos Corporativos</v>
      </c>
    </row>
    <row r="254" spans="1:25" x14ac:dyDescent="0.3">
      <c r="A254" s="50" t="str">
        <f t="shared" si="12"/>
        <v>INSTRUMENT_PD_CRR_RD</v>
      </c>
      <c r="B254" t="s">
        <v>128</v>
      </c>
      <c r="C254" t="s">
        <v>447</v>
      </c>
      <c r="D254" t="s">
        <v>14</v>
      </c>
      <c r="E254" t="s">
        <v>36</v>
      </c>
      <c r="F254" t="s">
        <v>149</v>
      </c>
      <c r="G254" t="s">
        <v>163</v>
      </c>
      <c r="I254" t="s">
        <v>29</v>
      </c>
      <c r="J254" s="15">
        <v>45958</v>
      </c>
      <c r="K254" t="s">
        <v>38</v>
      </c>
      <c r="N254" s="15"/>
      <c r="O254" s="15">
        <v>45958</v>
      </c>
      <c r="P254" t="s">
        <v>8</v>
      </c>
      <c r="Q254" t="s">
        <v>132</v>
      </c>
      <c r="R254" t="s">
        <v>133</v>
      </c>
      <c r="S254" t="s">
        <v>133</v>
      </c>
      <c r="T254" t="s">
        <v>133</v>
      </c>
      <c r="U254" t="s">
        <v>133</v>
      </c>
      <c r="V254" t="s">
        <v>132</v>
      </c>
      <c r="W254" t="s">
        <v>138</v>
      </c>
      <c r="X254" t="s">
        <v>166</v>
      </c>
      <c r="Y254" t="str">
        <f>_xlfn.XLOOKUP(C254,[1]Especificação!$G:$G,[1]Especificação!$C:$C)</f>
        <v>D. Campos com NOK controlos Corporativos</v>
      </c>
    </row>
    <row r="255" spans="1:25" x14ac:dyDescent="0.3">
      <c r="A255" s="50" t="str">
        <f t="shared" si="12"/>
        <v>ENTITY_PD_CRR_RD_T1</v>
      </c>
      <c r="B255" t="s">
        <v>142</v>
      </c>
      <c r="C255" s="11" t="s">
        <v>448</v>
      </c>
      <c r="D255" t="s">
        <v>6</v>
      </c>
      <c r="E255" t="s">
        <v>33</v>
      </c>
      <c r="F255" t="s">
        <v>149</v>
      </c>
      <c r="G255" t="s">
        <v>379</v>
      </c>
      <c r="I255" t="s">
        <v>32</v>
      </c>
      <c r="J255" s="15">
        <v>45958</v>
      </c>
      <c r="K255" t="s">
        <v>55</v>
      </c>
      <c r="L255" t="str">
        <f t="shared" si="14"/>
        <v>NOK</v>
      </c>
      <c r="M255" t="s">
        <v>1343</v>
      </c>
      <c r="N255" s="15">
        <v>44750</v>
      </c>
      <c r="O255" s="15">
        <v>45267</v>
      </c>
      <c r="P255" t="s">
        <v>24</v>
      </c>
      <c r="Q255" t="s">
        <v>132</v>
      </c>
      <c r="R255" t="s">
        <v>133</v>
      </c>
      <c r="S255" t="s">
        <v>133</v>
      </c>
      <c r="T255" t="s">
        <v>133</v>
      </c>
      <c r="U255" t="s">
        <v>133</v>
      </c>
      <c r="V255" t="s">
        <v>133</v>
      </c>
      <c r="W255" t="s">
        <v>5</v>
      </c>
      <c r="X255">
        <v>0</v>
      </c>
      <c r="Y255" t="e">
        <f>_xlfn.XLOOKUP(C255,[1]Especificação!$G:$G,[1]Especificação!$C:$C)</f>
        <v>#N/A</v>
      </c>
    </row>
    <row r="256" spans="1:25" x14ac:dyDescent="0.3">
      <c r="A256" s="50" t="str">
        <f t="shared" si="12"/>
        <v>INSTRUMENT_PD_CRR_RD_T1</v>
      </c>
      <c r="B256" t="s">
        <v>128</v>
      </c>
      <c r="C256" s="11" t="s">
        <v>448</v>
      </c>
      <c r="D256" t="s">
        <v>6</v>
      </c>
      <c r="E256" t="s">
        <v>33</v>
      </c>
      <c r="F256" t="s">
        <v>149</v>
      </c>
      <c r="G256" t="s">
        <v>379</v>
      </c>
      <c r="I256" t="s">
        <v>32</v>
      </c>
      <c r="J256" s="15">
        <v>45958</v>
      </c>
      <c r="K256" t="s">
        <v>55</v>
      </c>
      <c r="L256" t="str">
        <f t="shared" si="14"/>
        <v>NOK</v>
      </c>
      <c r="M256" t="s">
        <v>1343</v>
      </c>
      <c r="N256" s="15">
        <v>45281</v>
      </c>
      <c r="O256" s="15">
        <v>45330</v>
      </c>
      <c r="P256" t="s">
        <v>24</v>
      </c>
      <c r="Q256" t="s">
        <v>132</v>
      </c>
      <c r="R256" t="s">
        <v>133</v>
      </c>
      <c r="S256" t="s">
        <v>133</v>
      </c>
      <c r="T256" t="s">
        <v>133</v>
      </c>
      <c r="U256" t="s">
        <v>133</v>
      </c>
      <c r="V256" t="s">
        <v>133</v>
      </c>
      <c r="W256" t="s">
        <v>5</v>
      </c>
      <c r="X256">
        <v>0</v>
      </c>
      <c r="Y256" t="e">
        <f>_xlfn.XLOOKUP(C256,[1]Especificação!$G:$G,[1]Especificação!$C:$C)</f>
        <v>#N/A</v>
      </c>
    </row>
    <row r="257" spans="1:25" x14ac:dyDescent="0.3">
      <c r="A257" s="50" t="str">
        <f t="shared" si="12"/>
        <v>INSTRUMENT_PD_IFRS9_12M_INCPTN</v>
      </c>
      <c r="B257" t="s">
        <v>128</v>
      </c>
      <c r="C257" t="s">
        <v>449</v>
      </c>
      <c r="D257" t="s">
        <v>14</v>
      </c>
      <c r="E257" t="s">
        <v>38</v>
      </c>
      <c r="F257" t="s">
        <v>130</v>
      </c>
      <c r="G257" t="s">
        <v>131</v>
      </c>
      <c r="I257" t="s">
        <v>26</v>
      </c>
      <c r="J257" s="15">
        <v>45450</v>
      </c>
      <c r="K257" t="s">
        <v>38</v>
      </c>
      <c r="L257" t="str">
        <f t="shared" si="14"/>
        <v>OK</v>
      </c>
      <c r="M257" t="s">
        <v>366</v>
      </c>
      <c r="N257" s="15"/>
      <c r="O257" s="15"/>
      <c r="P257" t="s">
        <v>30</v>
      </c>
      <c r="Q257" t="s">
        <v>132</v>
      </c>
      <c r="R257" t="s">
        <v>133</v>
      </c>
      <c r="S257" t="s">
        <v>133</v>
      </c>
      <c r="T257" t="s">
        <v>133</v>
      </c>
      <c r="U257" t="s">
        <v>133</v>
      </c>
      <c r="V257" t="s">
        <v>132</v>
      </c>
      <c r="W257" t="s">
        <v>5</v>
      </c>
      <c r="X257" t="s">
        <v>135</v>
      </c>
      <c r="Y257" t="str">
        <f>_xlfn.XLOOKUP(C257,[1]Especificação!$G:$G,[1]Especificação!$C:$C)</f>
        <v>F1. Fora âmbito | Campos concluídos - Sem necessidade de espec.</v>
      </c>
    </row>
    <row r="258" spans="1:25" x14ac:dyDescent="0.3">
      <c r="A258" s="50" t="str">
        <f t="shared" si="12"/>
        <v>ENTITY_PD_IFRS9_12M_RD</v>
      </c>
      <c r="B258" t="s">
        <v>142</v>
      </c>
      <c r="C258" t="s">
        <v>450</v>
      </c>
      <c r="D258" t="s">
        <v>14</v>
      </c>
      <c r="E258" t="s">
        <v>28</v>
      </c>
      <c r="F258" t="s">
        <v>149</v>
      </c>
      <c r="G258" t="s">
        <v>451</v>
      </c>
      <c r="I258" t="s">
        <v>29</v>
      </c>
      <c r="J258" s="15">
        <v>45958</v>
      </c>
      <c r="K258" t="s">
        <v>38</v>
      </c>
      <c r="M258" t="s">
        <v>366</v>
      </c>
      <c r="N258" s="15"/>
      <c r="O258" s="15">
        <v>45958</v>
      </c>
      <c r="P258" t="s">
        <v>8</v>
      </c>
      <c r="Q258" t="s">
        <v>132</v>
      </c>
      <c r="R258" t="s">
        <v>133</v>
      </c>
      <c r="S258" t="s">
        <v>133</v>
      </c>
      <c r="T258" t="s">
        <v>133</v>
      </c>
      <c r="U258" t="s">
        <v>133</v>
      </c>
      <c r="V258" t="s">
        <v>132</v>
      </c>
      <c r="W258" t="s">
        <v>138</v>
      </c>
      <c r="X258" t="s">
        <v>222</v>
      </c>
      <c r="Y258" t="str">
        <f>_xlfn.XLOOKUP(C258,[1]Especificação!$G:$G,[1]Especificação!$C:$C)</f>
        <v>D. Campos com NOK controlos Corporativos</v>
      </c>
    </row>
    <row r="259" spans="1:25" x14ac:dyDescent="0.3">
      <c r="A259" s="50" t="str">
        <f t="shared" si="12"/>
        <v>INSTRUMENT_PD_IFRS9_12M_RD</v>
      </c>
      <c r="B259" t="s">
        <v>128</v>
      </c>
      <c r="C259" s="11" t="s">
        <v>450</v>
      </c>
      <c r="D259" t="s">
        <v>14</v>
      </c>
      <c r="E259" t="s">
        <v>36</v>
      </c>
      <c r="F259" t="s">
        <v>149</v>
      </c>
      <c r="I259" t="s">
        <v>32</v>
      </c>
      <c r="J259" s="15">
        <v>45958</v>
      </c>
      <c r="K259" t="s">
        <v>38</v>
      </c>
      <c r="M259" t="s">
        <v>366</v>
      </c>
      <c r="N259" s="15"/>
      <c r="O259" s="15">
        <v>45958</v>
      </c>
      <c r="P259" t="s">
        <v>39</v>
      </c>
      <c r="Q259" t="s">
        <v>132</v>
      </c>
      <c r="R259" t="s">
        <v>133</v>
      </c>
      <c r="S259" t="s">
        <v>133</v>
      </c>
      <c r="T259" t="s">
        <v>133</v>
      </c>
      <c r="U259" t="s">
        <v>133</v>
      </c>
      <c r="V259" t="s">
        <v>132</v>
      </c>
      <c r="W259" t="s">
        <v>138</v>
      </c>
      <c r="X259" t="s">
        <v>166</v>
      </c>
      <c r="Y259" t="str">
        <f>_xlfn.XLOOKUP(C259,[1]Especificação!$G:$G,[1]Especificação!$C:$C)</f>
        <v>D. Campos com NOK controlos Corporativos</v>
      </c>
    </row>
    <row r="260" spans="1:25" x14ac:dyDescent="0.3">
      <c r="A260" s="50" t="str">
        <f t="shared" si="12"/>
        <v>ENTITY_PD_IFRS9_12M_RD_T1</v>
      </c>
      <c r="B260" t="s">
        <v>142</v>
      </c>
      <c r="C260" t="s">
        <v>452</v>
      </c>
      <c r="D260" t="s">
        <v>6</v>
      </c>
      <c r="E260" t="s">
        <v>36</v>
      </c>
      <c r="F260" t="s">
        <v>149</v>
      </c>
      <c r="G260" t="s">
        <v>163</v>
      </c>
      <c r="I260" t="s">
        <v>29</v>
      </c>
      <c r="J260" s="15">
        <v>45958</v>
      </c>
      <c r="K260" t="s">
        <v>55</v>
      </c>
      <c r="L260" t="str">
        <f t="shared" si="14"/>
        <v>NOK</v>
      </c>
      <c r="M260" t="s">
        <v>1344</v>
      </c>
      <c r="N260" s="15"/>
      <c r="O260" s="15"/>
      <c r="P260" t="s">
        <v>8</v>
      </c>
      <c r="Q260" t="s">
        <v>132</v>
      </c>
      <c r="R260" t="s">
        <v>133</v>
      </c>
      <c r="S260" t="s">
        <v>133</v>
      </c>
      <c r="T260" t="s">
        <v>133</v>
      </c>
      <c r="U260" t="s">
        <v>133</v>
      </c>
      <c r="V260" t="s">
        <v>133</v>
      </c>
      <c r="W260" t="s">
        <v>5</v>
      </c>
      <c r="X260">
        <v>0</v>
      </c>
      <c r="Y260" t="e">
        <f>_xlfn.XLOOKUP(C260,[1]Especificação!$G:$G,[1]Especificação!$C:$C)</f>
        <v>#N/A</v>
      </c>
    </row>
    <row r="261" spans="1:25" x14ac:dyDescent="0.3">
      <c r="A261" s="50" t="str">
        <f t="shared" si="12"/>
        <v>INSTRUMENT_PD_IFRS9_12M_RD_T1</v>
      </c>
      <c r="B261" t="s">
        <v>128</v>
      </c>
      <c r="C261" t="s">
        <v>452</v>
      </c>
      <c r="D261" t="s">
        <v>14</v>
      </c>
      <c r="E261" t="s">
        <v>36</v>
      </c>
      <c r="F261" t="s">
        <v>149</v>
      </c>
      <c r="G261" t="s">
        <v>163</v>
      </c>
      <c r="I261" t="s">
        <v>29</v>
      </c>
      <c r="J261" s="15">
        <v>45958</v>
      </c>
      <c r="K261" t="s">
        <v>38</v>
      </c>
      <c r="L261" t="str">
        <f t="shared" si="14"/>
        <v>NOK</v>
      </c>
      <c r="N261" s="15"/>
      <c r="O261" s="15">
        <v>45958</v>
      </c>
      <c r="P261" t="s">
        <v>8</v>
      </c>
      <c r="Q261" t="s">
        <v>132</v>
      </c>
      <c r="R261" t="s">
        <v>133</v>
      </c>
      <c r="S261" t="s">
        <v>133</v>
      </c>
      <c r="T261" t="s">
        <v>133</v>
      </c>
      <c r="U261" t="s">
        <v>133</v>
      </c>
      <c r="V261" t="s">
        <v>133</v>
      </c>
      <c r="W261" t="s">
        <v>5</v>
      </c>
      <c r="X261">
        <v>0</v>
      </c>
      <c r="Y261" t="e">
        <f>_xlfn.XLOOKUP(C261,[1]Especificação!$G:$G,[1]Especificação!$C:$C)</f>
        <v>#N/A</v>
      </c>
    </row>
    <row r="262" spans="1:25" x14ac:dyDescent="0.3">
      <c r="A262" s="50" t="str">
        <f t="shared" ref="A262:A324" si="15">B262&amp;"_"&amp;C262</f>
        <v>INSTRUMENT_PD_IFRS9_LFTM_INCPTN</v>
      </c>
      <c r="B262" t="s">
        <v>128</v>
      </c>
      <c r="C262" t="s">
        <v>453</v>
      </c>
      <c r="D262" t="s">
        <v>14</v>
      </c>
      <c r="E262" t="s">
        <v>38</v>
      </c>
      <c r="F262" t="s">
        <v>130</v>
      </c>
      <c r="G262" t="s">
        <v>131</v>
      </c>
      <c r="I262" t="s">
        <v>26</v>
      </c>
      <c r="J262" s="15">
        <v>45450</v>
      </c>
      <c r="K262" t="s">
        <v>38</v>
      </c>
      <c r="L262" t="str">
        <f t="shared" si="14"/>
        <v>OK</v>
      </c>
      <c r="M262" t="s">
        <v>366</v>
      </c>
      <c r="N262" s="15"/>
      <c r="O262" s="15"/>
      <c r="P262" t="s">
        <v>30</v>
      </c>
      <c r="Q262" t="s">
        <v>132</v>
      </c>
      <c r="R262" t="s">
        <v>133</v>
      </c>
      <c r="S262" t="s">
        <v>133</v>
      </c>
      <c r="T262" t="s">
        <v>133</v>
      </c>
      <c r="U262" t="s">
        <v>133</v>
      </c>
      <c r="V262" t="s">
        <v>132</v>
      </c>
      <c r="W262" t="s">
        <v>5</v>
      </c>
      <c r="X262" t="s">
        <v>135</v>
      </c>
      <c r="Y262" t="str">
        <f>_xlfn.XLOOKUP(C262,[1]Especificação!$G:$G,[1]Especificação!$C:$C)</f>
        <v>F1. Fora âmbito | Campos concluídos - Sem necessidade de espec.</v>
      </c>
    </row>
    <row r="263" spans="1:25" x14ac:dyDescent="0.3">
      <c r="A263" s="50" t="str">
        <f t="shared" si="15"/>
        <v>INSTRUMENT_PD_IFRS9_RMNNG_LFTM_INCPTN</v>
      </c>
      <c r="B263" t="s">
        <v>128</v>
      </c>
      <c r="C263" t="s">
        <v>454</v>
      </c>
      <c r="D263" t="s">
        <v>14</v>
      </c>
      <c r="E263" t="s">
        <v>38</v>
      </c>
      <c r="F263" t="s">
        <v>130</v>
      </c>
      <c r="G263" t="s">
        <v>131</v>
      </c>
      <c r="I263" t="s">
        <v>26</v>
      </c>
      <c r="J263" s="15">
        <v>45450</v>
      </c>
      <c r="K263" t="s">
        <v>38</v>
      </c>
      <c r="L263" t="str">
        <f t="shared" si="14"/>
        <v>OK</v>
      </c>
      <c r="M263" t="s">
        <v>366</v>
      </c>
      <c r="N263" s="15"/>
      <c r="O263" s="15"/>
      <c r="P263" t="s">
        <v>30</v>
      </c>
      <c r="Q263" t="s">
        <v>132</v>
      </c>
      <c r="R263" t="s">
        <v>133</v>
      </c>
      <c r="S263" t="s">
        <v>133</v>
      </c>
      <c r="T263" t="s">
        <v>133</v>
      </c>
      <c r="U263" t="s">
        <v>133</v>
      </c>
      <c r="V263" t="s">
        <v>132</v>
      </c>
      <c r="W263" t="s">
        <v>5</v>
      </c>
      <c r="X263" t="s">
        <v>135</v>
      </c>
      <c r="Y263" t="str">
        <f>_xlfn.XLOOKUP(C263,[1]Especificação!$G:$G,[1]Especificação!$C:$C)</f>
        <v>F1. Fora âmbito | Campos concluídos - Sem necessidade de espec.</v>
      </c>
    </row>
    <row r="264" spans="1:25" x14ac:dyDescent="0.3">
      <c r="A264" s="50" t="str">
        <f t="shared" si="15"/>
        <v>INSTRUMENT_PD_IFRS9_RMNNG_LFTM_RD</v>
      </c>
      <c r="B264" t="s">
        <v>128</v>
      </c>
      <c r="C264" t="s">
        <v>455</v>
      </c>
      <c r="D264" t="s">
        <v>14</v>
      </c>
      <c r="E264" t="s">
        <v>38</v>
      </c>
      <c r="F264" t="s">
        <v>130</v>
      </c>
      <c r="G264" t="s">
        <v>131</v>
      </c>
      <c r="I264" t="s">
        <v>26</v>
      </c>
      <c r="J264" s="15">
        <v>45450</v>
      </c>
      <c r="K264" t="s">
        <v>38</v>
      </c>
      <c r="L264" t="str">
        <f t="shared" si="14"/>
        <v>OK</v>
      </c>
      <c r="M264" t="s">
        <v>366</v>
      </c>
      <c r="N264" s="15"/>
      <c r="O264" s="15"/>
      <c r="P264" t="s">
        <v>30</v>
      </c>
      <c r="Q264" t="s">
        <v>132</v>
      </c>
      <c r="R264" t="s">
        <v>133</v>
      </c>
      <c r="S264" t="s">
        <v>133</v>
      </c>
      <c r="T264" t="s">
        <v>133</v>
      </c>
      <c r="U264" t="s">
        <v>133</v>
      </c>
      <c r="V264" t="s">
        <v>132</v>
      </c>
      <c r="W264" t="s">
        <v>5</v>
      </c>
      <c r="X264" t="s">
        <v>135</v>
      </c>
      <c r="Y264" t="str">
        <f>_xlfn.XLOOKUP(C264,[1]Especificação!$G:$G,[1]Especificação!$C:$C)</f>
        <v>F1. Fora âmbito | Campos concluídos - Sem necessidade de espec.</v>
      </c>
    </row>
    <row r="265" spans="1:25" x14ac:dyDescent="0.3">
      <c r="A265" s="50" t="str">
        <f t="shared" si="15"/>
        <v>INSTRUMENT_PMNT_PBLC_GRNT_SCHM_C19</v>
      </c>
      <c r="B265" t="s">
        <v>128</v>
      </c>
      <c r="C265" t="s">
        <v>456</v>
      </c>
      <c r="D265" t="s">
        <v>6</v>
      </c>
      <c r="E265" t="s">
        <v>38</v>
      </c>
      <c r="F265" t="s">
        <v>130</v>
      </c>
      <c r="G265" t="s">
        <v>131</v>
      </c>
      <c r="I265" t="s">
        <v>26</v>
      </c>
      <c r="J265" s="15">
        <v>45450</v>
      </c>
      <c r="K265" t="s">
        <v>38</v>
      </c>
      <c r="L265" t="str">
        <f t="shared" si="14"/>
        <v>OK</v>
      </c>
      <c r="N265" s="15"/>
      <c r="O265" s="15"/>
      <c r="P265" t="s">
        <v>30</v>
      </c>
      <c r="Q265" t="s">
        <v>132</v>
      </c>
      <c r="R265" t="s">
        <v>133</v>
      </c>
      <c r="S265" t="s">
        <v>133</v>
      </c>
      <c r="T265" t="s">
        <v>133</v>
      </c>
      <c r="U265" t="s">
        <v>133</v>
      </c>
      <c r="V265" t="s">
        <v>133</v>
      </c>
      <c r="W265" t="s">
        <v>5</v>
      </c>
      <c r="X265">
        <v>0</v>
      </c>
      <c r="Y265" t="e">
        <f>_xlfn.XLOOKUP(C265,[1]Especificação!$G:$G,[1]Especificação!$C:$C)</f>
        <v>#N/A</v>
      </c>
    </row>
    <row r="266" spans="1:25" x14ac:dyDescent="0.3">
      <c r="A266" s="50" t="str">
        <f t="shared" si="15"/>
        <v>INSTRUMENT_DT_FRBRNC_STTS</v>
      </c>
      <c r="B266" t="s">
        <v>128</v>
      </c>
      <c r="C266" t="s">
        <v>457</v>
      </c>
      <c r="D266" t="s">
        <v>14</v>
      </c>
      <c r="E266" t="s">
        <v>25</v>
      </c>
      <c r="F266" t="s">
        <v>149</v>
      </c>
      <c r="G266" t="s">
        <v>442</v>
      </c>
      <c r="H266" t="s">
        <v>322</v>
      </c>
      <c r="I266" t="s">
        <v>29</v>
      </c>
      <c r="J266" s="15">
        <v>45958</v>
      </c>
      <c r="K266" t="s">
        <v>38</v>
      </c>
      <c r="L266" t="s">
        <v>130</v>
      </c>
      <c r="O266" s="15">
        <v>45958</v>
      </c>
      <c r="P266" t="s">
        <v>13</v>
      </c>
      <c r="Q266" t="s">
        <v>132</v>
      </c>
      <c r="R266" t="s">
        <v>133</v>
      </c>
      <c r="S266" t="s">
        <v>133</v>
      </c>
      <c r="T266" t="s">
        <v>133</v>
      </c>
      <c r="U266" t="s">
        <v>133</v>
      </c>
      <c r="V266" t="s">
        <v>132</v>
      </c>
      <c r="W266" t="s">
        <v>138</v>
      </c>
      <c r="X266" t="s">
        <v>153</v>
      </c>
      <c r="Y266" t="str">
        <f>_xlfn.XLOOKUP(C266,[1]Especificação!$G:$G,[1]Especificação!$C:$C)</f>
        <v>B2. Re-especificação de campos complexos - Resto</v>
      </c>
    </row>
    <row r="267" spans="1:25" x14ac:dyDescent="0.3">
      <c r="A267" s="50" t="str">
        <f t="shared" si="15"/>
        <v>INSTRUMENT_PRCH_UNDR_RSL_AGR</v>
      </c>
      <c r="B267" t="s">
        <v>128</v>
      </c>
      <c r="C267" t="s">
        <v>458</v>
      </c>
      <c r="D267" t="s">
        <v>6</v>
      </c>
      <c r="E267" t="s">
        <v>38</v>
      </c>
      <c r="F267" t="s">
        <v>130</v>
      </c>
      <c r="G267" t="s">
        <v>131</v>
      </c>
      <c r="I267" t="s">
        <v>26</v>
      </c>
      <c r="J267" s="15">
        <v>45450</v>
      </c>
      <c r="K267" t="s">
        <v>38</v>
      </c>
      <c r="L267" t="str">
        <f t="shared" si="14"/>
        <v>OK</v>
      </c>
      <c r="N267" s="15"/>
      <c r="O267" s="15"/>
      <c r="P267" t="s">
        <v>30</v>
      </c>
      <c r="Q267" t="s">
        <v>132</v>
      </c>
      <c r="R267" t="s">
        <v>133</v>
      </c>
      <c r="S267" t="s">
        <v>133</v>
      </c>
      <c r="T267" t="s">
        <v>133</v>
      </c>
      <c r="U267" t="s">
        <v>133</v>
      </c>
      <c r="V267" t="s">
        <v>133</v>
      </c>
      <c r="W267" t="s">
        <v>5</v>
      </c>
      <c r="X267">
        <v>0</v>
      </c>
      <c r="Y267" t="e">
        <f>_xlfn.XLOOKUP(C267,[1]Especificação!$G:$G,[1]Especificação!$C:$C)</f>
        <v>#N/A</v>
      </c>
    </row>
    <row r="268" spans="1:25" x14ac:dyDescent="0.3">
      <c r="A268" s="50" t="str">
        <f t="shared" si="15"/>
        <v>INSTRUMENT_PRDCT</v>
      </c>
      <c r="B268" t="s">
        <v>128</v>
      </c>
      <c r="C268" t="s">
        <v>459</v>
      </c>
      <c r="D268" t="s">
        <v>14</v>
      </c>
      <c r="E268" t="s">
        <v>38</v>
      </c>
      <c r="F268" t="s">
        <v>130</v>
      </c>
      <c r="G268" t="s">
        <v>131</v>
      </c>
      <c r="I268" t="s">
        <v>26</v>
      </c>
      <c r="J268" s="15">
        <v>45450</v>
      </c>
      <c r="K268" t="s">
        <v>38</v>
      </c>
      <c r="L268" t="str">
        <f t="shared" si="14"/>
        <v>OK</v>
      </c>
      <c r="N268" s="15"/>
      <c r="O268" s="15"/>
      <c r="P268" t="s">
        <v>30</v>
      </c>
      <c r="Q268" t="s">
        <v>132</v>
      </c>
      <c r="R268" t="s">
        <v>133</v>
      </c>
      <c r="S268" t="s">
        <v>133</v>
      </c>
      <c r="T268" t="s">
        <v>132</v>
      </c>
      <c r="U268" t="s">
        <v>133</v>
      </c>
      <c r="V268" t="s">
        <v>133</v>
      </c>
      <c r="W268" t="s">
        <v>5</v>
      </c>
      <c r="X268">
        <v>0</v>
      </c>
      <c r="Y268" t="e">
        <f>_xlfn.XLOOKUP(C268,[1]Especificação!$G:$G,[1]Especificação!$C:$C)</f>
        <v>#N/A</v>
      </c>
    </row>
    <row r="269" spans="1:25" x14ac:dyDescent="0.3">
      <c r="A269" s="50" t="str">
        <f t="shared" si="15"/>
        <v>INSTRUMENT_PRDNTL_PRTFL</v>
      </c>
      <c r="B269" t="s">
        <v>128</v>
      </c>
      <c r="C269" t="s">
        <v>460</v>
      </c>
      <c r="D269" t="s">
        <v>6</v>
      </c>
      <c r="E269" t="s">
        <v>38</v>
      </c>
      <c r="F269" t="s">
        <v>130</v>
      </c>
      <c r="G269" t="s">
        <v>131</v>
      </c>
      <c r="I269" t="s">
        <v>26</v>
      </c>
      <c r="J269" s="15">
        <v>45450</v>
      </c>
      <c r="K269" t="s">
        <v>38</v>
      </c>
      <c r="L269" t="str">
        <f t="shared" si="14"/>
        <v>OK</v>
      </c>
      <c r="N269" s="15"/>
      <c r="O269" s="15"/>
      <c r="P269" t="s">
        <v>30</v>
      </c>
      <c r="Q269" t="s">
        <v>132</v>
      </c>
      <c r="R269" t="s">
        <v>133</v>
      </c>
      <c r="S269" t="s">
        <v>133</v>
      </c>
      <c r="T269" t="s">
        <v>133</v>
      </c>
      <c r="U269" t="s">
        <v>133</v>
      </c>
      <c r="V269" t="s">
        <v>132</v>
      </c>
      <c r="W269" t="s">
        <v>5</v>
      </c>
      <c r="X269" t="s">
        <v>135</v>
      </c>
      <c r="Y269" t="str">
        <f>_xlfn.XLOOKUP(C269,[1]Especificação!$G:$G,[1]Especificação!$C:$C)</f>
        <v>F1. Fora âmbito | Campos concluídos - Sem necessidade de espec.</v>
      </c>
    </row>
    <row r="270" spans="1:25" x14ac:dyDescent="0.3">
      <c r="A270" s="50" t="str">
        <f t="shared" si="15"/>
        <v>INSTRUMENT_PRFRMNG_STTS</v>
      </c>
      <c r="B270" t="s">
        <v>128</v>
      </c>
      <c r="C270" s="11" t="s">
        <v>45</v>
      </c>
      <c r="D270" t="s">
        <v>14</v>
      </c>
      <c r="E270" t="s">
        <v>28</v>
      </c>
      <c r="F270" t="s">
        <v>149</v>
      </c>
      <c r="G270" t="s">
        <v>159</v>
      </c>
      <c r="I270" t="s">
        <v>32</v>
      </c>
      <c r="J270" s="15">
        <v>45952</v>
      </c>
      <c r="K270" t="s">
        <v>36</v>
      </c>
      <c r="L270" t="s">
        <v>149</v>
      </c>
      <c r="M270" t="s">
        <v>1177</v>
      </c>
      <c r="N270" s="15"/>
      <c r="O270" s="15">
        <v>45952</v>
      </c>
      <c r="P270" t="s">
        <v>39</v>
      </c>
      <c r="Q270" t="s">
        <v>132</v>
      </c>
      <c r="R270" t="s">
        <v>132</v>
      </c>
      <c r="S270" t="s">
        <v>132</v>
      </c>
      <c r="T270" t="s">
        <v>133</v>
      </c>
      <c r="U270" t="s">
        <v>133</v>
      </c>
      <c r="V270" t="s">
        <v>132</v>
      </c>
      <c r="W270" t="s">
        <v>5</v>
      </c>
      <c r="X270" t="s">
        <v>267</v>
      </c>
      <c r="Y270" t="str">
        <f>_xlfn.XLOOKUP(C270,[1]Especificação!$G:$G,[1]Especificação!$C:$C)</f>
        <v>F2. Fora âmbito | Campos em testes ou c/ incidências (LT - PM)</v>
      </c>
    </row>
    <row r="271" spans="1:25" x14ac:dyDescent="0.3">
      <c r="A271" s="50" t="str">
        <f t="shared" si="15"/>
        <v>ENTITY_PRFRMNG_STTS_LE</v>
      </c>
      <c r="B271" t="s">
        <v>142</v>
      </c>
      <c r="C271" t="s">
        <v>461</v>
      </c>
      <c r="D271" t="s">
        <v>14</v>
      </c>
      <c r="E271" t="s">
        <v>38</v>
      </c>
      <c r="F271" t="s">
        <v>130</v>
      </c>
      <c r="G271" t="s">
        <v>131</v>
      </c>
      <c r="I271" t="s">
        <v>26</v>
      </c>
      <c r="J271" s="15">
        <v>45952</v>
      </c>
      <c r="K271" t="s">
        <v>38</v>
      </c>
      <c r="L271" t="s">
        <v>130</v>
      </c>
      <c r="N271" s="15"/>
      <c r="O271" s="15">
        <v>45952</v>
      </c>
      <c r="P271" t="s">
        <v>30</v>
      </c>
      <c r="Q271" t="s">
        <v>132</v>
      </c>
      <c r="R271" t="s">
        <v>133</v>
      </c>
      <c r="S271" t="s">
        <v>133</v>
      </c>
      <c r="T271" t="s">
        <v>133</v>
      </c>
      <c r="U271" t="s">
        <v>133</v>
      </c>
      <c r="V271" t="s">
        <v>132</v>
      </c>
      <c r="W271" t="s">
        <v>5</v>
      </c>
      <c r="X271" t="s">
        <v>135</v>
      </c>
      <c r="Y271" t="str">
        <f>_xlfn.XLOOKUP(C271,[1]Especificação!$G:$G,[1]Especificação!$C:$C)</f>
        <v>F1. Fora âmbito | Campos concluídos - Sem necessidade de espec.</v>
      </c>
    </row>
    <row r="272" spans="1:25" x14ac:dyDescent="0.3">
      <c r="A272" s="50" t="str">
        <f t="shared" si="15"/>
        <v>INSTRUMENT_PRFRMNG_STTS_PRVS</v>
      </c>
      <c r="B272" t="s">
        <v>128</v>
      </c>
      <c r="C272" s="11" t="s">
        <v>47</v>
      </c>
      <c r="D272" t="s">
        <v>14</v>
      </c>
      <c r="E272" t="s">
        <v>33</v>
      </c>
      <c r="F272" t="s">
        <v>130</v>
      </c>
      <c r="G272" t="s">
        <v>232</v>
      </c>
      <c r="I272" t="s">
        <v>32</v>
      </c>
      <c r="J272" s="15">
        <v>45958</v>
      </c>
      <c r="K272" t="s">
        <v>38</v>
      </c>
      <c r="L272" t="s">
        <v>130</v>
      </c>
      <c r="N272" s="15"/>
      <c r="O272" s="15">
        <v>45958</v>
      </c>
      <c r="P272" t="s">
        <v>39</v>
      </c>
      <c r="Q272" t="s">
        <v>132</v>
      </c>
      <c r="R272" t="s">
        <v>133</v>
      </c>
      <c r="S272" t="s">
        <v>133</v>
      </c>
      <c r="T272" t="s">
        <v>133</v>
      </c>
      <c r="U272" t="s">
        <v>133</v>
      </c>
      <c r="V272" t="s">
        <v>132</v>
      </c>
      <c r="W272" t="s">
        <v>5</v>
      </c>
      <c r="X272" t="s">
        <v>267</v>
      </c>
      <c r="Y272" t="str">
        <f>_xlfn.XLOOKUP(C272,[1]Especificação!$G:$G,[1]Especificação!$C:$C)</f>
        <v>B2. Re-especificação de campos complexos - Resto</v>
      </c>
    </row>
    <row r="273" spans="1:25" x14ac:dyDescent="0.3">
      <c r="A273" s="50" t="str">
        <f t="shared" si="15"/>
        <v>INSTRUMENT_PRJCT_FNNC_LN</v>
      </c>
      <c r="B273" t="s">
        <v>128</v>
      </c>
      <c r="C273" t="s">
        <v>462</v>
      </c>
      <c r="D273" t="s">
        <v>14</v>
      </c>
      <c r="E273" t="s">
        <v>38</v>
      </c>
      <c r="F273" t="s">
        <v>130</v>
      </c>
      <c r="G273" t="s">
        <v>131</v>
      </c>
      <c r="I273" t="s">
        <v>26</v>
      </c>
      <c r="J273" s="15">
        <v>45450</v>
      </c>
      <c r="K273" t="s">
        <v>38</v>
      </c>
      <c r="L273" t="str">
        <f t="shared" si="14"/>
        <v>OK</v>
      </c>
      <c r="P273" t="s">
        <v>30</v>
      </c>
      <c r="Q273" t="s">
        <v>132</v>
      </c>
      <c r="R273" t="s">
        <v>133</v>
      </c>
      <c r="S273" t="s">
        <v>132</v>
      </c>
      <c r="T273" t="s">
        <v>133</v>
      </c>
      <c r="U273" t="s">
        <v>133</v>
      </c>
      <c r="V273" t="s">
        <v>133</v>
      </c>
      <c r="W273" t="s">
        <v>5</v>
      </c>
      <c r="X273">
        <v>0</v>
      </c>
      <c r="Y273" t="e">
        <f>_xlfn.XLOOKUP(C273,[1]Especificação!$G:$G,[1]Especificação!$C:$C)</f>
        <v>#N/A</v>
      </c>
    </row>
    <row r="274" spans="1:25" x14ac:dyDescent="0.3">
      <c r="A274" s="50" t="str">
        <f>B274&amp;"_"&amp;C274</f>
        <v>PROTECTION_PRM_LCTN</v>
      </c>
      <c r="B274" t="s">
        <v>161</v>
      </c>
      <c r="C274" s="10" t="s">
        <v>463</v>
      </c>
      <c r="D274" t="s">
        <v>6</v>
      </c>
      <c r="E274" t="s">
        <v>33</v>
      </c>
      <c r="F274" t="s">
        <v>149</v>
      </c>
      <c r="G274" t="s">
        <v>379</v>
      </c>
      <c r="I274" t="s">
        <v>26</v>
      </c>
      <c r="J274" s="15">
        <v>45670</v>
      </c>
      <c r="K274" t="s">
        <v>38</v>
      </c>
      <c r="L274" t="s">
        <v>130</v>
      </c>
      <c r="M274" t="s">
        <v>464</v>
      </c>
      <c r="N274" s="15">
        <v>45471</v>
      </c>
      <c r="O274" s="15">
        <v>45646</v>
      </c>
      <c r="P274" t="s">
        <v>24</v>
      </c>
      <c r="Q274" t="s">
        <v>132</v>
      </c>
      <c r="R274" t="s">
        <v>133</v>
      </c>
      <c r="S274" t="s">
        <v>133</v>
      </c>
      <c r="T274" t="s">
        <v>133</v>
      </c>
      <c r="U274" t="s">
        <v>133</v>
      </c>
      <c r="V274" t="s">
        <v>133</v>
      </c>
      <c r="W274" t="s">
        <v>5</v>
      </c>
      <c r="X274">
        <v>0</v>
      </c>
      <c r="Y274" t="e">
        <f>_xlfn.XLOOKUP(C274,[1]Especificação!$G:$G,[1]Especificação!$C:$C)</f>
        <v>#N/A</v>
      </c>
    </row>
    <row r="275" spans="1:25" x14ac:dyDescent="0.3">
      <c r="A275" s="50" t="str">
        <f t="shared" si="15"/>
        <v>INSTRUMENT_PRMRY_ASST_CLSSF</v>
      </c>
      <c r="B275" t="s">
        <v>128</v>
      </c>
      <c r="C275" t="s">
        <v>465</v>
      </c>
      <c r="D275" t="s">
        <v>6</v>
      </c>
      <c r="E275" t="s">
        <v>38</v>
      </c>
      <c r="F275" t="s">
        <v>130</v>
      </c>
      <c r="G275" t="s">
        <v>131</v>
      </c>
      <c r="I275" t="s">
        <v>26</v>
      </c>
      <c r="J275" s="15">
        <v>45450</v>
      </c>
      <c r="K275" t="s">
        <v>38</v>
      </c>
      <c r="L275" t="str">
        <f t="shared" ref="L275:L286" si="16">F275</f>
        <v>OK</v>
      </c>
      <c r="P275" t="s">
        <v>30</v>
      </c>
      <c r="Q275" t="s">
        <v>132</v>
      </c>
      <c r="R275" t="s">
        <v>133</v>
      </c>
      <c r="S275" t="s">
        <v>132</v>
      </c>
      <c r="T275" t="s">
        <v>133</v>
      </c>
      <c r="U275" t="s">
        <v>133</v>
      </c>
      <c r="V275" t="s">
        <v>133</v>
      </c>
      <c r="W275" t="s">
        <v>5</v>
      </c>
      <c r="X275">
        <v>0</v>
      </c>
      <c r="Y275" t="e">
        <f>_xlfn.XLOOKUP(C275,[1]Especificação!$G:$G,[1]Especificação!$C:$C)</f>
        <v>#N/A</v>
      </c>
    </row>
    <row r="276" spans="1:25" x14ac:dyDescent="0.3">
      <c r="A276" s="50" t="str">
        <f t="shared" si="15"/>
        <v>INSTRUMENT_PRPS</v>
      </c>
      <c r="B276" t="s">
        <v>128</v>
      </c>
      <c r="C276" t="s">
        <v>466</v>
      </c>
      <c r="D276" t="s">
        <v>14</v>
      </c>
      <c r="E276" t="s">
        <v>38</v>
      </c>
      <c r="F276" t="s">
        <v>130</v>
      </c>
      <c r="G276" t="s">
        <v>131</v>
      </c>
      <c r="I276" t="s">
        <v>26</v>
      </c>
      <c r="J276" s="15">
        <v>45450</v>
      </c>
      <c r="K276" t="s">
        <v>38</v>
      </c>
      <c r="L276" t="str">
        <f t="shared" si="16"/>
        <v>OK</v>
      </c>
      <c r="P276" t="s">
        <v>30</v>
      </c>
      <c r="Q276" t="s">
        <v>132</v>
      </c>
      <c r="R276" t="s">
        <v>133</v>
      </c>
      <c r="S276" t="s">
        <v>133</v>
      </c>
      <c r="T276" t="s">
        <v>133</v>
      </c>
      <c r="U276" t="s">
        <v>133</v>
      </c>
      <c r="V276" t="s">
        <v>132</v>
      </c>
      <c r="W276" t="s">
        <v>5</v>
      </c>
      <c r="X276" t="s">
        <v>135</v>
      </c>
      <c r="Y276" t="str">
        <f>_xlfn.XLOOKUP(C276,[1]Especificação!$G:$G,[1]Especificação!$C:$C)</f>
        <v>F1. Fora âmbito | Campos concluídos - Sem necessidade de espec.</v>
      </c>
    </row>
    <row r="277" spans="1:25" x14ac:dyDescent="0.3">
      <c r="A277" s="50" t="str">
        <f t="shared" si="15"/>
        <v>ENTITY_PRSN_TYP</v>
      </c>
      <c r="B277" t="s">
        <v>142</v>
      </c>
      <c r="C277" t="s">
        <v>467</v>
      </c>
      <c r="D277" t="s">
        <v>6</v>
      </c>
      <c r="E277" t="s">
        <v>31</v>
      </c>
      <c r="F277" t="s">
        <v>130</v>
      </c>
      <c r="G277" t="s">
        <v>175</v>
      </c>
      <c r="I277" t="s">
        <v>29</v>
      </c>
      <c r="J277" s="15">
        <v>45460</v>
      </c>
      <c r="K277" t="s">
        <v>33</v>
      </c>
      <c r="L277" t="str">
        <f t="shared" si="16"/>
        <v>OK</v>
      </c>
      <c r="N277" s="15">
        <v>45303</v>
      </c>
      <c r="O277" s="15">
        <v>45372</v>
      </c>
      <c r="P277" t="s">
        <v>19</v>
      </c>
      <c r="Q277" t="s">
        <v>132</v>
      </c>
      <c r="R277" t="s">
        <v>133</v>
      </c>
      <c r="S277" t="s">
        <v>133</v>
      </c>
      <c r="T277" t="s">
        <v>133</v>
      </c>
      <c r="U277" t="s">
        <v>133</v>
      </c>
      <c r="V277" t="s">
        <v>133</v>
      </c>
      <c r="W277" t="s">
        <v>5</v>
      </c>
      <c r="X277">
        <v>0</v>
      </c>
      <c r="Y277" t="e">
        <f>_xlfn.XLOOKUP(C277,[1]Especificação!$G:$G,[1]Especificação!$C:$C)</f>
        <v>#N/A</v>
      </c>
    </row>
    <row r="278" spans="1:25" x14ac:dyDescent="0.3">
      <c r="A278" s="50" t="str">
        <f t="shared" si="15"/>
        <v>INSTRUMENT_PRT_LCR_BFFR</v>
      </c>
      <c r="B278" t="s">
        <v>128</v>
      </c>
      <c r="C278" t="s">
        <v>468</v>
      </c>
      <c r="D278" t="s">
        <v>6</v>
      </c>
      <c r="E278" t="s">
        <v>38</v>
      </c>
      <c r="F278" t="s">
        <v>130</v>
      </c>
      <c r="G278" t="s">
        <v>131</v>
      </c>
      <c r="I278" t="s">
        <v>26</v>
      </c>
      <c r="J278" s="15">
        <v>45450</v>
      </c>
      <c r="K278" t="s">
        <v>38</v>
      </c>
      <c r="L278" t="str">
        <f t="shared" si="16"/>
        <v>OK</v>
      </c>
      <c r="P278" t="s">
        <v>30</v>
      </c>
      <c r="Q278" t="s">
        <v>132</v>
      </c>
      <c r="R278" t="s">
        <v>133</v>
      </c>
      <c r="S278" t="s">
        <v>133</v>
      </c>
      <c r="T278" t="s">
        <v>133</v>
      </c>
      <c r="U278" t="s">
        <v>133</v>
      </c>
      <c r="V278" t="s">
        <v>133</v>
      </c>
      <c r="W278" t="s">
        <v>5</v>
      </c>
      <c r="X278">
        <v>0</v>
      </c>
      <c r="Y278" t="e">
        <f>_xlfn.XLOOKUP(C278,[1]Especificação!$G:$G,[1]Especificação!$C:$C)</f>
        <v>#N/A</v>
      </c>
    </row>
    <row r="279" spans="1:25" x14ac:dyDescent="0.3">
      <c r="A279" s="50" t="str">
        <f t="shared" si="15"/>
        <v>INSTR_PROTECTION_PRTCTN_ALLCTD_VL</v>
      </c>
      <c r="B279" t="s">
        <v>194</v>
      </c>
      <c r="C279" t="s">
        <v>469</v>
      </c>
      <c r="D279" t="s">
        <v>14</v>
      </c>
      <c r="E279" t="s">
        <v>38</v>
      </c>
      <c r="F279" t="s">
        <v>130</v>
      </c>
      <c r="G279" t="s">
        <v>131</v>
      </c>
      <c r="I279" t="s">
        <v>26</v>
      </c>
      <c r="J279" s="15">
        <v>45450</v>
      </c>
      <c r="K279" t="s">
        <v>38</v>
      </c>
      <c r="L279" t="str">
        <f t="shared" si="16"/>
        <v>OK</v>
      </c>
      <c r="P279" t="s">
        <v>30</v>
      </c>
      <c r="Q279" t="s">
        <v>132</v>
      </c>
      <c r="R279" t="s">
        <v>133</v>
      </c>
      <c r="S279" t="s">
        <v>132</v>
      </c>
      <c r="T279" t="s">
        <v>133</v>
      </c>
      <c r="U279" t="s">
        <v>133</v>
      </c>
      <c r="V279" t="s">
        <v>133</v>
      </c>
      <c r="W279" t="s">
        <v>5</v>
      </c>
      <c r="X279">
        <v>0</v>
      </c>
      <c r="Y279" t="e">
        <f>_xlfn.XLOOKUP(C279,[1]Especificação!$G:$G,[1]Especificação!$C:$C)</f>
        <v>#N/A</v>
      </c>
    </row>
    <row r="280" spans="1:25" x14ac:dyDescent="0.3">
      <c r="A280" s="50" t="str">
        <f t="shared" si="15"/>
        <v>PROTECTION_PRTCTN_CLLD</v>
      </c>
      <c r="B280" t="s">
        <v>161</v>
      </c>
      <c r="C280" t="s">
        <v>470</v>
      </c>
      <c r="D280" t="s">
        <v>14</v>
      </c>
      <c r="E280" t="s">
        <v>36</v>
      </c>
      <c r="F280" t="s">
        <v>149</v>
      </c>
      <c r="G280" t="s">
        <v>163</v>
      </c>
      <c r="I280" t="s">
        <v>29</v>
      </c>
      <c r="J280" s="15">
        <v>45450</v>
      </c>
      <c r="K280" t="s">
        <v>36</v>
      </c>
      <c r="L280" t="str">
        <f t="shared" si="16"/>
        <v>NOK</v>
      </c>
      <c r="P280" t="s">
        <v>8</v>
      </c>
      <c r="Q280" t="s">
        <v>132</v>
      </c>
      <c r="R280" t="s">
        <v>133</v>
      </c>
      <c r="S280" t="s">
        <v>133</v>
      </c>
      <c r="T280" t="s">
        <v>133</v>
      </c>
      <c r="U280" t="s">
        <v>133</v>
      </c>
      <c r="V280" t="s">
        <v>133</v>
      </c>
      <c r="W280" t="s">
        <v>5</v>
      </c>
      <c r="X280">
        <v>0</v>
      </c>
      <c r="Y280" t="e">
        <f>_xlfn.XLOOKUP(C280,[1]Especificação!$G:$G,[1]Especificação!$C:$C)</f>
        <v>#N/A</v>
      </c>
    </row>
    <row r="281" spans="1:25" x14ac:dyDescent="0.3">
      <c r="A281" s="50" t="str">
        <f t="shared" si="15"/>
        <v>PROTECTION_PRTCTN_FRCD_SL_VL</v>
      </c>
      <c r="B281" t="s">
        <v>161</v>
      </c>
      <c r="C281" t="s">
        <v>471</v>
      </c>
      <c r="D281" t="s">
        <v>14</v>
      </c>
      <c r="E281" t="s">
        <v>38</v>
      </c>
      <c r="F281" t="s">
        <v>130</v>
      </c>
      <c r="G281" t="s">
        <v>131</v>
      </c>
      <c r="I281" t="s">
        <v>26</v>
      </c>
      <c r="J281" s="15">
        <v>45450</v>
      </c>
      <c r="K281" t="s">
        <v>38</v>
      </c>
      <c r="L281" t="str">
        <f t="shared" si="16"/>
        <v>OK</v>
      </c>
      <c r="P281" t="s">
        <v>30</v>
      </c>
      <c r="Q281" t="s">
        <v>132</v>
      </c>
      <c r="R281" t="s">
        <v>133</v>
      </c>
      <c r="S281" t="s">
        <v>133</v>
      </c>
      <c r="T281" t="s">
        <v>133</v>
      </c>
      <c r="U281" t="s">
        <v>133</v>
      </c>
      <c r="V281" t="s">
        <v>133</v>
      </c>
      <c r="W281" t="s">
        <v>5</v>
      </c>
      <c r="X281">
        <v>0</v>
      </c>
      <c r="Y281" t="e">
        <f>_xlfn.XLOOKUP(C281,[1]Especificação!$G:$G,[1]Especificação!$C:$C)</f>
        <v>#N/A</v>
      </c>
    </row>
    <row r="282" spans="1:25" x14ac:dyDescent="0.3">
      <c r="A282" s="50" t="str">
        <f t="shared" si="15"/>
        <v>INSTR_PROTECTION_PRTCTN_ID</v>
      </c>
      <c r="B282" t="s">
        <v>194</v>
      </c>
      <c r="C282" t="s">
        <v>472</v>
      </c>
      <c r="D282" t="s">
        <v>14</v>
      </c>
      <c r="E282" t="s">
        <v>36</v>
      </c>
      <c r="F282" t="s">
        <v>149</v>
      </c>
      <c r="G282" t="s">
        <v>163</v>
      </c>
      <c r="I282" t="s">
        <v>29</v>
      </c>
      <c r="J282" s="15">
        <v>45450</v>
      </c>
      <c r="K282" t="s">
        <v>36</v>
      </c>
      <c r="L282" t="str">
        <f t="shared" si="16"/>
        <v>NOK</v>
      </c>
      <c r="P282" t="s">
        <v>8</v>
      </c>
      <c r="Q282" t="s">
        <v>132</v>
      </c>
      <c r="R282" t="s">
        <v>132</v>
      </c>
      <c r="S282" t="s">
        <v>132</v>
      </c>
      <c r="T282" t="s">
        <v>133</v>
      </c>
      <c r="U282" t="s">
        <v>133</v>
      </c>
      <c r="V282" t="s">
        <v>133</v>
      </c>
      <c r="W282" t="s">
        <v>5</v>
      </c>
      <c r="X282">
        <v>0</v>
      </c>
      <c r="Y282" t="e">
        <f>_xlfn.XLOOKUP(C282,[1]Especificação!$G:$G,[1]Especificação!$C:$C)</f>
        <v>#N/A</v>
      </c>
    </row>
    <row r="283" spans="1:25" x14ac:dyDescent="0.3">
      <c r="A283" s="50" t="str">
        <f t="shared" si="15"/>
        <v>PROTECTION_PRTCTN_ID</v>
      </c>
      <c r="B283" t="s">
        <v>161</v>
      </c>
      <c r="C283" t="s">
        <v>472</v>
      </c>
      <c r="D283" t="s">
        <v>14</v>
      </c>
      <c r="E283" t="s">
        <v>36</v>
      </c>
      <c r="F283" t="s">
        <v>149</v>
      </c>
      <c r="G283" t="s">
        <v>163</v>
      </c>
      <c r="I283" t="s">
        <v>29</v>
      </c>
      <c r="J283" s="15">
        <v>45450</v>
      </c>
      <c r="K283" t="s">
        <v>36</v>
      </c>
      <c r="L283" t="str">
        <f t="shared" si="16"/>
        <v>NOK</v>
      </c>
      <c r="P283" t="s">
        <v>8</v>
      </c>
      <c r="Q283" t="s">
        <v>132</v>
      </c>
      <c r="R283" t="s">
        <v>132</v>
      </c>
      <c r="S283" t="s">
        <v>132</v>
      </c>
      <c r="T283" t="s">
        <v>133</v>
      </c>
      <c r="U283" t="s">
        <v>132</v>
      </c>
      <c r="V283" t="s">
        <v>133</v>
      </c>
      <c r="W283" t="s">
        <v>5</v>
      </c>
      <c r="X283">
        <v>0</v>
      </c>
      <c r="Y283" t="e">
        <f>_xlfn.XLOOKUP(C283,[1]Especificação!$G:$G,[1]Especificação!$C:$C)</f>
        <v>#N/A</v>
      </c>
    </row>
    <row r="284" spans="1:25" x14ac:dyDescent="0.3">
      <c r="A284" s="50" t="str">
        <f t="shared" si="15"/>
        <v>PROTECTION_PRTCTN_PRVDR_ID</v>
      </c>
      <c r="B284" t="s">
        <v>161</v>
      </c>
      <c r="C284" t="s">
        <v>473</v>
      </c>
      <c r="D284" t="s">
        <v>14</v>
      </c>
      <c r="E284" t="s">
        <v>36</v>
      </c>
      <c r="F284" t="s">
        <v>149</v>
      </c>
      <c r="G284" t="s">
        <v>163</v>
      </c>
      <c r="I284" t="s">
        <v>29</v>
      </c>
      <c r="J284" s="15">
        <v>45450</v>
      </c>
      <c r="K284" t="s">
        <v>36</v>
      </c>
      <c r="L284" t="str">
        <f t="shared" si="16"/>
        <v>NOK</v>
      </c>
      <c r="P284" t="s">
        <v>8</v>
      </c>
      <c r="Q284" t="s">
        <v>132</v>
      </c>
      <c r="R284" t="s">
        <v>133</v>
      </c>
      <c r="S284" t="s">
        <v>133</v>
      </c>
      <c r="T284" t="s">
        <v>133</v>
      </c>
      <c r="U284" t="s">
        <v>133</v>
      </c>
      <c r="V284" t="s">
        <v>133</v>
      </c>
      <c r="W284" t="s">
        <v>5</v>
      </c>
      <c r="X284">
        <v>0</v>
      </c>
      <c r="Y284" t="e">
        <f>_xlfn.XLOOKUP(C284,[1]Especificação!$G:$G,[1]Especificação!$C:$C)</f>
        <v>#N/A</v>
      </c>
    </row>
    <row r="285" spans="1:25" x14ac:dyDescent="0.3">
      <c r="A285" s="50" t="str">
        <f t="shared" si="15"/>
        <v>PROTECTION_PRTCTN_TYP_PBLC_GRNT_SCHM_C19</v>
      </c>
      <c r="B285" t="s">
        <v>161</v>
      </c>
      <c r="C285" t="s">
        <v>474</v>
      </c>
      <c r="D285" t="s">
        <v>6</v>
      </c>
      <c r="E285" t="s">
        <v>36</v>
      </c>
      <c r="F285" t="s">
        <v>149</v>
      </c>
      <c r="G285" t="s">
        <v>163</v>
      </c>
      <c r="I285" t="s">
        <v>29</v>
      </c>
      <c r="J285" s="15">
        <v>45450</v>
      </c>
      <c r="K285" t="s">
        <v>36</v>
      </c>
      <c r="L285" t="str">
        <f t="shared" si="16"/>
        <v>NOK</v>
      </c>
      <c r="P285" t="s">
        <v>8</v>
      </c>
      <c r="Q285" t="s">
        <v>132</v>
      </c>
      <c r="R285" t="s">
        <v>133</v>
      </c>
      <c r="S285" t="s">
        <v>133</v>
      </c>
      <c r="T285" t="s">
        <v>133</v>
      </c>
      <c r="U285" t="s">
        <v>133</v>
      </c>
      <c r="V285" t="s">
        <v>133</v>
      </c>
      <c r="W285" t="s">
        <v>5</v>
      </c>
      <c r="X285">
        <v>0</v>
      </c>
      <c r="Y285" t="e">
        <f>_xlfn.XLOOKUP(C285,[1]Especificação!$G:$G,[1]Especificação!$C:$C)</f>
        <v>#N/A</v>
      </c>
    </row>
    <row r="286" spans="1:25" x14ac:dyDescent="0.3">
      <c r="A286" s="50" t="str">
        <f t="shared" si="15"/>
        <v>ENTITY_DT_EXTRNL_RTNG</v>
      </c>
      <c r="B286" t="s">
        <v>142</v>
      </c>
      <c r="C286" s="10" t="s">
        <v>475</v>
      </c>
      <c r="D286" t="s">
        <v>14</v>
      </c>
      <c r="E286" t="s">
        <v>25</v>
      </c>
      <c r="F286" t="s">
        <v>130</v>
      </c>
      <c r="G286" t="s">
        <v>324</v>
      </c>
      <c r="H286" t="s">
        <v>325</v>
      </c>
      <c r="I286" t="s">
        <v>32</v>
      </c>
      <c r="J286" s="15">
        <v>45958</v>
      </c>
      <c r="K286" t="s">
        <v>38</v>
      </c>
      <c r="L286" t="s">
        <v>130</v>
      </c>
      <c r="O286" s="15">
        <v>45958</v>
      </c>
      <c r="P286" t="s">
        <v>34</v>
      </c>
      <c r="Q286" t="s">
        <v>132</v>
      </c>
      <c r="R286" t="s">
        <v>133</v>
      </c>
      <c r="S286" t="s">
        <v>133</v>
      </c>
      <c r="T286" t="s">
        <v>133</v>
      </c>
      <c r="U286" t="s">
        <v>133</v>
      </c>
      <c r="V286" t="s">
        <v>132</v>
      </c>
      <c r="W286" t="s">
        <v>138</v>
      </c>
      <c r="X286" t="s">
        <v>153</v>
      </c>
      <c r="Y286" t="str">
        <f>_xlfn.XLOOKUP(C286,[1]Especificação!$G:$G,[1]Especificação!$C:$C)</f>
        <v>B2. Re-especificação de campos complexos - Resto</v>
      </c>
    </row>
    <row r="287" spans="1:25" x14ac:dyDescent="0.3">
      <c r="A287" s="50" t="str">
        <f t="shared" si="15"/>
        <v>PROTECTION_ORGNL_PRTCTN_VL</v>
      </c>
      <c r="B287" t="s">
        <v>161</v>
      </c>
      <c r="C287" s="10" t="s">
        <v>41</v>
      </c>
      <c r="D287" t="s">
        <v>14</v>
      </c>
      <c r="E287" t="s">
        <v>35</v>
      </c>
      <c r="F287" t="s">
        <v>130</v>
      </c>
      <c r="G287" t="s">
        <v>302</v>
      </c>
      <c r="H287" t="s">
        <v>476</v>
      </c>
      <c r="I287" t="s">
        <v>32</v>
      </c>
      <c r="J287" s="15">
        <v>45952</v>
      </c>
      <c r="K287" t="s">
        <v>36</v>
      </c>
      <c r="L287" t="s">
        <v>149</v>
      </c>
      <c r="M287" t="s">
        <v>1319</v>
      </c>
      <c r="N287" s="15"/>
      <c r="O287" s="15">
        <v>45952</v>
      </c>
      <c r="P287" t="s">
        <v>24</v>
      </c>
      <c r="Q287" t="s">
        <v>132</v>
      </c>
      <c r="R287" t="s">
        <v>133</v>
      </c>
      <c r="S287" t="s">
        <v>132</v>
      </c>
      <c r="T287" t="s">
        <v>133</v>
      </c>
      <c r="U287" t="s">
        <v>133</v>
      </c>
      <c r="V287" t="s">
        <v>133</v>
      </c>
      <c r="W287" t="s">
        <v>5</v>
      </c>
      <c r="X287">
        <v>0</v>
      </c>
      <c r="Y287" t="e">
        <f>_xlfn.XLOOKUP(C287,[1]Especificação!$G:$G,[1]Especificação!$C:$C)</f>
        <v>#N/A</v>
      </c>
    </row>
    <row r="288" spans="1:25" x14ac:dyDescent="0.3">
      <c r="A288" s="50" t="str">
        <f t="shared" si="15"/>
        <v>PROTECTION_PRTCTN_VL_PRVS</v>
      </c>
      <c r="B288" t="s">
        <v>161</v>
      </c>
      <c r="C288" t="s">
        <v>478</v>
      </c>
      <c r="D288" t="s">
        <v>14</v>
      </c>
      <c r="E288" t="s">
        <v>38</v>
      </c>
      <c r="F288" t="s">
        <v>130</v>
      </c>
      <c r="G288" t="s">
        <v>131</v>
      </c>
      <c r="I288" t="s">
        <v>26</v>
      </c>
      <c r="J288" s="15">
        <v>45450</v>
      </c>
      <c r="K288" t="s">
        <v>38</v>
      </c>
      <c r="L288" t="str">
        <f t="shared" ref="L288:L310" si="17">F288</f>
        <v>OK</v>
      </c>
      <c r="P288" t="s">
        <v>30</v>
      </c>
      <c r="Q288" t="s">
        <v>132</v>
      </c>
      <c r="R288" t="s">
        <v>133</v>
      </c>
      <c r="S288" t="s">
        <v>133</v>
      </c>
      <c r="T288" t="s">
        <v>133</v>
      </c>
      <c r="U288" t="s">
        <v>133</v>
      </c>
      <c r="V288" t="s">
        <v>133</v>
      </c>
      <c r="W288" t="s">
        <v>5</v>
      </c>
      <c r="X288">
        <v>0</v>
      </c>
      <c r="Y288" t="e">
        <f>_xlfn.XLOOKUP(C288,[1]Especificação!$G:$G,[1]Especificação!$C:$C)</f>
        <v>#N/A</v>
      </c>
    </row>
    <row r="289" spans="1:25" x14ac:dyDescent="0.3">
      <c r="A289" s="50" t="str">
        <f t="shared" si="15"/>
        <v>PROTECTION_PRTCTN_VLTN_APPRCH</v>
      </c>
      <c r="B289" t="s">
        <v>161</v>
      </c>
      <c r="C289" t="s">
        <v>479</v>
      </c>
      <c r="D289" t="s">
        <v>14</v>
      </c>
      <c r="E289" t="s">
        <v>36</v>
      </c>
      <c r="F289" t="s">
        <v>149</v>
      </c>
      <c r="G289" t="s">
        <v>163</v>
      </c>
      <c r="I289" t="s">
        <v>29</v>
      </c>
      <c r="J289" s="15">
        <v>45450</v>
      </c>
      <c r="K289" t="s">
        <v>36</v>
      </c>
      <c r="L289" t="str">
        <f t="shared" si="17"/>
        <v>NOK</v>
      </c>
      <c r="P289" t="s">
        <v>8</v>
      </c>
      <c r="Q289" t="s">
        <v>132</v>
      </c>
      <c r="R289" t="s">
        <v>133</v>
      </c>
      <c r="S289" t="s">
        <v>133</v>
      </c>
      <c r="T289" t="s">
        <v>133</v>
      </c>
      <c r="U289" t="s">
        <v>133</v>
      </c>
      <c r="V289" t="s">
        <v>133</v>
      </c>
      <c r="W289" t="s">
        <v>5</v>
      </c>
      <c r="X289">
        <v>0</v>
      </c>
      <c r="Y289" t="e">
        <f>_xlfn.XLOOKUP(C289,[1]Especificação!$G:$G,[1]Especificação!$C:$C)</f>
        <v>#N/A</v>
      </c>
    </row>
    <row r="290" spans="1:25" x14ac:dyDescent="0.3">
      <c r="A290" s="50" t="str">
        <f t="shared" si="15"/>
        <v>INSTRUMENT_PRVSNS_OFF_BLNC_SHT</v>
      </c>
      <c r="B290" t="s">
        <v>128</v>
      </c>
      <c r="C290" t="s">
        <v>480</v>
      </c>
      <c r="D290" t="s">
        <v>14</v>
      </c>
      <c r="E290" t="s">
        <v>38</v>
      </c>
      <c r="F290" t="s">
        <v>130</v>
      </c>
      <c r="G290" t="s">
        <v>131</v>
      </c>
      <c r="I290" t="s">
        <v>26</v>
      </c>
      <c r="J290" s="15">
        <v>45450</v>
      </c>
      <c r="K290" t="s">
        <v>38</v>
      </c>
      <c r="L290" t="str">
        <f t="shared" si="17"/>
        <v>OK</v>
      </c>
      <c r="P290" t="s">
        <v>30</v>
      </c>
      <c r="Q290" t="s">
        <v>132</v>
      </c>
      <c r="R290" t="s">
        <v>132</v>
      </c>
      <c r="S290" t="s">
        <v>133</v>
      </c>
      <c r="T290" t="s">
        <v>133</v>
      </c>
      <c r="U290" t="s">
        <v>133</v>
      </c>
      <c r="V290" t="s">
        <v>133</v>
      </c>
      <c r="W290" t="s">
        <v>5</v>
      </c>
      <c r="X290">
        <v>0</v>
      </c>
      <c r="Y290" t="e">
        <f>_xlfn.XLOOKUP(C290,[1]Especificação!$G:$G,[1]Especificação!$C:$C)</f>
        <v>#N/A</v>
      </c>
    </row>
    <row r="291" spans="1:25" x14ac:dyDescent="0.3">
      <c r="A291" s="50" t="str">
        <f t="shared" si="15"/>
        <v>INSTRUMENT_PYMNT_FRQNCY</v>
      </c>
      <c r="B291" t="s">
        <v>128</v>
      </c>
      <c r="C291" s="11" t="s">
        <v>481</v>
      </c>
      <c r="D291" t="s">
        <v>14</v>
      </c>
      <c r="E291" t="s">
        <v>35</v>
      </c>
      <c r="F291" t="s">
        <v>130</v>
      </c>
      <c r="G291" t="s">
        <v>482</v>
      </c>
      <c r="H291" t="s">
        <v>483</v>
      </c>
      <c r="I291" t="s">
        <v>32</v>
      </c>
      <c r="J291" s="15">
        <v>45450</v>
      </c>
      <c r="K291" t="s">
        <v>35</v>
      </c>
      <c r="L291" t="str">
        <f t="shared" si="17"/>
        <v>OK</v>
      </c>
      <c r="P291" t="s">
        <v>39</v>
      </c>
      <c r="Q291" t="s">
        <v>132</v>
      </c>
      <c r="R291" t="s">
        <v>133</v>
      </c>
      <c r="S291" t="s">
        <v>133</v>
      </c>
      <c r="T291" t="s">
        <v>133</v>
      </c>
      <c r="U291" t="s">
        <v>133</v>
      </c>
      <c r="V291" t="s">
        <v>133</v>
      </c>
      <c r="W291" t="s">
        <v>5</v>
      </c>
      <c r="X291">
        <v>0</v>
      </c>
      <c r="Y291" t="e">
        <f>_xlfn.XLOOKUP(C291,[1]Especificação!$G:$G,[1]Especificação!$C:$C)</f>
        <v>#N/A</v>
      </c>
    </row>
    <row r="292" spans="1:25" x14ac:dyDescent="0.3">
      <c r="A292" s="50" t="str">
        <f t="shared" si="15"/>
        <v>INSTRUMENT_PYMNT_INTRST_ONLY</v>
      </c>
      <c r="B292" t="s">
        <v>128</v>
      </c>
      <c r="C292" s="11" t="s">
        <v>484</v>
      </c>
      <c r="D292" t="s">
        <v>14</v>
      </c>
      <c r="E292" t="s">
        <v>28</v>
      </c>
      <c r="F292" t="s">
        <v>149</v>
      </c>
      <c r="G292" t="s">
        <v>159</v>
      </c>
      <c r="H292" t="s">
        <v>485</v>
      </c>
      <c r="I292" t="s">
        <v>32</v>
      </c>
      <c r="J292" s="15">
        <v>45958</v>
      </c>
      <c r="K292" t="s">
        <v>38</v>
      </c>
      <c r="L292" t="str">
        <f t="shared" si="17"/>
        <v>NOK</v>
      </c>
      <c r="N292" s="15">
        <v>45958</v>
      </c>
      <c r="P292" t="s">
        <v>39</v>
      </c>
      <c r="Q292" t="s">
        <v>132</v>
      </c>
      <c r="R292" t="s">
        <v>133</v>
      </c>
      <c r="S292" t="s">
        <v>133</v>
      </c>
      <c r="T292" t="s">
        <v>133</v>
      </c>
      <c r="U292" t="s">
        <v>133</v>
      </c>
      <c r="V292" t="s">
        <v>132</v>
      </c>
      <c r="W292" t="s">
        <v>138</v>
      </c>
      <c r="X292" t="s">
        <v>222</v>
      </c>
      <c r="Y292" t="str">
        <f>_xlfn.XLOOKUP(C292,[1]Especificação!$G:$G,[1]Especificação!$C:$C)</f>
        <v xml:space="preserve">E. Campos com outras possíveis alterações - Dependente de decisões OSI </v>
      </c>
    </row>
    <row r="293" spans="1:25" x14ac:dyDescent="0.3">
      <c r="A293" s="50" t="str">
        <f t="shared" si="15"/>
        <v>INSTRUMENT_RCRS</v>
      </c>
      <c r="B293" t="s">
        <v>128</v>
      </c>
      <c r="C293" t="s">
        <v>486</v>
      </c>
      <c r="D293" t="s">
        <v>14</v>
      </c>
      <c r="E293" t="s">
        <v>38</v>
      </c>
      <c r="F293" t="s">
        <v>130</v>
      </c>
      <c r="G293" t="s">
        <v>131</v>
      </c>
      <c r="I293" t="s">
        <v>26</v>
      </c>
      <c r="J293" s="15">
        <v>45450</v>
      </c>
      <c r="K293" t="s">
        <v>38</v>
      </c>
      <c r="L293" t="str">
        <f t="shared" si="17"/>
        <v>OK</v>
      </c>
      <c r="P293" t="s">
        <v>30</v>
      </c>
      <c r="Q293" t="s">
        <v>132</v>
      </c>
      <c r="R293" t="s">
        <v>133</v>
      </c>
      <c r="S293" t="s">
        <v>133</v>
      </c>
      <c r="T293" t="s">
        <v>133</v>
      </c>
      <c r="U293" t="s">
        <v>133</v>
      </c>
      <c r="V293" t="s">
        <v>133</v>
      </c>
      <c r="W293" t="s">
        <v>5</v>
      </c>
      <c r="X293">
        <v>0</v>
      </c>
      <c r="Y293" t="e">
        <f>_xlfn.XLOOKUP(C293,[1]Especificação!$G:$G,[1]Especificação!$C:$C)</f>
        <v>#N/A</v>
      </c>
    </row>
    <row r="294" spans="1:25" x14ac:dyDescent="0.3">
      <c r="A294" s="50" t="str">
        <f t="shared" si="15"/>
        <v>INSTRUMENT_RCVD_AMRTSTN_12M</v>
      </c>
      <c r="B294" t="s">
        <v>128</v>
      </c>
      <c r="C294" t="s">
        <v>487</v>
      </c>
      <c r="D294" t="s">
        <v>14</v>
      </c>
      <c r="E294" t="s">
        <v>36</v>
      </c>
      <c r="F294" t="s">
        <v>149</v>
      </c>
      <c r="G294" t="s">
        <v>163</v>
      </c>
      <c r="I294" t="s">
        <v>29</v>
      </c>
      <c r="J294" s="15">
        <v>45958</v>
      </c>
      <c r="K294" t="s">
        <v>38</v>
      </c>
      <c r="O294" s="15">
        <v>45958</v>
      </c>
      <c r="P294" t="s">
        <v>8</v>
      </c>
      <c r="Q294" t="s">
        <v>132</v>
      </c>
      <c r="R294" t="s">
        <v>133</v>
      </c>
      <c r="S294" t="s">
        <v>133</v>
      </c>
      <c r="T294" t="s">
        <v>133</v>
      </c>
      <c r="U294" t="s">
        <v>133</v>
      </c>
      <c r="V294" t="s">
        <v>132</v>
      </c>
      <c r="W294" t="s">
        <v>138</v>
      </c>
      <c r="X294" t="s">
        <v>166</v>
      </c>
      <c r="Y294" t="str">
        <f>_xlfn.XLOOKUP(C294,[1]Especificação!$G:$G,[1]Especificação!$C:$C)</f>
        <v>D. Campos com NOK controlos Corporativos</v>
      </c>
    </row>
    <row r="295" spans="1:25" x14ac:dyDescent="0.3">
      <c r="A295" s="50" t="str">
        <f t="shared" si="15"/>
        <v>INSTRUMENT_RCVD_AMRTSTN_24M</v>
      </c>
      <c r="B295" t="s">
        <v>128</v>
      </c>
      <c r="C295" t="s">
        <v>488</v>
      </c>
      <c r="D295" t="s">
        <v>14</v>
      </c>
      <c r="E295" t="s">
        <v>38</v>
      </c>
      <c r="F295" t="s">
        <v>130</v>
      </c>
      <c r="G295" t="s">
        <v>131</v>
      </c>
      <c r="I295" t="s">
        <v>26</v>
      </c>
      <c r="J295" s="15">
        <v>45450</v>
      </c>
      <c r="K295" t="s">
        <v>38</v>
      </c>
      <c r="L295" t="str">
        <f t="shared" si="17"/>
        <v>OK</v>
      </c>
      <c r="P295" t="s">
        <v>30</v>
      </c>
      <c r="Q295" t="s">
        <v>132</v>
      </c>
      <c r="R295" t="s">
        <v>133</v>
      </c>
      <c r="S295" t="s">
        <v>133</v>
      </c>
      <c r="T295" t="s">
        <v>133</v>
      </c>
      <c r="U295" t="s">
        <v>133</v>
      </c>
      <c r="V295" t="s">
        <v>132</v>
      </c>
      <c r="W295" t="s">
        <v>5</v>
      </c>
      <c r="X295" t="s">
        <v>135</v>
      </c>
      <c r="Y295" t="str">
        <f>_xlfn.XLOOKUP(C295,[1]Especificação!$G:$G,[1]Especificação!$C:$C)</f>
        <v>F1. Fora âmbito | Campos concluídos - Sem necessidade de espec.</v>
      </c>
    </row>
    <row r="296" spans="1:25" x14ac:dyDescent="0.3">
      <c r="A296" s="50" t="str">
        <f t="shared" si="15"/>
        <v>PROTECTION_DT_CNSTRCTN_STTS</v>
      </c>
      <c r="B296" t="s">
        <v>161</v>
      </c>
      <c r="C296" s="11" t="s">
        <v>67</v>
      </c>
      <c r="D296" t="s">
        <v>6</v>
      </c>
      <c r="E296" t="s">
        <v>25</v>
      </c>
      <c r="F296" t="s">
        <v>149</v>
      </c>
      <c r="G296" t="s">
        <v>256</v>
      </c>
      <c r="H296" t="s">
        <v>489</v>
      </c>
      <c r="I296" t="s">
        <v>32</v>
      </c>
      <c r="J296" s="15">
        <v>45568</v>
      </c>
      <c r="K296" t="s">
        <v>25</v>
      </c>
      <c r="L296" t="str">
        <f t="shared" si="17"/>
        <v>NOK</v>
      </c>
      <c r="P296" t="s">
        <v>24</v>
      </c>
      <c r="Q296" t="s">
        <v>132</v>
      </c>
      <c r="R296" t="s">
        <v>133</v>
      </c>
      <c r="S296" t="s">
        <v>133</v>
      </c>
      <c r="T296" t="s">
        <v>133</v>
      </c>
      <c r="U296" t="s">
        <v>133</v>
      </c>
      <c r="V296" t="s">
        <v>133</v>
      </c>
      <c r="W296" t="s">
        <v>5</v>
      </c>
      <c r="X296">
        <v>0</v>
      </c>
      <c r="Y296" t="e">
        <f>_xlfn.XLOOKUP(C296,[1]Especificação!$G:$G,[1]Especificação!$C:$C)</f>
        <v>#N/A</v>
      </c>
    </row>
    <row r="297" spans="1:25" x14ac:dyDescent="0.3">
      <c r="A297" s="50" t="str">
        <f t="shared" si="15"/>
        <v>INSTRUMENT_DFLT_STTS_INSTRMNT</v>
      </c>
      <c r="B297" t="s">
        <v>128</v>
      </c>
      <c r="C297" s="11" t="s">
        <v>490</v>
      </c>
      <c r="D297" t="s">
        <v>14</v>
      </c>
      <c r="E297" t="s">
        <v>25</v>
      </c>
      <c r="F297" t="s">
        <v>149</v>
      </c>
      <c r="G297" t="s">
        <v>491</v>
      </c>
      <c r="I297" t="s">
        <v>32</v>
      </c>
      <c r="J297" s="15">
        <v>45957</v>
      </c>
      <c r="K297" t="s">
        <v>55</v>
      </c>
      <c r="L297" t="s">
        <v>130</v>
      </c>
      <c r="N297" s="15">
        <v>45957</v>
      </c>
      <c r="O297" s="15"/>
      <c r="P297" t="s">
        <v>24</v>
      </c>
      <c r="Q297" t="s">
        <v>132</v>
      </c>
      <c r="R297" t="s">
        <v>132</v>
      </c>
      <c r="S297" t="s">
        <v>132</v>
      </c>
      <c r="T297" t="s">
        <v>133</v>
      </c>
      <c r="U297" t="s">
        <v>133</v>
      </c>
      <c r="V297" t="s">
        <v>132</v>
      </c>
      <c r="W297" t="s">
        <v>138</v>
      </c>
      <c r="X297" t="s">
        <v>153</v>
      </c>
      <c r="Y297" t="str">
        <f>_xlfn.XLOOKUP(C297,[1]Especificação!$G:$G,[1]Especificação!$C:$C)</f>
        <v>B2. Re-especificação de campos complexos - Resto</v>
      </c>
    </row>
    <row r="298" spans="1:25" x14ac:dyDescent="0.3">
      <c r="A298" s="50" t="str">
        <f t="shared" si="15"/>
        <v>INSTRUMENT_CMMTMNT_INSTRMNT</v>
      </c>
      <c r="B298" t="s">
        <v>128</v>
      </c>
      <c r="C298" t="s">
        <v>492</v>
      </c>
      <c r="D298" t="s">
        <v>14</v>
      </c>
      <c r="E298" t="s">
        <v>25</v>
      </c>
      <c r="F298" t="s">
        <v>130</v>
      </c>
      <c r="G298" t="s">
        <v>493</v>
      </c>
      <c r="H298" t="s">
        <v>494</v>
      </c>
      <c r="I298" t="s">
        <v>29</v>
      </c>
      <c r="J298" s="15">
        <v>45450</v>
      </c>
      <c r="K298" t="s">
        <v>25</v>
      </c>
      <c r="L298" t="str">
        <f t="shared" si="17"/>
        <v>OK</v>
      </c>
      <c r="P298" t="s">
        <v>13</v>
      </c>
      <c r="Q298" t="s">
        <v>132</v>
      </c>
      <c r="R298" t="s">
        <v>133</v>
      </c>
      <c r="S298" t="s">
        <v>133</v>
      </c>
      <c r="T298" t="s">
        <v>133</v>
      </c>
      <c r="U298" t="s">
        <v>133</v>
      </c>
      <c r="V298" t="s">
        <v>133</v>
      </c>
      <c r="W298" t="s">
        <v>5</v>
      </c>
      <c r="X298">
        <v>0</v>
      </c>
      <c r="Y298" t="e">
        <f>_xlfn.XLOOKUP(C298,[1]Especificação!$G:$G,[1]Especificação!$C:$C)</f>
        <v>#N/A</v>
      </c>
    </row>
    <row r="299" spans="1:25" x14ac:dyDescent="0.3">
      <c r="A299" s="50" t="str">
        <f t="shared" si="15"/>
        <v>INSTRUMENT_RFRNC_RT</v>
      </c>
      <c r="B299" t="s">
        <v>128</v>
      </c>
      <c r="C299" t="s">
        <v>495</v>
      </c>
      <c r="D299" t="s">
        <v>6</v>
      </c>
      <c r="E299" t="s">
        <v>38</v>
      </c>
      <c r="F299" t="s">
        <v>130</v>
      </c>
      <c r="G299" t="s">
        <v>131</v>
      </c>
      <c r="I299" t="s">
        <v>26</v>
      </c>
      <c r="J299" s="15">
        <v>45450</v>
      </c>
      <c r="K299" t="s">
        <v>38</v>
      </c>
      <c r="L299" t="str">
        <f t="shared" si="17"/>
        <v>OK</v>
      </c>
      <c r="P299" t="s">
        <v>30</v>
      </c>
      <c r="Q299" t="s">
        <v>132</v>
      </c>
      <c r="R299" t="s">
        <v>133</v>
      </c>
      <c r="S299" t="s">
        <v>133</v>
      </c>
      <c r="T299" t="s">
        <v>133</v>
      </c>
      <c r="U299" t="s">
        <v>133</v>
      </c>
      <c r="V299" t="s">
        <v>133</v>
      </c>
      <c r="W299" t="s">
        <v>5</v>
      </c>
      <c r="X299">
        <v>0</v>
      </c>
      <c r="Y299" t="e">
        <f>_xlfn.XLOOKUP(C299,[1]Especificação!$G:$G,[1]Especificação!$C:$C)</f>
        <v>#N/A</v>
      </c>
    </row>
    <row r="300" spans="1:25" x14ac:dyDescent="0.3">
      <c r="A300" s="50" t="str">
        <f t="shared" si="15"/>
        <v>PROTECTION_RL_ESTT_ADDRSS</v>
      </c>
      <c r="B300" t="s">
        <v>161</v>
      </c>
      <c r="C300" t="s">
        <v>496</v>
      </c>
      <c r="D300" t="s">
        <v>6</v>
      </c>
      <c r="E300" t="s">
        <v>36</v>
      </c>
      <c r="F300" t="s">
        <v>149</v>
      </c>
      <c r="G300" t="s">
        <v>163</v>
      </c>
      <c r="I300" t="s">
        <v>29</v>
      </c>
      <c r="J300" s="15">
        <v>45450</v>
      </c>
      <c r="K300" t="s">
        <v>36</v>
      </c>
      <c r="L300" t="str">
        <f t="shared" si="17"/>
        <v>NOK</v>
      </c>
      <c r="P300" t="s">
        <v>8</v>
      </c>
      <c r="Q300" t="s">
        <v>132</v>
      </c>
      <c r="R300" t="s">
        <v>133</v>
      </c>
      <c r="S300" t="s">
        <v>133</v>
      </c>
      <c r="T300" t="s">
        <v>133</v>
      </c>
      <c r="U300" t="s">
        <v>132</v>
      </c>
      <c r="V300" t="s">
        <v>133</v>
      </c>
      <c r="W300" t="s">
        <v>5</v>
      </c>
      <c r="X300">
        <v>0</v>
      </c>
      <c r="Y300" t="e">
        <f>_xlfn.XLOOKUP(C300,[1]Especificação!$G:$G,[1]Especificação!$C:$C)</f>
        <v>#N/A</v>
      </c>
    </row>
    <row r="301" spans="1:25" x14ac:dyDescent="0.3">
      <c r="A301" s="50" t="str">
        <f t="shared" si="15"/>
        <v>INSTRUMENT_CMLTV_RCVRS_SNC_DFLT_INSTRMNT</v>
      </c>
      <c r="B301" t="s">
        <v>128</v>
      </c>
      <c r="C301" t="s">
        <v>497</v>
      </c>
      <c r="D301" t="s">
        <v>14</v>
      </c>
      <c r="E301" t="s">
        <v>25</v>
      </c>
      <c r="F301" t="s">
        <v>130</v>
      </c>
      <c r="G301" t="s">
        <v>170</v>
      </c>
      <c r="I301" t="s">
        <v>29</v>
      </c>
      <c r="J301" s="15">
        <v>45450</v>
      </c>
      <c r="K301" t="s">
        <v>25</v>
      </c>
      <c r="L301" t="str">
        <f t="shared" si="17"/>
        <v>OK</v>
      </c>
      <c r="P301" t="s">
        <v>27</v>
      </c>
      <c r="Q301" t="s">
        <v>132</v>
      </c>
      <c r="R301" t="s">
        <v>133</v>
      </c>
      <c r="S301" t="s">
        <v>133</v>
      </c>
      <c r="T301" t="s">
        <v>133</v>
      </c>
      <c r="U301" t="s">
        <v>133</v>
      </c>
      <c r="V301" t="s">
        <v>133</v>
      </c>
      <c r="W301" t="s">
        <v>5</v>
      </c>
      <c r="X301">
        <v>0</v>
      </c>
      <c r="Y301" t="e">
        <f>_xlfn.XLOOKUP(C301,[1]Especificação!$G:$G,[1]Especificação!$C:$C)</f>
        <v>#N/A</v>
      </c>
    </row>
    <row r="302" spans="1:25" x14ac:dyDescent="0.3">
      <c r="A302" s="50" t="str">
        <f t="shared" si="15"/>
        <v>PROTECTION_RL_ESTT_CLLTRL_LCTN_INT</v>
      </c>
      <c r="B302" t="s">
        <v>161</v>
      </c>
      <c r="C302" t="s">
        <v>498</v>
      </c>
      <c r="D302" t="s">
        <v>6</v>
      </c>
      <c r="E302" t="s">
        <v>36</v>
      </c>
      <c r="F302" t="s">
        <v>149</v>
      </c>
      <c r="G302" t="s">
        <v>163</v>
      </c>
      <c r="I302" t="s">
        <v>29</v>
      </c>
      <c r="J302" s="15">
        <v>45450</v>
      </c>
      <c r="K302" t="s">
        <v>36</v>
      </c>
      <c r="L302" t="str">
        <f t="shared" si="17"/>
        <v>NOK</v>
      </c>
      <c r="P302" t="s">
        <v>8</v>
      </c>
      <c r="Q302" t="s">
        <v>132</v>
      </c>
      <c r="R302" t="s">
        <v>133</v>
      </c>
      <c r="S302" t="s">
        <v>133</v>
      </c>
      <c r="T302" t="s">
        <v>133</v>
      </c>
      <c r="U302" t="s">
        <v>132</v>
      </c>
      <c r="V302" t="s">
        <v>133</v>
      </c>
      <c r="W302" t="s">
        <v>5</v>
      </c>
      <c r="X302">
        <v>0</v>
      </c>
      <c r="Y302" t="e">
        <f>_xlfn.XLOOKUP(C302,[1]Especificação!$G:$G,[1]Especificação!$C:$C)</f>
        <v>#N/A</v>
      </c>
    </row>
    <row r="303" spans="1:25" x14ac:dyDescent="0.3">
      <c r="A303" s="50" t="str">
        <f t="shared" si="15"/>
        <v>PROTECTION_RL_ESTT_CTY</v>
      </c>
      <c r="B303" t="s">
        <v>161</v>
      </c>
      <c r="C303" t="s">
        <v>499</v>
      </c>
      <c r="D303" t="s">
        <v>6</v>
      </c>
      <c r="E303" t="s">
        <v>36</v>
      </c>
      <c r="F303" t="s">
        <v>149</v>
      </c>
      <c r="G303" t="s">
        <v>163</v>
      </c>
      <c r="I303" t="s">
        <v>29</v>
      </c>
      <c r="J303" s="15">
        <v>45450</v>
      </c>
      <c r="K303" t="s">
        <v>36</v>
      </c>
      <c r="L303" t="str">
        <f t="shared" si="17"/>
        <v>NOK</v>
      </c>
      <c r="P303" t="s">
        <v>8</v>
      </c>
      <c r="Q303" t="s">
        <v>132</v>
      </c>
      <c r="R303" t="s">
        <v>133</v>
      </c>
      <c r="S303" t="s">
        <v>133</v>
      </c>
      <c r="T303" t="s">
        <v>133</v>
      </c>
      <c r="U303" t="s">
        <v>132</v>
      </c>
      <c r="V303" t="s">
        <v>133</v>
      </c>
      <c r="W303" t="s">
        <v>5</v>
      </c>
      <c r="X303">
        <v>0</v>
      </c>
      <c r="Y303" t="e">
        <f>_xlfn.XLOOKUP(C303,[1]Especificação!$G:$G,[1]Especificação!$C:$C)</f>
        <v>#N/A</v>
      </c>
    </row>
    <row r="304" spans="1:25" x14ac:dyDescent="0.3">
      <c r="A304" s="50" t="str">
        <f t="shared" si="15"/>
        <v>PROTECTION_RL_ESTT_PST_CD</v>
      </c>
      <c r="B304" t="s">
        <v>161</v>
      </c>
      <c r="C304" t="s">
        <v>500</v>
      </c>
      <c r="D304" t="s">
        <v>14</v>
      </c>
      <c r="E304" t="s">
        <v>36</v>
      </c>
      <c r="F304" t="s">
        <v>149</v>
      </c>
      <c r="G304" t="s">
        <v>163</v>
      </c>
      <c r="I304" t="s">
        <v>29</v>
      </c>
      <c r="J304" s="15">
        <v>45450</v>
      </c>
      <c r="K304" t="s">
        <v>36</v>
      </c>
      <c r="L304" t="str">
        <f t="shared" si="17"/>
        <v>NOK</v>
      </c>
      <c r="P304" t="s">
        <v>8</v>
      </c>
      <c r="Q304" t="s">
        <v>132</v>
      </c>
      <c r="R304" t="s">
        <v>133</v>
      </c>
      <c r="S304" t="s">
        <v>132</v>
      </c>
      <c r="T304" t="s">
        <v>133</v>
      </c>
      <c r="U304" t="s">
        <v>132</v>
      </c>
      <c r="V304" t="s">
        <v>133</v>
      </c>
      <c r="W304" t="s">
        <v>5</v>
      </c>
      <c r="X304">
        <v>0</v>
      </c>
      <c r="Y304" t="e">
        <f>_xlfn.XLOOKUP(C304,[1]Especificação!$G:$G,[1]Especificação!$C:$C)</f>
        <v>#N/A</v>
      </c>
    </row>
    <row r="305" spans="1:25" x14ac:dyDescent="0.3">
      <c r="A305" s="50" t="str">
        <f t="shared" si="15"/>
        <v>INSTRUMENT_RRE_FNRP18</v>
      </c>
      <c r="B305" t="s">
        <v>128</v>
      </c>
      <c r="C305" t="s">
        <v>501</v>
      </c>
      <c r="D305" t="s">
        <v>6</v>
      </c>
      <c r="E305" t="s">
        <v>38</v>
      </c>
      <c r="F305" t="s">
        <v>130</v>
      </c>
      <c r="G305" t="s">
        <v>131</v>
      </c>
      <c r="I305" t="s">
        <v>26</v>
      </c>
      <c r="J305" s="15">
        <v>45952</v>
      </c>
      <c r="K305" t="s">
        <v>38</v>
      </c>
      <c r="L305" t="s">
        <v>130</v>
      </c>
      <c r="O305" s="15">
        <v>45952</v>
      </c>
      <c r="P305" t="s">
        <v>30</v>
      </c>
      <c r="Q305" t="s">
        <v>132</v>
      </c>
      <c r="R305" t="s">
        <v>133</v>
      </c>
      <c r="S305" t="s">
        <v>133</v>
      </c>
      <c r="T305" t="s">
        <v>133</v>
      </c>
      <c r="U305" t="s">
        <v>133</v>
      </c>
      <c r="V305" t="s">
        <v>133</v>
      </c>
      <c r="W305" t="s">
        <v>5</v>
      </c>
      <c r="X305">
        <v>0</v>
      </c>
      <c r="Y305" t="e">
        <f>_xlfn.XLOOKUP(C305,[1]Especificação!$G:$G,[1]Especificação!$C:$C)</f>
        <v>#N/A</v>
      </c>
    </row>
    <row r="306" spans="1:25" x14ac:dyDescent="0.3">
      <c r="A306" s="50" t="str">
        <f t="shared" si="15"/>
        <v>ENTITY_RTNG_MTHD</v>
      </c>
      <c r="B306" t="s">
        <v>142</v>
      </c>
      <c r="C306" s="10" t="s">
        <v>502</v>
      </c>
      <c r="D306" t="s">
        <v>14</v>
      </c>
      <c r="E306" t="s">
        <v>33</v>
      </c>
      <c r="F306" t="s">
        <v>149</v>
      </c>
      <c r="G306" t="s">
        <v>271</v>
      </c>
      <c r="I306" t="s">
        <v>32</v>
      </c>
      <c r="J306" s="15">
        <v>45958</v>
      </c>
      <c r="K306" t="s">
        <v>38</v>
      </c>
      <c r="L306" t="str">
        <f t="shared" si="17"/>
        <v>NOK</v>
      </c>
      <c r="N306" s="15"/>
      <c r="O306" s="15">
        <v>45958</v>
      </c>
      <c r="P306" t="s">
        <v>34</v>
      </c>
      <c r="Q306" t="s">
        <v>132</v>
      </c>
      <c r="R306" t="s">
        <v>133</v>
      </c>
      <c r="S306" t="s">
        <v>133</v>
      </c>
      <c r="T306" t="s">
        <v>133</v>
      </c>
      <c r="U306" t="s">
        <v>133</v>
      </c>
      <c r="V306" t="s">
        <v>132</v>
      </c>
      <c r="W306" t="s">
        <v>138</v>
      </c>
      <c r="X306" t="s">
        <v>139</v>
      </c>
      <c r="Y306" t="str">
        <f>_xlfn.XLOOKUP(C306,[1]Especificação!$G:$G,[1]Especificação!$C:$C)</f>
        <v>C. Campos em testes ou c/ incidências</v>
      </c>
    </row>
    <row r="307" spans="1:25" x14ac:dyDescent="0.3">
      <c r="A307" s="50" t="str">
        <f t="shared" si="15"/>
        <v>INSTRUMENT_RTNG_MTHD</v>
      </c>
      <c r="B307" t="s">
        <v>128</v>
      </c>
      <c r="C307" s="10" t="s">
        <v>502</v>
      </c>
      <c r="D307" t="s">
        <v>14</v>
      </c>
      <c r="E307" t="s">
        <v>33</v>
      </c>
      <c r="F307" t="s">
        <v>149</v>
      </c>
      <c r="G307" t="s">
        <v>271</v>
      </c>
      <c r="I307" t="s">
        <v>32</v>
      </c>
      <c r="J307" s="15">
        <v>45958</v>
      </c>
      <c r="K307" t="s">
        <v>38</v>
      </c>
      <c r="L307" t="str">
        <f t="shared" si="17"/>
        <v>NOK</v>
      </c>
      <c r="N307" s="15"/>
      <c r="O307" s="15">
        <v>45958</v>
      </c>
      <c r="P307" t="s">
        <v>34</v>
      </c>
      <c r="Q307" t="s">
        <v>132</v>
      </c>
      <c r="R307" t="s">
        <v>133</v>
      </c>
      <c r="S307" t="s">
        <v>133</v>
      </c>
      <c r="T307" t="s">
        <v>133</v>
      </c>
      <c r="U307" t="s">
        <v>133</v>
      </c>
      <c r="V307" t="s">
        <v>132</v>
      </c>
      <c r="W307" t="s">
        <v>138</v>
      </c>
      <c r="X307" t="s">
        <v>139</v>
      </c>
      <c r="Y307" t="str">
        <f>_xlfn.XLOOKUP(C307,[1]Especificação!$G:$G,[1]Especificação!$C:$C)</f>
        <v>C. Campos em testes ou c/ incidências</v>
      </c>
    </row>
    <row r="308" spans="1:25" x14ac:dyDescent="0.3">
      <c r="A308" s="50" t="str">
        <f t="shared" si="15"/>
        <v>ENTITY_RTNG_SCL</v>
      </c>
      <c r="B308" t="s">
        <v>142</v>
      </c>
      <c r="C308" t="s">
        <v>503</v>
      </c>
      <c r="D308" t="s">
        <v>14</v>
      </c>
      <c r="E308" t="s">
        <v>38</v>
      </c>
      <c r="F308" t="s">
        <v>130</v>
      </c>
      <c r="G308" t="s">
        <v>131</v>
      </c>
      <c r="I308" t="s">
        <v>26</v>
      </c>
      <c r="J308" s="15">
        <v>45958</v>
      </c>
      <c r="K308" t="s">
        <v>38</v>
      </c>
      <c r="L308" t="s">
        <v>130</v>
      </c>
      <c r="O308" s="15">
        <v>45958</v>
      </c>
      <c r="P308" t="s">
        <v>30</v>
      </c>
      <c r="Q308" t="s">
        <v>132</v>
      </c>
      <c r="R308" t="s">
        <v>133</v>
      </c>
      <c r="S308" t="s">
        <v>133</v>
      </c>
      <c r="T308" t="s">
        <v>133</v>
      </c>
      <c r="U308" t="s">
        <v>133</v>
      </c>
      <c r="V308" t="s">
        <v>132</v>
      </c>
      <c r="W308" t="s">
        <v>5</v>
      </c>
      <c r="X308" t="s">
        <v>135</v>
      </c>
      <c r="Y308" t="str">
        <f>_xlfn.XLOOKUP(C308,[1]Especificação!$G:$G,[1]Especificação!$C:$C)</f>
        <v>B2. Re-especificação de campos complexos - Resto</v>
      </c>
    </row>
    <row r="309" spans="1:25" x14ac:dyDescent="0.3">
      <c r="A309" s="50" t="str">
        <f t="shared" si="15"/>
        <v>INSTRUMENT_RTNG_SCL</v>
      </c>
      <c r="B309" t="s">
        <v>128</v>
      </c>
      <c r="C309" t="s">
        <v>503</v>
      </c>
      <c r="D309" t="s">
        <v>14</v>
      </c>
      <c r="E309" t="s">
        <v>38</v>
      </c>
      <c r="F309" t="s">
        <v>130</v>
      </c>
      <c r="G309" t="s">
        <v>131</v>
      </c>
      <c r="I309" t="s">
        <v>26</v>
      </c>
      <c r="J309" s="15">
        <v>45958</v>
      </c>
      <c r="K309" t="s">
        <v>38</v>
      </c>
      <c r="L309" t="s">
        <v>130</v>
      </c>
      <c r="O309" s="15">
        <v>45958</v>
      </c>
      <c r="P309" t="s">
        <v>30</v>
      </c>
      <c r="Q309" t="s">
        <v>132</v>
      </c>
      <c r="R309" t="s">
        <v>133</v>
      </c>
      <c r="S309" t="s">
        <v>133</v>
      </c>
      <c r="T309" t="s">
        <v>133</v>
      </c>
      <c r="U309" t="s">
        <v>133</v>
      </c>
      <c r="V309" t="s">
        <v>132</v>
      </c>
      <c r="W309" t="s">
        <v>5</v>
      </c>
      <c r="X309" t="s">
        <v>135</v>
      </c>
      <c r="Y309" t="str">
        <f>_xlfn.XLOOKUP(C309,[1]Especificação!$G:$G,[1]Especificação!$C:$C)</f>
        <v>B2. Re-especificação de campos complexos - Resto</v>
      </c>
    </row>
    <row r="310" spans="1:25" x14ac:dyDescent="0.3">
      <c r="A310" s="50" t="str">
        <f t="shared" si="15"/>
        <v>INSTRUMENT_RTNTN_SHR</v>
      </c>
      <c r="B310" t="s">
        <v>128</v>
      </c>
      <c r="C310" t="s">
        <v>504</v>
      </c>
      <c r="D310" t="s">
        <v>6</v>
      </c>
      <c r="E310" t="s">
        <v>56</v>
      </c>
      <c r="F310" t="s">
        <v>130</v>
      </c>
      <c r="G310" t="s">
        <v>328</v>
      </c>
      <c r="H310" t="s">
        <v>329</v>
      </c>
      <c r="I310" t="s">
        <v>29</v>
      </c>
      <c r="J310" s="15">
        <v>45953</v>
      </c>
      <c r="K310" t="s">
        <v>38</v>
      </c>
      <c r="L310" t="str">
        <f t="shared" si="17"/>
        <v>OK</v>
      </c>
      <c r="O310" s="15">
        <v>45952</v>
      </c>
      <c r="P310" t="s">
        <v>13</v>
      </c>
      <c r="Q310" t="s">
        <v>132</v>
      </c>
      <c r="R310" t="s">
        <v>133</v>
      </c>
      <c r="S310" t="s">
        <v>133</v>
      </c>
      <c r="T310" t="s">
        <v>133</v>
      </c>
      <c r="U310" t="s">
        <v>133</v>
      </c>
      <c r="V310" t="s">
        <v>132</v>
      </c>
      <c r="W310" t="s">
        <v>138</v>
      </c>
      <c r="X310" t="s">
        <v>330</v>
      </c>
      <c r="Y310" t="str">
        <f>_xlfn.XLOOKUP(C310,[1]Especificação!$G:$G,[1]Especificação!$C:$C)</f>
        <v>B1. Re-especificação de campos complexos | Sindicados</v>
      </c>
    </row>
    <row r="311" spans="1:25" x14ac:dyDescent="0.3">
      <c r="A311" s="50" t="str">
        <f t="shared" si="15"/>
        <v>INSTRUMENT_RWA</v>
      </c>
      <c r="B311" t="s">
        <v>128</v>
      </c>
      <c r="C311" s="10" t="s">
        <v>505</v>
      </c>
      <c r="D311" t="s">
        <v>14</v>
      </c>
      <c r="E311" t="s">
        <v>33</v>
      </c>
      <c r="F311" t="s">
        <v>130</v>
      </c>
      <c r="G311" t="s">
        <v>299</v>
      </c>
      <c r="I311" t="s">
        <v>32</v>
      </c>
      <c r="J311" s="15">
        <v>45958</v>
      </c>
      <c r="K311" t="s">
        <v>38</v>
      </c>
      <c r="L311" t="s">
        <v>149</v>
      </c>
      <c r="N311" s="15"/>
      <c r="O311" s="15">
        <v>45958</v>
      </c>
      <c r="P311" t="s">
        <v>24</v>
      </c>
      <c r="Q311" t="s">
        <v>132</v>
      </c>
      <c r="R311" t="s">
        <v>132</v>
      </c>
      <c r="S311" t="s">
        <v>133</v>
      </c>
      <c r="T311" t="s">
        <v>133</v>
      </c>
      <c r="U311" t="s">
        <v>133</v>
      </c>
      <c r="V311" t="s">
        <v>132</v>
      </c>
      <c r="W311" t="s">
        <v>138</v>
      </c>
      <c r="X311" t="s">
        <v>139</v>
      </c>
      <c r="Y311" t="str">
        <f>_xlfn.XLOOKUP(C311,[1]Especificação!$G:$G,[1]Especificação!$C:$C)</f>
        <v>C. Campos em testes ou c/ incidências</v>
      </c>
    </row>
    <row r="312" spans="1:25" x14ac:dyDescent="0.3">
      <c r="A312" s="50" t="str">
        <f t="shared" si="15"/>
        <v>INSTRUMENT_DT_LGL_FNL_MTRTY</v>
      </c>
      <c r="B312" t="s">
        <v>128</v>
      </c>
      <c r="C312" s="10" t="s">
        <v>506</v>
      </c>
      <c r="D312" t="s">
        <v>14</v>
      </c>
      <c r="E312" t="s">
        <v>35</v>
      </c>
      <c r="F312" t="s">
        <v>149</v>
      </c>
      <c r="G312" s="86" t="s">
        <v>507</v>
      </c>
      <c r="H312" t="s">
        <v>508</v>
      </c>
      <c r="I312" t="s">
        <v>32</v>
      </c>
      <c r="J312" s="15">
        <v>45958</v>
      </c>
      <c r="K312" t="s">
        <v>38</v>
      </c>
      <c r="L312" t="str">
        <f t="shared" ref="L312:L335" si="18">F312</f>
        <v>NOK</v>
      </c>
      <c r="N312" s="15"/>
      <c r="O312" s="15">
        <v>45958</v>
      </c>
      <c r="P312" t="s">
        <v>24</v>
      </c>
      <c r="Q312" t="s">
        <v>132</v>
      </c>
      <c r="R312" t="s">
        <v>133</v>
      </c>
      <c r="S312" t="s">
        <v>132</v>
      </c>
      <c r="T312" t="s">
        <v>133</v>
      </c>
      <c r="U312" t="s">
        <v>133</v>
      </c>
      <c r="V312" t="s">
        <v>132</v>
      </c>
      <c r="W312" t="s">
        <v>138</v>
      </c>
      <c r="X312" t="s">
        <v>139</v>
      </c>
      <c r="Y312" t="str">
        <f>_xlfn.XLOOKUP(C312,[1]Especificação!$G:$G,[1]Especificação!$C:$C)</f>
        <v>C. Campos em testes ou c/ incidências</v>
      </c>
    </row>
    <row r="313" spans="1:25" x14ac:dyDescent="0.3">
      <c r="A313" s="50" t="str">
        <f t="shared" si="15"/>
        <v>INSTRUMENT_SBJCT_PBLC_GRNT_SCHM_C19</v>
      </c>
      <c r="B313" t="s">
        <v>128</v>
      </c>
      <c r="C313" t="s">
        <v>509</v>
      </c>
      <c r="D313" t="s">
        <v>6</v>
      </c>
      <c r="E313" t="s">
        <v>38</v>
      </c>
      <c r="F313" t="s">
        <v>130</v>
      </c>
      <c r="G313" t="s">
        <v>131</v>
      </c>
      <c r="I313" t="s">
        <v>26</v>
      </c>
      <c r="J313" s="15">
        <v>45450</v>
      </c>
      <c r="K313" t="s">
        <v>38</v>
      </c>
      <c r="L313" t="str">
        <f t="shared" si="18"/>
        <v>OK</v>
      </c>
      <c r="P313" t="s">
        <v>30</v>
      </c>
      <c r="Q313" t="s">
        <v>132</v>
      </c>
      <c r="R313" t="s">
        <v>133</v>
      </c>
      <c r="S313" t="s">
        <v>133</v>
      </c>
      <c r="T313" t="s">
        <v>133</v>
      </c>
      <c r="U313" t="s">
        <v>133</v>
      </c>
      <c r="V313" t="s">
        <v>133</v>
      </c>
      <c r="W313" t="s">
        <v>5</v>
      </c>
      <c r="X313">
        <v>0</v>
      </c>
      <c r="Y313" t="e">
        <f>_xlfn.XLOOKUP(C313,[1]Especificação!$G:$G,[1]Especificação!$C:$C)</f>
        <v>#N/A</v>
      </c>
    </row>
    <row r="314" spans="1:25" x14ac:dyDescent="0.3">
      <c r="A314" s="50" t="str">
        <f t="shared" si="15"/>
        <v>INSTRUMENT_DT_NXT_INTRST_RT_RST</v>
      </c>
      <c r="B314" t="s">
        <v>128</v>
      </c>
      <c r="C314" s="10" t="s">
        <v>510</v>
      </c>
      <c r="D314" t="s">
        <v>14</v>
      </c>
      <c r="E314" t="s">
        <v>35</v>
      </c>
      <c r="F314" t="s">
        <v>149</v>
      </c>
      <c r="G314" t="s">
        <v>511</v>
      </c>
      <c r="H314" t="s">
        <v>512</v>
      </c>
      <c r="I314" t="s">
        <v>32</v>
      </c>
      <c r="J314" s="15">
        <v>45450</v>
      </c>
      <c r="K314" t="s">
        <v>35</v>
      </c>
      <c r="L314" t="str">
        <f t="shared" si="18"/>
        <v>NOK</v>
      </c>
      <c r="P314" t="s">
        <v>24</v>
      </c>
      <c r="Q314" t="s">
        <v>132</v>
      </c>
      <c r="R314" t="s">
        <v>133</v>
      </c>
      <c r="S314" t="s">
        <v>133</v>
      </c>
      <c r="T314" t="s">
        <v>133</v>
      </c>
      <c r="U314" t="s">
        <v>133</v>
      </c>
      <c r="V314" t="s">
        <v>133</v>
      </c>
      <c r="W314" t="s">
        <v>5</v>
      </c>
      <c r="X314">
        <v>0</v>
      </c>
      <c r="Y314" t="e">
        <f>_xlfn.XLOOKUP(C314,[1]Especificação!$G:$G,[1]Especificação!$C:$C)</f>
        <v>#N/A</v>
      </c>
    </row>
    <row r="315" spans="1:25" x14ac:dyDescent="0.3">
      <c r="A315" s="50" t="str">
        <f t="shared" si="15"/>
        <v>INSTRUMENT_SME_FNRP18</v>
      </c>
      <c r="B315" t="s">
        <v>128</v>
      </c>
      <c r="C315" t="s">
        <v>513</v>
      </c>
      <c r="D315" t="s">
        <v>14</v>
      </c>
      <c r="E315" t="s">
        <v>38</v>
      </c>
      <c r="F315" t="s">
        <v>130</v>
      </c>
      <c r="G315" t="s">
        <v>131</v>
      </c>
      <c r="I315" t="s">
        <v>26</v>
      </c>
      <c r="J315" s="15">
        <v>45952</v>
      </c>
      <c r="K315" t="s">
        <v>38</v>
      </c>
      <c r="L315" t="s">
        <v>130</v>
      </c>
      <c r="O315" s="15">
        <v>45952</v>
      </c>
      <c r="P315" t="s">
        <v>30</v>
      </c>
      <c r="Q315" t="s">
        <v>132</v>
      </c>
      <c r="R315" t="s">
        <v>133</v>
      </c>
      <c r="S315" t="s">
        <v>133</v>
      </c>
      <c r="T315" t="s">
        <v>133</v>
      </c>
      <c r="U315" t="s">
        <v>133</v>
      </c>
      <c r="V315" t="s">
        <v>133</v>
      </c>
      <c r="W315" t="s">
        <v>5</v>
      </c>
      <c r="X315">
        <v>0</v>
      </c>
      <c r="Y315" t="e">
        <f>_xlfn.XLOOKUP(C315,[1]Especificação!$G:$G,[1]Especificação!$C:$C)</f>
        <v>#N/A</v>
      </c>
    </row>
    <row r="316" spans="1:25" x14ac:dyDescent="0.3">
      <c r="A316" s="50" t="str">
        <f t="shared" si="15"/>
        <v>ENTITY_SNGL_PRPS_VHCL</v>
      </c>
      <c r="B316" t="s">
        <v>142</v>
      </c>
      <c r="C316" t="s">
        <v>514</v>
      </c>
      <c r="D316" t="s">
        <v>6</v>
      </c>
      <c r="E316" t="s">
        <v>38</v>
      </c>
      <c r="F316" t="s">
        <v>130</v>
      </c>
      <c r="G316" t="s">
        <v>131</v>
      </c>
      <c r="I316" t="s">
        <v>26</v>
      </c>
      <c r="J316" s="15">
        <v>45450</v>
      </c>
      <c r="K316" t="s">
        <v>38</v>
      </c>
      <c r="L316" t="str">
        <f t="shared" si="18"/>
        <v>OK</v>
      </c>
      <c r="P316" t="s">
        <v>30</v>
      </c>
      <c r="Q316" t="s">
        <v>132</v>
      </c>
      <c r="R316" t="s">
        <v>133</v>
      </c>
      <c r="S316" t="s">
        <v>133</v>
      </c>
      <c r="T316" t="s">
        <v>133</v>
      </c>
      <c r="U316" t="s">
        <v>133</v>
      </c>
      <c r="V316" t="s">
        <v>133</v>
      </c>
      <c r="W316" t="s">
        <v>5</v>
      </c>
      <c r="X316">
        <v>0</v>
      </c>
      <c r="Y316" t="e">
        <f>_xlfn.XLOOKUP(C316,[1]Especificação!$G:$G,[1]Especificação!$C:$C)</f>
        <v>#N/A</v>
      </c>
    </row>
    <row r="317" spans="1:25" x14ac:dyDescent="0.3">
      <c r="A317" s="50" t="str">
        <f t="shared" si="15"/>
        <v>INSTRUMENT_SPCLTV_LNDNG</v>
      </c>
      <c r="B317" t="s">
        <v>128</v>
      </c>
      <c r="C317" t="s">
        <v>515</v>
      </c>
      <c r="D317" t="s">
        <v>6</v>
      </c>
      <c r="E317" t="s">
        <v>36</v>
      </c>
      <c r="F317" t="s">
        <v>149</v>
      </c>
      <c r="G317" t="s">
        <v>163</v>
      </c>
      <c r="I317" t="s">
        <v>29</v>
      </c>
      <c r="J317" s="15">
        <v>45450</v>
      </c>
      <c r="K317" t="s">
        <v>36</v>
      </c>
      <c r="L317" t="str">
        <f t="shared" si="18"/>
        <v>NOK</v>
      </c>
      <c r="P317" t="s">
        <v>8</v>
      </c>
      <c r="Q317" t="s">
        <v>132</v>
      </c>
      <c r="R317" t="s">
        <v>133</v>
      </c>
      <c r="S317" t="s">
        <v>133</v>
      </c>
      <c r="T317" t="s">
        <v>133</v>
      </c>
      <c r="U317" t="s">
        <v>133</v>
      </c>
      <c r="V317" t="s">
        <v>133</v>
      </c>
      <c r="W317" t="s">
        <v>5</v>
      </c>
      <c r="X317">
        <v>0</v>
      </c>
      <c r="Y317" t="e">
        <f>_xlfn.XLOOKUP(C317,[1]Especificação!$G:$G,[1]Especificação!$C:$C)</f>
        <v>#N/A</v>
      </c>
    </row>
    <row r="318" spans="1:25" x14ac:dyDescent="0.3">
      <c r="A318" s="50" t="str">
        <f t="shared" si="15"/>
        <v>INSTRUMENT_SPNSR_NM</v>
      </c>
      <c r="B318" t="s">
        <v>128</v>
      </c>
      <c r="C318" t="s">
        <v>516</v>
      </c>
      <c r="D318" t="s">
        <v>6</v>
      </c>
      <c r="E318" t="s">
        <v>37</v>
      </c>
      <c r="F318" t="s">
        <v>130</v>
      </c>
      <c r="G318" t="s">
        <v>170</v>
      </c>
      <c r="I318" t="s">
        <v>26</v>
      </c>
      <c r="J318" s="15">
        <v>45450</v>
      </c>
      <c r="K318" t="s">
        <v>37</v>
      </c>
      <c r="L318" t="str">
        <f t="shared" si="18"/>
        <v>OK</v>
      </c>
      <c r="P318" t="s">
        <v>27</v>
      </c>
      <c r="Q318" t="s">
        <v>132</v>
      </c>
      <c r="R318" t="s">
        <v>133</v>
      </c>
      <c r="S318" t="s">
        <v>133</v>
      </c>
      <c r="T318" t="s">
        <v>133</v>
      </c>
      <c r="U318" t="s">
        <v>133</v>
      </c>
      <c r="V318" t="s">
        <v>132</v>
      </c>
      <c r="W318" t="s">
        <v>146</v>
      </c>
      <c r="X318" t="s">
        <v>211</v>
      </c>
      <c r="Y318" t="str">
        <f>_xlfn.XLOOKUP(C318,[1]Especificação!$G:$G,[1]Especificação!$C:$C)</f>
        <v>F3. Fora âmbito | Fonte Manual LF</v>
      </c>
    </row>
    <row r="319" spans="1:25" x14ac:dyDescent="0.3">
      <c r="A319" s="50" t="str">
        <f t="shared" si="15"/>
        <v>INSTRUMENT_SPRD</v>
      </c>
      <c r="B319" t="s">
        <v>128</v>
      </c>
      <c r="C319" t="s">
        <v>517</v>
      </c>
      <c r="D319" t="s">
        <v>6</v>
      </c>
      <c r="E319" t="s">
        <v>38</v>
      </c>
      <c r="F319" t="s">
        <v>130</v>
      </c>
      <c r="G319" t="s">
        <v>131</v>
      </c>
      <c r="I319" t="s">
        <v>26</v>
      </c>
      <c r="J319" s="15">
        <v>45450</v>
      </c>
      <c r="K319" t="s">
        <v>38</v>
      </c>
      <c r="L319" t="str">
        <f t="shared" si="18"/>
        <v>OK</v>
      </c>
      <c r="P319" t="s">
        <v>30</v>
      </c>
      <c r="Q319" t="s">
        <v>132</v>
      </c>
      <c r="R319" t="s">
        <v>133</v>
      </c>
      <c r="S319" t="s">
        <v>133</v>
      </c>
      <c r="T319" t="s">
        <v>133</v>
      </c>
      <c r="U319" t="s">
        <v>133</v>
      </c>
      <c r="V319" t="s">
        <v>133</v>
      </c>
      <c r="W319" t="s">
        <v>5</v>
      </c>
      <c r="X319">
        <v>0</v>
      </c>
      <c r="Y319" t="e">
        <f>_xlfn.XLOOKUP(C319,[1]Especificação!$G:$G,[1]Especificação!$C:$C)</f>
        <v>#N/A</v>
      </c>
    </row>
    <row r="320" spans="1:25" x14ac:dyDescent="0.3">
      <c r="A320" s="50" t="str">
        <f t="shared" si="15"/>
        <v>INSTRUMENT_SRCS_ENCMBRNC</v>
      </c>
      <c r="B320" t="s">
        <v>128</v>
      </c>
      <c r="C320" t="s">
        <v>518</v>
      </c>
      <c r="D320" t="s">
        <v>6</v>
      </c>
      <c r="E320" t="s">
        <v>38</v>
      </c>
      <c r="F320" t="s">
        <v>130</v>
      </c>
      <c r="G320" t="s">
        <v>131</v>
      </c>
      <c r="I320" t="s">
        <v>26</v>
      </c>
      <c r="J320" s="15">
        <v>45450</v>
      </c>
      <c r="K320" t="s">
        <v>38</v>
      </c>
      <c r="L320" t="str">
        <f t="shared" si="18"/>
        <v>OK</v>
      </c>
      <c r="P320" t="s">
        <v>30</v>
      </c>
      <c r="Q320" t="s">
        <v>132</v>
      </c>
      <c r="R320" t="s">
        <v>133</v>
      </c>
      <c r="S320" t="s">
        <v>133</v>
      </c>
      <c r="T320" t="s">
        <v>133</v>
      </c>
      <c r="U320" t="s">
        <v>133</v>
      </c>
      <c r="V320" t="s">
        <v>133</v>
      </c>
      <c r="W320" t="s">
        <v>5</v>
      </c>
      <c r="X320">
        <v>0</v>
      </c>
      <c r="Y320" t="e">
        <f>_xlfn.XLOOKUP(C320,[1]Especificação!$G:$G,[1]Especificação!$C:$C)</f>
        <v>#N/A</v>
      </c>
    </row>
    <row r="321" spans="1:25" x14ac:dyDescent="0.3">
      <c r="A321" s="50" t="str">
        <f t="shared" si="15"/>
        <v>INSTRUMENT_STTS_UNDRWRTTN_TRNSCTN</v>
      </c>
      <c r="B321" t="s">
        <v>128</v>
      </c>
      <c r="C321" t="s">
        <v>519</v>
      </c>
      <c r="D321" t="s">
        <v>6</v>
      </c>
      <c r="E321" t="s">
        <v>56</v>
      </c>
      <c r="F321" t="s">
        <v>130</v>
      </c>
      <c r="G321" t="s">
        <v>328</v>
      </c>
      <c r="H321" t="s">
        <v>329</v>
      </c>
      <c r="I321" t="s">
        <v>29</v>
      </c>
      <c r="J321" s="15">
        <v>45953</v>
      </c>
      <c r="K321" t="s">
        <v>38</v>
      </c>
      <c r="L321" t="str">
        <f t="shared" si="18"/>
        <v>OK</v>
      </c>
      <c r="O321" s="15">
        <v>45952</v>
      </c>
      <c r="P321" t="s">
        <v>13</v>
      </c>
      <c r="Q321" t="s">
        <v>132</v>
      </c>
      <c r="R321" t="s">
        <v>133</v>
      </c>
      <c r="S321" t="s">
        <v>133</v>
      </c>
      <c r="T321" t="s">
        <v>133</v>
      </c>
      <c r="U321" t="s">
        <v>133</v>
      </c>
      <c r="V321" t="s">
        <v>132</v>
      </c>
      <c r="W321" t="s">
        <v>138</v>
      </c>
      <c r="X321" t="s">
        <v>330</v>
      </c>
      <c r="Y321" t="str">
        <f>_xlfn.XLOOKUP(C321,[1]Especificação!$G:$G,[1]Especificação!$C:$C)</f>
        <v>B1. Re-especificação de campos complexos | Sindicados</v>
      </c>
    </row>
    <row r="322" spans="1:25" x14ac:dyDescent="0.3">
      <c r="A322" s="50" t="str">
        <f t="shared" si="15"/>
        <v>INSTRUMENT_SUBPORTFOLIO_ID</v>
      </c>
      <c r="B322" t="s">
        <v>128</v>
      </c>
      <c r="C322" t="s">
        <v>520</v>
      </c>
      <c r="D322" t="s">
        <v>14</v>
      </c>
      <c r="E322" t="s">
        <v>38</v>
      </c>
      <c r="F322" t="s">
        <v>130</v>
      </c>
      <c r="G322" t="s">
        <v>131</v>
      </c>
      <c r="I322" t="s">
        <v>26</v>
      </c>
      <c r="J322" s="15">
        <v>45450</v>
      </c>
      <c r="K322" t="s">
        <v>38</v>
      </c>
      <c r="L322" t="str">
        <f t="shared" si="18"/>
        <v>OK</v>
      </c>
      <c r="P322" t="s">
        <v>30</v>
      </c>
      <c r="Q322" t="s">
        <v>132</v>
      </c>
      <c r="R322" t="s">
        <v>132</v>
      </c>
      <c r="S322" t="s">
        <v>132</v>
      </c>
      <c r="T322" t="s">
        <v>133</v>
      </c>
      <c r="U322" t="s">
        <v>132</v>
      </c>
      <c r="V322" t="s">
        <v>132</v>
      </c>
      <c r="W322" t="s">
        <v>5</v>
      </c>
      <c r="X322" t="s">
        <v>135</v>
      </c>
      <c r="Y322" t="str">
        <f>_xlfn.XLOOKUP(C322,[1]Especificação!$G:$G,[1]Especificação!$C:$C)</f>
        <v>F1. Fora âmbito | Campos concluídos - Sem necessidade de espec.</v>
      </c>
    </row>
    <row r="323" spans="1:25" x14ac:dyDescent="0.3">
      <c r="A323" s="50" t="str">
        <f t="shared" si="15"/>
        <v>INSTRUMENT_SYNDCT_RL</v>
      </c>
      <c r="B323" t="s">
        <v>128</v>
      </c>
      <c r="C323" t="s">
        <v>521</v>
      </c>
      <c r="D323" t="s">
        <v>6</v>
      </c>
      <c r="E323" t="s">
        <v>56</v>
      </c>
      <c r="F323" t="s">
        <v>130</v>
      </c>
      <c r="G323" t="s">
        <v>328</v>
      </c>
      <c r="H323" t="s">
        <v>329</v>
      </c>
      <c r="I323" t="s">
        <v>29</v>
      </c>
      <c r="J323" s="15">
        <v>45953</v>
      </c>
      <c r="K323" t="s">
        <v>38</v>
      </c>
      <c r="L323" t="str">
        <f t="shared" si="18"/>
        <v>OK</v>
      </c>
      <c r="O323" s="15">
        <v>45952</v>
      </c>
      <c r="P323" t="s">
        <v>13</v>
      </c>
      <c r="Q323" t="s">
        <v>132</v>
      </c>
      <c r="R323" t="s">
        <v>133</v>
      </c>
      <c r="S323" t="s">
        <v>133</v>
      </c>
      <c r="T323" t="s">
        <v>133</v>
      </c>
      <c r="U323" t="s">
        <v>133</v>
      </c>
      <c r="V323" t="s">
        <v>132</v>
      </c>
      <c r="W323" t="s">
        <v>138</v>
      </c>
      <c r="X323" t="s">
        <v>330</v>
      </c>
      <c r="Y323" t="str">
        <f>_xlfn.XLOOKUP(C323,[1]Especificação!$G:$G,[1]Especificação!$C:$C)</f>
        <v>B1. Re-especificação de campos complexos | Sindicados</v>
      </c>
    </row>
    <row r="324" spans="1:25" x14ac:dyDescent="0.3">
      <c r="A324" s="50" t="str">
        <f t="shared" si="15"/>
        <v>INSTRUMENT_SYNDCTD_AGNT</v>
      </c>
      <c r="B324" t="s">
        <v>128</v>
      </c>
      <c r="C324" t="s">
        <v>522</v>
      </c>
      <c r="D324" t="s">
        <v>14</v>
      </c>
      <c r="E324" t="s">
        <v>56</v>
      </c>
      <c r="F324" t="s">
        <v>130</v>
      </c>
      <c r="G324" t="s">
        <v>328</v>
      </c>
      <c r="H324" t="s">
        <v>329</v>
      </c>
      <c r="I324" t="s">
        <v>29</v>
      </c>
      <c r="J324" s="15">
        <v>45953</v>
      </c>
      <c r="K324" t="s">
        <v>38</v>
      </c>
      <c r="L324" t="str">
        <f t="shared" si="18"/>
        <v>OK</v>
      </c>
      <c r="O324" s="15">
        <v>45952</v>
      </c>
      <c r="P324" t="s">
        <v>13</v>
      </c>
      <c r="Q324" t="s">
        <v>132</v>
      </c>
      <c r="R324" t="s">
        <v>133</v>
      </c>
      <c r="S324" t="s">
        <v>133</v>
      </c>
      <c r="T324" t="s">
        <v>133</v>
      </c>
      <c r="U324" t="s">
        <v>133</v>
      </c>
      <c r="V324" t="s">
        <v>132</v>
      </c>
      <c r="W324" t="s">
        <v>138</v>
      </c>
      <c r="X324" t="s">
        <v>330</v>
      </c>
      <c r="Y324" t="str">
        <f>_xlfn.XLOOKUP(C324,[1]Especificação!$G:$G,[1]Especificação!$C:$C)</f>
        <v>B1. Re-especificação de campos complexos | Sindicados</v>
      </c>
    </row>
    <row r="325" spans="1:25" x14ac:dyDescent="0.3">
      <c r="A325" s="50" t="str">
        <f t="shared" ref="A325:A385" si="19">B325&amp;"_"&amp;C325</f>
        <v>INSTRUMENT_SYNDCTD_CNTRCT_ID</v>
      </c>
      <c r="B325" t="s">
        <v>128</v>
      </c>
      <c r="C325" t="s">
        <v>523</v>
      </c>
      <c r="D325" t="s">
        <v>14</v>
      </c>
      <c r="E325" t="s">
        <v>56</v>
      </c>
      <c r="F325" t="s">
        <v>130</v>
      </c>
      <c r="G325" t="s">
        <v>328</v>
      </c>
      <c r="H325" t="s">
        <v>329</v>
      </c>
      <c r="I325" t="s">
        <v>29</v>
      </c>
      <c r="J325" s="15">
        <v>45953</v>
      </c>
      <c r="K325" t="s">
        <v>38</v>
      </c>
      <c r="L325" t="str">
        <f t="shared" si="18"/>
        <v>OK</v>
      </c>
      <c r="O325" s="15">
        <v>45952</v>
      </c>
      <c r="P325" t="s">
        <v>13</v>
      </c>
      <c r="Q325" t="s">
        <v>132</v>
      </c>
      <c r="R325" t="s">
        <v>133</v>
      </c>
      <c r="S325" t="s">
        <v>133</v>
      </c>
      <c r="T325" t="s">
        <v>133</v>
      </c>
      <c r="U325" t="s">
        <v>133</v>
      </c>
      <c r="V325" t="s">
        <v>132</v>
      </c>
      <c r="W325" t="s">
        <v>138</v>
      </c>
      <c r="X325" t="s">
        <v>330</v>
      </c>
      <c r="Y325" t="str">
        <f>_xlfn.XLOOKUP(C325,[1]Especificação!$G:$G,[1]Especificação!$C:$C)</f>
        <v>B1. Re-especificação de campos complexos | Sindicados</v>
      </c>
    </row>
    <row r="326" spans="1:25" x14ac:dyDescent="0.3">
      <c r="A326" s="50" t="str">
        <f t="shared" si="19"/>
        <v>INSTRUMENT_SYNDCTD_LNDRS</v>
      </c>
      <c r="B326" t="s">
        <v>128</v>
      </c>
      <c r="C326" t="s">
        <v>524</v>
      </c>
      <c r="D326" t="s">
        <v>14</v>
      </c>
      <c r="E326" t="s">
        <v>56</v>
      </c>
      <c r="F326" t="s">
        <v>130</v>
      </c>
      <c r="G326" t="s">
        <v>328</v>
      </c>
      <c r="H326" t="s">
        <v>329</v>
      </c>
      <c r="I326" t="s">
        <v>29</v>
      </c>
      <c r="J326" s="15">
        <v>45953</v>
      </c>
      <c r="K326" t="s">
        <v>38</v>
      </c>
      <c r="L326" t="str">
        <f t="shared" si="18"/>
        <v>OK</v>
      </c>
      <c r="O326" s="15">
        <v>45952</v>
      </c>
      <c r="P326" t="s">
        <v>13</v>
      </c>
      <c r="Q326" t="s">
        <v>132</v>
      </c>
      <c r="R326" t="s">
        <v>133</v>
      </c>
      <c r="S326" t="s">
        <v>133</v>
      </c>
      <c r="T326" t="s">
        <v>133</v>
      </c>
      <c r="U326" t="s">
        <v>133</v>
      </c>
      <c r="V326" t="s">
        <v>132</v>
      </c>
      <c r="W326" t="s">
        <v>138</v>
      </c>
      <c r="X326" t="s">
        <v>330</v>
      </c>
      <c r="Y326" t="str">
        <f>_xlfn.XLOOKUP(C326,[1]Especificação!$G:$G,[1]Especificação!$C:$C)</f>
        <v>B1. Re-especificação de campos complexos | Sindicados</v>
      </c>
    </row>
    <row r="327" spans="1:25" x14ac:dyDescent="0.3">
      <c r="A327" s="50" t="str">
        <f t="shared" si="19"/>
        <v>INSTRUMENT_SYNDCTD_SHR</v>
      </c>
      <c r="B327" t="s">
        <v>128</v>
      </c>
      <c r="C327" t="s">
        <v>525</v>
      </c>
      <c r="D327" t="s">
        <v>14</v>
      </c>
      <c r="E327" t="s">
        <v>56</v>
      </c>
      <c r="F327" t="s">
        <v>130</v>
      </c>
      <c r="G327" t="s">
        <v>328</v>
      </c>
      <c r="H327" t="s">
        <v>329</v>
      </c>
      <c r="I327" t="s">
        <v>29</v>
      </c>
      <c r="J327" s="15">
        <v>45953</v>
      </c>
      <c r="K327" t="s">
        <v>38</v>
      </c>
      <c r="L327" t="str">
        <f t="shared" si="18"/>
        <v>OK</v>
      </c>
      <c r="O327" s="15">
        <v>45952</v>
      </c>
      <c r="P327" t="s">
        <v>13</v>
      </c>
      <c r="Q327" t="s">
        <v>132</v>
      </c>
      <c r="R327" t="s">
        <v>133</v>
      </c>
      <c r="S327" t="s">
        <v>133</v>
      </c>
      <c r="T327" t="s">
        <v>133</v>
      </c>
      <c r="U327" t="s">
        <v>133</v>
      </c>
      <c r="V327" t="s">
        <v>132</v>
      </c>
      <c r="W327" t="s">
        <v>138</v>
      </c>
      <c r="X327" t="s">
        <v>330</v>
      </c>
      <c r="Y327" t="str">
        <f>_xlfn.XLOOKUP(C327,[1]Especificação!$G:$G,[1]Especificação!$C:$C)</f>
        <v>B1. Re-especificação de campos complexos | Sindicados</v>
      </c>
    </row>
    <row r="328" spans="1:25" x14ac:dyDescent="0.3">
      <c r="A328" s="50" t="str">
        <f t="shared" si="19"/>
        <v>INSTRUMENT_SYNDCTN_TYP</v>
      </c>
      <c r="B328" t="s">
        <v>128</v>
      </c>
      <c r="C328" t="s">
        <v>526</v>
      </c>
      <c r="D328" t="s">
        <v>6</v>
      </c>
      <c r="E328" t="s">
        <v>56</v>
      </c>
      <c r="F328" t="s">
        <v>130</v>
      </c>
      <c r="G328" t="s">
        <v>328</v>
      </c>
      <c r="H328" t="s">
        <v>329</v>
      </c>
      <c r="I328" t="s">
        <v>29</v>
      </c>
      <c r="J328" s="15">
        <v>45953</v>
      </c>
      <c r="K328" t="s">
        <v>38</v>
      </c>
      <c r="L328" t="str">
        <f t="shared" si="18"/>
        <v>OK</v>
      </c>
      <c r="O328" s="15">
        <v>45952</v>
      </c>
      <c r="P328" t="s">
        <v>13</v>
      </c>
      <c r="Q328" t="s">
        <v>132</v>
      </c>
      <c r="R328" t="s">
        <v>133</v>
      </c>
      <c r="S328" t="s">
        <v>133</v>
      </c>
      <c r="T328" t="s">
        <v>133</v>
      </c>
      <c r="U328" t="s">
        <v>133</v>
      </c>
      <c r="V328" t="s">
        <v>132</v>
      </c>
      <c r="W328" t="s">
        <v>138</v>
      </c>
      <c r="X328" t="s">
        <v>330</v>
      </c>
      <c r="Y328" t="str">
        <f>_xlfn.XLOOKUP(C328,[1]Especificação!$G:$G,[1]Especificação!$C:$C)</f>
        <v>B1. Re-especificação de campos complexos | Sindicados</v>
      </c>
    </row>
    <row r="329" spans="1:25" x14ac:dyDescent="0.3">
      <c r="A329" s="50" t="str">
        <f t="shared" si="19"/>
        <v>ENTITY_TAX_ID</v>
      </c>
      <c r="B329" t="s">
        <v>142</v>
      </c>
      <c r="C329" t="s">
        <v>527</v>
      </c>
      <c r="D329" t="s">
        <v>6</v>
      </c>
      <c r="E329" t="s">
        <v>36</v>
      </c>
      <c r="F329" t="s">
        <v>149</v>
      </c>
      <c r="G329" t="s">
        <v>528</v>
      </c>
      <c r="I329" t="s">
        <v>29</v>
      </c>
      <c r="J329" s="15">
        <v>45450</v>
      </c>
      <c r="K329" t="s">
        <v>36</v>
      </c>
      <c r="L329" t="str">
        <f t="shared" si="18"/>
        <v>NOK</v>
      </c>
      <c r="P329" t="s">
        <v>8</v>
      </c>
      <c r="Q329" t="s">
        <v>132</v>
      </c>
      <c r="R329" t="s">
        <v>133</v>
      </c>
      <c r="S329" t="s">
        <v>133</v>
      </c>
      <c r="T329" t="s">
        <v>133</v>
      </c>
      <c r="U329" t="s">
        <v>133</v>
      </c>
      <c r="V329" t="s">
        <v>133</v>
      </c>
      <c r="W329" t="s">
        <v>5</v>
      </c>
      <c r="X329">
        <v>0</v>
      </c>
      <c r="Y329" t="e">
        <f>_xlfn.XLOOKUP(C329,[1]Especificação!$G:$G,[1]Especificação!$C:$C)</f>
        <v>#N/A</v>
      </c>
    </row>
    <row r="330" spans="1:25" x14ac:dyDescent="0.3">
      <c r="A330" s="50" t="str">
        <f t="shared" si="19"/>
        <v>PROTECTION_TAX_ID</v>
      </c>
      <c r="B330" t="s">
        <v>161</v>
      </c>
      <c r="C330" t="s">
        <v>527</v>
      </c>
      <c r="D330" t="s">
        <v>6</v>
      </c>
      <c r="E330" t="s">
        <v>36</v>
      </c>
      <c r="F330" t="s">
        <v>149</v>
      </c>
      <c r="G330" t="s">
        <v>529</v>
      </c>
      <c r="I330" t="s">
        <v>29</v>
      </c>
      <c r="J330" s="15">
        <v>45450</v>
      </c>
      <c r="K330" t="s">
        <v>36</v>
      </c>
      <c r="L330" t="str">
        <f t="shared" si="18"/>
        <v>NOK</v>
      </c>
      <c r="P330" t="s">
        <v>8</v>
      </c>
      <c r="Q330" t="s">
        <v>132</v>
      </c>
      <c r="R330" t="s">
        <v>133</v>
      </c>
      <c r="S330" t="s">
        <v>133</v>
      </c>
      <c r="T330" t="s">
        <v>133</v>
      </c>
      <c r="U330" t="s">
        <v>133</v>
      </c>
      <c r="V330" t="s">
        <v>133</v>
      </c>
      <c r="W330" t="s">
        <v>5</v>
      </c>
      <c r="X330">
        <v>0</v>
      </c>
      <c r="Y330" t="e">
        <f>_xlfn.XLOOKUP(C330,[1]Especificação!$G:$G,[1]Especificação!$C:$C)</f>
        <v>#N/A</v>
      </c>
    </row>
    <row r="331" spans="1:25" x14ac:dyDescent="0.3">
      <c r="A331" s="50" t="str">
        <f t="shared" si="19"/>
        <v>INSTR_PROTECTION_THRD_PRTY_PRRTY_CLMS</v>
      </c>
      <c r="B331" t="s">
        <v>194</v>
      </c>
      <c r="C331" t="s">
        <v>530</v>
      </c>
      <c r="D331" t="s">
        <v>14</v>
      </c>
      <c r="E331" t="s">
        <v>38</v>
      </c>
      <c r="F331" t="s">
        <v>130</v>
      </c>
      <c r="G331" t="s">
        <v>131</v>
      </c>
      <c r="I331" t="s">
        <v>26</v>
      </c>
      <c r="J331" s="15">
        <v>45450</v>
      </c>
      <c r="K331" t="s">
        <v>38</v>
      </c>
      <c r="L331" t="str">
        <f t="shared" si="18"/>
        <v>OK</v>
      </c>
      <c r="P331" t="s">
        <v>30</v>
      </c>
      <c r="Q331" t="s">
        <v>132</v>
      </c>
      <c r="R331" t="s">
        <v>133</v>
      </c>
      <c r="S331" t="s">
        <v>133</v>
      </c>
      <c r="T331" t="s">
        <v>133</v>
      </c>
      <c r="U331" t="s">
        <v>133</v>
      </c>
      <c r="V331" t="s">
        <v>133</v>
      </c>
      <c r="W331" t="s">
        <v>5</v>
      </c>
      <c r="X331">
        <v>0</v>
      </c>
      <c r="Y331" t="e">
        <f>_xlfn.XLOOKUP(C331,[1]Especificação!$G:$G,[1]Especificação!$C:$C)</f>
        <v>#N/A</v>
      </c>
    </row>
    <row r="332" spans="1:25" x14ac:dyDescent="0.3">
      <c r="A332" s="50" t="str">
        <f t="shared" si="19"/>
        <v>INSTRUMENT_TRNCH</v>
      </c>
      <c r="B332" t="s">
        <v>128</v>
      </c>
      <c r="C332" t="s">
        <v>531</v>
      </c>
      <c r="D332" t="s">
        <v>6</v>
      </c>
      <c r="E332" t="s">
        <v>56</v>
      </c>
      <c r="F332" t="s">
        <v>130</v>
      </c>
      <c r="G332" t="s">
        <v>328</v>
      </c>
      <c r="H332" t="s">
        <v>329</v>
      </c>
      <c r="I332" t="s">
        <v>29</v>
      </c>
      <c r="J332" s="15">
        <v>45953</v>
      </c>
      <c r="K332" t="s">
        <v>38</v>
      </c>
      <c r="L332" t="str">
        <f t="shared" si="18"/>
        <v>OK</v>
      </c>
      <c r="O332" s="15">
        <v>45952</v>
      </c>
      <c r="P332" t="s">
        <v>13</v>
      </c>
      <c r="Q332" t="s">
        <v>132</v>
      </c>
      <c r="R332" t="s">
        <v>133</v>
      </c>
      <c r="S332" t="s">
        <v>133</v>
      </c>
      <c r="T332" t="s">
        <v>133</v>
      </c>
      <c r="U332" t="s">
        <v>133</v>
      </c>
      <c r="V332" t="s">
        <v>132</v>
      </c>
      <c r="W332" t="s">
        <v>138</v>
      </c>
      <c r="X332" t="s">
        <v>330</v>
      </c>
      <c r="Y332" t="str">
        <f>_xlfn.XLOOKUP(C332,[1]Especificação!$G:$G,[1]Especificação!$C:$C)</f>
        <v>B1. Re-especificação de campos complexos | Sindicados</v>
      </c>
    </row>
    <row r="333" spans="1:25" x14ac:dyDescent="0.3">
      <c r="A333" s="50" t="str">
        <f t="shared" si="19"/>
        <v>ENTITY_TTL_DBT</v>
      </c>
      <c r="B333" t="s">
        <v>142</v>
      </c>
      <c r="C333" t="s">
        <v>532</v>
      </c>
      <c r="D333" t="s">
        <v>14</v>
      </c>
      <c r="E333" t="s">
        <v>25</v>
      </c>
      <c r="F333" t="s">
        <v>130</v>
      </c>
      <c r="G333" t="s">
        <v>144</v>
      </c>
      <c r="H333" t="s">
        <v>145</v>
      </c>
      <c r="I333" t="s">
        <v>29</v>
      </c>
      <c r="J333" s="15">
        <v>45450</v>
      </c>
      <c r="K333" t="s">
        <v>25</v>
      </c>
      <c r="L333" t="str">
        <f t="shared" si="18"/>
        <v>OK</v>
      </c>
      <c r="P333" t="s">
        <v>13</v>
      </c>
      <c r="Q333" t="s">
        <v>132</v>
      </c>
      <c r="R333" t="s">
        <v>133</v>
      </c>
      <c r="S333" t="s">
        <v>132</v>
      </c>
      <c r="T333" t="s">
        <v>133</v>
      </c>
      <c r="U333" t="s">
        <v>133</v>
      </c>
      <c r="V333" t="s">
        <v>132</v>
      </c>
      <c r="W333" t="s">
        <v>146</v>
      </c>
      <c r="X333" t="s">
        <v>147</v>
      </c>
      <c r="Y333" t="str">
        <f>_xlfn.XLOOKUP(C333,[1]Especificação!$G:$G,[1]Especificação!$C:$C)</f>
        <v>F4. Fora âmbito | Re-especificação de campos complexos - Dem. Fin. CIB</v>
      </c>
    </row>
    <row r="334" spans="1:25" x14ac:dyDescent="0.3">
      <c r="A334" s="50" t="str">
        <f t="shared" si="19"/>
        <v>ENTITY_TTL_DBT_PRVS</v>
      </c>
      <c r="B334" t="s">
        <v>142</v>
      </c>
      <c r="C334" t="s">
        <v>533</v>
      </c>
      <c r="D334" t="s">
        <v>14</v>
      </c>
      <c r="E334" t="s">
        <v>25</v>
      </c>
      <c r="F334" t="s">
        <v>130</v>
      </c>
      <c r="G334" t="s">
        <v>144</v>
      </c>
      <c r="H334" t="s">
        <v>145</v>
      </c>
      <c r="I334" t="s">
        <v>29</v>
      </c>
      <c r="J334" s="15">
        <v>45450</v>
      </c>
      <c r="K334" t="s">
        <v>25</v>
      </c>
      <c r="L334" t="str">
        <f t="shared" si="18"/>
        <v>OK</v>
      </c>
      <c r="P334" t="s">
        <v>13</v>
      </c>
      <c r="Q334" t="s">
        <v>132</v>
      </c>
      <c r="R334" t="s">
        <v>133</v>
      </c>
      <c r="S334" t="s">
        <v>133</v>
      </c>
      <c r="T334" t="s">
        <v>133</v>
      </c>
      <c r="U334" t="s">
        <v>133</v>
      </c>
      <c r="V334" t="s">
        <v>132</v>
      </c>
      <c r="W334" t="s">
        <v>146</v>
      </c>
      <c r="X334" t="s">
        <v>147</v>
      </c>
      <c r="Y334" t="str">
        <f>_xlfn.XLOOKUP(C334,[1]Especificação!$G:$G,[1]Especificação!$C:$C)</f>
        <v>F4. Fora âmbito | Re-especificação de campos complexos - Dem. Fin. CIB</v>
      </c>
    </row>
    <row r="335" spans="1:25" x14ac:dyDescent="0.3">
      <c r="A335" s="50" t="str">
        <f t="shared" si="19"/>
        <v>INSTRUMENT_ACCRD_INTRST_INSTRMNT</v>
      </c>
      <c r="B335" t="s">
        <v>128</v>
      </c>
      <c r="C335" t="s">
        <v>534</v>
      </c>
      <c r="D335" t="s">
        <v>14</v>
      </c>
      <c r="E335" t="s">
        <v>25</v>
      </c>
      <c r="F335" t="s">
        <v>130</v>
      </c>
      <c r="G335" t="s">
        <v>493</v>
      </c>
      <c r="I335" t="s">
        <v>29</v>
      </c>
      <c r="J335" s="15">
        <v>45958</v>
      </c>
      <c r="K335" t="s">
        <v>38</v>
      </c>
      <c r="L335" t="s">
        <v>130</v>
      </c>
      <c r="O335" s="15">
        <v>45958</v>
      </c>
      <c r="P335" t="s">
        <v>13</v>
      </c>
      <c r="Q335" t="s">
        <v>132</v>
      </c>
      <c r="R335" t="s">
        <v>133</v>
      </c>
      <c r="S335" t="s">
        <v>133</v>
      </c>
      <c r="T335" t="s">
        <v>133</v>
      </c>
      <c r="U335" t="s">
        <v>133</v>
      </c>
      <c r="V335" t="s">
        <v>132</v>
      </c>
      <c r="W335" t="s">
        <v>138</v>
      </c>
      <c r="X335" t="s">
        <v>153</v>
      </c>
      <c r="Y335" t="str">
        <f>_xlfn.XLOOKUP(C335,[1]Especificação!$G:$G,[1]Especificação!$C:$C)</f>
        <v>B2. Re-especificação de campos complexos - Resto</v>
      </c>
    </row>
    <row r="336" spans="1:25" x14ac:dyDescent="0.3">
      <c r="A336" s="50" t="str">
        <f t="shared" si="19"/>
        <v>ENTITY_TTL_LVRG_RT</v>
      </c>
      <c r="B336" t="s">
        <v>142</v>
      </c>
      <c r="C336" t="s">
        <v>535</v>
      </c>
      <c r="D336" t="s">
        <v>6</v>
      </c>
      <c r="E336" t="s">
        <v>38</v>
      </c>
      <c r="F336" t="s">
        <v>130</v>
      </c>
      <c r="G336" t="s">
        <v>131</v>
      </c>
      <c r="I336" t="s">
        <v>26</v>
      </c>
      <c r="J336" s="15">
        <v>45450</v>
      </c>
      <c r="K336" t="s">
        <v>38</v>
      </c>
      <c r="L336" t="str">
        <f t="shared" ref="L336:L342" si="20">F336</f>
        <v>OK</v>
      </c>
      <c r="P336" t="s">
        <v>30</v>
      </c>
      <c r="Q336" t="s">
        <v>132</v>
      </c>
      <c r="R336" t="s">
        <v>133</v>
      </c>
      <c r="S336" t="s">
        <v>133</v>
      </c>
      <c r="T336" t="s">
        <v>133</v>
      </c>
      <c r="U336" t="s">
        <v>133</v>
      </c>
      <c r="V336" t="s">
        <v>132</v>
      </c>
      <c r="W336" t="s">
        <v>5</v>
      </c>
      <c r="X336" t="s">
        <v>135</v>
      </c>
      <c r="Y336" t="str">
        <f>_xlfn.XLOOKUP(C336,[1]Especificação!$G:$G,[1]Especificação!$C:$C)</f>
        <v>F1. Fora âmbito | Campos concluídos - Sem necessidade de espec.</v>
      </c>
    </row>
    <row r="337" spans="1:25" x14ac:dyDescent="0.3">
      <c r="A337" s="50" t="str">
        <f t="shared" si="19"/>
        <v>ENTITY_TTL_LVRG_RT_PRVS</v>
      </c>
      <c r="B337" t="s">
        <v>142</v>
      </c>
      <c r="C337" t="s">
        <v>536</v>
      </c>
      <c r="D337" t="s">
        <v>6</v>
      </c>
      <c r="E337" t="s">
        <v>38</v>
      </c>
      <c r="F337" t="s">
        <v>130</v>
      </c>
      <c r="G337" t="s">
        <v>131</v>
      </c>
      <c r="I337" t="s">
        <v>26</v>
      </c>
      <c r="J337" s="15">
        <v>45450</v>
      </c>
      <c r="K337" t="s">
        <v>38</v>
      </c>
      <c r="L337" t="str">
        <f t="shared" si="20"/>
        <v>OK</v>
      </c>
      <c r="P337" t="s">
        <v>30</v>
      </c>
      <c r="Q337" t="s">
        <v>132</v>
      </c>
      <c r="R337" t="s">
        <v>133</v>
      </c>
      <c r="S337" t="s">
        <v>133</v>
      </c>
      <c r="T337" t="s">
        <v>133</v>
      </c>
      <c r="U337" t="s">
        <v>133</v>
      </c>
      <c r="V337" t="s">
        <v>132</v>
      </c>
      <c r="W337" t="s">
        <v>5</v>
      </c>
      <c r="X337" t="s">
        <v>135</v>
      </c>
      <c r="Y337" t="str">
        <f>_xlfn.XLOOKUP(C337,[1]Especificação!$G:$G,[1]Especificação!$C:$C)</f>
        <v>F1. Fora âmbito | Campos concluídos - Sem necessidade de espec.</v>
      </c>
    </row>
    <row r="338" spans="1:25" x14ac:dyDescent="0.3">
      <c r="A338" s="50" t="str">
        <f t="shared" si="19"/>
        <v>INSTRUMENT_TYP_AMRTSTN</v>
      </c>
      <c r="B338" t="s">
        <v>128</v>
      </c>
      <c r="C338" s="11" t="s">
        <v>537</v>
      </c>
      <c r="D338" t="s">
        <v>14</v>
      </c>
      <c r="E338" t="s">
        <v>28</v>
      </c>
      <c r="F338" t="s">
        <v>149</v>
      </c>
      <c r="G338" t="s">
        <v>159</v>
      </c>
      <c r="H338" t="s">
        <v>485</v>
      </c>
      <c r="I338" t="s">
        <v>32</v>
      </c>
      <c r="J338" s="15">
        <v>45958</v>
      </c>
      <c r="K338" t="s">
        <v>38</v>
      </c>
      <c r="L338" t="str">
        <f t="shared" si="20"/>
        <v>NOK</v>
      </c>
      <c r="N338" s="15">
        <v>45958</v>
      </c>
      <c r="P338" t="s">
        <v>39</v>
      </c>
      <c r="Q338" t="s">
        <v>132</v>
      </c>
      <c r="R338" t="s">
        <v>133</v>
      </c>
      <c r="S338" t="s">
        <v>133</v>
      </c>
      <c r="T338" t="s">
        <v>133</v>
      </c>
      <c r="U338" t="s">
        <v>133</v>
      </c>
      <c r="V338" t="s">
        <v>132</v>
      </c>
      <c r="W338" t="s">
        <v>138</v>
      </c>
      <c r="X338" t="s">
        <v>222</v>
      </c>
      <c r="Y338" t="str">
        <f>_xlfn.XLOOKUP(C338,[1]Especificação!$G:$G,[1]Especificação!$C:$C)</f>
        <v xml:space="preserve">E. Campos com outras possíveis alterações - Dependente de decisões OSI </v>
      </c>
    </row>
    <row r="339" spans="1:25" x14ac:dyDescent="0.3">
      <c r="A339" s="50" t="str">
        <f t="shared" si="19"/>
        <v>INSTRUMENT_TYP_CMPLNT_MRTR_C19</v>
      </c>
      <c r="B339" t="s">
        <v>128</v>
      </c>
      <c r="C339" t="s">
        <v>538</v>
      </c>
      <c r="D339" t="s">
        <v>6</v>
      </c>
      <c r="E339" t="s">
        <v>38</v>
      </c>
      <c r="F339" t="s">
        <v>130</v>
      </c>
      <c r="G339" t="s">
        <v>131</v>
      </c>
      <c r="I339" t="s">
        <v>26</v>
      </c>
      <c r="J339" s="15">
        <v>45450</v>
      </c>
      <c r="K339" t="s">
        <v>38</v>
      </c>
      <c r="L339" t="str">
        <f t="shared" si="20"/>
        <v>OK</v>
      </c>
      <c r="P339" t="s">
        <v>30</v>
      </c>
      <c r="Q339" t="s">
        <v>132</v>
      </c>
      <c r="R339" t="s">
        <v>133</v>
      </c>
      <c r="S339" t="s">
        <v>133</v>
      </c>
      <c r="T339" t="s">
        <v>133</v>
      </c>
      <c r="U339" t="s">
        <v>133</v>
      </c>
      <c r="V339" t="s">
        <v>133</v>
      </c>
      <c r="W339" t="s">
        <v>5</v>
      </c>
      <c r="X339">
        <v>0</v>
      </c>
      <c r="Y339" t="e">
        <f>_xlfn.XLOOKUP(C339,[1]Especificação!$G:$G,[1]Especificação!$C:$C)</f>
        <v>#N/A</v>
      </c>
    </row>
    <row r="340" spans="1:25" x14ac:dyDescent="0.3">
      <c r="A340" s="50" t="str">
        <f t="shared" si="19"/>
        <v>INSTRUMENT_TYP_CRE_OPRTN</v>
      </c>
      <c r="B340" t="s">
        <v>128</v>
      </c>
      <c r="C340" t="s">
        <v>539</v>
      </c>
      <c r="D340" t="s">
        <v>6</v>
      </c>
      <c r="E340" t="s">
        <v>36</v>
      </c>
      <c r="F340" t="s">
        <v>149</v>
      </c>
      <c r="G340" t="s">
        <v>163</v>
      </c>
      <c r="I340" t="s">
        <v>29</v>
      </c>
      <c r="J340" s="15">
        <v>45450</v>
      </c>
      <c r="K340" t="s">
        <v>36</v>
      </c>
      <c r="L340" t="str">
        <f t="shared" si="20"/>
        <v>NOK</v>
      </c>
      <c r="P340" t="s">
        <v>8</v>
      </c>
      <c r="Q340" t="s">
        <v>132</v>
      </c>
      <c r="R340" t="s">
        <v>133</v>
      </c>
      <c r="S340" t="s">
        <v>133</v>
      </c>
      <c r="T340" t="s">
        <v>133</v>
      </c>
      <c r="U340" t="s">
        <v>133</v>
      </c>
      <c r="V340" t="s">
        <v>133</v>
      </c>
      <c r="W340" t="s">
        <v>5</v>
      </c>
      <c r="X340">
        <v>0</v>
      </c>
      <c r="Y340" t="e">
        <f>_xlfn.XLOOKUP(C340,[1]Especificação!$G:$G,[1]Especificação!$C:$C)</f>
        <v>#N/A</v>
      </c>
    </row>
    <row r="341" spans="1:25" x14ac:dyDescent="0.3">
      <c r="A341" s="50" t="str">
        <f t="shared" si="19"/>
        <v>INSTRUMENT_TYP_INSTRMNT</v>
      </c>
      <c r="B341" t="s">
        <v>128</v>
      </c>
      <c r="C341" t="s">
        <v>540</v>
      </c>
      <c r="D341" t="s">
        <v>14</v>
      </c>
      <c r="E341" t="s">
        <v>38</v>
      </c>
      <c r="F341" t="s">
        <v>130</v>
      </c>
      <c r="G341" t="s">
        <v>131</v>
      </c>
      <c r="I341" t="s">
        <v>26</v>
      </c>
      <c r="J341" s="15">
        <v>45958</v>
      </c>
      <c r="K341" t="s">
        <v>38</v>
      </c>
      <c r="L341" t="s">
        <v>130</v>
      </c>
      <c r="O341" s="15">
        <v>45958</v>
      </c>
      <c r="P341" t="s">
        <v>30</v>
      </c>
      <c r="Q341" t="s">
        <v>132</v>
      </c>
      <c r="R341" t="s">
        <v>132</v>
      </c>
      <c r="S341" t="s">
        <v>132</v>
      </c>
      <c r="T341" t="s">
        <v>133</v>
      </c>
      <c r="U341" t="s">
        <v>133</v>
      </c>
      <c r="V341" t="s">
        <v>132</v>
      </c>
      <c r="W341" t="s">
        <v>5</v>
      </c>
      <c r="X341" t="s">
        <v>135</v>
      </c>
      <c r="Y341" t="str">
        <f>_xlfn.XLOOKUP(C341,[1]Especificação!$G:$G,[1]Especificação!$C:$C)</f>
        <v>B2. Re-especificação de campos complexos - Resto</v>
      </c>
    </row>
    <row r="342" spans="1:25" x14ac:dyDescent="0.3">
      <c r="A342" s="50" t="str">
        <f t="shared" si="19"/>
        <v>INSTRUMENT_TYP_INTRST_RT</v>
      </c>
      <c r="B342" t="s">
        <v>128</v>
      </c>
      <c r="C342" t="s">
        <v>541</v>
      </c>
      <c r="D342" t="s">
        <v>14</v>
      </c>
      <c r="E342" t="s">
        <v>38</v>
      </c>
      <c r="F342" t="s">
        <v>130</v>
      </c>
      <c r="G342" t="s">
        <v>131</v>
      </c>
      <c r="I342" t="s">
        <v>26</v>
      </c>
      <c r="J342" s="15">
        <v>45450</v>
      </c>
      <c r="K342" t="s">
        <v>38</v>
      </c>
      <c r="L342" t="str">
        <f t="shared" si="20"/>
        <v>OK</v>
      </c>
      <c r="P342" t="s">
        <v>30</v>
      </c>
      <c r="Q342" t="s">
        <v>132</v>
      </c>
      <c r="R342" t="s">
        <v>133</v>
      </c>
      <c r="S342" t="s">
        <v>133</v>
      </c>
      <c r="T342" t="s">
        <v>133</v>
      </c>
      <c r="U342" t="s">
        <v>133</v>
      </c>
      <c r="V342" t="s">
        <v>133</v>
      </c>
      <c r="W342" t="s">
        <v>5</v>
      </c>
      <c r="X342">
        <v>0</v>
      </c>
      <c r="Y342" t="e">
        <f>_xlfn.XLOOKUP(C342,[1]Especificação!$G:$G,[1]Especificação!$C:$C)</f>
        <v>#N/A</v>
      </c>
    </row>
    <row r="343" spans="1:25" x14ac:dyDescent="0.3">
      <c r="A343" s="50" t="str">
        <f t="shared" si="19"/>
        <v>PROTECTION_PRTCTN_VL</v>
      </c>
      <c r="B343" t="s">
        <v>161</v>
      </c>
      <c r="C343" s="10" t="s">
        <v>78</v>
      </c>
      <c r="D343" t="s">
        <v>14</v>
      </c>
      <c r="E343" t="s">
        <v>35</v>
      </c>
      <c r="F343" t="s">
        <v>130</v>
      </c>
      <c r="G343" t="s">
        <v>302</v>
      </c>
      <c r="H343" t="s">
        <v>542</v>
      </c>
      <c r="I343" t="s">
        <v>32</v>
      </c>
      <c r="J343" s="15">
        <v>45562</v>
      </c>
      <c r="K343" t="s">
        <v>35</v>
      </c>
      <c r="L343" t="s">
        <v>149</v>
      </c>
      <c r="M343" t="s">
        <v>543</v>
      </c>
      <c r="P343" t="s">
        <v>24</v>
      </c>
      <c r="Q343" t="s">
        <v>132</v>
      </c>
      <c r="R343" t="s">
        <v>132</v>
      </c>
      <c r="S343" t="s">
        <v>132</v>
      </c>
      <c r="T343" t="s">
        <v>133</v>
      </c>
      <c r="U343" t="s">
        <v>133</v>
      </c>
      <c r="V343" t="s">
        <v>133</v>
      </c>
      <c r="W343" t="s">
        <v>5</v>
      </c>
      <c r="X343">
        <v>0</v>
      </c>
      <c r="Y343" t="e">
        <f>_xlfn.XLOOKUP(C343,[1]Especificação!$G:$G,[1]Especificação!$C:$C)</f>
        <v>#N/A</v>
      </c>
    </row>
    <row r="344" spans="1:25" x14ac:dyDescent="0.3">
      <c r="A344" s="50" t="str">
        <f t="shared" si="19"/>
        <v>PROTECTION_PRTCTN_VL_NPE</v>
      </c>
      <c r="B344" t="s">
        <v>161</v>
      </c>
      <c r="C344" s="11" t="s">
        <v>544</v>
      </c>
      <c r="D344" t="s">
        <v>14</v>
      </c>
      <c r="E344" t="s">
        <v>33</v>
      </c>
      <c r="F344" t="s">
        <v>130</v>
      </c>
      <c r="G344" t="s">
        <v>545</v>
      </c>
      <c r="I344" t="s">
        <v>32</v>
      </c>
      <c r="J344" s="15">
        <v>45568</v>
      </c>
      <c r="K344" t="s">
        <v>33</v>
      </c>
      <c r="L344" t="str">
        <f>F344</f>
        <v>OK</v>
      </c>
      <c r="P344" t="s">
        <v>39</v>
      </c>
      <c r="Q344" t="s">
        <v>132</v>
      </c>
      <c r="R344" t="s">
        <v>133</v>
      </c>
      <c r="S344" t="s">
        <v>133</v>
      </c>
      <c r="T344" t="s">
        <v>133</v>
      </c>
      <c r="U344" t="s">
        <v>133</v>
      </c>
      <c r="V344" t="s">
        <v>133</v>
      </c>
      <c r="W344" t="s">
        <v>5</v>
      </c>
      <c r="X344">
        <v>0</v>
      </c>
      <c r="Y344" t="e">
        <f>_xlfn.XLOOKUP(C344,[1]Especificação!$G:$G,[1]Especificação!$C:$C)</f>
        <v>#N/A</v>
      </c>
    </row>
    <row r="345" spans="1:25" x14ac:dyDescent="0.3">
      <c r="A345" s="50" t="str">
        <f t="shared" si="19"/>
        <v>PROTECTION_TYP_PRTCTN_INTRNL</v>
      </c>
      <c r="B345" t="s">
        <v>161</v>
      </c>
      <c r="C345" t="s">
        <v>546</v>
      </c>
      <c r="D345" t="s">
        <v>14</v>
      </c>
      <c r="E345" t="s">
        <v>36</v>
      </c>
      <c r="F345" t="s">
        <v>149</v>
      </c>
      <c r="G345" t="s">
        <v>163</v>
      </c>
      <c r="I345" t="s">
        <v>29</v>
      </c>
      <c r="J345" s="15">
        <v>45450</v>
      </c>
      <c r="K345" t="s">
        <v>36</v>
      </c>
      <c r="L345" t="str">
        <f t="shared" ref="L345:L351" si="21">F345</f>
        <v>NOK</v>
      </c>
      <c r="P345" t="s">
        <v>8</v>
      </c>
      <c r="Q345" t="s">
        <v>132</v>
      </c>
      <c r="R345" t="s">
        <v>133</v>
      </c>
      <c r="S345" t="s">
        <v>133</v>
      </c>
      <c r="T345" t="s">
        <v>133</v>
      </c>
      <c r="U345" t="s">
        <v>133</v>
      </c>
      <c r="V345" t="s">
        <v>133</v>
      </c>
      <c r="W345" t="s">
        <v>5</v>
      </c>
      <c r="X345">
        <v>0</v>
      </c>
      <c r="Y345" t="e">
        <f>_xlfn.XLOOKUP(C345,[1]Especificação!$G:$G,[1]Especificação!$C:$C)</f>
        <v>#N/A</v>
      </c>
    </row>
    <row r="346" spans="1:25" x14ac:dyDescent="0.3">
      <c r="A346" s="50" t="str">
        <f t="shared" si="19"/>
        <v>PROTECTION_TYP_PRTCTN_VL</v>
      </c>
      <c r="B346" t="s">
        <v>161</v>
      </c>
      <c r="C346" t="s">
        <v>547</v>
      </c>
      <c r="D346" t="s">
        <v>14</v>
      </c>
      <c r="E346" t="s">
        <v>36</v>
      </c>
      <c r="F346" t="s">
        <v>149</v>
      </c>
      <c r="G346" t="s">
        <v>163</v>
      </c>
      <c r="I346" t="s">
        <v>29</v>
      </c>
      <c r="J346" s="15">
        <v>45450</v>
      </c>
      <c r="K346" t="s">
        <v>36</v>
      </c>
      <c r="L346" t="str">
        <f t="shared" si="21"/>
        <v>NOK</v>
      </c>
      <c r="P346" t="s">
        <v>8</v>
      </c>
      <c r="Q346" t="s">
        <v>132</v>
      </c>
      <c r="R346" t="s">
        <v>133</v>
      </c>
      <c r="S346" t="s">
        <v>133</v>
      </c>
      <c r="T346" t="s">
        <v>133</v>
      </c>
      <c r="U346" t="s">
        <v>133</v>
      </c>
      <c r="V346" t="s">
        <v>133</v>
      </c>
      <c r="W346" t="s">
        <v>5</v>
      </c>
      <c r="X346">
        <v>0</v>
      </c>
      <c r="Y346" t="e">
        <f>_xlfn.XLOOKUP(C346,[1]Especificação!$G:$G,[1]Especificação!$C:$C)</f>
        <v>#N/A</v>
      </c>
    </row>
    <row r="347" spans="1:25" x14ac:dyDescent="0.3">
      <c r="A347" s="50" t="str">
        <f t="shared" si="19"/>
        <v>INSTRUMENT_TYPE_OF_PLCMNT</v>
      </c>
      <c r="B347" t="s">
        <v>128</v>
      </c>
      <c r="C347" t="s">
        <v>548</v>
      </c>
      <c r="D347" t="s">
        <v>6</v>
      </c>
      <c r="E347" t="s">
        <v>38</v>
      </c>
      <c r="F347" t="s">
        <v>130</v>
      </c>
      <c r="G347" t="s">
        <v>131</v>
      </c>
      <c r="I347" t="s">
        <v>26</v>
      </c>
      <c r="J347" s="15">
        <v>45450</v>
      </c>
      <c r="K347" t="s">
        <v>38</v>
      </c>
      <c r="L347" t="str">
        <f t="shared" si="21"/>
        <v>OK</v>
      </c>
      <c r="P347" t="s">
        <v>30</v>
      </c>
      <c r="Q347" t="s">
        <v>132</v>
      </c>
      <c r="R347" t="s">
        <v>133</v>
      </c>
      <c r="S347" t="s">
        <v>133</v>
      </c>
      <c r="T347" t="s">
        <v>133</v>
      </c>
      <c r="U347" t="s">
        <v>133</v>
      </c>
      <c r="V347" t="s">
        <v>133</v>
      </c>
      <c r="W347" t="s">
        <v>5</v>
      </c>
      <c r="X347">
        <v>0</v>
      </c>
      <c r="Y347" t="e">
        <f>_xlfn.XLOOKUP(C347,[1]Especificação!$G:$G,[1]Especificação!$C:$C)</f>
        <v>#N/A</v>
      </c>
    </row>
    <row r="348" spans="1:25" x14ac:dyDescent="0.3">
      <c r="A348" s="50" t="str">
        <f t="shared" si="19"/>
        <v>INSTRUMENT_VLTN_CRRNCY</v>
      </c>
      <c r="B348" t="s">
        <v>128</v>
      </c>
      <c r="C348" t="s">
        <v>549</v>
      </c>
      <c r="D348" t="s">
        <v>6</v>
      </c>
      <c r="E348" t="s">
        <v>38</v>
      </c>
      <c r="F348" t="s">
        <v>130</v>
      </c>
      <c r="G348" t="s">
        <v>131</v>
      </c>
      <c r="I348" t="s">
        <v>26</v>
      </c>
      <c r="J348" s="15">
        <v>45450</v>
      </c>
      <c r="K348" t="s">
        <v>38</v>
      </c>
      <c r="L348" t="str">
        <f t="shared" si="21"/>
        <v>OK</v>
      </c>
      <c r="P348" t="s">
        <v>30</v>
      </c>
      <c r="Q348" t="s">
        <v>132</v>
      </c>
      <c r="R348" t="s">
        <v>133</v>
      </c>
      <c r="S348" t="s">
        <v>133</v>
      </c>
      <c r="T348" t="s">
        <v>133</v>
      </c>
      <c r="U348" t="s">
        <v>133</v>
      </c>
      <c r="V348" t="s">
        <v>133</v>
      </c>
      <c r="W348" t="s">
        <v>5</v>
      </c>
      <c r="X348">
        <v>0</v>
      </c>
      <c r="Y348" t="e">
        <f>_xlfn.XLOOKUP(C348,[1]Especificação!$G:$G,[1]Especificação!$C:$C)</f>
        <v>#N/A</v>
      </c>
    </row>
    <row r="349" spans="1:25" x14ac:dyDescent="0.3">
      <c r="A349" s="50" t="str">
        <f t="shared" si="19"/>
        <v>INSTRUMENT_VLTN_TYP</v>
      </c>
      <c r="B349" t="s">
        <v>128</v>
      </c>
      <c r="C349" t="s">
        <v>550</v>
      </c>
      <c r="D349" t="s">
        <v>6</v>
      </c>
      <c r="E349" t="s">
        <v>38</v>
      </c>
      <c r="F349" t="s">
        <v>130</v>
      </c>
      <c r="G349" t="s">
        <v>131</v>
      </c>
      <c r="I349" t="s">
        <v>26</v>
      </c>
      <c r="J349" s="15">
        <v>45450</v>
      </c>
      <c r="K349" t="s">
        <v>38</v>
      </c>
      <c r="L349" t="str">
        <f t="shared" si="21"/>
        <v>OK</v>
      </c>
      <c r="P349" t="s">
        <v>30</v>
      </c>
      <c r="Q349" t="s">
        <v>132</v>
      </c>
      <c r="R349" t="s">
        <v>133</v>
      </c>
      <c r="S349" t="s">
        <v>133</v>
      </c>
      <c r="T349" t="s">
        <v>133</v>
      </c>
      <c r="U349" t="s">
        <v>133</v>
      </c>
      <c r="V349" t="s">
        <v>133</v>
      </c>
      <c r="W349" t="s">
        <v>5</v>
      </c>
      <c r="X349">
        <v>0</v>
      </c>
      <c r="Y349" t="e">
        <f>_xlfn.XLOOKUP(C349,[1]Especificação!$G:$G,[1]Especificação!$C:$C)</f>
        <v>#N/A</v>
      </c>
    </row>
    <row r="350" spans="1:25" x14ac:dyDescent="0.3">
      <c r="A350" s="50" t="str">
        <f t="shared" si="19"/>
        <v>ENTITY_WTCH_LST</v>
      </c>
      <c r="B350" t="s">
        <v>142</v>
      </c>
      <c r="C350" t="s">
        <v>551</v>
      </c>
      <c r="D350" t="s">
        <v>14</v>
      </c>
      <c r="E350" t="s">
        <v>38</v>
      </c>
      <c r="F350" t="s">
        <v>130</v>
      </c>
      <c r="G350" t="s">
        <v>131</v>
      </c>
      <c r="I350" t="s">
        <v>26</v>
      </c>
      <c r="J350" s="15">
        <v>45450</v>
      </c>
      <c r="K350" t="s">
        <v>38</v>
      </c>
      <c r="L350" t="str">
        <f t="shared" si="21"/>
        <v>OK</v>
      </c>
      <c r="P350" t="s">
        <v>30</v>
      </c>
      <c r="Q350" t="s">
        <v>132</v>
      </c>
      <c r="R350" t="s">
        <v>133</v>
      </c>
      <c r="S350" t="s">
        <v>133</v>
      </c>
      <c r="T350" t="s">
        <v>133</v>
      </c>
      <c r="U350" t="s">
        <v>133</v>
      </c>
      <c r="V350" t="s">
        <v>132</v>
      </c>
      <c r="W350" t="s">
        <v>5</v>
      </c>
      <c r="X350" t="s">
        <v>135</v>
      </c>
      <c r="Y350" t="str">
        <f>_xlfn.XLOOKUP(C350,[1]Especificação!$G:$G,[1]Especificação!$C:$C)</f>
        <v>F1. Fora âmbito | Campos concluídos - Sem necessidade de espec.</v>
      </c>
    </row>
    <row r="351" spans="1:25" x14ac:dyDescent="0.3">
      <c r="A351" s="50" t="str">
        <f t="shared" si="19"/>
        <v>PROTECTION_YR_CNSTRCTN</v>
      </c>
      <c r="B351" t="s">
        <v>161</v>
      </c>
      <c r="C351" t="s">
        <v>552</v>
      </c>
      <c r="D351" t="s">
        <v>6</v>
      </c>
      <c r="E351" t="s">
        <v>20</v>
      </c>
      <c r="F351" t="s">
        <v>130</v>
      </c>
      <c r="G351" t="s">
        <v>235</v>
      </c>
      <c r="I351" t="s">
        <v>29</v>
      </c>
      <c r="J351" s="15">
        <v>45450</v>
      </c>
      <c r="K351" t="s">
        <v>20</v>
      </c>
      <c r="L351" t="str">
        <f t="shared" si="21"/>
        <v>OK</v>
      </c>
      <c r="P351" t="s">
        <v>19</v>
      </c>
      <c r="Q351" t="s">
        <v>132</v>
      </c>
      <c r="R351" t="s">
        <v>133</v>
      </c>
      <c r="S351" t="s">
        <v>132</v>
      </c>
      <c r="T351" t="s">
        <v>133</v>
      </c>
      <c r="U351" t="s">
        <v>132</v>
      </c>
      <c r="V351" t="s">
        <v>133</v>
      </c>
      <c r="W351" t="s">
        <v>5</v>
      </c>
      <c r="X351">
        <v>0</v>
      </c>
      <c r="Y351" t="e">
        <f>_xlfn.XLOOKUP(C351,[1]Especificação!$G:$G,[1]Especificação!$C:$C)</f>
        <v>#N/A</v>
      </c>
    </row>
    <row r="352" spans="1:25" x14ac:dyDescent="0.3">
      <c r="A352" s="50" t="str">
        <f t="shared" si="19"/>
        <v>ENTITY_ADDRSS_CTY</v>
      </c>
      <c r="B352" t="s">
        <v>142</v>
      </c>
      <c r="C352" t="s">
        <v>553</v>
      </c>
      <c r="D352" t="s">
        <v>6</v>
      </c>
      <c r="E352" t="s">
        <v>20</v>
      </c>
      <c r="I352" t="s">
        <v>29</v>
      </c>
      <c r="J352" s="15">
        <v>45667</v>
      </c>
      <c r="K352" t="s">
        <v>20</v>
      </c>
      <c r="Q352" t="s">
        <v>132</v>
      </c>
      <c r="R352" t="s">
        <v>133</v>
      </c>
      <c r="S352" t="s">
        <v>133</v>
      </c>
      <c r="T352" t="s">
        <v>133</v>
      </c>
      <c r="U352" t="s">
        <v>133</v>
      </c>
      <c r="V352" t="s">
        <v>133</v>
      </c>
      <c r="W352" t="s">
        <v>554</v>
      </c>
      <c r="X352">
        <v>0</v>
      </c>
      <c r="Y352" t="e">
        <f>_xlfn.XLOOKUP(C352,[1]Especificação!$G:$G,[1]Especificação!$C:$C)</f>
        <v>#N/A</v>
      </c>
    </row>
    <row r="353" spans="1:25" x14ac:dyDescent="0.3">
      <c r="A353" s="50" t="str">
        <f t="shared" si="19"/>
        <v>ENTITY_ADDRSS_STRT</v>
      </c>
      <c r="B353" t="s">
        <v>142</v>
      </c>
      <c r="C353" t="s">
        <v>555</v>
      </c>
      <c r="D353" t="s">
        <v>6</v>
      </c>
      <c r="E353" t="s">
        <v>20</v>
      </c>
      <c r="I353" t="s">
        <v>29</v>
      </c>
      <c r="J353" s="15">
        <v>45667</v>
      </c>
      <c r="K353" t="s">
        <v>20</v>
      </c>
      <c r="Q353" t="s">
        <v>132</v>
      </c>
      <c r="R353" t="s">
        <v>133</v>
      </c>
      <c r="S353" t="s">
        <v>133</v>
      </c>
      <c r="T353" t="s">
        <v>133</v>
      </c>
      <c r="U353" t="s">
        <v>133</v>
      </c>
      <c r="V353" t="s">
        <v>133</v>
      </c>
      <c r="W353" t="s">
        <v>554</v>
      </c>
      <c r="X353">
        <v>0</v>
      </c>
      <c r="Y353" t="e">
        <f>_xlfn.XLOOKUP(C353,[1]Especificação!$G:$G,[1]Especificação!$C:$C)</f>
        <v>#N/A</v>
      </c>
    </row>
    <row r="354" spans="1:25" x14ac:dyDescent="0.3">
      <c r="A354" s="50" t="str">
        <f t="shared" si="19"/>
        <v>ENTITY_DT_ENTRPRS_SZ</v>
      </c>
      <c r="B354" t="s">
        <v>142</v>
      </c>
      <c r="C354" t="s">
        <v>556</v>
      </c>
      <c r="D354" t="s">
        <v>6</v>
      </c>
      <c r="E354" t="s">
        <v>20</v>
      </c>
      <c r="I354" t="s">
        <v>29</v>
      </c>
      <c r="J354" s="15">
        <v>45667</v>
      </c>
      <c r="K354" t="s">
        <v>20</v>
      </c>
      <c r="Q354" t="s">
        <v>132</v>
      </c>
      <c r="R354" t="s">
        <v>133</v>
      </c>
      <c r="S354" t="s">
        <v>133</v>
      </c>
      <c r="T354" t="s">
        <v>133</v>
      </c>
      <c r="U354" t="s">
        <v>133</v>
      </c>
      <c r="V354" t="s">
        <v>133</v>
      </c>
      <c r="W354" t="s">
        <v>554</v>
      </c>
      <c r="X354">
        <v>0</v>
      </c>
      <c r="Y354" t="e">
        <f>_xlfn.XLOOKUP(C354,[1]Especificação!$G:$G,[1]Especificação!$C:$C)</f>
        <v>#N/A</v>
      </c>
    </row>
    <row r="355" spans="1:25" x14ac:dyDescent="0.3">
      <c r="A355" s="50" t="str">
        <f t="shared" si="19"/>
        <v>ENTITY_NMBR_EMPLYS</v>
      </c>
      <c r="B355" t="s">
        <v>142</v>
      </c>
      <c r="C355" t="s">
        <v>557</v>
      </c>
      <c r="D355" t="s">
        <v>6</v>
      </c>
      <c r="E355" t="s">
        <v>20</v>
      </c>
      <c r="I355" t="s">
        <v>29</v>
      </c>
      <c r="J355" s="15">
        <v>45667</v>
      </c>
      <c r="K355" t="s">
        <v>20</v>
      </c>
      <c r="Q355" t="s">
        <v>132</v>
      </c>
      <c r="R355" t="s">
        <v>133</v>
      </c>
      <c r="S355" t="s">
        <v>133</v>
      </c>
      <c r="T355" t="s">
        <v>133</v>
      </c>
      <c r="U355" t="s">
        <v>133</v>
      </c>
      <c r="V355" t="s">
        <v>133</v>
      </c>
      <c r="W355" t="s">
        <v>554</v>
      </c>
      <c r="X355">
        <v>0</v>
      </c>
      <c r="Y355" t="e">
        <f>_xlfn.XLOOKUP(C355,[1]Especificação!$G:$G,[1]Especificação!$C:$C)</f>
        <v>#N/A</v>
      </c>
    </row>
    <row r="356" spans="1:25" x14ac:dyDescent="0.3">
      <c r="A356" s="50" t="str">
        <f t="shared" si="19"/>
        <v>ENTITY_LGL_FRM</v>
      </c>
      <c r="B356" t="s">
        <v>142</v>
      </c>
      <c r="C356" t="s">
        <v>558</v>
      </c>
      <c r="D356" t="s">
        <v>6</v>
      </c>
      <c r="E356" t="s">
        <v>20</v>
      </c>
      <c r="I356" t="s">
        <v>29</v>
      </c>
      <c r="J356" s="15">
        <v>45667</v>
      </c>
      <c r="K356" t="s">
        <v>20</v>
      </c>
      <c r="Q356" t="s">
        <v>132</v>
      </c>
      <c r="R356" t="s">
        <v>133</v>
      </c>
      <c r="S356" t="s">
        <v>133</v>
      </c>
      <c r="T356" t="s">
        <v>133</v>
      </c>
      <c r="U356" t="s">
        <v>133</v>
      </c>
      <c r="V356" t="s">
        <v>133</v>
      </c>
      <c r="W356" t="s">
        <v>554</v>
      </c>
      <c r="X356">
        <v>0</v>
      </c>
      <c r="Y356" t="e">
        <f>_xlfn.XLOOKUP(C356,[1]Especificação!$G:$G,[1]Especificação!$C:$C)</f>
        <v>#N/A</v>
      </c>
    </row>
    <row r="357" spans="1:25" x14ac:dyDescent="0.3">
      <c r="A357" s="50" t="str">
        <f t="shared" si="19"/>
        <v>ENTITY_HD_OFFC_UNDRTKNG_ID</v>
      </c>
      <c r="B357" t="s">
        <v>142</v>
      </c>
      <c r="C357" t="s">
        <v>559</v>
      </c>
      <c r="D357" t="s">
        <v>6</v>
      </c>
      <c r="E357" t="s">
        <v>20</v>
      </c>
      <c r="I357" t="s">
        <v>29</v>
      </c>
      <c r="J357" s="15">
        <v>45667</v>
      </c>
      <c r="K357" t="s">
        <v>20</v>
      </c>
      <c r="Q357" t="s">
        <v>132</v>
      </c>
      <c r="R357" t="s">
        <v>133</v>
      </c>
      <c r="S357" t="s">
        <v>133</v>
      </c>
      <c r="T357" t="s">
        <v>133</v>
      </c>
      <c r="U357" t="s">
        <v>133</v>
      </c>
      <c r="V357" t="s">
        <v>133</v>
      </c>
      <c r="W357" t="s">
        <v>554</v>
      </c>
      <c r="X357">
        <v>0</v>
      </c>
      <c r="Y357" t="e">
        <f>_xlfn.XLOOKUP(C357,[1]Especificação!$G:$G,[1]Especificação!$C:$C)</f>
        <v>#N/A</v>
      </c>
    </row>
    <row r="358" spans="1:25" x14ac:dyDescent="0.3">
      <c r="A358" s="50" t="str">
        <f t="shared" si="19"/>
        <v>ENTITY_IMMDT_PRNT_UNDRTKNG_ID</v>
      </c>
      <c r="B358" t="s">
        <v>142</v>
      </c>
      <c r="C358" t="s">
        <v>560</v>
      </c>
      <c r="D358" t="s">
        <v>6</v>
      </c>
      <c r="E358" t="s">
        <v>20</v>
      </c>
      <c r="I358" t="s">
        <v>29</v>
      </c>
      <c r="J358" s="15">
        <v>45667</v>
      </c>
      <c r="K358" t="s">
        <v>20</v>
      </c>
      <c r="Q358" t="s">
        <v>132</v>
      </c>
      <c r="R358" t="s">
        <v>133</v>
      </c>
      <c r="S358" t="s">
        <v>133</v>
      </c>
      <c r="T358" t="s">
        <v>133</v>
      </c>
      <c r="U358" t="s">
        <v>133</v>
      </c>
      <c r="V358" t="s">
        <v>133</v>
      </c>
      <c r="W358" t="s">
        <v>554</v>
      </c>
      <c r="X358">
        <v>0</v>
      </c>
      <c r="Y358" t="e">
        <f>_xlfn.XLOOKUP(C358,[1]Especificação!$G:$G,[1]Especificação!$C:$C)</f>
        <v>#N/A</v>
      </c>
    </row>
    <row r="359" spans="1:25" x14ac:dyDescent="0.3">
      <c r="A359" s="50" t="str">
        <f t="shared" si="19"/>
        <v>ENTITY_ULTMT_PRNT_UNDRTKNG_ID</v>
      </c>
      <c r="B359" t="s">
        <v>142</v>
      </c>
      <c r="C359" t="s">
        <v>561</v>
      </c>
      <c r="D359" t="s">
        <v>6</v>
      </c>
      <c r="E359" t="s">
        <v>20</v>
      </c>
      <c r="I359" t="s">
        <v>29</v>
      </c>
      <c r="J359" s="15">
        <v>45667</v>
      </c>
      <c r="K359" t="s">
        <v>20</v>
      </c>
      <c r="Q359" t="s">
        <v>132</v>
      </c>
      <c r="R359" t="s">
        <v>133</v>
      </c>
      <c r="S359" t="s">
        <v>133</v>
      </c>
      <c r="T359" t="s">
        <v>133</v>
      </c>
      <c r="U359" t="s">
        <v>133</v>
      </c>
      <c r="V359" t="s">
        <v>133</v>
      </c>
      <c r="W359" t="s">
        <v>554</v>
      </c>
      <c r="X359">
        <v>0</v>
      </c>
      <c r="Y359" t="e">
        <f>_xlfn.XLOOKUP(C359,[1]Especificação!$G:$G,[1]Especificação!$C:$C)</f>
        <v>#N/A</v>
      </c>
    </row>
    <row r="360" spans="1:25" x14ac:dyDescent="0.3">
      <c r="A360" s="50" t="str">
        <f t="shared" si="19"/>
        <v>ENTITY_TTL_ASSTS</v>
      </c>
      <c r="B360" t="s">
        <v>142</v>
      </c>
      <c r="C360" t="s">
        <v>562</v>
      </c>
      <c r="D360" t="s">
        <v>6</v>
      </c>
      <c r="E360" t="s">
        <v>20</v>
      </c>
      <c r="I360" t="s">
        <v>29</v>
      </c>
      <c r="J360" s="15">
        <v>45667</v>
      </c>
      <c r="K360" t="s">
        <v>20</v>
      </c>
      <c r="Q360" t="s">
        <v>132</v>
      </c>
      <c r="R360" t="s">
        <v>133</v>
      </c>
      <c r="S360" t="s">
        <v>133</v>
      </c>
      <c r="T360" t="s">
        <v>133</v>
      </c>
      <c r="U360" t="s">
        <v>133</v>
      </c>
      <c r="V360" t="s">
        <v>133</v>
      </c>
      <c r="W360" t="s">
        <v>554</v>
      </c>
      <c r="X360">
        <v>0</v>
      </c>
      <c r="Y360" t="e">
        <f>_xlfn.XLOOKUP(C360,[1]Especificação!$G:$G,[1]Especificação!$C:$C)</f>
        <v>#N/A</v>
      </c>
    </row>
    <row r="361" spans="1:25" x14ac:dyDescent="0.3">
      <c r="A361" s="50" t="str">
        <f t="shared" si="19"/>
        <v>ENTITY_ENTTY_ID_BDR</v>
      </c>
      <c r="B361" t="s">
        <v>142</v>
      </c>
      <c r="C361" t="s">
        <v>563</v>
      </c>
      <c r="D361" t="s">
        <v>6</v>
      </c>
      <c r="E361" t="s">
        <v>20</v>
      </c>
      <c r="I361" t="s">
        <v>29</v>
      </c>
      <c r="J361" s="15">
        <v>45667</v>
      </c>
      <c r="K361" t="s">
        <v>20</v>
      </c>
      <c r="Q361" t="s">
        <v>132</v>
      </c>
      <c r="R361" t="s">
        <v>133</v>
      </c>
      <c r="S361" t="s">
        <v>133</v>
      </c>
      <c r="T361" t="s">
        <v>133</v>
      </c>
      <c r="U361" t="s">
        <v>133</v>
      </c>
      <c r="V361" t="s">
        <v>133</v>
      </c>
      <c r="W361" t="s">
        <v>554</v>
      </c>
      <c r="X361">
        <v>0</v>
      </c>
      <c r="Y361" t="e">
        <f>_xlfn.XLOOKUP(C361,[1]Especificação!$G:$G,[1]Especificação!$C:$C)</f>
        <v>#N/A</v>
      </c>
    </row>
    <row r="362" spans="1:25" x14ac:dyDescent="0.3">
      <c r="A362" s="50" t="str">
        <f t="shared" si="19"/>
        <v>INSTRUMENT_CPN_RT_FLTNG</v>
      </c>
      <c r="B362" t="s">
        <v>128</v>
      </c>
      <c r="C362" t="s">
        <v>564</v>
      </c>
      <c r="D362" t="s">
        <v>6</v>
      </c>
      <c r="E362" t="s">
        <v>20</v>
      </c>
      <c r="I362" t="s">
        <v>29</v>
      </c>
      <c r="J362" s="15">
        <v>45667</v>
      </c>
      <c r="K362" t="s">
        <v>20</v>
      </c>
      <c r="Q362" t="s">
        <v>132</v>
      </c>
      <c r="R362" t="s">
        <v>133</v>
      </c>
      <c r="S362" t="s">
        <v>133</v>
      </c>
      <c r="T362" t="s">
        <v>133</v>
      </c>
      <c r="U362" t="s">
        <v>133</v>
      </c>
      <c r="V362" t="s">
        <v>133</v>
      </c>
      <c r="W362" t="s">
        <v>554</v>
      </c>
      <c r="X362">
        <v>0</v>
      </c>
      <c r="Y362" t="e">
        <f>_xlfn.XLOOKUP(C362,[1]Especificação!$G:$G,[1]Especificação!$C:$C)</f>
        <v>#N/A</v>
      </c>
    </row>
    <row r="363" spans="1:25" x14ac:dyDescent="0.3">
      <c r="A363" s="50" t="str">
        <f t="shared" si="19"/>
        <v>INSTRUMENT_INTRST_RT_CP</v>
      </c>
      <c r="B363" t="s">
        <v>128</v>
      </c>
      <c r="C363" t="s">
        <v>565</v>
      </c>
      <c r="D363" t="s">
        <v>6</v>
      </c>
      <c r="E363" t="s">
        <v>20</v>
      </c>
      <c r="I363" t="s">
        <v>29</v>
      </c>
      <c r="J363" s="15">
        <v>45667</v>
      </c>
      <c r="K363" t="s">
        <v>20</v>
      </c>
      <c r="Q363" t="s">
        <v>132</v>
      </c>
      <c r="R363" t="s">
        <v>133</v>
      </c>
      <c r="S363" t="s">
        <v>133</v>
      </c>
      <c r="T363" t="s">
        <v>133</v>
      </c>
      <c r="U363" t="s">
        <v>133</v>
      </c>
      <c r="V363" t="s">
        <v>133</v>
      </c>
      <c r="W363" t="s">
        <v>554</v>
      </c>
      <c r="X363">
        <v>0</v>
      </c>
      <c r="Y363" t="e">
        <f>_xlfn.XLOOKUP(C363,[1]Especificação!$G:$G,[1]Especificação!$C:$C)</f>
        <v>#N/A</v>
      </c>
    </row>
    <row r="364" spans="1:25" x14ac:dyDescent="0.3">
      <c r="A364" s="50" t="str">
        <f t="shared" si="19"/>
        <v>INSTRUMENT_INTRST_RT_FLR</v>
      </c>
      <c r="B364" t="s">
        <v>128</v>
      </c>
      <c r="C364" t="s">
        <v>566</v>
      </c>
      <c r="D364" t="s">
        <v>6</v>
      </c>
      <c r="E364" t="s">
        <v>20</v>
      </c>
      <c r="I364" t="s">
        <v>29</v>
      </c>
      <c r="J364" s="15">
        <v>45667</v>
      </c>
      <c r="K364" t="s">
        <v>20</v>
      </c>
      <c r="Q364" t="s">
        <v>132</v>
      </c>
      <c r="R364" t="s">
        <v>133</v>
      </c>
      <c r="S364" t="s">
        <v>133</v>
      </c>
      <c r="T364" t="s">
        <v>133</v>
      </c>
      <c r="U364" t="s">
        <v>133</v>
      </c>
      <c r="V364" t="s">
        <v>133</v>
      </c>
      <c r="W364" t="s">
        <v>554</v>
      </c>
      <c r="X364">
        <v>0</v>
      </c>
      <c r="Y364" t="e">
        <f>_xlfn.XLOOKUP(C364,[1]Especificação!$G:$G,[1]Especificação!$C:$C)</f>
        <v>#N/A</v>
      </c>
    </row>
    <row r="365" spans="1:25" x14ac:dyDescent="0.3">
      <c r="A365" s="50" t="str">
        <f t="shared" si="19"/>
        <v>INSTRUMENT_NMNL_INTRST_RT_FEE</v>
      </c>
      <c r="B365" t="s">
        <v>128</v>
      </c>
      <c r="C365" t="s">
        <v>567</v>
      </c>
      <c r="D365" t="s">
        <v>6</v>
      </c>
      <c r="E365" t="s">
        <v>20</v>
      </c>
      <c r="I365" t="s">
        <v>29</v>
      </c>
      <c r="J365" s="15">
        <v>45667</v>
      </c>
      <c r="K365" t="s">
        <v>20</v>
      </c>
      <c r="Q365" t="s">
        <v>132</v>
      </c>
      <c r="R365" t="s">
        <v>133</v>
      </c>
      <c r="S365" t="s">
        <v>133</v>
      </c>
      <c r="T365" t="s">
        <v>133</v>
      </c>
      <c r="U365" t="s">
        <v>133</v>
      </c>
      <c r="V365" t="s">
        <v>133</v>
      </c>
      <c r="W365" t="s">
        <v>554</v>
      </c>
      <c r="X365">
        <v>0</v>
      </c>
      <c r="Y365" t="e">
        <f>_xlfn.XLOOKUP(C365,[1]Especificação!$G:$G,[1]Especificação!$C:$C)</f>
        <v>#N/A</v>
      </c>
    </row>
    <row r="366" spans="1:25" x14ac:dyDescent="0.3">
      <c r="A366" s="50" t="str">
        <f t="shared" si="19"/>
        <v>INSTRUMENT_DT_STTLMNT</v>
      </c>
      <c r="B366" t="s">
        <v>128</v>
      </c>
      <c r="C366" t="s">
        <v>568</v>
      </c>
      <c r="D366" t="s">
        <v>6</v>
      </c>
      <c r="E366" t="s">
        <v>20</v>
      </c>
      <c r="I366" t="s">
        <v>29</v>
      </c>
      <c r="J366" s="15">
        <v>45667</v>
      </c>
      <c r="K366" t="s">
        <v>20</v>
      </c>
      <c r="Q366" t="s">
        <v>132</v>
      </c>
      <c r="R366" t="s">
        <v>133</v>
      </c>
      <c r="S366" t="s">
        <v>133</v>
      </c>
      <c r="T366" t="s">
        <v>133</v>
      </c>
      <c r="U366" t="s">
        <v>133</v>
      </c>
      <c r="V366" t="s">
        <v>133</v>
      </c>
      <c r="W366" t="s">
        <v>554</v>
      </c>
      <c r="X366">
        <v>0</v>
      </c>
      <c r="Y366" t="e">
        <f>_xlfn.XLOOKUP(C366,[1]Especificação!$G:$G,[1]Especificação!$C:$C)</f>
        <v>#N/A</v>
      </c>
    </row>
    <row r="367" spans="1:25" x14ac:dyDescent="0.3">
      <c r="A367" s="50" t="str">
        <f t="shared" si="19"/>
        <v>INSTRUMENT_TRNSFRRD_AMNT</v>
      </c>
      <c r="B367" t="s">
        <v>128</v>
      </c>
      <c r="C367" t="s">
        <v>569</v>
      </c>
      <c r="D367" t="s">
        <v>6</v>
      </c>
      <c r="E367" t="s">
        <v>20</v>
      </c>
      <c r="I367" t="s">
        <v>29</v>
      </c>
      <c r="J367" s="15">
        <v>45667</v>
      </c>
      <c r="K367" t="s">
        <v>20</v>
      </c>
      <c r="Q367" t="s">
        <v>132</v>
      </c>
      <c r="R367" t="s">
        <v>133</v>
      </c>
      <c r="S367" t="s">
        <v>133</v>
      </c>
      <c r="T367" t="s">
        <v>133</v>
      </c>
      <c r="U367" t="s">
        <v>133</v>
      </c>
      <c r="V367" t="s">
        <v>133</v>
      </c>
      <c r="W367" t="s">
        <v>554</v>
      </c>
      <c r="X367">
        <v>0</v>
      </c>
      <c r="Y367" t="e">
        <f>_xlfn.XLOOKUP(C367,[1]Especificação!$G:$G,[1]Especificação!$C:$C)</f>
        <v>#N/A</v>
      </c>
    </row>
    <row r="368" spans="1:25" x14ac:dyDescent="0.3">
      <c r="A368" s="50" t="str">
        <f t="shared" si="19"/>
        <v>INSTRUMENT_TYP_SCRTZTN</v>
      </c>
      <c r="B368" t="s">
        <v>128</v>
      </c>
      <c r="C368" t="s">
        <v>570</v>
      </c>
      <c r="D368" t="s">
        <v>6</v>
      </c>
      <c r="E368" t="s">
        <v>20</v>
      </c>
      <c r="I368" t="s">
        <v>29</v>
      </c>
      <c r="J368" s="15">
        <v>45667</v>
      </c>
      <c r="K368" t="s">
        <v>20</v>
      </c>
      <c r="Q368" t="s">
        <v>132</v>
      </c>
      <c r="R368" t="s">
        <v>133</v>
      </c>
      <c r="S368" t="s">
        <v>133</v>
      </c>
      <c r="T368" t="s">
        <v>133</v>
      </c>
      <c r="U368" t="s">
        <v>133</v>
      </c>
      <c r="V368" t="s">
        <v>133</v>
      </c>
      <c r="W368" t="s">
        <v>554</v>
      </c>
      <c r="X368">
        <v>0</v>
      </c>
      <c r="Y368" t="e">
        <f>_xlfn.XLOOKUP(C368,[1]Especificação!$G:$G,[1]Especificação!$C:$C)</f>
        <v>#N/A</v>
      </c>
    </row>
    <row r="369" spans="1:25" x14ac:dyDescent="0.3">
      <c r="A369" s="50" t="str">
        <f t="shared" si="19"/>
        <v>INSTRUMENT_TYP_OFF_BLNC_PRDCT</v>
      </c>
      <c r="B369" t="s">
        <v>128</v>
      </c>
      <c r="C369" t="s">
        <v>571</v>
      </c>
      <c r="D369" t="s">
        <v>6</v>
      </c>
      <c r="E369" t="s">
        <v>20</v>
      </c>
      <c r="I369" t="s">
        <v>29</v>
      </c>
      <c r="J369" s="15">
        <v>45667</v>
      </c>
      <c r="K369" t="s">
        <v>20</v>
      </c>
      <c r="Q369" t="s">
        <v>132</v>
      </c>
      <c r="R369" t="s">
        <v>132</v>
      </c>
      <c r="S369" t="s">
        <v>132</v>
      </c>
      <c r="T369" t="s">
        <v>133</v>
      </c>
      <c r="U369" t="s">
        <v>133</v>
      </c>
      <c r="V369" t="s">
        <v>132</v>
      </c>
      <c r="W369" t="s">
        <v>138</v>
      </c>
      <c r="X369" t="s">
        <v>572</v>
      </c>
      <c r="Y369" t="str">
        <f>_xlfn.XLOOKUP(C369,[1]Especificação!$G:$G,[1]Especificação!$C:$C)</f>
        <v>A. Novos Campos</v>
      </c>
    </row>
    <row r="370" spans="1:25" x14ac:dyDescent="0.3">
      <c r="A370" s="50" t="str">
        <f t="shared" si="19"/>
        <v>INSTRUMENT_BLNC_SHT_RCGNTN</v>
      </c>
      <c r="B370" t="s">
        <v>128</v>
      </c>
      <c r="C370" t="s">
        <v>573</v>
      </c>
      <c r="D370" t="s">
        <v>6</v>
      </c>
      <c r="E370" t="s">
        <v>20</v>
      </c>
      <c r="I370" t="s">
        <v>29</v>
      </c>
      <c r="J370" s="15">
        <v>45667</v>
      </c>
      <c r="K370" t="s">
        <v>20</v>
      </c>
      <c r="Q370" t="s">
        <v>132</v>
      </c>
      <c r="R370" t="s">
        <v>133</v>
      </c>
      <c r="S370" t="s">
        <v>133</v>
      </c>
      <c r="T370" t="s">
        <v>133</v>
      </c>
      <c r="U370" t="s">
        <v>133</v>
      </c>
      <c r="V370" t="s">
        <v>133</v>
      </c>
      <c r="W370" t="s">
        <v>554</v>
      </c>
      <c r="X370">
        <v>0</v>
      </c>
      <c r="Y370" t="e">
        <f>_xlfn.XLOOKUP(C370,[1]Especificação!$G:$G,[1]Especificação!$C:$C)</f>
        <v>#N/A</v>
      </c>
    </row>
    <row r="371" spans="1:25" x14ac:dyDescent="0.3">
      <c r="A371" s="50" t="str">
        <f t="shared" si="19"/>
        <v>INSTRUMENT_FLG_DFLT</v>
      </c>
      <c r="B371" t="s">
        <v>128</v>
      </c>
      <c r="C371" t="s">
        <v>574</v>
      </c>
      <c r="D371" t="s">
        <v>6</v>
      </c>
      <c r="E371" t="s">
        <v>20</v>
      </c>
      <c r="I371" t="s">
        <v>29</v>
      </c>
      <c r="J371" s="15">
        <v>45667</v>
      </c>
      <c r="K371" t="s">
        <v>20</v>
      </c>
      <c r="Q371" t="s">
        <v>132</v>
      </c>
      <c r="R371" t="s">
        <v>133</v>
      </c>
      <c r="S371" t="s">
        <v>133</v>
      </c>
      <c r="T371" t="s">
        <v>133</v>
      </c>
      <c r="U371" t="s">
        <v>133</v>
      </c>
      <c r="V371" t="s">
        <v>133</v>
      </c>
      <c r="W371" t="s">
        <v>554</v>
      </c>
      <c r="X371">
        <v>0</v>
      </c>
      <c r="Y371" t="e">
        <f>_xlfn.XLOOKUP(C371,[1]Especificação!$G:$G,[1]Especificação!$C:$C)</f>
        <v>#N/A</v>
      </c>
    </row>
    <row r="372" spans="1:25" x14ac:dyDescent="0.3">
      <c r="A372" s="50" t="str">
        <f t="shared" si="19"/>
        <v>INSTRUMENT_FLG_HGH_RSK</v>
      </c>
      <c r="B372" t="s">
        <v>128</v>
      </c>
      <c r="C372" t="s">
        <v>575</v>
      </c>
      <c r="D372" t="s">
        <v>6</v>
      </c>
      <c r="E372" t="s">
        <v>20</v>
      </c>
      <c r="I372" t="s">
        <v>29</v>
      </c>
      <c r="J372" s="15">
        <v>45667</v>
      </c>
      <c r="K372" t="s">
        <v>20</v>
      </c>
      <c r="Q372" t="s">
        <v>132</v>
      </c>
      <c r="R372" t="s">
        <v>133</v>
      </c>
      <c r="S372" t="s">
        <v>133</v>
      </c>
      <c r="T372" t="s">
        <v>133</v>
      </c>
      <c r="U372" t="s">
        <v>133</v>
      </c>
      <c r="V372" t="s">
        <v>133</v>
      </c>
      <c r="W372" t="s">
        <v>554</v>
      </c>
      <c r="X372">
        <v>0</v>
      </c>
      <c r="Y372" t="e">
        <f>_xlfn.XLOOKUP(C372,[1]Especificação!$G:$G,[1]Especificação!$C:$C)</f>
        <v>#N/A</v>
      </c>
    </row>
    <row r="373" spans="1:25" x14ac:dyDescent="0.3">
      <c r="A373" s="50" t="str">
        <f t="shared" si="19"/>
        <v>INSTRUMENT_PRTNR</v>
      </c>
      <c r="B373" t="s">
        <v>128</v>
      </c>
      <c r="C373" t="s">
        <v>576</v>
      </c>
      <c r="D373" t="s">
        <v>6</v>
      </c>
      <c r="E373" t="s">
        <v>20</v>
      </c>
      <c r="I373" t="s">
        <v>29</v>
      </c>
      <c r="J373" s="15">
        <v>45667</v>
      </c>
      <c r="K373" t="s">
        <v>20</v>
      </c>
      <c r="Q373" t="s">
        <v>132</v>
      </c>
      <c r="R373" t="s">
        <v>133</v>
      </c>
      <c r="S373" t="s">
        <v>133</v>
      </c>
      <c r="T373" t="s">
        <v>132</v>
      </c>
      <c r="U373" t="s">
        <v>133</v>
      </c>
      <c r="V373" t="s">
        <v>133</v>
      </c>
      <c r="W373" t="s">
        <v>554</v>
      </c>
      <c r="X373">
        <v>0</v>
      </c>
      <c r="Y373" t="e">
        <f>_xlfn.XLOOKUP(C373,[1]Especificação!$G:$G,[1]Especificação!$C:$C)</f>
        <v>#N/A</v>
      </c>
    </row>
    <row r="374" spans="1:25" x14ac:dyDescent="0.3">
      <c r="A374" s="50" t="str">
        <f t="shared" si="19"/>
        <v>INSTRUMENT_INCNTVS</v>
      </c>
      <c r="B374" t="s">
        <v>128</v>
      </c>
      <c r="C374" t="s">
        <v>577</v>
      </c>
      <c r="D374" t="s">
        <v>6</v>
      </c>
      <c r="E374" t="s">
        <v>20</v>
      </c>
      <c r="I374" t="s">
        <v>29</v>
      </c>
      <c r="J374" s="15">
        <v>45667</v>
      </c>
      <c r="K374" t="s">
        <v>20</v>
      </c>
      <c r="Q374" t="s">
        <v>132</v>
      </c>
      <c r="R374" t="s">
        <v>133</v>
      </c>
      <c r="S374" t="s">
        <v>133</v>
      </c>
      <c r="T374" t="s">
        <v>132</v>
      </c>
      <c r="U374" t="s">
        <v>133</v>
      </c>
      <c r="V374" t="s">
        <v>133</v>
      </c>
      <c r="W374" t="s">
        <v>554</v>
      </c>
      <c r="X374">
        <v>0</v>
      </c>
      <c r="Y374" t="e">
        <f>_xlfn.XLOOKUP(C374,[1]Especificação!$G:$G,[1]Especificação!$C:$C)</f>
        <v>#N/A</v>
      </c>
    </row>
    <row r="375" spans="1:25" x14ac:dyDescent="0.3">
      <c r="A375" s="50" t="str">
        <f t="shared" si="19"/>
        <v>INSTRUMENT_OTHR_OPRTNG_INCM</v>
      </c>
      <c r="B375" t="s">
        <v>128</v>
      </c>
      <c r="C375" t="s">
        <v>578</v>
      </c>
      <c r="D375" t="s">
        <v>6</v>
      </c>
      <c r="E375" t="s">
        <v>20</v>
      </c>
      <c r="I375" t="s">
        <v>29</v>
      </c>
      <c r="J375" s="15">
        <v>45667</v>
      </c>
      <c r="K375" t="s">
        <v>20</v>
      </c>
      <c r="Q375" t="s">
        <v>132</v>
      </c>
      <c r="R375" t="s">
        <v>133</v>
      </c>
      <c r="S375" t="s">
        <v>133</v>
      </c>
      <c r="T375" t="s">
        <v>132</v>
      </c>
      <c r="U375" t="s">
        <v>133</v>
      </c>
      <c r="V375" t="s">
        <v>133</v>
      </c>
      <c r="W375" t="s">
        <v>554</v>
      </c>
      <c r="X375">
        <v>0</v>
      </c>
      <c r="Y375" t="e">
        <f>_xlfn.XLOOKUP(C375,[1]Especificação!$G:$G,[1]Especificação!$C:$C)</f>
        <v>#N/A</v>
      </c>
    </row>
    <row r="376" spans="1:25" x14ac:dyDescent="0.3">
      <c r="A376" s="50" t="str">
        <f t="shared" si="19"/>
        <v>INSTRUMENT_RFRRL_FS</v>
      </c>
      <c r="B376" t="s">
        <v>128</v>
      </c>
      <c r="C376" t="s">
        <v>579</v>
      </c>
      <c r="D376" t="s">
        <v>6</v>
      </c>
      <c r="E376" t="s">
        <v>20</v>
      </c>
      <c r="I376" t="s">
        <v>29</v>
      </c>
      <c r="J376" s="15">
        <v>45667</v>
      </c>
      <c r="K376" t="s">
        <v>20</v>
      </c>
      <c r="Q376" t="s">
        <v>132</v>
      </c>
      <c r="R376" t="s">
        <v>133</v>
      </c>
      <c r="S376" t="s">
        <v>133</v>
      </c>
      <c r="T376" t="s">
        <v>132</v>
      </c>
      <c r="U376" t="s">
        <v>133</v>
      </c>
      <c r="V376" t="s">
        <v>133</v>
      </c>
      <c r="W376" t="s">
        <v>554</v>
      </c>
      <c r="X376">
        <v>0</v>
      </c>
      <c r="Y376" t="e">
        <f>_xlfn.XLOOKUP(C376,[1]Especificação!$G:$G,[1]Especificação!$C:$C)</f>
        <v>#N/A</v>
      </c>
    </row>
    <row r="377" spans="1:25" x14ac:dyDescent="0.3">
      <c r="A377" s="50" t="str">
        <f t="shared" si="19"/>
        <v>INSTRUMENT_INSRNC_CMSSNS</v>
      </c>
      <c r="B377" t="s">
        <v>128</v>
      </c>
      <c r="C377" t="s">
        <v>580</v>
      </c>
      <c r="D377" t="s">
        <v>6</v>
      </c>
      <c r="E377" t="s">
        <v>20</v>
      </c>
      <c r="I377" t="s">
        <v>29</v>
      </c>
      <c r="J377" s="15">
        <v>45667</v>
      </c>
      <c r="K377" t="s">
        <v>20</v>
      </c>
      <c r="Q377" t="s">
        <v>132</v>
      </c>
      <c r="R377" t="s">
        <v>133</v>
      </c>
      <c r="S377" t="s">
        <v>133</v>
      </c>
      <c r="T377" t="s">
        <v>132</v>
      </c>
      <c r="U377" t="s">
        <v>133</v>
      </c>
      <c r="V377" t="s">
        <v>133</v>
      </c>
      <c r="W377" t="s">
        <v>554</v>
      </c>
      <c r="X377">
        <v>0</v>
      </c>
      <c r="Y377" t="e">
        <f>_xlfn.XLOOKUP(C377,[1]Especificação!$G:$G,[1]Especificação!$C:$C)</f>
        <v>#N/A</v>
      </c>
    </row>
    <row r="378" spans="1:25" x14ac:dyDescent="0.3">
      <c r="A378" s="50" t="str">
        <f t="shared" si="19"/>
        <v>INSTRUMENT_OTHR_INCM_AND_CHRGS</v>
      </c>
      <c r="B378" t="s">
        <v>128</v>
      </c>
      <c r="C378" t="s">
        <v>581</v>
      </c>
      <c r="D378" t="s">
        <v>6</v>
      </c>
      <c r="E378" t="s">
        <v>20</v>
      </c>
      <c r="I378" t="s">
        <v>29</v>
      </c>
      <c r="J378" s="15">
        <v>45667</v>
      </c>
      <c r="K378" t="s">
        <v>20</v>
      </c>
      <c r="Q378" t="s">
        <v>132</v>
      </c>
      <c r="R378" t="s">
        <v>133</v>
      </c>
      <c r="S378" t="s">
        <v>133</v>
      </c>
      <c r="T378" t="s">
        <v>132</v>
      </c>
      <c r="U378" t="s">
        <v>133</v>
      </c>
      <c r="V378" t="s">
        <v>133</v>
      </c>
      <c r="W378" t="s">
        <v>554</v>
      </c>
      <c r="X378">
        <v>0</v>
      </c>
      <c r="Y378" t="e">
        <f>_xlfn.XLOOKUP(C378,[1]Especificação!$G:$G,[1]Especificação!$C:$C)</f>
        <v>#N/A</v>
      </c>
    </row>
    <row r="379" spans="1:25" x14ac:dyDescent="0.3">
      <c r="A379" s="50" t="str">
        <f t="shared" si="19"/>
        <v>INSTRUMENT_TX_ON_PRFT</v>
      </c>
      <c r="B379" t="s">
        <v>128</v>
      </c>
      <c r="C379" t="s">
        <v>582</v>
      </c>
      <c r="D379" t="s">
        <v>6</v>
      </c>
      <c r="E379" t="s">
        <v>20</v>
      </c>
      <c r="I379" t="s">
        <v>29</v>
      </c>
      <c r="J379" s="15">
        <v>45667</v>
      </c>
      <c r="K379" t="s">
        <v>20</v>
      </c>
      <c r="Q379" t="s">
        <v>132</v>
      </c>
      <c r="R379" t="s">
        <v>133</v>
      </c>
      <c r="S379" t="s">
        <v>133</v>
      </c>
      <c r="T379" t="s">
        <v>132</v>
      </c>
      <c r="U379" t="s">
        <v>133</v>
      </c>
      <c r="V379" t="s">
        <v>133</v>
      </c>
      <c r="W379" t="s">
        <v>554</v>
      </c>
      <c r="X379">
        <v>0</v>
      </c>
      <c r="Y379" t="e">
        <f>_xlfn.XLOOKUP(C379,[1]Especificação!$G:$G,[1]Especificação!$C:$C)</f>
        <v>#N/A</v>
      </c>
    </row>
    <row r="380" spans="1:25" x14ac:dyDescent="0.3">
      <c r="A380" s="50" t="str">
        <f t="shared" si="19"/>
        <v>PROTECTION_LND_AR</v>
      </c>
      <c r="B380" t="s">
        <v>161</v>
      </c>
      <c r="C380" t="s">
        <v>583</v>
      </c>
      <c r="D380" t="s">
        <v>6</v>
      </c>
      <c r="E380" t="s">
        <v>20</v>
      </c>
      <c r="I380" t="s">
        <v>29</v>
      </c>
      <c r="J380" s="15">
        <v>45667</v>
      </c>
      <c r="K380" t="s">
        <v>20</v>
      </c>
      <c r="Q380" t="s">
        <v>132</v>
      </c>
      <c r="R380" t="s">
        <v>133</v>
      </c>
      <c r="S380" t="s">
        <v>133</v>
      </c>
      <c r="T380" t="s">
        <v>133</v>
      </c>
      <c r="U380" t="s">
        <v>133</v>
      </c>
      <c r="V380" t="s">
        <v>133</v>
      </c>
      <c r="W380" t="s">
        <v>554</v>
      </c>
      <c r="X380">
        <v>0</v>
      </c>
      <c r="Y380" t="e">
        <f>_xlfn.XLOOKUP(C380,[1]Especificação!$G:$G,[1]Especificação!$C:$C)</f>
        <v>#N/A</v>
      </c>
    </row>
    <row r="381" spans="1:25" x14ac:dyDescent="0.3">
      <c r="A381" s="50" t="str">
        <f t="shared" si="19"/>
        <v>PROTECTION_LN_PSTN</v>
      </c>
      <c r="B381" t="s">
        <v>161</v>
      </c>
      <c r="C381" t="s">
        <v>584</v>
      </c>
      <c r="D381" t="s">
        <v>6</v>
      </c>
      <c r="E381" t="s">
        <v>20</v>
      </c>
      <c r="I381" t="s">
        <v>29</v>
      </c>
      <c r="J381" s="15">
        <v>45667</v>
      </c>
      <c r="K381" t="s">
        <v>20</v>
      </c>
      <c r="Q381" t="s">
        <v>132</v>
      </c>
      <c r="R381" t="s">
        <v>133</v>
      </c>
      <c r="S381" t="s">
        <v>133</v>
      </c>
      <c r="T381" t="s">
        <v>133</v>
      </c>
      <c r="U381" t="s">
        <v>133</v>
      </c>
      <c r="V381" t="s">
        <v>133</v>
      </c>
      <c r="W381" t="s">
        <v>554</v>
      </c>
      <c r="X381">
        <v>0</v>
      </c>
      <c r="Y381" t="e">
        <f>_xlfn.XLOOKUP(C381,[1]Especificação!$G:$G,[1]Especificação!$C:$C)</f>
        <v>#N/A</v>
      </c>
    </row>
    <row r="382" spans="1:25" x14ac:dyDescent="0.3">
      <c r="A382" s="50" t="str">
        <f t="shared" si="19"/>
        <v>PROTECTION_RL_ESTT_LNGTD</v>
      </c>
      <c r="B382" t="s">
        <v>161</v>
      </c>
      <c r="C382" t="s">
        <v>585</v>
      </c>
      <c r="D382" t="s">
        <v>6</v>
      </c>
      <c r="E382" t="s">
        <v>20</v>
      </c>
      <c r="I382" t="s">
        <v>29</v>
      </c>
      <c r="J382" s="15">
        <v>45667</v>
      </c>
      <c r="K382" t="s">
        <v>20</v>
      </c>
      <c r="Q382" t="s">
        <v>132</v>
      </c>
      <c r="R382" t="s">
        <v>133</v>
      </c>
      <c r="S382" t="s">
        <v>133</v>
      </c>
      <c r="T382" t="s">
        <v>133</v>
      </c>
      <c r="U382" t="s">
        <v>133</v>
      </c>
      <c r="V382" t="s">
        <v>133</v>
      </c>
      <c r="W382" t="s">
        <v>554</v>
      </c>
      <c r="X382">
        <v>0</v>
      </c>
      <c r="Y382" t="e">
        <f>_xlfn.XLOOKUP(C382,[1]Especificação!$G:$G,[1]Especificação!$C:$C)</f>
        <v>#N/A</v>
      </c>
    </row>
    <row r="383" spans="1:25" x14ac:dyDescent="0.3">
      <c r="A383" s="50" t="str">
        <f t="shared" si="19"/>
        <v>PROTECTION_RL_ESTT_LTTD</v>
      </c>
      <c r="B383" t="s">
        <v>161</v>
      </c>
      <c r="C383" t="s">
        <v>586</v>
      </c>
      <c r="D383" t="s">
        <v>6</v>
      </c>
      <c r="E383" t="s">
        <v>20</v>
      </c>
      <c r="I383" t="s">
        <v>29</v>
      </c>
      <c r="J383" s="15">
        <v>45667</v>
      </c>
      <c r="K383" t="s">
        <v>20</v>
      </c>
      <c r="Q383" t="s">
        <v>132</v>
      </c>
      <c r="R383" t="s">
        <v>133</v>
      </c>
      <c r="S383" t="s">
        <v>133</v>
      </c>
      <c r="T383" t="s">
        <v>133</v>
      </c>
      <c r="U383" t="s">
        <v>133</v>
      </c>
      <c r="V383" t="s">
        <v>133</v>
      </c>
      <c r="W383" t="s">
        <v>554</v>
      </c>
      <c r="X383">
        <v>0</v>
      </c>
      <c r="Y383" t="e">
        <f>_xlfn.XLOOKUP(C383,[1]Especificação!$G:$G,[1]Especificação!$C:$C)</f>
        <v>#N/A</v>
      </c>
    </row>
    <row r="384" spans="1:25" x14ac:dyDescent="0.3">
      <c r="A384" s="50" t="str">
        <f t="shared" si="19"/>
        <v>INSTR_ACTIVITY_PRCNTG_ACTVTY</v>
      </c>
      <c r="B384" t="s">
        <v>587</v>
      </c>
      <c r="C384" t="s">
        <v>588</v>
      </c>
      <c r="D384" t="s">
        <v>6</v>
      </c>
      <c r="E384" t="s">
        <v>20</v>
      </c>
      <c r="I384" t="s">
        <v>29</v>
      </c>
      <c r="J384" s="15">
        <v>45667</v>
      </c>
      <c r="K384" t="s">
        <v>20</v>
      </c>
      <c r="Q384" t="s">
        <v>132</v>
      </c>
      <c r="R384" t="s">
        <v>132</v>
      </c>
      <c r="S384" t="s">
        <v>132</v>
      </c>
      <c r="T384" t="s">
        <v>133</v>
      </c>
      <c r="U384" t="s">
        <v>133</v>
      </c>
      <c r="V384" t="s">
        <v>133</v>
      </c>
      <c r="W384" t="s">
        <v>554</v>
      </c>
      <c r="X384">
        <v>0</v>
      </c>
      <c r="Y384" t="e">
        <f>_xlfn.XLOOKUP(C384,[1]Especificação!$G:$G,[1]Especificação!$C:$C)</f>
        <v>#N/A</v>
      </c>
    </row>
    <row r="385" spans="1:25" x14ac:dyDescent="0.3">
      <c r="A385" s="50" t="str">
        <f t="shared" si="19"/>
        <v>INSTRUMENT_PD_EC_INCPTN</v>
      </c>
      <c r="B385" t="s">
        <v>128</v>
      </c>
      <c r="C385" t="s">
        <v>1279</v>
      </c>
      <c r="D385" t="s">
        <v>6</v>
      </c>
      <c r="E385" t="s">
        <v>20</v>
      </c>
      <c r="I385" t="s">
        <v>29</v>
      </c>
      <c r="J385" s="15">
        <v>45952</v>
      </c>
      <c r="K385" t="s">
        <v>38</v>
      </c>
      <c r="O385" s="15">
        <v>45952</v>
      </c>
      <c r="Q385" t="s">
        <v>133</v>
      </c>
      <c r="R385" t="s">
        <v>133</v>
      </c>
      <c r="S385" t="s">
        <v>133</v>
      </c>
      <c r="T385" t="s">
        <v>133</v>
      </c>
      <c r="U385" t="s">
        <v>133</v>
      </c>
      <c r="V385" t="s">
        <v>132</v>
      </c>
      <c r="W385" t="s">
        <v>138</v>
      </c>
      <c r="X385" t="s">
        <v>572</v>
      </c>
      <c r="Y385" t="str">
        <f>_xlfn.XLOOKUP(C385,[1]Especificação!$G:$G,[1]Especificação!$C:$C)</f>
        <v>A. Novos Campos</v>
      </c>
    </row>
    <row r="386" spans="1:25" x14ac:dyDescent="0.3">
      <c r="A386" s="50" t="str">
        <f t="shared" ref="A386:A408" si="22">B386&amp;"_"&amp;C386</f>
        <v>INSTRUMENT_PD_EC_RD</v>
      </c>
      <c r="B386" t="s">
        <v>128</v>
      </c>
      <c r="C386" t="s">
        <v>1278</v>
      </c>
      <c r="D386" t="s">
        <v>6</v>
      </c>
      <c r="E386" t="s">
        <v>20</v>
      </c>
      <c r="I386" t="s">
        <v>29</v>
      </c>
      <c r="J386" s="15">
        <v>45952</v>
      </c>
      <c r="K386" t="s">
        <v>36</v>
      </c>
      <c r="L386" t="s">
        <v>149</v>
      </c>
      <c r="M386" t="s">
        <v>1291</v>
      </c>
      <c r="N386" s="15"/>
      <c r="O386" s="15">
        <v>45952</v>
      </c>
      <c r="Q386" t="s">
        <v>132</v>
      </c>
      <c r="R386" t="s">
        <v>133</v>
      </c>
      <c r="S386" t="s">
        <v>133</v>
      </c>
      <c r="T386" t="s">
        <v>133</v>
      </c>
      <c r="U386" t="s">
        <v>133</v>
      </c>
      <c r="V386" t="s">
        <v>132</v>
      </c>
      <c r="W386" t="s">
        <v>138</v>
      </c>
      <c r="X386" t="s">
        <v>572</v>
      </c>
      <c r="Y386" t="str">
        <f>_xlfn.XLOOKUP(C386,[1]Especificação!$G:$G,[1]Especificação!$C:$C)</f>
        <v>A. Novos Campos</v>
      </c>
    </row>
    <row r="387" spans="1:25" x14ac:dyDescent="0.3">
      <c r="A387" s="50" t="str">
        <f t="shared" si="22"/>
        <v>INSTRUMENT_US_PRCDS</v>
      </c>
      <c r="B387" t="s">
        <v>128</v>
      </c>
      <c r="C387" t="s">
        <v>1322</v>
      </c>
      <c r="D387" t="s">
        <v>6</v>
      </c>
      <c r="E387" t="s">
        <v>20</v>
      </c>
      <c r="I387" t="s">
        <v>29</v>
      </c>
      <c r="J387" s="15">
        <v>45952</v>
      </c>
      <c r="K387" t="s">
        <v>38</v>
      </c>
      <c r="O387" s="15">
        <v>45952</v>
      </c>
      <c r="Q387" t="str">
        <f>_xlfn.XLOOKUP(C387,[2]Overview!$E:$E,[2]Overview!$Z:$Z)</f>
        <v>N</v>
      </c>
      <c r="R387" t="str">
        <f>_xlfn.XLOOKUP(C387,[2]Overview!$E:$E,[2]Overview!$AA:$AA)</f>
        <v>N</v>
      </c>
      <c r="S387" t="str">
        <f>_xlfn.XLOOKUP(C387,[2]Overview!$E:$E,[2]Overview!$AB:$AB)</f>
        <v>N</v>
      </c>
      <c r="T387" t="str">
        <f>_xlfn.XLOOKUP(C387,[2]Overview!$E:$E,[2]Overview!$AC:$AC)</f>
        <v>N</v>
      </c>
      <c r="U387" t="str">
        <f>_xlfn.XLOOKUP(C387,[2]Overview!$E:$E,[2]Overview!$AD:$AD)</f>
        <v>N</v>
      </c>
      <c r="V387" t="str">
        <f>_xlfn.XLOOKUP(C387,[2]Overview!$E:$E,[2]Overview!$AE:$AE)</f>
        <v>Y</v>
      </c>
      <c r="W387" t="s">
        <v>138</v>
      </c>
      <c r="X387" t="s">
        <v>572</v>
      </c>
      <c r="Y387" t="str">
        <f>_xlfn.XLOOKUP(C387,[1]Especificação!$G:$G,[1]Especificação!$C:$C)</f>
        <v>A. Novos Campos</v>
      </c>
    </row>
    <row r="388" spans="1:25" x14ac:dyDescent="0.3">
      <c r="A388" s="50" t="str">
        <f t="shared" si="22"/>
        <v>INSTRUMENT_TYP_FCLTY</v>
      </c>
      <c r="B388" t="s">
        <v>128</v>
      </c>
      <c r="C388" t="s">
        <v>1323</v>
      </c>
      <c r="D388" t="s">
        <v>6</v>
      </c>
      <c r="E388" t="s">
        <v>20</v>
      </c>
      <c r="I388" t="s">
        <v>29</v>
      </c>
      <c r="J388" s="15">
        <v>45952</v>
      </c>
      <c r="K388" t="s">
        <v>38</v>
      </c>
      <c r="O388" s="15">
        <v>45952</v>
      </c>
      <c r="Q388" t="str">
        <f>_xlfn.XLOOKUP(C388,[2]Overview!$E:$E,[2]Overview!$Z:$Z)</f>
        <v>N</v>
      </c>
      <c r="R388" t="str">
        <f>_xlfn.XLOOKUP(C388,[2]Overview!$E:$E,[2]Overview!$AA:$AA)</f>
        <v>N</v>
      </c>
      <c r="S388" t="str">
        <f>_xlfn.XLOOKUP(C388,[2]Overview!$E:$E,[2]Overview!$AB:$AB)</f>
        <v>N</v>
      </c>
      <c r="T388" t="str">
        <f>_xlfn.XLOOKUP(C388,[2]Overview!$E:$E,[2]Overview!$AC:$AC)</f>
        <v>N</v>
      </c>
      <c r="U388" t="str">
        <f>_xlfn.XLOOKUP(C388,[2]Overview!$E:$E,[2]Overview!$AD:$AD)</f>
        <v>N</v>
      </c>
      <c r="V388" t="str">
        <f>_xlfn.XLOOKUP(C388,[2]Overview!$E:$E,[2]Overview!$AE:$AE)</f>
        <v>Y</v>
      </c>
      <c r="W388" t="s">
        <v>138</v>
      </c>
      <c r="X388" t="s">
        <v>572</v>
      </c>
      <c r="Y388" t="str">
        <f>_xlfn.XLOOKUP(C388,[1]Especificação!$G:$G,[1]Especificação!$C:$C)</f>
        <v>A. Novos Campos</v>
      </c>
    </row>
    <row r="389" spans="1:25" x14ac:dyDescent="0.3">
      <c r="A389" s="50" t="str">
        <f t="shared" si="22"/>
        <v>INSTRUMENT_TYP_DL</v>
      </c>
      <c r="B389" t="s">
        <v>128</v>
      </c>
      <c r="C389" t="s">
        <v>1324</v>
      </c>
      <c r="D389" t="s">
        <v>6</v>
      </c>
      <c r="E389" t="s">
        <v>20</v>
      </c>
      <c r="I389" t="s">
        <v>29</v>
      </c>
      <c r="J389" s="15">
        <v>45952</v>
      </c>
      <c r="K389" t="s">
        <v>38</v>
      </c>
      <c r="O389" s="15">
        <v>45952</v>
      </c>
      <c r="Q389" t="str">
        <f>_xlfn.XLOOKUP(C389,[2]Overview!$E:$E,[2]Overview!$Z:$Z)</f>
        <v>N</v>
      </c>
      <c r="R389" t="str">
        <f>_xlfn.XLOOKUP(C389,[2]Overview!$E:$E,[2]Overview!$AA:$AA)</f>
        <v>N</v>
      </c>
      <c r="S389" t="str">
        <f>_xlfn.XLOOKUP(C389,[2]Overview!$E:$E,[2]Overview!$AB:$AB)</f>
        <v>N</v>
      </c>
      <c r="T389" t="str">
        <f>_xlfn.XLOOKUP(C389,[2]Overview!$E:$E,[2]Overview!$AC:$AC)</f>
        <v>N</v>
      </c>
      <c r="U389" t="str">
        <f>_xlfn.XLOOKUP(C389,[2]Overview!$E:$E,[2]Overview!$AD:$AD)</f>
        <v>N</v>
      </c>
      <c r="V389" t="str">
        <f>_xlfn.XLOOKUP(C389,[2]Overview!$E:$E,[2]Overview!$AE:$AE)</f>
        <v>Y</v>
      </c>
      <c r="W389" t="s">
        <v>138</v>
      </c>
      <c r="X389" t="s">
        <v>572</v>
      </c>
      <c r="Y389" t="str">
        <f>_xlfn.XLOOKUP(C389,[1]Especificação!$G:$G,[1]Especificação!$C:$C)</f>
        <v>A. Novos Campos</v>
      </c>
    </row>
    <row r="390" spans="1:25" x14ac:dyDescent="0.3">
      <c r="A390" s="50" t="str">
        <f t="shared" si="22"/>
        <v>INSTRUMENT_TYP_CL</v>
      </c>
      <c r="B390" t="s">
        <v>128</v>
      </c>
      <c r="C390" t="s">
        <v>1325</v>
      </c>
      <c r="D390" t="s">
        <v>6</v>
      </c>
      <c r="E390" t="s">
        <v>20</v>
      </c>
      <c r="I390" t="s">
        <v>29</v>
      </c>
      <c r="J390" s="15">
        <v>45952</v>
      </c>
      <c r="K390" t="s">
        <v>38</v>
      </c>
      <c r="O390" s="15">
        <v>45952</v>
      </c>
      <c r="Q390" t="str">
        <f>_xlfn.XLOOKUP(C390,[2]Overview!$E:$E,[2]Overview!$Z:$Z)</f>
        <v>N</v>
      </c>
      <c r="R390" t="str">
        <f>_xlfn.XLOOKUP(C390,[2]Overview!$E:$E,[2]Overview!$AA:$AA)</f>
        <v>N</v>
      </c>
      <c r="S390" t="str">
        <f>_xlfn.XLOOKUP(C390,[2]Overview!$E:$E,[2]Overview!$AB:$AB)</f>
        <v>N</v>
      </c>
      <c r="T390" t="str">
        <f>_xlfn.XLOOKUP(C390,[2]Overview!$E:$E,[2]Overview!$AC:$AC)</f>
        <v>N</v>
      </c>
      <c r="U390" t="str">
        <f>_xlfn.XLOOKUP(C390,[2]Overview!$E:$E,[2]Overview!$AD:$AD)</f>
        <v>N</v>
      </c>
      <c r="V390" t="str">
        <f>_xlfn.XLOOKUP(C390,[2]Overview!$E:$E,[2]Overview!$AE:$AE)</f>
        <v>Y</v>
      </c>
      <c r="W390" t="s">
        <v>138</v>
      </c>
      <c r="X390" t="s">
        <v>572</v>
      </c>
      <c r="Y390" t="str">
        <f>_xlfn.XLOOKUP(C390,[1]Especificação!$G:$G,[1]Especificação!$C:$C)</f>
        <v>A. Novos Campos</v>
      </c>
    </row>
    <row r="391" spans="1:25" x14ac:dyDescent="0.3">
      <c r="A391" s="50" t="str">
        <f t="shared" si="22"/>
        <v>ENTITY_TTL_PRMSSBL_DBT_BLNC</v>
      </c>
      <c r="B391" t="s">
        <v>142</v>
      </c>
      <c r="C391" t="s">
        <v>1326</v>
      </c>
      <c r="D391" t="s">
        <v>6</v>
      </c>
      <c r="E391" t="s">
        <v>20</v>
      </c>
      <c r="I391" t="s">
        <v>29</v>
      </c>
      <c r="J391" s="15">
        <v>45952</v>
      </c>
      <c r="K391" t="s">
        <v>38</v>
      </c>
      <c r="O391" s="15">
        <v>45952</v>
      </c>
      <c r="Q391" t="str">
        <f>_xlfn.XLOOKUP(C391,[2]Overview!$E:$E,[2]Overview!$Z:$Z)</f>
        <v>N</v>
      </c>
      <c r="R391" t="str">
        <f>_xlfn.XLOOKUP(C391,[2]Overview!$E:$E,[2]Overview!$AA:$AA)</f>
        <v>N</v>
      </c>
      <c r="S391" t="str">
        <f>_xlfn.XLOOKUP(C391,[2]Overview!$E:$E,[2]Overview!$AB:$AB)</f>
        <v>N</v>
      </c>
      <c r="T391" t="str">
        <f>_xlfn.XLOOKUP(C391,[2]Overview!$E:$E,[2]Overview!$AC:$AC)</f>
        <v>N</v>
      </c>
      <c r="U391" t="str">
        <f>_xlfn.XLOOKUP(C391,[2]Overview!$E:$E,[2]Overview!$AD:$AD)</f>
        <v>N</v>
      </c>
      <c r="V391" t="str">
        <f>_xlfn.XLOOKUP(C391,[2]Overview!$E:$E,[2]Overview!$AE:$AE)</f>
        <v>Y</v>
      </c>
      <c r="W391" t="s">
        <v>138</v>
      </c>
      <c r="X391" t="s">
        <v>572</v>
      </c>
      <c r="Y391" t="str">
        <f>_xlfn.XLOOKUP(C391,[1]Especificação!$G:$G,[1]Especificação!$C:$C)</f>
        <v>A. Novos Campos</v>
      </c>
    </row>
    <row r="392" spans="1:25" x14ac:dyDescent="0.3">
      <c r="A392" s="50" t="str">
        <f t="shared" si="22"/>
        <v>INSTRUMENT_TTL_LVRG_RT_INCPTN_HLT</v>
      </c>
      <c r="B392" t="s">
        <v>128</v>
      </c>
      <c r="C392" t="s">
        <v>1327</v>
      </c>
      <c r="D392" t="s">
        <v>6</v>
      </c>
      <c r="E392" t="s">
        <v>20</v>
      </c>
      <c r="I392" t="s">
        <v>29</v>
      </c>
      <c r="J392" s="15">
        <v>45952</v>
      </c>
      <c r="K392" t="s">
        <v>38</v>
      </c>
      <c r="O392" s="15">
        <v>45952</v>
      </c>
      <c r="Q392" t="str">
        <f>_xlfn.XLOOKUP(C392,[2]Overview!$E:$E,[2]Overview!$Z:$Z)</f>
        <v>N</v>
      </c>
      <c r="R392" t="str">
        <f>_xlfn.XLOOKUP(C392,[2]Overview!$E:$E,[2]Overview!$AA:$AA)</f>
        <v>N</v>
      </c>
      <c r="S392" t="str">
        <f>_xlfn.XLOOKUP(C392,[2]Overview!$E:$E,[2]Overview!$AB:$AB)</f>
        <v>N</v>
      </c>
      <c r="T392" t="str">
        <f>_xlfn.XLOOKUP(C392,[2]Overview!$E:$E,[2]Overview!$AC:$AC)</f>
        <v>N</v>
      </c>
      <c r="U392" t="str">
        <f>_xlfn.XLOOKUP(C392,[2]Overview!$E:$E,[2]Overview!$AD:$AD)</f>
        <v>N</v>
      </c>
      <c r="V392" t="str">
        <f>_xlfn.XLOOKUP(C392,[2]Overview!$E:$E,[2]Overview!$AE:$AE)</f>
        <v>Y</v>
      </c>
      <c r="W392" t="s">
        <v>138</v>
      </c>
      <c r="X392" t="s">
        <v>572</v>
      </c>
      <c r="Y392" t="str">
        <f>_xlfn.XLOOKUP(C392,[1]Especificação!$G:$G,[1]Especificação!$C:$C)</f>
        <v>A. Novos Campos</v>
      </c>
    </row>
    <row r="393" spans="1:25" x14ac:dyDescent="0.3">
      <c r="A393" s="50" t="str">
        <f t="shared" si="22"/>
        <v>INSTRUMENT_TTL_LVRG_RT_INCPTN</v>
      </c>
      <c r="B393" t="s">
        <v>128</v>
      </c>
      <c r="C393" t="s">
        <v>1328</v>
      </c>
      <c r="D393" t="s">
        <v>6</v>
      </c>
      <c r="E393" t="s">
        <v>20</v>
      </c>
      <c r="I393" t="s">
        <v>29</v>
      </c>
      <c r="J393" s="15">
        <v>45952</v>
      </c>
      <c r="K393" t="s">
        <v>38</v>
      </c>
      <c r="O393" s="15">
        <v>45952</v>
      </c>
      <c r="Q393" t="str">
        <f>_xlfn.XLOOKUP(C393,[2]Overview!$E:$E,[2]Overview!$Z:$Z)</f>
        <v>N</v>
      </c>
      <c r="R393" t="str">
        <f>_xlfn.XLOOKUP(C393,[2]Overview!$E:$E,[2]Overview!$AA:$AA)</f>
        <v>N</v>
      </c>
      <c r="S393" t="str">
        <f>_xlfn.XLOOKUP(C393,[2]Overview!$E:$E,[2]Overview!$AB:$AB)</f>
        <v>N</v>
      </c>
      <c r="T393" t="str">
        <f>_xlfn.XLOOKUP(C393,[2]Overview!$E:$E,[2]Overview!$AC:$AC)</f>
        <v>N</v>
      </c>
      <c r="U393" t="str">
        <f>_xlfn.XLOOKUP(C393,[2]Overview!$E:$E,[2]Overview!$AD:$AD)</f>
        <v>N</v>
      </c>
      <c r="V393" t="str">
        <f>_xlfn.XLOOKUP(C393,[2]Overview!$E:$E,[2]Overview!$AE:$AE)</f>
        <v>Y</v>
      </c>
      <c r="W393" t="s">
        <v>138</v>
      </c>
      <c r="X393" t="s">
        <v>572</v>
      </c>
      <c r="Y393" t="str">
        <f>_xlfn.XLOOKUP(C393,[1]Especificação!$G:$G,[1]Especificação!$C:$C)</f>
        <v>A. Novos Campos</v>
      </c>
    </row>
    <row r="394" spans="1:25" x14ac:dyDescent="0.3">
      <c r="A394" s="50" t="str">
        <f t="shared" si="22"/>
        <v>ENTITY_SCAN</v>
      </c>
      <c r="B394" t="s">
        <v>142</v>
      </c>
      <c r="C394" t="s">
        <v>1329</v>
      </c>
      <c r="D394" t="s">
        <v>6</v>
      </c>
      <c r="E394" t="s">
        <v>20</v>
      </c>
      <c r="I394" t="s">
        <v>29</v>
      </c>
      <c r="J394" s="15">
        <v>45952</v>
      </c>
      <c r="K394" t="s">
        <v>38</v>
      </c>
      <c r="O394" s="15">
        <v>45952</v>
      </c>
      <c r="Q394" t="str">
        <f>_xlfn.XLOOKUP(C394,[2]Overview!$E:$E,[2]Overview!$Z:$Z)</f>
        <v>N</v>
      </c>
      <c r="R394" t="str">
        <f>_xlfn.XLOOKUP(C394,[2]Overview!$E:$E,[2]Overview!$AA:$AA)</f>
        <v>N</v>
      </c>
      <c r="S394" t="str">
        <f>_xlfn.XLOOKUP(C394,[2]Overview!$E:$E,[2]Overview!$AB:$AB)</f>
        <v>N</v>
      </c>
      <c r="T394" t="str">
        <f>_xlfn.XLOOKUP(C394,[2]Overview!$E:$E,[2]Overview!$AC:$AC)</f>
        <v>N</v>
      </c>
      <c r="U394" t="str">
        <f>_xlfn.XLOOKUP(C394,[2]Overview!$E:$E,[2]Overview!$AD:$AD)</f>
        <v>N</v>
      </c>
      <c r="V394" t="str">
        <f>_xlfn.XLOOKUP(C394,[2]Overview!$E:$E,[2]Overview!$AE:$AE)</f>
        <v>Y</v>
      </c>
      <c r="W394" t="s">
        <v>138</v>
      </c>
      <c r="X394" t="s">
        <v>572</v>
      </c>
      <c r="Y394" t="str">
        <f>_xlfn.XLOOKUP(C394,[1]Especificação!$G:$G,[1]Especificação!$C:$C)</f>
        <v>A. Novos Campos</v>
      </c>
    </row>
    <row r="395" spans="1:25" x14ac:dyDescent="0.3">
      <c r="A395" s="50" t="str">
        <f t="shared" si="22"/>
        <v>INSTRUMENT_RWA_PRMTGTN</v>
      </c>
      <c r="B395" t="s">
        <v>128</v>
      </c>
      <c r="C395" t="s">
        <v>1330</v>
      </c>
      <c r="D395" t="s">
        <v>6</v>
      </c>
      <c r="E395" t="s">
        <v>20</v>
      </c>
      <c r="I395" t="s">
        <v>29</v>
      </c>
      <c r="J395" s="15">
        <v>45952</v>
      </c>
      <c r="K395" t="s">
        <v>38</v>
      </c>
      <c r="O395" s="15">
        <v>45952</v>
      </c>
      <c r="Q395" t="str">
        <f>_xlfn.XLOOKUP(C395,[2]Overview!$E:$E,[2]Overview!$Z:$Z)</f>
        <v>N</v>
      </c>
      <c r="R395" t="str">
        <f>_xlfn.XLOOKUP(C395,[2]Overview!$E:$E,[2]Overview!$AA:$AA)</f>
        <v>N</v>
      </c>
      <c r="S395" t="str">
        <f>_xlfn.XLOOKUP(C395,[2]Overview!$E:$E,[2]Overview!$AB:$AB)</f>
        <v>N</v>
      </c>
      <c r="T395" t="str">
        <f>_xlfn.XLOOKUP(C395,[2]Overview!$E:$E,[2]Overview!$AC:$AC)</f>
        <v>N</v>
      </c>
      <c r="U395" t="str">
        <f>_xlfn.XLOOKUP(C395,[2]Overview!$E:$E,[2]Overview!$AD:$AD)</f>
        <v>N</v>
      </c>
      <c r="V395" t="str">
        <f>_xlfn.XLOOKUP(C395,[2]Overview!$E:$E,[2]Overview!$AE:$AE)</f>
        <v>Y</v>
      </c>
      <c r="W395" t="s">
        <v>138</v>
      </c>
      <c r="X395" t="s">
        <v>572</v>
      </c>
      <c r="Y395" t="str">
        <f>_xlfn.XLOOKUP(C395,[1]Especificação!$G:$G,[1]Especificação!$C:$C)</f>
        <v>A. Novos Campos</v>
      </c>
    </row>
    <row r="396" spans="1:25" x14ac:dyDescent="0.3">
      <c r="A396" s="50" t="str">
        <f t="shared" si="22"/>
        <v>INSTRUMENT_RWA_MTGTN</v>
      </c>
      <c r="B396" t="s">
        <v>128</v>
      </c>
      <c r="C396" t="s">
        <v>1331</v>
      </c>
      <c r="D396" t="s">
        <v>6</v>
      </c>
      <c r="E396" t="s">
        <v>20</v>
      </c>
      <c r="I396" t="s">
        <v>29</v>
      </c>
      <c r="J396" s="15">
        <v>45952</v>
      </c>
      <c r="K396" t="s">
        <v>38</v>
      </c>
      <c r="O396" s="15">
        <v>45952</v>
      </c>
      <c r="Q396" t="str">
        <f>_xlfn.XLOOKUP(C396,[2]Overview!$E:$E,[2]Overview!$Z:$Z)</f>
        <v>N</v>
      </c>
      <c r="R396" t="str">
        <f>_xlfn.XLOOKUP(C396,[2]Overview!$E:$E,[2]Overview!$AA:$AA)</f>
        <v>N</v>
      </c>
      <c r="S396" t="str">
        <f>_xlfn.XLOOKUP(C396,[2]Overview!$E:$E,[2]Overview!$AB:$AB)</f>
        <v>N</v>
      </c>
      <c r="T396" t="str">
        <f>_xlfn.XLOOKUP(C396,[2]Overview!$E:$E,[2]Overview!$AC:$AC)</f>
        <v>N</v>
      </c>
      <c r="U396" t="str">
        <f>_xlfn.XLOOKUP(C396,[2]Overview!$E:$E,[2]Overview!$AD:$AD)</f>
        <v>N</v>
      </c>
      <c r="V396" t="str">
        <f>_xlfn.XLOOKUP(C396,[2]Overview!$E:$E,[2]Overview!$AE:$AE)</f>
        <v>Y</v>
      </c>
      <c r="W396" t="s">
        <v>138</v>
      </c>
      <c r="X396" t="s">
        <v>572</v>
      </c>
      <c r="Y396" t="str">
        <f>_xlfn.XLOOKUP(C396,[1]Especificação!$G:$G,[1]Especificação!$C:$C)</f>
        <v>A. Novos Campos</v>
      </c>
    </row>
    <row r="397" spans="1:25" x14ac:dyDescent="0.3">
      <c r="A397" s="50" t="str">
        <f t="shared" si="22"/>
        <v>ENTITY_RORWA</v>
      </c>
      <c r="B397" t="s">
        <v>142</v>
      </c>
      <c r="C397" t="s">
        <v>1332</v>
      </c>
      <c r="D397" t="s">
        <v>6</v>
      </c>
      <c r="E397" t="s">
        <v>20</v>
      </c>
      <c r="I397" t="s">
        <v>29</v>
      </c>
      <c r="J397" s="15">
        <v>45952</v>
      </c>
      <c r="K397" t="s">
        <v>38</v>
      </c>
      <c r="O397" s="15">
        <v>45952</v>
      </c>
      <c r="Q397" t="str">
        <f>_xlfn.XLOOKUP(C397,[2]Overview!$E:$E,[2]Overview!$Z:$Z)</f>
        <v>N</v>
      </c>
      <c r="R397" t="str">
        <f>_xlfn.XLOOKUP(C397,[2]Overview!$E:$E,[2]Overview!$AA:$AA)</f>
        <v>N</v>
      </c>
      <c r="S397" t="str">
        <f>_xlfn.XLOOKUP(C397,[2]Overview!$E:$E,[2]Overview!$AB:$AB)</f>
        <v>N</v>
      </c>
      <c r="T397" t="str">
        <f>_xlfn.XLOOKUP(C397,[2]Overview!$E:$E,[2]Overview!$AC:$AC)</f>
        <v>N</v>
      </c>
      <c r="U397" t="str">
        <f>_xlfn.XLOOKUP(C397,[2]Overview!$E:$E,[2]Overview!$AD:$AD)</f>
        <v>N</v>
      </c>
      <c r="V397" t="str">
        <f>_xlfn.XLOOKUP(C397,[2]Overview!$E:$E,[2]Overview!$AE:$AE)</f>
        <v>Y</v>
      </c>
      <c r="W397" t="s">
        <v>138</v>
      </c>
      <c r="X397" t="s">
        <v>572</v>
      </c>
      <c r="Y397" t="str">
        <f>_xlfn.XLOOKUP(C397,[1]Especificação!$G:$G,[1]Especificação!$C:$C)</f>
        <v>A. Novos Campos</v>
      </c>
    </row>
    <row r="398" spans="1:25" x14ac:dyDescent="0.3">
      <c r="A398" s="50" t="str">
        <f t="shared" si="22"/>
        <v>INSTRUMENT_RORWA</v>
      </c>
      <c r="B398" t="s">
        <v>128</v>
      </c>
      <c r="C398" t="s">
        <v>1332</v>
      </c>
      <c r="D398" t="s">
        <v>6</v>
      </c>
      <c r="E398" t="s">
        <v>20</v>
      </c>
      <c r="I398" t="s">
        <v>29</v>
      </c>
      <c r="J398" s="15">
        <v>45952</v>
      </c>
      <c r="K398" t="s">
        <v>38</v>
      </c>
      <c r="O398" s="15">
        <v>45952</v>
      </c>
      <c r="Q398" t="str">
        <f>_xlfn.XLOOKUP(C398,[2]Overview!$E:$E,[2]Overview!$Z:$Z)</f>
        <v>N</v>
      </c>
      <c r="R398" t="str">
        <f>_xlfn.XLOOKUP(C398,[2]Overview!$E:$E,[2]Overview!$AA:$AA)</f>
        <v>N</v>
      </c>
      <c r="S398" t="str">
        <f>_xlfn.XLOOKUP(C398,[2]Overview!$E:$E,[2]Overview!$AB:$AB)</f>
        <v>N</v>
      </c>
      <c r="T398" t="str">
        <f>_xlfn.XLOOKUP(C398,[2]Overview!$E:$E,[2]Overview!$AC:$AC)</f>
        <v>N</v>
      </c>
      <c r="U398" t="str">
        <f>_xlfn.XLOOKUP(C398,[2]Overview!$E:$E,[2]Overview!$AD:$AD)</f>
        <v>N</v>
      </c>
      <c r="V398" t="str">
        <f>_xlfn.XLOOKUP(C398,[2]Overview!$E:$E,[2]Overview!$AE:$AE)</f>
        <v>Y</v>
      </c>
      <c r="W398" t="s">
        <v>138</v>
      </c>
      <c r="X398" t="s">
        <v>572</v>
      </c>
      <c r="Y398" t="str">
        <f>_xlfn.XLOOKUP(C398,[1]Especificação!$G:$G,[1]Especificação!$C:$C)</f>
        <v>A. Novos Campos</v>
      </c>
    </row>
    <row r="399" spans="1:25" x14ac:dyDescent="0.3">
      <c r="A399" s="50" t="str">
        <f t="shared" si="22"/>
        <v>ENTITY_RORAC</v>
      </c>
      <c r="B399" t="s">
        <v>142</v>
      </c>
      <c r="C399" t="s">
        <v>1333</v>
      </c>
      <c r="D399" t="s">
        <v>6</v>
      </c>
      <c r="E399" t="s">
        <v>20</v>
      </c>
      <c r="I399" t="s">
        <v>29</v>
      </c>
      <c r="J399" s="15">
        <v>45952</v>
      </c>
      <c r="K399" t="s">
        <v>55</v>
      </c>
      <c r="O399" s="15">
        <v>45952</v>
      </c>
      <c r="Q399" t="str">
        <f>_xlfn.XLOOKUP(C399,[2]Overview!$E:$E,[2]Overview!$Z:$Z)</f>
        <v>N</v>
      </c>
      <c r="R399" t="str">
        <f>_xlfn.XLOOKUP(C399,[2]Overview!$E:$E,[2]Overview!$AA:$AA)</f>
        <v>N</v>
      </c>
      <c r="S399" t="str">
        <f>_xlfn.XLOOKUP(C399,[2]Overview!$E:$E,[2]Overview!$AB:$AB)</f>
        <v>N</v>
      </c>
      <c r="T399" t="str">
        <f>_xlfn.XLOOKUP(C399,[2]Overview!$E:$E,[2]Overview!$AC:$AC)</f>
        <v>N</v>
      </c>
      <c r="U399" t="str">
        <f>_xlfn.XLOOKUP(C399,[2]Overview!$E:$E,[2]Overview!$AD:$AD)</f>
        <v>N</v>
      </c>
      <c r="V399" t="str">
        <f>_xlfn.XLOOKUP(C399,[2]Overview!$E:$E,[2]Overview!$AE:$AE)</f>
        <v>Y</v>
      </c>
      <c r="W399" t="s">
        <v>138</v>
      </c>
      <c r="X399" t="s">
        <v>572</v>
      </c>
      <c r="Y399" t="str">
        <f>_xlfn.XLOOKUP(C399,[1]Especificação!$G:$G,[1]Especificação!$C:$C)</f>
        <v>A. Novos Campos</v>
      </c>
    </row>
    <row r="400" spans="1:25" x14ac:dyDescent="0.3">
      <c r="A400" s="50" t="str">
        <f t="shared" si="22"/>
        <v>INSTRUMENT_RORAC</v>
      </c>
      <c r="B400" t="s">
        <v>128</v>
      </c>
      <c r="C400" t="s">
        <v>1333</v>
      </c>
      <c r="D400" t="s">
        <v>6</v>
      </c>
      <c r="E400" t="s">
        <v>20</v>
      </c>
      <c r="I400" t="s">
        <v>29</v>
      </c>
      <c r="J400" s="15">
        <v>45952</v>
      </c>
      <c r="K400" t="s">
        <v>38</v>
      </c>
      <c r="O400" s="15">
        <v>45952</v>
      </c>
      <c r="Q400" t="str">
        <f>_xlfn.XLOOKUP(C400,[2]Overview!$E:$E,[2]Overview!$Z:$Z)</f>
        <v>N</v>
      </c>
      <c r="R400" t="str">
        <f>_xlfn.XLOOKUP(C400,[2]Overview!$E:$E,[2]Overview!$AA:$AA)</f>
        <v>N</v>
      </c>
      <c r="S400" t="str">
        <f>_xlfn.XLOOKUP(C400,[2]Overview!$E:$E,[2]Overview!$AB:$AB)</f>
        <v>N</v>
      </c>
      <c r="T400" t="str">
        <f>_xlfn.XLOOKUP(C400,[2]Overview!$E:$E,[2]Overview!$AC:$AC)</f>
        <v>N</v>
      </c>
      <c r="U400" t="str">
        <f>_xlfn.XLOOKUP(C400,[2]Overview!$E:$E,[2]Overview!$AD:$AD)</f>
        <v>N</v>
      </c>
      <c r="V400" t="str">
        <f>_xlfn.XLOOKUP(C400,[2]Overview!$E:$E,[2]Overview!$AE:$AE)</f>
        <v>Y</v>
      </c>
      <c r="W400" t="s">
        <v>138</v>
      </c>
      <c r="X400" t="s">
        <v>572</v>
      </c>
      <c r="Y400" t="str">
        <f>_xlfn.XLOOKUP(C400,[1]Especificação!$G:$G,[1]Especificação!$C:$C)</f>
        <v>A. Novos Campos</v>
      </c>
    </row>
    <row r="401" spans="1:25" x14ac:dyDescent="0.3">
      <c r="A401" s="50" t="str">
        <f t="shared" si="22"/>
        <v>INSTR_PROT_GRP_SPPRT</v>
      </c>
      <c r="B401" t="s">
        <v>1341</v>
      </c>
      <c r="C401" t="s">
        <v>1334</v>
      </c>
      <c r="D401" t="s">
        <v>6</v>
      </c>
      <c r="E401" t="s">
        <v>20</v>
      </c>
      <c r="I401" t="s">
        <v>29</v>
      </c>
      <c r="J401" s="15">
        <v>45952</v>
      </c>
      <c r="K401" t="s">
        <v>38</v>
      </c>
      <c r="O401" s="15">
        <v>45952</v>
      </c>
      <c r="Q401" t="str">
        <f>_xlfn.XLOOKUP(C401,[2]Overview!$E:$E,[2]Overview!$Z:$Z)</f>
        <v>Y</v>
      </c>
      <c r="R401" t="str">
        <f>_xlfn.XLOOKUP(C401,[2]Overview!$E:$E,[2]Overview!$AA:$AA)</f>
        <v>N</v>
      </c>
      <c r="S401" t="str">
        <f>_xlfn.XLOOKUP(C401,[2]Overview!$E:$E,[2]Overview!$AB:$AB)</f>
        <v>N</v>
      </c>
      <c r="T401" t="str">
        <f>_xlfn.XLOOKUP(C401,[2]Overview!$E:$E,[2]Overview!$AC:$AC)</f>
        <v>N</v>
      </c>
      <c r="U401" t="str">
        <f>_xlfn.XLOOKUP(C401,[2]Overview!$E:$E,[2]Overview!$AD:$AD)</f>
        <v>N</v>
      </c>
      <c r="V401" t="str">
        <f>_xlfn.XLOOKUP(C401,[2]Overview!$E:$E,[2]Overview!$AE:$AE)</f>
        <v>Y</v>
      </c>
      <c r="W401" t="s">
        <v>138</v>
      </c>
      <c r="X401" t="s">
        <v>572</v>
      </c>
      <c r="Y401" t="str">
        <f>_xlfn.XLOOKUP(C401,[1]Especificação!$G:$G,[1]Especificação!$C:$C)</f>
        <v>A. Novos Campos</v>
      </c>
    </row>
    <row r="402" spans="1:25" x14ac:dyDescent="0.3">
      <c r="A402" s="50" t="str">
        <f t="shared" si="22"/>
        <v>ENTITY_GRP_RORWA</v>
      </c>
      <c r="B402" t="s">
        <v>142</v>
      </c>
      <c r="C402" t="s">
        <v>1335</v>
      </c>
      <c r="D402" t="s">
        <v>6</v>
      </c>
      <c r="E402" t="s">
        <v>20</v>
      </c>
      <c r="I402" t="s">
        <v>29</v>
      </c>
      <c r="J402" s="15">
        <v>45952</v>
      </c>
      <c r="K402" t="s">
        <v>38</v>
      </c>
      <c r="O402" s="15">
        <v>45952</v>
      </c>
      <c r="Q402" t="str">
        <f>_xlfn.XLOOKUP(C402,[2]Overview!$E:$E,[2]Overview!$Z:$Z)</f>
        <v>N</v>
      </c>
      <c r="R402" t="str">
        <f>_xlfn.XLOOKUP(C402,[2]Overview!$E:$E,[2]Overview!$AA:$AA)</f>
        <v>N</v>
      </c>
      <c r="S402" t="str">
        <f>_xlfn.XLOOKUP(C402,[2]Overview!$E:$E,[2]Overview!$AB:$AB)</f>
        <v>N</v>
      </c>
      <c r="T402" t="str">
        <f>_xlfn.XLOOKUP(C402,[2]Overview!$E:$E,[2]Overview!$AC:$AC)</f>
        <v>N</v>
      </c>
      <c r="U402" t="str">
        <f>_xlfn.XLOOKUP(C402,[2]Overview!$E:$E,[2]Overview!$AD:$AD)</f>
        <v>N</v>
      </c>
      <c r="V402" t="str">
        <f>_xlfn.XLOOKUP(C402,[2]Overview!$E:$E,[2]Overview!$AE:$AE)</f>
        <v>Y</v>
      </c>
      <c r="W402" t="s">
        <v>138</v>
      </c>
      <c r="X402" t="s">
        <v>572</v>
      </c>
      <c r="Y402" t="str">
        <f>_xlfn.XLOOKUP(C402,[1]Especificação!$G:$G,[1]Especificação!$C:$C)</f>
        <v>A. Novos Campos</v>
      </c>
    </row>
    <row r="403" spans="1:25" x14ac:dyDescent="0.3">
      <c r="A403" s="50" t="str">
        <f t="shared" si="22"/>
        <v>ENTITY_GRP_RORAC</v>
      </c>
      <c r="B403" t="s">
        <v>142</v>
      </c>
      <c r="C403" t="s">
        <v>1336</v>
      </c>
      <c r="D403" t="s">
        <v>6</v>
      </c>
      <c r="E403" t="s">
        <v>20</v>
      </c>
      <c r="I403" t="s">
        <v>29</v>
      </c>
      <c r="J403" s="15">
        <v>45952</v>
      </c>
      <c r="K403" t="s">
        <v>55</v>
      </c>
      <c r="O403" s="15">
        <v>45952</v>
      </c>
      <c r="Q403" t="str">
        <f>_xlfn.XLOOKUP(C403,[2]Overview!$E:$E,[2]Overview!$Z:$Z)</f>
        <v>N</v>
      </c>
      <c r="R403" t="str">
        <f>_xlfn.XLOOKUP(C403,[2]Overview!$E:$E,[2]Overview!$AA:$AA)</f>
        <v>N</v>
      </c>
      <c r="S403" t="str">
        <f>_xlfn.XLOOKUP(C403,[2]Overview!$E:$E,[2]Overview!$AB:$AB)</f>
        <v>N</v>
      </c>
      <c r="T403" t="str">
        <f>_xlfn.XLOOKUP(C403,[2]Overview!$E:$E,[2]Overview!$AC:$AC)</f>
        <v>N</v>
      </c>
      <c r="U403" t="str">
        <f>_xlfn.XLOOKUP(C403,[2]Overview!$E:$E,[2]Overview!$AD:$AD)</f>
        <v>N</v>
      </c>
      <c r="V403" t="str">
        <f>_xlfn.XLOOKUP(C403,[2]Overview!$E:$E,[2]Overview!$AE:$AE)</f>
        <v>Y</v>
      </c>
      <c r="W403" t="s">
        <v>138</v>
      </c>
      <c r="X403" t="s">
        <v>572</v>
      </c>
      <c r="Y403" t="str">
        <f>_xlfn.XLOOKUP(C403,[1]Especificação!$G:$G,[1]Especificação!$C:$C)</f>
        <v>A. Novos Campos</v>
      </c>
    </row>
    <row r="404" spans="1:25" x14ac:dyDescent="0.3">
      <c r="A404" s="50" t="str">
        <f t="shared" si="22"/>
        <v>ENTITY_FLLN_ANGL_NRRW_DFNTN</v>
      </c>
      <c r="B404" t="s">
        <v>142</v>
      </c>
      <c r="C404" t="s">
        <v>1337</v>
      </c>
      <c r="D404" t="s">
        <v>6</v>
      </c>
      <c r="E404" t="s">
        <v>20</v>
      </c>
      <c r="I404" t="s">
        <v>29</v>
      </c>
      <c r="J404" s="15">
        <v>45952</v>
      </c>
      <c r="K404" t="s">
        <v>38</v>
      </c>
      <c r="O404" s="15">
        <v>45952</v>
      </c>
      <c r="Q404" t="str">
        <f>_xlfn.XLOOKUP(C404,[2]Overview!$E:$E,[2]Overview!$Z:$Z)</f>
        <v>N</v>
      </c>
      <c r="R404" t="str">
        <f>_xlfn.XLOOKUP(C404,[2]Overview!$E:$E,[2]Overview!$AA:$AA)</f>
        <v>N</v>
      </c>
      <c r="S404" t="str">
        <f>_xlfn.XLOOKUP(C404,[2]Overview!$E:$E,[2]Overview!$AB:$AB)</f>
        <v>N</v>
      </c>
      <c r="T404" t="str">
        <f>_xlfn.XLOOKUP(C404,[2]Overview!$E:$E,[2]Overview!$AC:$AC)</f>
        <v>N</v>
      </c>
      <c r="U404" t="str">
        <f>_xlfn.XLOOKUP(C404,[2]Overview!$E:$E,[2]Overview!$AD:$AD)</f>
        <v>N</v>
      </c>
      <c r="V404" t="str">
        <f>_xlfn.XLOOKUP(C404,[2]Overview!$E:$E,[2]Overview!$AE:$AE)</f>
        <v>Y</v>
      </c>
      <c r="W404" t="s">
        <v>138</v>
      </c>
      <c r="X404" t="s">
        <v>572</v>
      </c>
      <c r="Y404" t="str">
        <f>_xlfn.XLOOKUP(C404,[1]Especificação!$G:$G,[1]Especificação!$C:$C)</f>
        <v>A. Novos Campos</v>
      </c>
    </row>
    <row r="405" spans="1:25" x14ac:dyDescent="0.3">
      <c r="A405" s="50" t="str">
        <f t="shared" si="22"/>
        <v>ENTITY_FLLN_ANGL_EXTNDD_DFNTN</v>
      </c>
      <c r="B405" t="s">
        <v>142</v>
      </c>
      <c r="C405" t="s">
        <v>1338</v>
      </c>
      <c r="D405" t="s">
        <v>6</v>
      </c>
      <c r="E405" t="s">
        <v>20</v>
      </c>
      <c r="I405" t="s">
        <v>29</v>
      </c>
      <c r="J405" s="15">
        <v>45952</v>
      </c>
      <c r="K405" t="s">
        <v>38</v>
      </c>
      <c r="O405" s="15">
        <v>45952</v>
      </c>
      <c r="Q405" t="str">
        <f>_xlfn.XLOOKUP(C405,[2]Overview!$E:$E,[2]Overview!$Z:$Z)</f>
        <v>N</v>
      </c>
      <c r="R405" t="str">
        <f>_xlfn.XLOOKUP(C405,[2]Overview!$E:$E,[2]Overview!$AA:$AA)</f>
        <v>N</v>
      </c>
      <c r="S405" t="str">
        <f>_xlfn.XLOOKUP(C405,[2]Overview!$E:$E,[2]Overview!$AB:$AB)</f>
        <v>N</v>
      </c>
      <c r="T405" t="str">
        <f>_xlfn.XLOOKUP(C405,[2]Overview!$E:$E,[2]Overview!$AC:$AC)</f>
        <v>N</v>
      </c>
      <c r="U405" t="str">
        <f>_xlfn.XLOOKUP(C405,[2]Overview!$E:$E,[2]Overview!$AD:$AD)</f>
        <v>N</v>
      </c>
      <c r="V405" t="str">
        <f>_xlfn.XLOOKUP(C405,[2]Overview!$E:$E,[2]Overview!$AE:$AE)</f>
        <v>Y</v>
      </c>
      <c r="W405" t="s">
        <v>138</v>
      </c>
      <c r="X405" t="s">
        <v>572</v>
      </c>
      <c r="Y405" t="str">
        <f>_xlfn.XLOOKUP(C405,[1]Especificação!$G:$G,[1]Especificação!$C:$C)</f>
        <v>A. Novos Campos</v>
      </c>
    </row>
    <row r="406" spans="1:25" x14ac:dyDescent="0.3">
      <c r="A406" s="50" t="str">
        <f t="shared" si="22"/>
        <v>INSTRUMENT_EXCLDD_LF</v>
      </c>
      <c r="B406" t="s">
        <v>128</v>
      </c>
      <c r="C406" t="s">
        <v>1277</v>
      </c>
      <c r="D406" t="s">
        <v>6</v>
      </c>
      <c r="E406" t="s">
        <v>20</v>
      </c>
      <c r="I406" t="s">
        <v>29</v>
      </c>
      <c r="J406" s="15">
        <v>45952</v>
      </c>
      <c r="K406" t="s">
        <v>55</v>
      </c>
      <c r="Q406" t="str">
        <f>_xlfn.XLOOKUP(C406,[2]Overview!$E:$E,[2]Overview!$Z:$Z)</f>
        <v>N</v>
      </c>
      <c r="R406" t="str">
        <f>_xlfn.XLOOKUP(C406,[2]Overview!$E:$E,[2]Overview!$AA:$AA)</f>
        <v>N</v>
      </c>
      <c r="S406" t="str">
        <f>_xlfn.XLOOKUP(C406,[2]Overview!$E:$E,[2]Overview!$AB:$AB)</f>
        <v>N</v>
      </c>
      <c r="T406" t="str">
        <f>_xlfn.XLOOKUP(C406,[2]Overview!$E:$E,[2]Overview!$AC:$AC)</f>
        <v>N</v>
      </c>
      <c r="U406" t="str">
        <f>_xlfn.XLOOKUP(C406,[2]Overview!$E:$E,[2]Overview!$AD:$AD)</f>
        <v>N</v>
      </c>
      <c r="V406" t="str">
        <f>_xlfn.XLOOKUP(C406,[2]Overview!$E:$E,[2]Overview!$AE:$AE)</f>
        <v>Y</v>
      </c>
      <c r="W406" t="s">
        <v>138</v>
      </c>
      <c r="X406" t="s">
        <v>572</v>
      </c>
      <c r="Y406" t="str">
        <f>_xlfn.XLOOKUP(C406,[1]Especificação!$G:$G,[1]Especificação!$C:$C)</f>
        <v>A. Novos Campos</v>
      </c>
    </row>
    <row r="407" spans="1:25" x14ac:dyDescent="0.3">
      <c r="A407" s="50" t="str">
        <f t="shared" si="22"/>
        <v>INSTRUMENT_DT_MDFCTN</v>
      </c>
      <c r="B407" t="s">
        <v>128</v>
      </c>
      <c r="C407" t="s">
        <v>1339</v>
      </c>
      <c r="D407" t="s">
        <v>6</v>
      </c>
      <c r="E407" t="s">
        <v>20</v>
      </c>
      <c r="I407" t="s">
        <v>29</v>
      </c>
      <c r="J407" s="15">
        <v>45952</v>
      </c>
      <c r="K407" t="s">
        <v>38</v>
      </c>
      <c r="O407" s="15">
        <v>45952</v>
      </c>
      <c r="Q407" t="str">
        <f>_xlfn.XLOOKUP(C407,[2]Overview!$E:$E,[2]Overview!$Z:$Z)</f>
        <v>Y</v>
      </c>
      <c r="R407" t="str">
        <f>_xlfn.XLOOKUP(C407,[2]Overview!$E:$E,[2]Overview!$AA:$AA)</f>
        <v>N</v>
      </c>
      <c r="S407" t="str">
        <f>_xlfn.XLOOKUP(C407,[2]Overview!$E:$E,[2]Overview!$AB:$AB)</f>
        <v>N</v>
      </c>
      <c r="T407" t="str">
        <f>_xlfn.XLOOKUP(C407,[2]Overview!$E:$E,[2]Overview!$AC:$AC)</f>
        <v>N</v>
      </c>
      <c r="U407" t="str">
        <f>_xlfn.XLOOKUP(C407,[2]Overview!$E:$E,[2]Overview!$AD:$AD)</f>
        <v>N</v>
      </c>
      <c r="V407" t="str">
        <f>_xlfn.XLOOKUP(C407,[2]Overview!$E:$E,[2]Overview!$AE:$AE)</f>
        <v>Y</v>
      </c>
      <c r="W407" t="s">
        <v>138</v>
      </c>
      <c r="X407" t="s">
        <v>572</v>
      </c>
      <c r="Y407" t="str">
        <f>_xlfn.XLOOKUP(C407,[1]Especificação!$G:$G,[1]Especificação!$C:$C)</f>
        <v>A. Novos Campos</v>
      </c>
    </row>
    <row r="408" spans="1:25" x14ac:dyDescent="0.3">
      <c r="A408" s="50" t="str">
        <f t="shared" si="22"/>
        <v>INSTRUMENT_DSTNTN_FNDS</v>
      </c>
      <c r="B408" t="s">
        <v>128</v>
      </c>
      <c r="C408" t="s">
        <v>1340</v>
      </c>
      <c r="D408" t="s">
        <v>6</v>
      </c>
      <c r="E408" t="s">
        <v>20</v>
      </c>
      <c r="I408" t="s">
        <v>29</v>
      </c>
      <c r="J408" s="15">
        <v>45952</v>
      </c>
      <c r="K408" t="s">
        <v>38</v>
      </c>
      <c r="O408" s="15">
        <v>45952</v>
      </c>
      <c r="Q408" t="str">
        <f>_xlfn.XLOOKUP(C408,[2]Overview!$E:$E,[2]Overview!$Z:$Z)</f>
        <v>N</v>
      </c>
      <c r="R408" t="str">
        <f>_xlfn.XLOOKUP(C408,[2]Overview!$E:$E,[2]Overview!$AA:$AA)</f>
        <v>N</v>
      </c>
      <c r="S408" t="str">
        <f>_xlfn.XLOOKUP(C408,[2]Overview!$E:$E,[2]Overview!$AB:$AB)</f>
        <v>N</v>
      </c>
      <c r="T408" t="str">
        <f>_xlfn.XLOOKUP(C408,[2]Overview!$E:$E,[2]Overview!$AC:$AC)</f>
        <v>N</v>
      </c>
      <c r="U408" t="str">
        <f>_xlfn.XLOOKUP(C408,[2]Overview!$E:$E,[2]Overview!$AD:$AD)</f>
        <v>N</v>
      </c>
      <c r="V408" t="str">
        <f>_xlfn.XLOOKUP(C408,[2]Overview!$E:$E,[2]Overview!$AE:$AE)</f>
        <v>Y</v>
      </c>
      <c r="W408" t="s">
        <v>138</v>
      </c>
      <c r="X408" t="s">
        <v>572</v>
      </c>
      <c r="Y408" t="str">
        <f>_xlfn.XLOOKUP(C408,[1]Especificação!$G:$G,[1]Especificação!$C:$C)</f>
        <v>A. Novos Campos</v>
      </c>
    </row>
  </sheetData>
  <autoFilter ref="B5:Y408" xr:uid="{00000000-0001-0000-0200-000000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78"/>
  <sheetViews>
    <sheetView zoomScale="70" zoomScaleNormal="70" workbookViewId="0">
      <pane ySplit="1" topLeftCell="A266" activePane="bottomLeft" state="frozen"/>
      <selection activeCell="C1" sqref="C1"/>
      <selection pane="bottomLeft" activeCell="D302" sqref="D302"/>
    </sheetView>
  </sheetViews>
  <sheetFormatPr defaultRowHeight="14.4" x14ac:dyDescent="0.3"/>
  <cols>
    <col min="1" max="1" width="12.44140625" customWidth="1"/>
    <col min="2" max="2" width="45" bestFit="1" customWidth="1"/>
    <col min="3" max="3" width="15.6640625" bestFit="1" customWidth="1"/>
    <col min="4" max="4" width="119.33203125" customWidth="1"/>
    <col min="5" max="5" width="15.33203125" bestFit="1" customWidth="1"/>
    <col min="6" max="6" width="15.33203125" customWidth="1"/>
    <col min="8" max="8" width="45.5546875" customWidth="1"/>
  </cols>
  <sheetData>
    <row r="1" spans="1:9" x14ac:dyDescent="0.3">
      <c r="A1" s="2" t="s">
        <v>589</v>
      </c>
      <c r="B1" s="2" t="s">
        <v>590</v>
      </c>
      <c r="C1" s="2" t="s">
        <v>591</v>
      </c>
      <c r="D1" s="2" t="s">
        <v>592</v>
      </c>
      <c r="E1" s="2" t="s">
        <v>593</v>
      </c>
      <c r="F1" s="2" t="s">
        <v>594</v>
      </c>
      <c r="G1" s="2" t="s">
        <v>110</v>
      </c>
      <c r="H1" s="2" t="s">
        <v>595</v>
      </c>
      <c r="I1" s="2" t="s">
        <v>596</v>
      </c>
    </row>
    <row r="2" spans="1:9" x14ac:dyDescent="0.3">
      <c r="A2" t="s">
        <v>597</v>
      </c>
      <c r="B2" t="s">
        <v>431</v>
      </c>
      <c r="C2" t="s">
        <v>598</v>
      </c>
      <c r="D2" t="s">
        <v>599</v>
      </c>
      <c r="E2" s="15">
        <v>45460</v>
      </c>
      <c r="F2" s="15">
        <v>45443</v>
      </c>
      <c r="G2" t="s">
        <v>130</v>
      </c>
      <c r="I2" t="s">
        <v>600</v>
      </c>
    </row>
    <row r="3" spans="1:9" x14ac:dyDescent="0.3">
      <c r="A3" t="s">
        <v>597</v>
      </c>
      <c r="B3" t="s">
        <v>431</v>
      </c>
      <c r="C3" t="s">
        <v>601</v>
      </c>
      <c r="D3" t="s">
        <v>602</v>
      </c>
      <c r="E3" s="15">
        <v>45460</v>
      </c>
      <c r="F3" s="15">
        <v>45443</v>
      </c>
      <c r="G3" t="s">
        <v>130</v>
      </c>
      <c r="I3" t="s">
        <v>603</v>
      </c>
    </row>
    <row r="4" spans="1:9" x14ac:dyDescent="0.3">
      <c r="A4" t="s">
        <v>597</v>
      </c>
      <c r="B4" t="s">
        <v>431</v>
      </c>
      <c r="C4" t="s">
        <v>601</v>
      </c>
      <c r="D4" t="s">
        <v>604</v>
      </c>
      <c r="E4" s="15">
        <v>45460</v>
      </c>
      <c r="F4" s="15">
        <v>45443</v>
      </c>
      <c r="G4" t="s">
        <v>130</v>
      </c>
      <c r="I4" t="s">
        <v>605</v>
      </c>
    </row>
    <row r="5" spans="1:9" x14ac:dyDescent="0.3">
      <c r="A5" t="s">
        <v>597</v>
      </c>
      <c r="B5" t="s">
        <v>431</v>
      </c>
      <c r="C5" t="s">
        <v>606</v>
      </c>
      <c r="D5" t="s">
        <v>607</v>
      </c>
      <c r="E5" s="15">
        <v>45460</v>
      </c>
      <c r="F5" s="15">
        <v>45443</v>
      </c>
      <c r="G5" t="s">
        <v>130</v>
      </c>
      <c r="I5" t="s">
        <v>608</v>
      </c>
    </row>
    <row r="6" spans="1:9" x14ac:dyDescent="0.3">
      <c r="A6" t="s">
        <v>597</v>
      </c>
      <c r="B6" t="s">
        <v>431</v>
      </c>
      <c r="C6" t="s">
        <v>606</v>
      </c>
      <c r="D6" t="s">
        <v>609</v>
      </c>
      <c r="E6" s="15">
        <v>45460</v>
      </c>
      <c r="F6" s="15">
        <v>45443</v>
      </c>
      <c r="G6" t="s">
        <v>130</v>
      </c>
      <c r="I6" t="s">
        <v>610</v>
      </c>
    </row>
    <row r="7" spans="1:9" x14ac:dyDescent="0.3">
      <c r="A7" t="s">
        <v>597</v>
      </c>
      <c r="B7" t="s">
        <v>431</v>
      </c>
      <c r="C7" t="s">
        <v>606</v>
      </c>
      <c r="D7" t="s">
        <v>611</v>
      </c>
      <c r="E7" s="15">
        <v>45460</v>
      </c>
      <c r="F7" s="15">
        <v>45443</v>
      </c>
      <c r="G7" t="s">
        <v>130</v>
      </c>
      <c r="I7" t="s">
        <v>603</v>
      </c>
    </row>
    <row r="8" spans="1:9" x14ac:dyDescent="0.3">
      <c r="A8" t="s">
        <v>597</v>
      </c>
      <c r="B8" t="s">
        <v>505</v>
      </c>
      <c r="C8" t="s">
        <v>598</v>
      </c>
      <c r="D8" t="s">
        <v>599</v>
      </c>
      <c r="E8" s="15">
        <v>45460</v>
      </c>
      <c r="F8" s="15">
        <v>45443</v>
      </c>
      <c r="G8" t="s">
        <v>130</v>
      </c>
      <c r="I8" t="s">
        <v>612</v>
      </c>
    </row>
    <row r="9" spans="1:9" x14ac:dyDescent="0.3">
      <c r="A9" t="s">
        <v>597</v>
      </c>
      <c r="B9" t="s">
        <v>505</v>
      </c>
      <c r="C9" t="s">
        <v>601</v>
      </c>
      <c r="D9" t="s">
        <v>604</v>
      </c>
      <c r="E9" s="15">
        <v>45460</v>
      </c>
      <c r="F9" s="15">
        <v>45443</v>
      </c>
      <c r="G9" t="s">
        <v>130</v>
      </c>
      <c r="I9" t="s">
        <v>605</v>
      </c>
    </row>
    <row r="10" spans="1:9" x14ac:dyDescent="0.3">
      <c r="A10" t="s">
        <v>597</v>
      </c>
      <c r="B10" t="s">
        <v>505</v>
      </c>
      <c r="C10" t="s">
        <v>606</v>
      </c>
      <c r="D10" t="s">
        <v>613</v>
      </c>
      <c r="E10" s="15">
        <v>45460</v>
      </c>
      <c r="F10" s="15">
        <v>45443</v>
      </c>
      <c r="G10" t="s">
        <v>130</v>
      </c>
      <c r="I10" t="s">
        <v>614</v>
      </c>
    </row>
    <row r="11" spans="1:9" x14ac:dyDescent="0.3">
      <c r="A11" t="s">
        <v>597</v>
      </c>
      <c r="B11" t="s">
        <v>505</v>
      </c>
      <c r="C11" t="s">
        <v>606</v>
      </c>
      <c r="D11" t="s">
        <v>615</v>
      </c>
      <c r="E11" s="15">
        <v>45460</v>
      </c>
      <c r="F11" s="15">
        <v>45443</v>
      </c>
      <c r="G11" t="s">
        <v>149</v>
      </c>
      <c r="H11" t="s">
        <v>616</v>
      </c>
      <c r="I11" t="s">
        <v>617</v>
      </c>
    </row>
    <row r="12" spans="1:9" x14ac:dyDescent="0.3">
      <c r="A12" t="s">
        <v>597</v>
      </c>
      <c r="B12" t="s">
        <v>505</v>
      </c>
      <c r="C12" t="s">
        <v>606</v>
      </c>
      <c r="D12" s="17" t="s">
        <v>618</v>
      </c>
      <c r="E12" s="15">
        <v>45462</v>
      </c>
      <c r="F12" s="15">
        <v>45443</v>
      </c>
      <c r="G12" t="s">
        <v>130</v>
      </c>
      <c r="H12" t="s">
        <v>619</v>
      </c>
      <c r="I12" t="s">
        <v>620</v>
      </c>
    </row>
    <row r="13" spans="1:9" x14ac:dyDescent="0.3">
      <c r="A13" t="s">
        <v>597</v>
      </c>
      <c r="B13" t="s">
        <v>505</v>
      </c>
      <c r="C13" t="s">
        <v>606</v>
      </c>
      <c r="D13" s="17" t="s">
        <v>621</v>
      </c>
      <c r="E13" s="15">
        <v>45462</v>
      </c>
      <c r="F13" s="15">
        <v>45443</v>
      </c>
      <c r="G13" t="s">
        <v>130</v>
      </c>
      <c r="I13" t="s">
        <v>622</v>
      </c>
    </row>
    <row r="14" spans="1:9" x14ac:dyDescent="0.3">
      <c r="A14" t="s">
        <v>597</v>
      </c>
      <c r="B14" t="s">
        <v>298</v>
      </c>
      <c r="C14" t="s">
        <v>598</v>
      </c>
      <c r="D14" t="s">
        <v>599</v>
      </c>
      <c r="E14" s="15">
        <v>45460</v>
      </c>
      <c r="F14" s="15">
        <v>45443</v>
      </c>
      <c r="G14" t="s">
        <v>130</v>
      </c>
      <c r="I14" t="s">
        <v>623</v>
      </c>
    </row>
    <row r="15" spans="1:9" x14ac:dyDescent="0.3">
      <c r="A15" t="s">
        <v>597</v>
      </c>
      <c r="B15" t="s">
        <v>298</v>
      </c>
      <c r="C15" t="s">
        <v>601</v>
      </c>
      <c r="D15" t="s">
        <v>604</v>
      </c>
      <c r="E15" s="15">
        <v>45460</v>
      </c>
      <c r="F15" s="15">
        <v>45443</v>
      </c>
      <c r="G15" t="s">
        <v>130</v>
      </c>
      <c r="I15" t="s">
        <v>605</v>
      </c>
    </row>
    <row r="16" spans="1:9" x14ac:dyDescent="0.3">
      <c r="A16" t="s">
        <v>597</v>
      </c>
      <c r="B16" t="s">
        <v>298</v>
      </c>
      <c r="C16" t="s">
        <v>606</v>
      </c>
      <c r="D16" t="s">
        <v>613</v>
      </c>
      <c r="E16" s="15">
        <v>45460</v>
      </c>
      <c r="F16" s="15">
        <v>45443</v>
      </c>
      <c r="G16" t="s">
        <v>130</v>
      </c>
      <c r="I16" t="s">
        <v>614</v>
      </c>
    </row>
    <row r="17" spans="1:9" x14ac:dyDescent="0.3">
      <c r="A17" t="s">
        <v>597</v>
      </c>
      <c r="B17" t="s">
        <v>298</v>
      </c>
      <c r="C17" t="s">
        <v>606</v>
      </c>
      <c r="D17" t="s">
        <v>615</v>
      </c>
      <c r="E17" s="15">
        <v>45460</v>
      </c>
      <c r="F17" s="15">
        <v>45443</v>
      </c>
      <c r="G17" t="s">
        <v>149</v>
      </c>
      <c r="H17" t="s">
        <v>616</v>
      </c>
      <c r="I17" t="s">
        <v>624</v>
      </c>
    </row>
    <row r="18" spans="1:9" x14ac:dyDescent="0.3">
      <c r="A18" t="s">
        <v>597</v>
      </c>
      <c r="B18" t="s">
        <v>298</v>
      </c>
      <c r="C18" t="s">
        <v>606</v>
      </c>
      <c r="D18" s="17" t="s">
        <v>618</v>
      </c>
      <c r="E18" s="15">
        <v>45462</v>
      </c>
      <c r="F18" s="15">
        <v>45443</v>
      </c>
      <c r="G18" t="s">
        <v>130</v>
      </c>
      <c r="H18" t="s">
        <v>619</v>
      </c>
      <c r="I18" t="s">
        <v>620</v>
      </c>
    </row>
    <row r="19" spans="1:9" x14ac:dyDescent="0.3">
      <c r="A19" t="s">
        <v>597</v>
      </c>
      <c r="B19" t="s">
        <v>298</v>
      </c>
      <c r="C19" t="s">
        <v>606</v>
      </c>
      <c r="D19" s="17" t="s">
        <v>621</v>
      </c>
      <c r="E19" s="15">
        <v>45462</v>
      </c>
      <c r="F19" s="15">
        <v>45443</v>
      </c>
      <c r="G19" t="s">
        <v>130</v>
      </c>
      <c r="I19" t="s">
        <v>622</v>
      </c>
    </row>
    <row r="20" spans="1:9" x14ac:dyDescent="0.3">
      <c r="A20" t="s">
        <v>625</v>
      </c>
      <c r="B20" t="s">
        <v>463</v>
      </c>
      <c r="C20" t="s">
        <v>626</v>
      </c>
      <c r="D20" t="s">
        <v>627</v>
      </c>
      <c r="E20" s="15">
        <v>45464</v>
      </c>
      <c r="F20" s="15">
        <v>45443</v>
      </c>
      <c r="G20" t="s">
        <v>149</v>
      </c>
      <c r="H20" t="s">
        <v>464</v>
      </c>
      <c r="I20" t="s">
        <v>628</v>
      </c>
    </row>
    <row r="21" spans="1:9" x14ac:dyDescent="0.3">
      <c r="A21" t="s">
        <v>625</v>
      </c>
      <c r="B21" t="s">
        <v>463</v>
      </c>
      <c r="C21" t="s">
        <v>601</v>
      </c>
      <c r="D21" t="s">
        <v>629</v>
      </c>
      <c r="E21" s="15">
        <v>45464</v>
      </c>
      <c r="F21" s="15">
        <v>45443</v>
      </c>
      <c r="G21" t="s">
        <v>149</v>
      </c>
      <c r="H21" t="s">
        <v>464</v>
      </c>
      <c r="I21" t="s">
        <v>630</v>
      </c>
    </row>
    <row r="22" spans="1:9" x14ac:dyDescent="0.3">
      <c r="A22" t="s">
        <v>625</v>
      </c>
      <c r="B22" t="s">
        <v>463</v>
      </c>
      <c r="C22" t="s">
        <v>606</v>
      </c>
      <c r="D22" t="s">
        <v>631</v>
      </c>
      <c r="E22" s="15">
        <v>45464</v>
      </c>
      <c r="F22" s="15">
        <v>45443</v>
      </c>
      <c r="G22" t="s">
        <v>130</v>
      </c>
      <c r="I22" t="s">
        <v>632</v>
      </c>
    </row>
    <row r="23" spans="1:9" x14ac:dyDescent="0.3">
      <c r="A23" t="s">
        <v>625</v>
      </c>
      <c r="B23" t="s">
        <v>463</v>
      </c>
      <c r="C23" t="s">
        <v>606</v>
      </c>
      <c r="D23" t="s">
        <v>633</v>
      </c>
      <c r="E23" s="15">
        <v>45468</v>
      </c>
      <c r="F23" s="15">
        <v>45443</v>
      </c>
      <c r="G23" t="s">
        <v>130</v>
      </c>
      <c r="H23" t="s">
        <v>634</v>
      </c>
      <c r="I23" t="s">
        <v>635</v>
      </c>
    </row>
    <row r="24" spans="1:9" x14ac:dyDescent="0.3">
      <c r="A24" t="s">
        <v>625</v>
      </c>
      <c r="B24" t="s">
        <v>463</v>
      </c>
      <c r="C24" t="s">
        <v>606</v>
      </c>
      <c r="D24" t="s">
        <v>636</v>
      </c>
      <c r="E24" s="15">
        <v>45468</v>
      </c>
      <c r="F24" s="15">
        <v>45443</v>
      </c>
      <c r="G24" t="s">
        <v>130</v>
      </c>
      <c r="I24" t="s">
        <v>637</v>
      </c>
    </row>
    <row r="25" spans="1:9" x14ac:dyDescent="0.3">
      <c r="A25" t="s">
        <v>597</v>
      </c>
      <c r="B25" t="s">
        <v>437</v>
      </c>
      <c r="C25" t="s">
        <v>601</v>
      </c>
      <c r="D25" t="s">
        <v>629</v>
      </c>
      <c r="E25" s="15">
        <v>45463</v>
      </c>
      <c r="F25" s="15">
        <v>45443</v>
      </c>
      <c r="G25" t="s">
        <v>149</v>
      </c>
      <c r="H25" t="s">
        <v>638</v>
      </c>
      <c r="I25" t="s">
        <v>639</v>
      </c>
    </row>
    <row r="26" spans="1:9" x14ac:dyDescent="0.3">
      <c r="A26" t="s">
        <v>597</v>
      </c>
      <c r="B26" t="s">
        <v>301</v>
      </c>
      <c r="C26" t="s">
        <v>601</v>
      </c>
      <c r="D26" t="s">
        <v>629</v>
      </c>
      <c r="E26" s="15">
        <v>45463</v>
      </c>
      <c r="F26" s="15">
        <v>45443</v>
      </c>
      <c r="G26" t="s">
        <v>149</v>
      </c>
      <c r="I26" s="18"/>
    </row>
    <row r="27" spans="1:9" x14ac:dyDescent="0.3">
      <c r="A27" t="s">
        <v>625</v>
      </c>
      <c r="B27" t="s">
        <v>276</v>
      </c>
      <c r="C27" t="s">
        <v>601</v>
      </c>
      <c r="D27" t="s">
        <v>629</v>
      </c>
      <c r="E27" s="15">
        <v>45468</v>
      </c>
      <c r="F27" s="15">
        <v>45443</v>
      </c>
      <c r="G27" t="s">
        <v>149</v>
      </c>
      <c r="H27" t="s">
        <v>277</v>
      </c>
      <c r="I27" t="s">
        <v>640</v>
      </c>
    </row>
    <row r="28" spans="1:9" x14ac:dyDescent="0.3">
      <c r="A28" t="s">
        <v>625</v>
      </c>
      <c r="B28" t="s">
        <v>276</v>
      </c>
      <c r="C28" t="s">
        <v>626</v>
      </c>
      <c r="D28" s="29" t="s">
        <v>627</v>
      </c>
      <c r="E28" s="15">
        <v>45467</v>
      </c>
      <c r="F28" s="15">
        <v>45443</v>
      </c>
      <c r="G28" t="s">
        <v>130</v>
      </c>
      <c r="I28" t="s">
        <v>641</v>
      </c>
    </row>
    <row r="29" spans="1:9" x14ac:dyDescent="0.3">
      <c r="A29" t="s">
        <v>625</v>
      </c>
      <c r="B29" t="s">
        <v>276</v>
      </c>
      <c r="C29" t="s">
        <v>606</v>
      </c>
      <c r="D29" t="s">
        <v>642</v>
      </c>
      <c r="E29" s="15">
        <v>45467</v>
      </c>
      <c r="F29" s="15">
        <v>45443</v>
      </c>
      <c r="G29" t="s">
        <v>130</v>
      </c>
      <c r="I29" t="s">
        <v>643</v>
      </c>
    </row>
    <row r="30" spans="1:9" x14ac:dyDescent="0.3">
      <c r="A30" t="s">
        <v>625</v>
      </c>
      <c r="B30" t="s">
        <v>276</v>
      </c>
      <c r="C30" t="s">
        <v>606</v>
      </c>
      <c r="D30" t="s">
        <v>644</v>
      </c>
      <c r="E30" s="15">
        <v>45467</v>
      </c>
      <c r="F30" s="15">
        <v>45443</v>
      </c>
      <c r="G30" t="s">
        <v>130</v>
      </c>
      <c r="I30" t="s">
        <v>645</v>
      </c>
    </row>
    <row r="31" spans="1:9" x14ac:dyDescent="0.3">
      <c r="A31" t="s">
        <v>625</v>
      </c>
      <c r="B31" t="s">
        <v>276</v>
      </c>
      <c r="C31" t="s">
        <v>606</v>
      </c>
      <c r="D31" t="s">
        <v>646</v>
      </c>
      <c r="E31" s="15">
        <v>45467</v>
      </c>
      <c r="F31" s="15">
        <v>45443</v>
      </c>
      <c r="G31" t="s">
        <v>130</v>
      </c>
      <c r="I31" t="s">
        <v>647</v>
      </c>
    </row>
    <row r="32" spans="1:9" x14ac:dyDescent="0.3">
      <c r="A32" t="s">
        <v>625</v>
      </c>
      <c r="B32" t="s">
        <v>276</v>
      </c>
      <c r="C32" t="s">
        <v>606</v>
      </c>
      <c r="D32" t="s">
        <v>648</v>
      </c>
      <c r="E32" s="15">
        <v>45471</v>
      </c>
      <c r="F32" s="15">
        <v>45443</v>
      </c>
    </row>
    <row r="33" spans="1:9" x14ac:dyDescent="0.3">
      <c r="A33" t="s">
        <v>597</v>
      </c>
      <c r="B33" t="s">
        <v>148</v>
      </c>
      <c r="C33" t="s">
        <v>601</v>
      </c>
      <c r="D33" t="s">
        <v>649</v>
      </c>
      <c r="E33" s="15">
        <v>45468</v>
      </c>
      <c r="F33" s="15">
        <v>45443</v>
      </c>
      <c r="G33" t="s">
        <v>149</v>
      </c>
      <c r="I33" t="s">
        <v>650</v>
      </c>
    </row>
    <row r="34" spans="1:9" x14ac:dyDescent="0.3">
      <c r="A34" t="s">
        <v>597</v>
      </c>
      <c r="B34" t="s">
        <v>148</v>
      </c>
      <c r="C34" t="s">
        <v>606</v>
      </c>
      <c r="D34" t="s">
        <v>651</v>
      </c>
      <c r="E34" s="15">
        <v>45468</v>
      </c>
      <c r="F34" s="15">
        <v>45443</v>
      </c>
      <c r="G34" t="s">
        <v>149</v>
      </c>
      <c r="H34" t="s">
        <v>652</v>
      </c>
      <c r="I34" t="s">
        <v>653</v>
      </c>
    </row>
    <row r="35" spans="1:9" x14ac:dyDescent="0.3">
      <c r="A35" t="s">
        <v>597</v>
      </c>
      <c r="B35" t="s">
        <v>148</v>
      </c>
      <c r="C35" t="s">
        <v>606</v>
      </c>
      <c r="D35" t="s">
        <v>654</v>
      </c>
      <c r="E35" s="15">
        <v>45468</v>
      </c>
      <c r="F35" s="15">
        <v>45443</v>
      </c>
      <c r="G35" t="s">
        <v>149</v>
      </c>
      <c r="H35" t="s">
        <v>655</v>
      </c>
      <c r="I35" t="s">
        <v>656</v>
      </c>
    </row>
    <row r="36" spans="1:9" x14ac:dyDescent="0.3">
      <c r="A36" t="s">
        <v>597</v>
      </c>
      <c r="B36" t="s">
        <v>148</v>
      </c>
      <c r="C36" t="s">
        <v>606</v>
      </c>
      <c r="D36" t="s">
        <v>657</v>
      </c>
      <c r="E36" s="15">
        <v>45468</v>
      </c>
      <c r="F36" s="15">
        <v>45443</v>
      </c>
      <c r="G36" t="s">
        <v>149</v>
      </c>
      <c r="H36" t="s">
        <v>655</v>
      </c>
      <c r="I36" t="s">
        <v>658</v>
      </c>
    </row>
    <row r="37" spans="1:9" x14ac:dyDescent="0.3">
      <c r="A37" t="s">
        <v>597</v>
      </c>
      <c r="B37" t="s">
        <v>148</v>
      </c>
      <c r="C37" t="s">
        <v>606</v>
      </c>
      <c r="D37" t="s">
        <v>657</v>
      </c>
      <c r="E37" s="15">
        <v>45469</v>
      </c>
      <c r="F37" s="15">
        <v>45443</v>
      </c>
      <c r="G37" t="s">
        <v>149</v>
      </c>
      <c r="H37" t="s">
        <v>652</v>
      </c>
      <c r="I37" t="s">
        <v>659</v>
      </c>
    </row>
    <row r="38" spans="1:9" x14ac:dyDescent="0.3">
      <c r="A38" t="s">
        <v>597</v>
      </c>
      <c r="B38" t="s">
        <v>279</v>
      </c>
      <c r="C38" t="s">
        <v>606</v>
      </c>
      <c r="D38" t="s">
        <v>660</v>
      </c>
      <c r="E38" s="15">
        <v>45468</v>
      </c>
      <c r="F38" s="15">
        <v>45443</v>
      </c>
      <c r="G38" t="s">
        <v>130</v>
      </c>
      <c r="I38" t="s">
        <v>661</v>
      </c>
    </row>
    <row r="39" spans="1:9" x14ac:dyDescent="0.3">
      <c r="A39" t="s">
        <v>597</v>
      </c>
      <c r="B39" t="s">
        <v>279</v>
      </c>
      <c r="C39" t="s">
        <v>606</v>
      </c>
      <c r="D39" t="s">
        <v>662</v>
      </c>
      <c r="E39" s="15">
        <v>45468</v>
      </c>
      <c r="F39" s="15">
        <v>45443</v>
      </c>
      <c r="G39" t="s">
        <v>130</v>
      </c>
      <c r="I39" t="s">
        <v>661</v>
      </c>
    </row>
    <row r="40" spans="1:9" x14ac:dyDescent="0.3">
      <c r="A40" t="s">
        <v>597</v>
      </c>
      <c r="B40" t="s">
        <v>279</v>
      </c>
      <c r="C40" t="s">
        <v>606</v>
      </c>
      <c r="D40" t="s">
        <v>663</v>
      </c>
      <c r="E40" s="15">
        <v>45468</v>
      </c>
      <c r="F40" s="15">
        <v>45443</v>
      </c>
      <c r="G40" t="s">
        <v>130</v>
      </c>
      <c r="I40" t="s">
        <v>661</v>
      </c>
    </row>
    <row r="41" spans="1:9" x14ac:dyDescent="0.3">
      <c r="A41" t="s">
        <v>625</v>
      </c>
      <c r="B41" t="s">
        <v>236</v>
      </c>
      <c r="C41" t="s">
        <v>601</v>
      </c>
      <c r="D41" t="s">
        <v>649</v>
      </c>
      <c r="E41" s="15">
        <v>45461</v>
      </c>
      <c r="F41" s="15">
        <v>45443</v>
      </c>
      <c r="G41" t="s">
        <v>130</v>
      </c>
      <c r="I41" t="s">
        <v>664</v>
      </c>
    </row>
    <row r="42" spans="1:9" x14ac:dyDescent="0.3">
      <c r="A42" t="s">
        <v>625</v>
      </c>
      <c r="B42" t="s">
        <v>236</v>
      </c>
      <c r="C42" t="s">
        <v>606</v>
      </c>
      <c r="D42" t="s">
        <v>665</v>
      </c>
      <c r="E42" s="15">
        <v>45470</v>
      </c>
      <c r="F42" s="15">
        <v>45443</v>
      </c>
      <c r="G42" t="s">
        <v>130</v>
      </c>
      <c r="I42" t="s">
        <v>666</v>
      </c>
    </row>
    <row r="43" spans="1:9" x14ac:dyDescent="0.3">
      <c r="A43" t="s">
        <v>625</v>
      </c>
      <c r="B43" t="s">
        <v>236</v>
      </c>
      <c r="C43" t="s">
        <v>606</v>
      </c>
      <c r="D43" t="s">
        <v>667</v>
      </c>
      <c r="E43" s="15">
        <v>45470</v>
      </c>
      <c r="F43" s="15">
        <v>45443</v>
      </c>
      <c r="G43" t="s">
        <v>130</v>
      </c>
      <c r="I43" t="s">
        <v>668</v>
      </c>
    </row>
    <row r="44" spans="1:9" x14ac:dyDescent="0.3">
      <c r="A44" t="s">
        <v>625</v>
      </c>
      <c r="B44" t="s">
        <v>236</v>
      </c>
      <c r="C44" t="s">
        <v>606</v>
      </c>
      <c r="D44" t="s">
        <v>669</v>
      </c>
      <c r="E44" s="15">
        <v>45470</v>
      </c>
      <c r="F44" s="15">
        <v>45443</v>
      </c>
      <c r="G44" t="s">
        <v>130</v>
      </c>
      <c r="H44" t="s">
        <v>670</v>
      </c>
      <c r="I44" t="s">
        <v>671</v>
      </c>
    </row>
    <row r="45" spans="1:9" x14ac:dyDescent="0.3">
      <c r="A45" t="s">
        <v>625</v>
      </c>
      <c r="B45" t="s">
        <v>236</v>
      </c>
      <c r="C45" t="s">
        <v>606</v>
      </c>
      <c r="D45" t="s">
        <v>672</v>
      </c>
      <c r="E45" s="15">
        <v>45470</v>
      </c>
      <c r="F45" s="15">
        <v>45443</v>
      </c>
      <c r="G45" t="s">
        <v>149</v>
      </c>
      <c r="H45" t="s">
        <v>673</v>
      </c>
      <c r="I45" t="s">
        <v>674</v>
      </c>
    </row>
    <row r="46" spans="1:9" x14ac:dyDescent="0.3">
      <c r="A46" t="s">
        <v>625</v>
      </c>
      <c r="B46" t="s">
        <v>236</v>
      </c>
      <c r="C46" t="s">
        <v>606</v>
      </c>
      <c r="D46" t="s">
        <v>675</v>
      </c>
      <c r="E46" s="15">
        <v>45470</v>
      </c>
      <c r="F46" s="15">
        <v>45443</v>
      </c>
      <c r="G46" t="s">
        <v>130</v>
      </c>
      <c r="H46" t="s">
        <v>676</v>
      </c>
      <c r="I46" t="s">
        <v>677</v>
      </c>
    </row>
    <row r="47" spans="1:9" x14ac:dyDescent="0.3">
      <c r="A47" t="s">
        <v>597</v>
      </c>
      <c r="B47" t="s">
        <v>279</v>
      </c>
      <c r="C47" t="s">
        <v>606</v>
      </c>
      <c r="D47" t="s">
        <v>629</v>
      </c>
      <c r="E47" s="15">
        <v>45468</v>
      </c>
      <c r="F47" s="15">
        <v>45443</v>
      </c>
      <c r="G47" t="s">
        <v>130</v>
      </c>
      <c r="I47" t="s">
        <v>661</v>
      </c>
    </row>
    <row r="48" spans="1:9" x14ac:dyDescent="0.3">
      <c r="A48" t="s">
        <v>625</v>
      </c>
      <c r="B48" t="s">
        <v>236</v>
      </c>
      <c r="C48" t="s">
        <v>606</v>
      </c>
      <c r="D48" t="s">
        <v>678</v>
      </c>
      <c r="E48" s="15">
        <v>45477</v>
      </c>
      <c r="F48" s="15">
        <v>45443</v>
      </c>
      <c r="G48" t="s">
        <v>130</v>
      </c>
      <c r="I48" t="s">
        <v>679</v>
      </c>
    </row>
    <row r="49" spans="1:9" x14ac:dyDescent="0.3">
      <c r="A49" t="s">
        <v>625</v>
      </c>
      <c r="B49" t="s">
        <v>185</v>
      </c>
      <c r="C49" t="s">
        <v>606</v>
      </c>
      <c r="D49" t="s">
        <v>680</v>
      </c>
      <c r="E49" s="15">
        <v>45478</v>
      </c>
      <c r="F49" s="15">
        <v>45443</v>
      </c>
      <c r="G49" t="s">
        <v>130</v>
      </c>
      <c r="I49" t="s">
        <v>681</v>
      </c>
    </row>
    <row r="50" spans="1:9" x14ac:dyDescent="0.3">
      <c r="A50" t="s">
        <v>625</v>
      </c>
      <c r="B50" t="s">
        <v>185</v>
      </c>
      <c r="C50" t="s">
        <v>606</v>
      </c>
      <c r="D50" t="s">
        <v>682</v>
      </c>
      <c r="E50" s="15">
        <v>45478</v>
      </c>
      <c r="F50" s="15">
        <v>45443</v>
      </c>
      <c r="G50" t="s">
        <v>149</v>
      </c>
      <c r="H50" t="s">
        <v>683</v>
      </c>
      <c r="I50" t="s">
        <v>684</v>
      </c>
    </row>
    <row r="51" spans="1:9" x14ac:dyDescent="0.3">
      <c r="A51" t="s">
        <v>625</v>
      </c>
      <c r="B51" t="s">
        <v>185</v>
      </c>
      <c r="C51" t="s">
        <v>606</v>
      </c>
      <c r="D51" t="s">
        <v>685</v>
      </c>
      <c r="E51" s="15">
        <v>45478</v>
      </c>
      <c r="F51" s="15">
        <v>45443</v>
      </c>
      <c r="G51" t="s">
        <v>130</v>
      </c>
      <c r="I51" t="s">
        <v>686</v>
      </c>
    </row>
    <row r="52" spans="1:9" x14ac:dyDescent="0.3">
      <c r="A52" t="s">
        <v>625</v>
      </c>
      <c r="B52" t="s">
        <v>185</v>
      </c>
      <c r="C52" t="s">
        <v>606</v>
      </c>
      <c r="D52" t="s">
        <v>687</v>
      </c>
      <c r="E52" s="15">
        <v>45478</v>
      </c>
      <c r="F52" s="15">
        <v>45443</v>
      </c>
      <c r="G52" t="s">
        <v>149</v>
      </c>
      <c r="H52" t="s">
        <v>688</v>
      </c>
      <c r="I52" t="s">
        <v>689</v>
      </c>
    </row>
    <row r="53" spans="1:9" x14ac:dyDescent="0.3">
      <c r="A53" t="s">
        <v>625</v>
      </c>
      <c r="B53" t="s">
        <v>185</v>
      </c>
      <c r="C53" t="s">
        <v>606</v>
      </c>
      <c r="D53" t="s">
        <v>690</v>
      </c>
      <c r="E53" s="15">
        <v>45478</v>
      </c>
      <c r="F53" s="15">
        <v>45443</v>
      </c>
      <c r="G53" t="s">
        <v>130</v>
      </c>
      <c r="I53" t="s">
        <v>691</v>
      </c>
    </row>
    <row r="54" spans="1:9" x14ac:dyDescent="0.3">
      <c r="A54" t="s">
        <v>625</v>
      </c>
      <c r="B54" t="s">
        <v>185</v>
      </c>
      <c r="C54" t="s">
        <v>606</v>
      </c>
      <c r="D54" t="s">
        <v>692</v>
      </c>
      <c r="E54" s="15">
        <v>45478</v>
      </c>
      <c r="F54" s="15">
        <v>45443</v>
      </c>
      <c r="G54" t="s">
        <v>130</v>
      </c>
      <c r="I54" t="s">
        <v>693</v>
      </c>
    </row>
    <row r="55" spans="1:9" x14ac:dyDescent="0.3">
      <c r="A55" t="s">
        <v>597</v>
      </c>
      <c r="B55" t="s">
        <v>44</v>
      </c>
      <c r="C55" t="s">
        <v>606</v>
      </c>
      <c r="D55" t="s">
        <v>694</v>
      </c>
      <c r="E55" s="15">
        <v>45481</v>
      </c>
      <c r="F55" s="15">
        <v>45443</v>
      </c>
      <c r="G55" t="s">
        <v>130</v>
      </c>
      <c r="I55" t="s">
        <v>695</v>
      </c>
    </row>
    <row r="56" spans="1:9" x14ac:dyDescent="0.3">
      <c r="A56" t="s">
        <v>597</v>
      </c>
      <c r="B56" t="s">
        <v>44</v>
      </c>
      <c r="C56" t="s">
        <v>606</v>
      </c>
      <c r="D56" t="s">
        <v>696</v>
      </c>
      <c r="E56" s="15">
        <v>45481</v>
      </c>
      <c r="F56" s="15">
        <v>45443</v>
      </c>
      <c r="G56" t="s">
        <v>130</v>
      </c>
      <c r="I56" t="s">
        <v>695</v>
      </c>
    </row>
    <row r="57" spans="1:9" x14ac:dyDescent="0.3">
      <c r="A57" t="s">
        <v>597</v>
      </c>
      <c r="B57" t="s">
        <v>44</v>
      </c>
      <c r="C57" t="s">
        <v>606</v>
      </c>
      <c r="D57" t="s">
        <v>697</v>
      </c>
      <c r="E57" s="15">
        <v>45481</v>
      </c>
      <c r="F57" s="15">
        <v>45443</v>
      </c>
      <c r="G57" t="s">
        <v>149</v>
      </c>
      <c r="H57" t="s">
        <v>698</v>
      </c>
      <c r="I57" t="s">
        <v>699</v>
      </c>
    </row>
    <row r="58" spans="1:9" x14ac:dyDescent="0.3">
      <c r="A58" t="s">
        <v>597</v>
      </c>
      <c r="B58" t="s">
        <v>44</v>
      </c>
      <c r="C58" t="s">
        <v>606</v>
      </c>
      <c r="D58" t="s">
        <v>700</v>
      </c>
      <c r="E58" s="15">
        <v>45481</v>
      </c>
      <c r="F58" s="15">
        <v>45443</v>
      </c>
      <c r="G58" t="s">
        <v>149</v>
      </c>
      <c r="H58" t="s">
        <v>701</v>
      </c>
      <c r="I58" t="s">
        <v>702</v>
      </c>
    </row>
    <row r="59" spans="1:9" x14ac:dyDescent="0.3">
      <c r="A59" t="s">
        <v>597</v>
      </c>
      <c r="B59" t="s">
        <v>44</v>
      </c>
      <c r="C59" t="s">
        <v>606</v>
      </c>
      <c r="D59" t="s">
        <v>703</v>
      </c>
      <c r="E59" s="15">
        <v>45481</v>
      </c>
      <c r="F59" s="15">
        <v>45443</v>
      </c>
      <c r="G59" t="s">
        <v>149</v>
      </c>
      <c r="H59" t="s">
        <v>704</v>
      </c>
      <c r="I59" t="s">
        <v>705</v>
      </c>
    </row>
    <row r="60" spans="1:9" x14ac:dyDescent="0.3">
      <c r="A60" t="s">
        <v>597</v>
      </c>
      <c r="B60" t="s">
        <v>44</v>
      </c>
      <c r="C60" t="s">
        <v>606</v>
      </c>
      <c r="D60" t="s">
        <v>706</v>
      </c>
      <c r="E60" s="15">
        <v>45481</v>
      </c>
      <c r="F60" s="15">
        <v>45443</v>
      </c>
      <c r="G60" t="s">
        <v>130</v>
      </c>
      <c r="I60" t="s">
        <v>707</v>
      </c>
    </row>
    <row r="61" spans="1:9" x14ac:dyDescent="0.3">
      <c r="A61" t="s">
        <v>625</v>
      </c>
      <c r="B61" t="s">
        <v>236</v>
      </c>
      <c r="C61" t="s">
        <v>606</v>
      </c>
      <c r="D61" t="s">
        <v>708</v>
      </c>
      <c r="E61" s="15">
        <v>45482</v>
      </c>
      <c r="F61" s="15">
        <v>45443</v>
      </c>
      <c r="G61" t="s">
        <v>130</v>
      </c>
      <c r="I61" t="s">
        <v>709</v>
      </c>
    </row>
    <row r="62" spans="1:9" x14ac:dyDescent="0.3">
      <c r="A62" t="s">
        <v>625</v>
      </c>
      <c r="B62" t="s">
        <v>236</v>
      </c>
      <c r="C62" t="s">
        <v>606</v>
      </c>
      <c r="D62" t="s">
        <v>710</v>
      </c>
      <c r="E62" s="15">
        <v>45482</v>
      </c>
      <c r="F62" s="15">
        <v>45443</v>
      </c>
      <c r="G62" t="s">
        <v>130</v>
      </c>
      <c r="H62" t="s">
        <v>711</v>
      </c>
      <c r="I62" t="s">
        <v>712</v>
      </c>
    </row>
    <row r="63" spans="1:9" x14ac:dyDescent="0.3">
      <c r="A63" t="s">
        <v>625</v>
      </c>
      <c r="B63" t="s">
        <v>236</v>
      </c>
      <c r="C63" t="s">
        <v>606</v>
      </c>
      <c r="D63" t="s">
        <v>713</v>
      </c>
      <c r="E63" s="15">
        <v>45482</v>
      </c>
      <c r="F63" s="15">
        <v>45443</v>
      </c>
      <c r="G63" t="s">
        <v>130</v>
      </c>
      <c r="I63" t="s">
        <v>714</v>
      </c>
    </row>
    <row r="64" spans="1:9" x14ac:dyDescent="0.3">
      <c r="A64" t="s">
        <v>625</v>
      </c>
      <c r="B64" t="s">
        <v>236</v>
      </c>
      <c r="C64" t="s">
        <v>606</v>
      </c>
      <c r="D64" t="s">
        <v>715</v>
      </c>
      <c r="E64" s="15">
        <v>45482</v>
      </c>
      <c r="F64" s="15">
        <v>45443</v>
      </c>
      <c r="G64" t="s">
        <v>130</v>
      </c>
      <c r="I64" t="s">
        <v>716</v>
      </c>
    </row>
    <row r="65" spans="1:9" x14ac:dyDescent="0.3">
      <c r="A65" t="s">
        <v>625</v>
      </c>
      <c r="B65" t="s">
        <v>236</v>
      </c>
      <c r="C65" t="s">
        <v>606</v>
      </c>
      <c r="D65" t="s">
        <v>717</v>
      </c>
      <c r="E65" s="15">
        <v>45482</v>
      </c>
      <c r="F65" s="15">
        <v>45443</v>
      </c>
      <c r="G65" t="s">
        <v>130</v>
      </c>
      <c r="I65" t="s">
        <v>718</v>
      </c>
    </row>
    <row r="66" spans="1:9" x14ac:dyDescent="0.3">
      <c r="A66" t="s">
        <v>625</v>
      </c>
      <c r="B66" t="s">
        <v>236</v>
      </c>
      <c r="C66" t="s">
        <v>606</v>
      </c>
      <c r="D66" t="s">
        <v>719</v>
      </c>
      <c r="E66" s="15">
        <v>45482</v>
      </c>
      <c r="F66" s="15">
        <v>45443</v>
      </c>
      <c r="G66" t="s">
        <v>130</v>
      </c>
      <c r="I66" t="s">
        <v>720</v>
      </c>
    </row>
    <row r="67" spans="1:9" x14ac:dyDescent="0.3">
      <c r="A67" t="s">
        <v>625</v>
      </c>
      <c r="B67" t="s">
        <v>236</v>
      </c>
      <c r="C67" t="s">
        <v>606</v>
      </c>
      <c r="D67" t="s">
        <v>721</v>
      </c>
      <c r="E67" s="15">
        <v>45482</v>
      </c>
      <c r="F67" s="15">
        <v>45443</v>
      </c>
      <c r="G67" t="s">
        <v>130</v>
      </c>
      <c r="I67" t="s">
        <v>722</v>
      </c>
    </row>
    <row r="68" spans="1:9" x14ac:dyDescent="0.3">
      <c r="A68" t="s">
        <v>625</v>
      </c>
      <c r="B68" t="s">
        <v>236</v>
      </c>
      <c r="C68" t="s">
        <v>606</v>
      </c>
      <c r="D68" t="s">
        <v>723</v>
      </c>
      <c r="E68" s="15">
        <v>45482</v>
      </c>
      <c r="F68" s="15">
        <v>45443</v>
      </c>
      <c r="H68" t="s">
        <v>724</v>
      </c>
    </row>
    <row r="69" spans="1:9" x14ac:dyDescent="0.3">
      <c r="A69" t="s">
        <v>625</v>
      </c>
      <c r="B69" t="s">
        <v>236</v>
      </c>
      <c r="C69" t="s">
        <v>606</v>
      </c>
      <c r="D69" t="s">
        <v>725</v>
      </c>
      <c r="E69" s="15">
        <v>45482</v>
      </c>
      <c r="F69" s="15">
        <v>45443</v>
      </c>
      <c r="H69" t="s">
        <v>726</v>
      </c>
    </row>
    <row r="70" spans="1:9" x14ac:dyDescent="0.3">
      <c r="A70" t="s">
        <v>625</v>
      </c>
      <c r="B70" t="s">
        <v>236</v>
      </c>
      <c r="C70" t="s">
        <v>606</v>
      </c>
      <c r="D70" t="s">
        <v>727</v>
      </c>
      <c r="E70" s="15">
        <v>45482</v>
      </c>
      <c r="F70" s="15">
        <v>45443</v>
      </c>
      <c r="H70" t="s">
        <v>728</v>
      </c>
    </row>
    <row r="71" spans="1:9" x14ac:dyDescent="0.3">
      <c r="A71" t="s">
        <v>625</v>
      </c>
      <c r="B71" t="s">
        <v>236</v>
      </c>
      <c r="C71" t="s">
        <v>606</v>
      </c>
      <c r="D71" t="s">
        <v>729</v>
      </c>
      <c r="E71" s="15">
        <v>45482</v>
      </c>
      <c r="F71" s="15">
        <v>45443</v>
      </c>
      <c r="H71" t="s">
        <v>730</v>
      </c>
    </row>
    <row r="72" spans="1:9" x14ac:dyDescent="0.3">
      <c r="A72" t="s">
        <v>625</v>
      </c>
      <c r="B72" t="s">
        <v>236</v>
      </c>
      <c r="C72" t="s">
        <v>606</v>
      </c>
      <c r="D72" t="s">
        <v>731</v>
      </c>
      <c r="E72" s="15">
        <v>45482</v>
      </c>
      <c r="F72" s="15">
        <v>45443</v>
      </c>
      <c r="H72" t="s">
        <v>730</v>
      </c>
    </row>
    <row r="73" spans="1:9" x14ac:dyDescent="0.3">
      <c r="A73" t="s">
        <v>625</v>
      </c>
      <c r="B73" t="s">
        <v>236</v>
      </c>
      <c r="C73" t="s">
        <v>606</v>
      </c>
      <c r="D73" t="s">
        <v>732</v>
      </c>
      <c r="E73" s="15">
        <v>45482</v>
      </c>
      <c r="F73" s="15">
        <v>45443</v>
      </c>
      <c r="H73" t="s">
        <v>730</v>
      </c>
    </row>
    <row r="74" spans="1:9" x14ac:dyDescent="0.3">
      <c r="A74" t="s">
        <v>625</v>
      </c>
      <c r="B74" t="s">
        <v>243</v>
      </c>
      <c r="C74" t="s">
        <v>601</v>
      </c>
      <c r="D74" t="s">
        <v>733</v>
      </c>
      <c r="E74" s="15">
        <v>45482</v>
      </c>
      <c r="F74" s="15">
        <v>45443</v>
      </c>
      <c r="G74" t="s">
        <v>130</v>
      </c>
      <c r="I74" t="s">
        <v>734</v>
      </c>
    </row>
    <row r="75" spans="1:9" x14ac:dyDescent="0.3">
      <c r="A75" t="s">
        <v>625</v>
      </c>
      <c r="B75" t="s">
        <v>243</v>
      </c>
      <c r="C75" t="s">
        <v>606</v>
      </c>
      <c r="D75" t="s">
        <v>735</v>
      </c>
      <c r="E75" s="15">
        <v>45482</v>
      </c>
      <c r="F75" s="15">
        <v>45443</v>
      </c>
      <c r="G75" t="s">
        <v>130</v>
      </c>
      <c r="I75" t="s">
        <v>736</v>
      </c>
    </row>
    <row r="76" spans="1:9" x14ac:dyDescent="0.3">
      <c r="A76" t="s">
        <v>625</v>
      </c>
      <c r="B76" t="s">
        <v>243</v>
      </c>
      <c r="C76" t="s">
        <v>606</v>
      </c>
      <c r="D76" t="s">
        <v>737</v>
      </c>
      <c r="E76" s="15">
        <v>45482</v>
      </c>
      <c r="F76" s="15">
        <v>45443</v>
      </c>
      <c r="G76" t="s">
        <v>130</v>
      </c>
      <c r="I76" t="s">
        <v>738</v>
      </c>
    </row>
    <row r="77" spans="1:9" x14ac:dyDescent="0.3">
      <c r="A77" t="s">
        <v>625</v>
      </c>
      <c r="B77" t="s">
        <v>243</v>
      </c>
      <c r="C77" t="s">
        <v>606</v>
      </c>
      <c r="D77" t="s">
        <v>739</v>
      </c>
      <c r="E77" s="15">
        <v>45482</v>
      </c>
      <c r="F77" s="15">
        <v>45443</v>
      </c>
      <c r="G77" t="s">
        <v>130</v>
      </c>
      <c r="H77" t="s">
        <v>740</v>
      </c>
      <c r="I77" t="s">
        <v>741</v>
      </c>
    </row>
    <row r="78" spans="1:9" x14ac:dyDescent="0.3">
      <c r="A78" t="s">
        <v>625</v>
      </c>
      <c r="B78" t="s">
        <v>243</v>
      </c>
      <c r="C78" t="s">
        <v>606</v>
      </c>
      <c r="D78" t="s">
        <v>742</v>
      </c>
      <c r="E78" s="15">
        <v>45482</v>
      </c>
      <c r="F78" s="15">
        <v>45443</v>
      </c>
      <c r="G78" t="s">
        <v>130</v>
      </c>
      <c r="I78" t="s">
        <v>743</v>
      </c>
    </row>
    <row r="79" spans="1:9" x14ac:dyDescent="0.3">
      <c r="A79" t="s">
        <v>625</v>
      </c>
      <c r="B79" t="s">
        <v>243</v>
      </c>
      <c r="C79" t="s">
        <v>606</v>
      </c>
      <c r="D79" t="s">
        <v>744</v>
      </c>
      <c r="E79" s="15">
        <v>45482</v>
      </c>
      <c r="F79" s="15">
        <v>45443</v>
      </c>
      <c r="G79" t="s">
        <v>130</v>
      </c>
      <c r="I79" t="s">
        <v>745</v>
      </c>
    </row>
    <row r="80" spans="1:9" x14ac:dyDescent="0.3">
      <c r="A80" t="s">
        <v>625</v>
      </c>
      <c r="B80" t="s">
        <v>243</v>
      </c>
      <c r="C80" t="s">
        <v>606</v>
      </c>
      <c r="D80" t="s">
        <v>746</v>
      </c>
      <c r="E80" s="15">
        <v>45482</v>
      </c>
      <c r="F80" s="15">
        <v>45443</v>
      </c>
      <c r="G80" t="s">
        <v>130</v>
      </c>
      <c r="I80" t="s">
        <v>747</v>
      </c>
    </row>
    <row r="81" spans="1:9" x14ac:dyDescent="0.3">
      <c r="A81" t="s">
        <v>625</v>
      </c>
      <c r="B81" t="s">
        <v>78</v>
      </c>
      <c r="C81" t="s">
        <v>601</v>
      </c>
      <c r="D81" t="s">
        <v>629</v>
      </c>
      <c r="E81" s="15">
        <v>45482</v>
      </c>
      <c r="F81" s="15">
        <v>45443</v>
      </c>
      <c r="G81" t="s">
        <v>130</v>
      </c>
      <c r="I81" t="s">
        <v>748</v>
      </c>
    </row>
    <row r="82" spans="1:9" x14ac:dyDescent="0.3">
      <c r="A82" t="s">
        <v>625</v>
      </c>
      <c r="B82" t="s">
        <v>78</v>
      </c>
      <c r="C82" t="s">
        <v>606</v>
      </c>
      <c r="D82" t="s">
        <v>749</v>
      </c>
      <c r="E82" s="15">
        <v>45483</v>
      </c>
      <c r="F82" s="15">
        <v>45443</v>
      </c>
      <c r="G82" t="s">
        <v>130</v>
      </c>
      <c r="I82" t="s">
        <v>750</v>
      </c>
    </row>
    <row r="83" spans="1:9" x14ac:dyDescent="0.3">
      <c r="A83" t="s">
        <v>625</v>
      </c>
      <c r="B83" t="s">
        <v>78</v>
      </c>
      <c r="C83" t="s">
        <v>606</v>
      </c>
      <c r="D83" t="s">
        <v>751</v>
      </c>
      <c r="E83" s="15">
        <v>45483</v>
      </c>
      <c r="F83" s="15">
        <v>45443</v>
      </c>
      <c r="G83" t="s">
        <v>130</v>
      </c>
      <c r="I83" t="s">
        <v>752</v>
      </c>
    </row>
    <row r="84" spans="1:9" x14ac:dyDescent="0.3">
      <c r="A84" t="s">
        <v>625</v>
      </c>
      <c r="B84" t="s">
        <v>78</v>
      </c>
      <c r="C84" t="s">
        <v>606</v>
      </c>
      <c r="D84" t="s">
        <v>753</v>
      </c>
      <c r="E84" s="15">
        <v>45483</v>
      </c>
      <c r="F84" s="15">
        <v>45443</v>
      </c>
      <c r="G84" t="s">
        <v>130</v>
      </c>
      <c r="I84" t="s">
        <v>754</v>
      </c>
    </row>
    <row r="85" spans="1:9" x14ac:dyDescent="0.3">
      <c r="A85" t="s">
        <v>625</v>
      </c>
      <c r="B85" t="s">
        <v>78</v>
      </c>
      <c r="C85" t="s">
        <v>606</v>
      </c>
      <c r="D85" t="s">
        <v>755</v>
      </c>
      <c r="E85" s="15">
        <v>45483</v>
      </c>
      <c r="F85" s="15">
        <v>45443</v>
      </c>
      <c r="G85" s="29" t="s">
        <v>149</v>
      </c>
      <c r="H85" t="s">
        <v>756</v>
      </c>
      <c r="I85" t="s">
        <v>757</v>
      </c>
    </row>
    <row r="86" spans="1:9" x14ac:dyDescent="0.3">
      <c r="A86" t="s">
        <v>625</v>
      </c>
      <c r="B86" t="s">
        <v>78</v>
      </c>
      <c r="C86" t="s">
        <v>606</v>
      </c>
      <c r="D86" t="s">
        <v>758</v>
      </c>
      <c r="E86" s="15">
        <v>45489</v>
      </c>
      <c r="F86" s="15">
        <v>45443</v>
      </c>
      <c r="G86" t="s">
        <v>130</v>
      </c>
      <c r="I86" t="s">
        <v>759</v>
      </c>
    </row>
    <row r="87" spans="1:9" x14ac:dyDescent="0.3">
      <c r="A87" t="s">
        <v>625</v>
      </c>
      <c r="B87" t="s">
        <v>78</v>
      </c>
      <c r="C87" t="s">
        <v>606</v>
      </c>
      <c r="D87" t="s">
        <v>760</v>
      </c>
      <c r="E87" s="15">
        <v>45483</v>
      </c>
      <c r="F87" s="15">
        <v>45443</v>
      </c>
      <c r="G87" t="s">
        <v>130</v>
      </c>
      <c r="I87" t="s">
        <v>761</v>
      </c>
    </row>
    <row r="88" spans="1:9" x14ac:dyDescent="0.3">
      <c r="A88" t="s">
        <v>625</v>
      </c>
      <c r="B88" t="s">
        <v>284</v>
      </c>
      <c r="C88" t="s">
        <v>601</v>
      </c>
      <c r="D88" t="s">
        <v>762</v>
      </c>
      <c r="E88" s="15">
        <v>45484</v>
      </c>
      <c r="F88" s="15">
        <v>45443</v>
      </c>
      <c r="G88" t="s">
        <v>149</v>
      </c>
      <c r="H88" t="s">
        <v>763</v>
      </c>
      <c r="I88" t="s">
        <v>764</v>
      </c>
    </row>
    <row r="89" spans="1:9" x14ac:dyDescent="0.3">
      <c r="A89" t="s">
        <v>597</v>
      </c>
      <c r="B89" t="s">
        <v>287</v>
      </c>
      <c r="C89" t="s">
        <v>606</v>
      </c>
      <c r="D89" t="s">
        <v>765</v>
      </c>
      <c r="E89" s="15">
        <v>45495</v>
      </c>
      <c r="F89" s="15">
        <v>45443</v>
      </c>
      <c r="G89" t="s">
        <v>130</v>
      </c>
      <c r="I89" t="s">
        <v>766</v>
      </c>
    </row>
    <row r="90" spans="1:9" x14ac:dyDescent="0.3">
      <c r="A90" t="s">
        <v>597</v>
      </c>
      <c r="B90" t="s">
        <v>287</v>
      </c>
      <c r="C90" t="s">
        <v>606</v>
      </c>
      <c r="D90" t="s">
        <v>767</v>
      </c>
      <c r="E90" s="15">
        <v>45495</v>
      </c>
      <c r="F90" s="15">
        <v>45443</v>
      </c>
      <c r="G90" t="s">
        <v>130</v>
      </c>
      <c r="H90" t="s">
        <v>768</v>
      </c>
      <c r="I90" t="s">
        <v>769</v>
      </c>
    </row>
    <row r="91" spans="1:9" x14ac:dyDescent="0.3">
      <c r="A91" t="s">
        <v>625</v>
      </c>
      <c r="B91" t="s">
        <v>284</v>
      </c>
      <c r="C91" t="s">
        <v>606</v>
      </c>
      <c r="D91" t="s">
        <v>770</v>
      </c>
      <c r="E91" s="15">
        <v>45502</v>
      </c>
      <c r="F91" s="15">
        <v>45443</v>
      </c>
      <c r="G91" t="s">
        <v>130</v>
      </c>
      <c r="H91" t="s">
        <v>771</v>
      </c>
      <c r="I91" t="s">
        <v>772</v>
      </c>
    </row>
    <row r="92" spans="1:9" x14ac:dyDescent="0.3">
      <c r="A92" t="s">
        <v>625</v>
      </c>
      <c r="B92" t="s">
        <v>284</v>
      </c>
      <c r="C92" t="s">
        <v>606</v>
      </c>
      <c r="D92" t="s">
        <v>773</v>
      </c>
      <c r="E92" s="15">
        <v>45502</v>
      </c>
      <c r="F92" s="15">
        <v>45443</v>
      </c>
      <c r="G92" t="s">
        <v>149</v>
      </c>
      <c r="H92" t="s">
        <v>774</v>
      </c>
      <c r="I92" t="s">
        <v>775</v>
      </c>
    </row>
    <row r="93" spans="1:9" x14ac:dyDescent="0.3">
      <c r="A93" t="s">
        <v>625</v>
      </c>
      <c r="B93" t="s">
        <v>284</v>
      </c>
      <c r="C93" t="s">
        <v>606</v>
      </c>
      <c r="D93" t="s">
        <v>776</v>
      </c>
      <c r="E93" s="15">
        <v>45502</v>
      </c>
      <c r="F93" s="15">
        <v>45443</v>
      </c>
      <c r="G93" t="s">
        <v>130</v>
      </c>
      <c r="H93" t="s">
        <v>771</v>
      </c>
      <c r="I93" t="s">
        <v>777</v>
      </c>
    </row>
    <row r="94" spans="1:9" x14ac:dyDescent="0.3">
      <c r="A94" t="s">
        <v>625</v>
      </c>
      <c r="B94" t="s">
        <v>284</v>
      </c>
      <c r="C94" t="s">
        <v>606</v>
      </c>
      <c r="D94" t="s">
        <v>778</v>
      </c>
      <c r="E94" s="15">
        <v>45502</v>
      </c>
      <c r="F94" s="15">
        <v>45443</v>
      </c>
      <c r="G94" t="s">
        <v>130</v>
      </c>
      <c r="H94" t="s">
        <v>771</v>
      </c>
      <c r="I94" t="s">
        <v>779</v>
      </c>
    </row>
    <row r="95" spans="1:9" x14ac:dyDescent="0.3">
      <c r="A95" t="s">
        <v>625</v>
      </c>
      <c r="B95" t="s">
        <v>284</v>
      </c>
      <c r="C95" t="s">
        <v>606</v>
      </c>
      <c r="D95" t="s">
        <v>780</v>
      </c>
      <c r="E95" s="15">
        <v>45502</v>
      </c>
      <c r="F95" s="15">
        <v>45443</v>
      </c>
      <c r="G95" t="s">
        <v>130</v>
      </c>
      <c r="H95" t="s">
        <v>771</v>
      </c>
      <c r="I95" t="s">
        <v>781</v>
      </c>
    </row>
    <row r="96" spans="1:9" x14ac:dyDescent="0.3">
      <c r="A96" t="s">
        <v>625</v>
      </c>
      <c r="B96" t="s">
        <v>255</v>
      </c>
      <c r="C96" t="s">
        <v>606</v>
      </c>
      <c r="D96" t="s">
        <v>782</v>
      </c>
      <c r="E96" s="15">
        <v>45509</v>
      </c>
      <c r="F96" s="15">
        <v>45443</v>
      </c>
      <c r="G96" t="s">
        <v>130</v>
      </c>
      <c r="I96" t="s">
        <v>783</v>
      </c>
    </row>
    <row r="97" spans="1:9" x14ac:dyDescent="0.3">
      <c r="A97" t="s">
        <v>625</v>
      </c>
      <c r="B97" t="s">
        <v>255</v>
      </c>
      <c r="C97" t="s">
        <v>606</v>
      </c>
      <c r="D97" t="s">
        <v>784</v>
      </c>
      <c r="E97" s="15">
        <v>45509</v>
      </c>
      <c r="F97" s="15">
        <v>45443</v>
      </c>
      <c r="G97" t="s">
        <v>130</v>
      </c>
      <c r="I97" t="s">
        <v>785</v>
      </c>
    </row>
    <row r="98" spans="1:9" x14ac:dyDescent="0.3">
      <c r="A98" t="s">
        <v>625</v>
      </c>
      <c r="B98" t="s">
        <v>255</v>
      </c>
      <c r="C98" t="s">
        <v>606</v>
      </c>
      <c r="D98" t="s">
        <v>786</v>
      </c>
      <c r="E98" s="15">
        <v>45509</v>
      </c>
      <c r="F98" s="15">
        <v>45443</v>
      </c>
      <c r="G98" t="s">
        <v>130</v>
      </c>
      <c r="I98" t="s">
        <v>787</v>
      </c>
    </row>
    <row r="99" spans="1:9" x14ac:dyDescent="0.3">
      <c r="A99" t="s">
        <v>625</v>
      </c>
      <c r="B99" t="s">
        <v>255</v>
      </c>
      <c r="C99" t="s">
        <v>606</v>
      </c>
      <c r="D99" t="s">
        <v>788</v>
      </c>
      <c r="E99" s="15">
        <v>45509</v>
      </c>
      <c r="F99" s="15">
        <v>45443</v>
      </c>
      <c r="G99" t="s">
        <v>130</v>
      </c>
      <c r="I99" t="s">
        <v>789</v>
      </c>
    </row>
    <row r="100" spans="1:9" x14ac:dyDescent="0.3">
      <c r="A100" t="s">
        <v>625</v>
      </c>
      <c r="B100" t="s">
        <v>255</v>
      </c>
      <c r="C100" t="s">
        <v>606</v>
      </c>
      <c r="D100" t="s">
        <v>790</v>
      </c>
      <c r="E100" s="15">
        <v>45509</v>
      </c>
      <c r="F100" s="15">
        <v>45443</v>
      </c>
      <c r="G100" t="s">
        <v>130</v>
      </c>
      <c r="I100" t="s">
        <v>791</v>
      </c>
    </row>
    <row r="101" spans="1:9" x14ac:dyDescent="0.3">
      <c r="A101" t="s">
        <v>625</v>
      </c>
      <c r="B101" t="s">
        <v>255</v>
      </c>
      <c r="C101" t="s">
        <v>606</v>
      </c>
      <c r="D101" t="s">
        <v>792</v>
      </c>
      <c r="E101" s="15">
        <v>45509</v>
      </c>
      <c r="F101" s="15">
        <v>45443</v>
      </c>
      <c r="G101" t="s">
        <v>130</v>
      </c>
      <c r="I101" t="s">
        <v>793</v>
      </c>
    </row>
    <row r="102" spans="1:9" x14ac:dyDescent="0.3">
      <c r="A102" t="s">
        <v>625</v>
      </c>
      <c r="B102" t="s">
        <v>255</v>
      </c>
      <c r="C102" t="s">
        <v>606</v>
      </c>
      <c r="D102" t="s">
        <v>794</v>
      </c>
      <c r="E102" s="15">
        <v>45509</v>
      </c>
      <c r="F102" s="15">
        <v>45443</v>
      </c>
      <c r="G102" t="s">
        <v>130</v>
      </c>
      <c r="H102" t="s">
        <v>795</v>
      </c>
      <c r="I102" t="s">
        <v>796</v>
      </c>
    </row>
    <row r="103" spans="1:9" x14ac:dyDescent="0.3">
      <c r="A103" t="s">
        <v>625</v>
      </c>
      <c r="B103" t="s">
        <v>255</v>
      </c>
      <c r="C103" t="s">
        <v>606</v>
      </c>
      <c r="D103" t="s">
        <v>797</v>
      </c>
      <c r="E103" s="15">
        <v>45509</v>
      </c>
      <c r="F103" s="15">
        <v>45443</v>
      </c>
      <c r="G103" t="s">
        <v>130</v>
      </c>
      <c r="I103" t="s">
        <v>798</v>
      </c>
    </row>
    <row r="104" spans="1:9" x14ac:dyDescent="0.3">
      <c r="A104" t="s">
        <v>625</v>
      </c>
      <c r="B104" t="s">
        <v>255</v>
      </c>
      <c r="C104" t="s">
        <v>606</v>
      </c>
      <c r="D104" t="s">
        <v>799</v>
      </c>
      <c r="H104" t="s">
        <v>800</v>
      </c>
    </row>
    <row r="105" spans="1:9" x14ac:dyDescent="0.3">
      <c r="A105" t="s">
        <v>625</v>
      </c>
      <c r="B105" t="s">
        <v>273</v>
      </c>
      <c r="C105" t="s">
        <v>606</v>
      </c>
      <c r="D105" t="s">
        <v>801</v>
      </c>
      <c r="E105" s="15">
        <v>45509</v>
      </c>
      <c r="F105" s="15">
        <v>45443</v>
      </c>
      <c r="G105" t="s">
        <v>130</v>
      </c>
      <c r="I105" t="s">
        <v>802</v>
      </c>
    </row>
    <row r="106" spans="1:9" x14ac:dyDescent="0.3">
      <c r="A106" t="s">
        <v>625</v>
      </c>
      <c r="B106" t="s">
        <v>273</v>
      </c>
      <c r="C106" t="s">
        <v>606</v>
      </c>
      <c r="D106" t="s">
        <v>803</v>
      </c>
      <c r="E106" s="15">
        <v>45509</v>
      </c>
      <c r="F106" s="15">
        <v>45443</v>
      </c>
      <c r="G106" t="s">
        <v>130</v>
      </c>
      <c r="I106" t="s">
        <v>804</v>
      </c>
    </row>
    <row r="107" spans="1:9" x14ac:dyDescent="0.3">
      <c r="A107" t="s">
        <v>625</v>
      </c>
      <c r="B107" t="s">
        <v>273</v>
      </c>
      <c r="C107" t="s">
        <v>606</v>
      </c>
      <c r="D107" t="s">
        <v>805</v>
      </c>
      <c r="E107" s="15">
        <v>45509</v>
      </c>
      <c r="F107" s="15">
        <v>45443</v>
      </c>
      <c r="G107" t="s">
        <v>130</v>
      </c>
      <c r="I107" t="s">
        <v>806</v>
      </c>
    </row>
    <row r="108" spans="1:9" x14ac:dyDescent="0.3">
      <c r="A108" t="s">
        <v>625</v>
      </c>
      <c r="B108" t="s">
        <v>43</v>
      </c>
      <c r="C108" t="s">
        <v>606</v>
      </c>
      <c r="D108" t="s">
        <v>807</v>
      </c>
      <c r="E108" s="15">
        <v>45541</v>
      </c>
      <c r="F108" s="15">
        <v>45443</v>
      </c>
      <c r="G108" t="s">
        <v>130</v>
      </c>
      <c r="I108" t="s">
        <v>808</v>
      </c>
    </row>
    <row r="109" spans="1:9" x14ac:dyDescent="0.3">
      <c r="A109" t="s">
        <v>625</v>
      </c>
      <c r="B109" t="s">
        <v>43</v>
      </c>
      <c r="C109" t="s">
        <v>606</v>
      </c>
      <c r="D109" t="s">
        <v>809</v>
      </c>
      <c r="E109" s="15">
        <v>45541</v>
      </c>
      <c r="F109" s="15">
        <v>45443</v>
      </c>
      <c r="G109" t="s">
        <v>130</v>
      </c>
      <c r="I109" t="s">
        <v>810</v>
      </c>
    </row>
    <row r="110" spans="1:9" x14ac:dyDescent="0.3">
      <c r="A110" t="s">
        <v>625</v>
      </c>
      <c r="B110" t="s">
        <v>43</v>
      </c>
      <c r="C110" t="s">
        <v>606</v>
      </c>
      <c r="D110" t="s">
        <v>811</v>
      </c>
      <c r="E110" s="15">
        <v>45541</v>
      </c>
      <c r="F110" s="15">
        <v>45443</v>
      </c>
      <c r="G110" t="s">
        <v>130</v>
      </c>
      <c r="H110" t="s">
        <v>812</v>
      </c>
      <c r="I110" t="s">
        <v>813</v>
      </c>
    </row>
    <row r="111" spans="1:9" x14ac:dyDescent="0.3">
      <c r="A111" t="s">
        <v>625</v>
      </c>
      <c r="B111" t="s">
        <v>43</v>
      </c>
      <c r="C111" t="s">
        <v>606</v>
      </c>
      <c r="D111" t="s">
        <v>814</v>
      </c>
      <c r="E111" s="15">
        <v>45541</v>
      </c>
      <c r="F111" s="15">
        <v>45443</v>
      </c>
      <c r="G111" t="s">
        <v>130</v>
      </c>
      <c r="I111" t="s">
        <v>815</v>
      </c>
    </row>
    <row r="112" spans="1:9" x14ac:dyDescent="0.3">
      <c r="A112" t="s">
        <v>625</v>
      </c>
      <c r="B112" t="s">
        <v>43</v>
      </c>
      <c r="C112" t="s">
        <v>606</v>
      </c>
      <c r="D112" t="s">
        <v>816</v>
      </c>
      <c r="E112" s="15">
        <v>45541</v>
      </c>
      <c r="F112" s="15">
        <v>45443</v>
      </c>
      <c r="G112" t="s">
        <v>130</v>
      </c>
      <c r="I112" t="s">
        <v>817</v>
      </c>
    </row>
    <row r="113" spans="1:12" x14ac:dyDescent="0.3">
      <c r="A113" t="s">
        <v>625</v>
      </c>
      <c r="B113" t="s">
        <v>43</v>
      </c>
      <c r="C113" t="s">
        <v>606</v>
      </c>
      <c r="D113" t="s">
        <v>818</v>
      </c>
      <c r="E113" s="15">
        <v>45541</v>
      </c>
      <c r="F113" s="15">
        <v>45443</v>
      </c>
      <c r="G113" t="s">
        <v>130</v>
      </c>
      <c r="H113" t="s">
        <v>812</v>
      </c>
      <c r="I113" t="s">
        <v>819</v>
      </c>
    </row>
    <row r="114" spans="1:12" x14ac:dyDescent="0.3">
      <c r="A114" t="s">
        <v>625</v>
      </c>
      <c r="B114" t="s">
        <v>41</v>
      </c>
      <c r="C114" t="s">
        <v>606</v>
      </c>
      <c r="D114" t="s">
        <v>820</v>
      </c>
      <c r="E114" s="15">
        <v>45544</v>
      </c>
      <c r="F114" s="15">
        <v>45443</v>
      </c>
      <c r="G114" t="s">
        <v>130</v>
      </c>
      <c r="I114" t="s">
        <v>821</v>
      </c>
    </row>
    <row r="115" spans="1:12" x14ac:dyDescent="0.3">
      <c r="A115" t="s">
        <v>625</v>
      </c>
      <c r="B115" t="s">
        <v>41</v>
      </c>
      <c r="C115" t="s">
        <v>606</v>
      </c>
      <c r="D115" t="s">
        <v>822</v>
      </c>
      <c r="E115" s="15">
        <v>45544</v>
      </c>
      <c r="F115" s="15">
        <v>45443</v>
      </c>
      <c r="G115" t="s">
        <v>130</v>
      </c>
      <c r="I115" t="s">
        <v>823</v>
      </c>
    </row>
    <row r="116" spans="1:12" x14ac:dyDescent="0.3">
      <c r="A116" t="s">
        <v>625</v>
      </c>
      <c r="B116" t="s">
        <v>41</v>
      </c>
      <c r="C116" t="s">
        <v>606</v>
      </c>
      <c r="D116" t="s">
        <v>824</v>
      </c>
      <c r="E116" s="15">
        <v>45544</v>
      </c>
      <c r="F116" s="15">
        <v>45443</v>
      </c>
      <c r="G116" t="s">
        <v>149</v>
      </c>
      <c r="H116" t="s">
        <v>477</v>
      </c>
      <c r="I116" t="s">
        <v>825</v>
      </c>
      <c r="L116" s="29"/>
    </row>
    <row r="117" spans="1:12" x14ac:dyDescent="0.3">
      <c r="A117" t="s">
        <v>625</v>
      </c>
      <c r="B117" t="s">
        <v>41</v>
      </c>
      <c r="C117" t="s">
        <v>606</v>
      </c>
      <c r="D117" t="s">
        <v>826</v>
      </c>
      <c r="E117" s="15">
        <v>45544</v>
      </c>
      <c r="F117" s="15">
        <v>45443</v>
      </c>
      <c r="G117" t="s">
        <v>130</v>
      </c>
      <c r="I117" t="s">
        <v>827</v>
      </c>
    </row>
    <row r="118" spans="1:12" x14ac:dyDescent="0.3">
      <c r="A118" t="s">
        <v>625</v>
      </c>
      <c r="B118" t="s">
        <v>41</v>
      </c>
      <c r="C118" t="s">
        <v>606</v>
      </c>
      <c r="D118" t="s">
        <v>828</v>
      </c>
      <c r="E118" s="15">
        <v>45544</v>
      </c>
      <c r="F118" s="15">
        <v>45443</v>
      </c>
      <c r="G118" t="s">
        <v>130</v>
      </c>
      <c r="I118" t="s">
        <v>829</v>
      </c>
    </row>
    <row r="119" spans="1:12" x14ac:dyDescent="0.3">
      <c r="A119" t="s">
        <v>625</v>
      </c>
      <c r="B119" t="s">
        <v>236</v>
      </c>
      <c r="C119" t="s">
        <v>601</v>
      </c>
      <c r="D119" t="s">
        <v>830</v>
      </c>
      <c r="E119" s="15">
        <v>45629</v>
      </c>
      <c r="F119" s="15">
        <v>45565</v>
      </c>
      <c r="G119" t="s">
        <v>130</v>
      </c>
      <c r="I119" t="s">
        <v>831</v>
      </c>
    </row>
    <row r="120" spans="1:12" x14ac:dyDescent="0.3">
      <c r="A120" t="s">
        <v>625</v>
      </c>
      <c r="B120" t="s">
        <v>236</v>
      </c>
      <c r="C120" t="s">
        <v>606</v>
      </c>
      <c r="D120" t="s">
        <v>665</v>
      </c>
      <c r="E120" s="15">
        <v>45629</v>
      </c>
      <c r="F120" s="15">
        <v>45565</v>
      </c>
      <c r="G120" t="s">
        <v>130</v>
      </c>
      <c r="I120" t="s">
        <v>832</v>
      </c>
    </row>
    <row r="121" spans="1:12" x14ac:dyDescent="0.3">
      <c r="A121" t="s">
        <v>625</v>
      </c>
      <c r="B121" t="s">
        <v>236</v>
      </c>
      <c r="C121" t="s">
        <v>606</v>
      </c>
      <c r="D121" t="s">
        <v>667</v>
      </c>
      <c r="E121" s="15">
        <v>45629</v>
      </c>
      <c r="F121" s="15">
        <v>45565</v>
      </c>
      <c r="G121" t="s">
        <v>130</v>
      </c>
      <c r="I121" t="s">
        <v>833</v>
      </c>
    </row>
    <row r="122" spans="1:12" x14ac:dyDescent="0.3">
      <c r="A122" t="s">
        <v>625</v>
      </c>
      <c r="B122" t="s">
        <v>236</v>
      </c>
      <c r="C122" t="s">
        <v>606</v>
      </c>
      <c r="D122" t="s">
        <v>669</v>
      </c>
      <c r="E122" s="15">
        <v>45629</v>
      </c>
      <c r="F122" s="15">
        <v>45565</v>
      </c>
      <c r="G122" t="s">
        <v>130</v>
      </c>
      <c r="I122" t="s">
        <v>834</v>
      </c>
    </row>
    <row r="123" spans="1:12" x14ac:dyDescent="0.3">
      <c r="A123" t="s">
        <v>625</v>
      </c>
      <c r="B123" t="s">
        <v>236</v>
      </c>
      <c r="C123" t="s">
        <v>606</v>
      </c>
      <c r="D123" t="s">
        <v>672</v>
      </c>
      <c r="E123" s="15">
        <v>45629</v>
      </c>
      <c r="F123" s="15">
        <v>45565</v>
      </c>
      <c r="G123" t="s">
        <v>149</v>
      </c>
      <c r="H123" t="s">
        <v>835</v>
      </c>
      <c r="I123" t="s">
        <v>836</v>
      </c>
    </row>
    <row r="124" spans="1:12" x14ac:dyDescent="0.3">
      <c r="A124" t="s">
        <v>625</v>
      </c>
      <c r="B124" t="s">
        <v>236</v>
      </c>
      <c r="C124" t="s">
        <v>606</v>
      </c>
      <c r="D124" t="s">
        <v>678</v>
      </c>
      <c r="E124" s="15">
        <v>45629</v>
      </c>
      <c r="F124" s="15">
        <v>45565</v>
      </c>
      <c r="G124" t="s">
        <v>130</v>
      </c>
      <c r="I124" t="s">
        <v>837</v>
      </c>
    </row>
    <row r="125" spans="1:12" x14ac:dyDescent="0.3">
      <c r="A125" t="s">
        <v>625</v>
      </c>
      <c r="B125" t="s">
        <v>236</v>
      </c>
      <c r="C125" t="s">
        <v>606</v>
      </c>
      <c r="D125" t="s">
        <v>708</v>
      </c>
      <c r="E125" s="15">
        <v>45629</v>
      </c>
      <c r="F125" s="15">
        <v>45565</v>
      </c>
      <c r="G125" t="s">
        <v>130</v>
      </c>
      <c r="I125" t="s">
        <v>838</v>
      </c>
    </row>
    <row r="126" spans="1:12" x14ac:dyDescent="0.3">
      <c r="A126" t="s">
        <v>625</v>
      </c>
      <c r="B126" t="s">
        <v>236</v>
      </c>
      <c r="C126" t="s">
        <v>606</v>
      </c>
      <c r="D126" t="s">
        <v>710</v>
      </c>
      <c r="E126" s="15">
        <v>45629</v>
      </c>
      <c r="F126" s="15">
        <v>45565</v>
      </c>
      <c r="G126" t="s">
        <v>130</v>
      </c>
      <c r="H126" t="s">
        <v>711</v>
      </c>
      <c r="I126" t="s">
        <v>839</v>
      </c>
    </row>
    <row r="127" spans="1:12" x14ac:dyDescent="0.3">
      <c r="A127" t="s">
        <v>625</v>
      </c>
      <c r="B127" t="s">
        <v>236</v>
      </c>
      <c r="C127" t="s">
        <v>606</v>
      </c>
      <c r="D127" t="s">
        <v>713</v>
      </c>
      <c r="E127" s="15">
        <v>45629</v>
      </c>
      <c r="F127" s="15">
        <v>45565</v>
      </c>
      <c r="G127" t="s">
        <v>130</v>
      </c>
      <c r="I127" t="s">
        <v>840</v>
      </c>
    </row>
    <row r="128" spans="1:12" x14ac:dyDescent="0.3">
      <c r="A128" t="s">
        <v>625</v>
      </c>
      <c r="B128" t="s">
        <v>236</v>
      </c>
      <c r="C128" t="s">
        <v>606</v>
      </c>
      <c r="D128" t="s">
        <v>715</v>
      </c>
      <c r="E128" s="15">
        <v>45629</v>
      </c>
      <c r="F128" s="15">
        <v>45565</v>
      </c>
      <c r="G128" t="s">
        <v>130</v>
      </c>
      <c r="I128" t="s">
        <v>841</v>
      </c>
    </row>
    <row r="129" spans="1:9" x14ac:dyDescent="0.3">
      <c r="A129" t="s">
        <v>625</v>
      </c>
      <c r="B129" t="s">
        <v>236</v>
      </c>
      <c r="C129" t="s">
        <v>606</v>
      </c>
      <c r="D129" t="s">
        <v>717</v>
      </c>
      <c r="E129" s="15">
        <v>45629</v>
      </c>
      <c r="F129" s="15">
        <v>45565</v>
      </c>
      <c r="G129" t="s">
        <v>130</v>
      </c>
      <c r="I129" t="s">
        <v>842</v>
      </c>
    </row>
    <row r="130" spans="1:9" x14ac:dyDescent="0.3">
      <c r="A130" t="s">
        <v>625</v>
      </c>
      <c r="B130" t="s">
        <v>236</v>
      </c>
      <c r="C130" t="s">
        <v>606</v>
      </c>
      <c r="D130" t="s">
        <v>719</v>
      </c>
      <c r="E130" s="15">
        <v>45629</v>
      </c>
      <c r="F130" s="15">
        <v>45565</v>
      </c>
      <c r="G130" t="s">
        <v>149</v>
      </c>
      <c r="H130" t="s">
        <v>843</v>
      </c>
      <c r="I130" t="s">
        <v>844</v>
      </c>
    </row>
    <row r="131" spans="1:9" x14ac:dyDescent="0.3">
      <c r="A131" t="s">
        <v>625</v>
      </c>
      <c r="B131" t="s">
        <v>236</v>
      </c>
      <c r="C131" t="s">
        <v>606</v>
      </c>
      <c r="D131" t="s">
        <v>721</v>
      </c>
      <c r="E131" s="15">
        <v>45629</v>
      </c>
      <c r="F131" s="15">
        <v>45565</v>
      </c>
      <c r="G131" t="s">
        <v>149</v>
      </c>
      <c r="H131" t="s">
        <v>845</v>
      </c>
      <c r="I131" t="s">
        <v>846</v>
      </c>
    </row>
    <row r="132" spans="1:9" x14ac:dyDescent="0.3">
      <c r="A132" t="s">
        <v>625</v>
      </c>
      <c r="B132" t="s">
        <v>236</v>
      </c>
      <c r="C132" t="s">
        <v>606</v>
      </c>
      <c r="D132" t="s">
        <v>847</v>
      </c>
      <c r="E132" s="15">
        <v>45629</v>
      </c>
      <c r="F132" s="15">
        <v>45565</v>
      </c>
      <c r="G132" t="s">
        <v>149</v>
      </c>
      <c r="H132" t="s">
        <v>848</v>
      </c>
      <c r="I132" t="s">
        <v>849</v>
      </c>
    </row>
    <row r="133" spans="1:9" x14ac:dyDescent="0.3">
      <c r="A133" t="s">
        <v>625</v>
      </c>
      <c r="B133" t="s">
        <v>236</v>
      </c>
      <c r="C133" t="s">
        <v>606</v>
      </c>
      <c r="D133" t="s">
        <v>723</v>
      </c>
      <c r="E133" s="15">
        <v>45629</v>
      </c>
      <c r="F133" s="15">
        <v>45565</v>
      </c>
      <c r="H133" t="s">
        <v>724</v>
      </c>
    </row>
    <row r="134" spans="1:9" x14ac:dyDescent="0.3">
      <c r="A134" t="s">
        <v>625</v>
      </c>
      <c r="B134" t="s">
        <v>236</v>
      </c>
      <c r="C134" t="s">
        <v>606</v>
      </c>
      <c r="D134" t="s">
        <v>725</v>
      </c>
      <c r="E134" s="15">
        <v>45629</v>
      </c>
      <c r="F134" s="15">
        <v>45565</v>
      </c>
      <c r="H134" t="s">
        <v>726</v>
      </c>
    </row>
    <row r="135" spans="1:9" x14ac:dyDescent="0.3">
      <c r="A135" t="s">
        <v>625</v>
      </c>
      <c r="B135" t="s">
        <v>236</v>
      </c>
      <c r="C135" t="s">
        <v>606</v>
      </c>
      <c r="D135" t="s">
        <v>727</v>
      </c>
      <c r="E135" s="15">
        <v>45629</v>
      </c>
      <c r="F135" s="15">
        <v>45565</v>
      </c>
      <c r="H135" t="s">
        <v>728</v>
      </c>
    </row>
    <row r="136" spans="1:9" x14ac:dyDescent="0.3">
      <c r="A136" t="s">
        <v>625</v>
      </c>
      <c r="B136" t="s">
        <v>236</v>
      </c>
      <c r="C136" t="s">
        <v>606</v>
      </c>
      <c r="D136" t="s">
        <v>727</v>
      </c>
      <c r="E136" s="15">
        <v>45629</v>
      </c>
      <c r="F136" s="15">
        <v>45565</v>
      </c>
      <c r="H136" t="s">
        <v>728</v>
      </c>
    </row>
    <row r="137" spans="1:9" x14ac:dyDescent="0.3">
      <c r="A137" t="s">
        <v>625</v>
      </c>
      <c r="B137" t="s">
        <v>236</v>
      </c>
      <c r="C137" t="s">
        <v>606</v>
      </c>
      <c r="D137" t="s">
        <v>729</v>
      </c>
      <c r="E137" s="15">
        <v>45629</v>
      </c>
      <c r="F137" s="15">
        <v>45565</v>
      </c>
      <c r="H137" t="s">
        <v>850</v>
      </c>
    </row>
    <row r="138" spans="1:9" x14ac:dyDescent="0.3">
      <c r="A138" t="s">
        <v>625</v>
      </c>
      <c r="B138" t="s">
        <v>236</v>
      </c>
      <c r="C138" t="s">
        <v>606</v>
      </c>
      <c r="D138" t="s">
        <v>731</v>
      </c>
      <c r="E138" s="15">
        <v>45629</v>
      </c>
      <c r="F138" s="15">
        <v>45565</v>
      </c>
      <c r="H138" t="s">
        <v>850</v>
      </c>
    </row>
    <row r="139" spans="1:9" x14ac:dyDescent="0.3">
      <c r="A139" t="s">
        <v>625</v>
      </c>
      <c r="B139" t="s">
        <v>236</v>
      </c>
      <c r="C139" t="s">
        <v>606</v>
      </c>
      <c r="D139" t="s">
        <v>732</v>
      </c>
      <c r="E139" s="15">
        <v>45629</v>
      </c>
      <c r="F139" s="15">
        <v>45565</v>
      </c>
      <c r="H139" t="s">
        <v>850</v>
      </c>
    </row>
    <row r="140" spans="1:9" x14ac:dyDescent="0.3">
      <c r="A140" t="s">
        <v>625</v>
      </c>
      <c r="B140" t="s">
        <v>284</v>
      </c>
      <c r="C140" t="s">
        <v>601</v>
      </c>
      <c r="D140" t="s">
        <v>830</v>
      </c>
      <c r="E140" s="15">
        <v>45629</v>
      </c>
      <c r="F140" s="15">
        <v>45565</v>
      </c>
      <c r="G140" t="s">
        <v>130</v>
      </c>
      <c r="H140" t="s">
        <v>771</v>
      </c>
      <c r="I140" t="s">
        <v>851</v>
      </c>
    </row>
    <row r="141" spans="1:9" x14ac:dyDescent="0.3">
      <c r="A141" t="s">
        <v>625</v>
      </c>
      <c r="B141" t="s">
        <v>284</v>
      </c>
      <c r="C141" t="s">
        <v>601</v>
      </c>
      <c r="D141" t="s">
        <v>762</v>
      </c>
      <c r="E141" s="15">
        <v>45629</v>
      </c>
      <c r="F141" s="15">
        <v>45565</v>
      </c>
      <c r="G141" t="s">
        <v>130</v>
      </c>
      <c r="H141" t="s">
        <v>852</v>
      </c>
      <c r="I141" t="s">
        <v>853</v>
      </c>
    </row>
    <row r="142" spans="1:9" x14ac:dyDescent="0.3">
      <c r="A142" t="s">
        <v>625</v>
      </c>
      <c r="B142" t="s">
        <v>284</v>
      </c>
      <c r="C142" t="s">
        <v>606</v>
      </c>
      <c r="D142" t="s">
        <v>770</v>
      </c>
      <c r="E142" s="15">
        <v>45629</v>
      </c>
      <c r="F142" s="15">
        <v>45565</v>
      </c>
      <c r="G142" t="s">
        <v>130</v>
      </c>
      <c r="H142" t="s">
        <v>771</v>
      </c>
      <c r="I142" t="s">
        <v>854</v>
      </c>
    </row>
    <row r="143" spans="1:9" x14ac:dyDescent="0.3">
      <c r="A143" t="s">
        <v>625</v>
      </c>
      <c r="B143" t="s">
        <v>284</v>
      </c>
      <c r="C143" t="s">
        <v>606</v>
      </c>
      <c r="D143" t="s">
        <v>773</v>
      </c>
      <c r="E143" s="15">
        <v>45629</v>
      </c>
      <c r="F143" s="15">
        <v>45565</v>
      </c>
      <c r="G143" t="s">
        <v>130</v>
      </c>
      <c r="H143" t="s">
        <v>855</v>
      </c>
      <c r="I143" t="s">
        <v>856</v>
      </c>
    </row>
    <row r="144" spans="1:9" x14ac:dyDescent="0.3">
      <c r="A144" t="s">
        <v>625</v>
      </c>
      <c r="B144" t="s">
        <v>284</v>
      </c>
      <c r="C144" t="s">
        <v>606</v>
      </c>
      <c r="D144" t="s">
        <v>776</v>
      </c>
      <c r="E144" s="15">
        <v>45629</v>
      </c>
      <c r="F144" s="15">
        <v>45565</v>
      </c>
      <c r="G144" t="s">
        <v>130</v>
      </c>
      <c r="H144" t="s">
        <v>771</v>
      </c>
      <c r="I144" t="s">
        <v>857</v>
      </c>
    </row>
    <row r="145" spans="1:9" x14ac:dyDescent="0.3">
      <c r="A145" t="s">
        <v>625</v>
      </c>
      <c r="B145" t="s">
        <v>284</v>
      </c>
      <c r="C145" t="s">
        <v>606</v>
      </c>
      <c r="D145" t="s">
        <v>778</v>
      </c>
      <c r="E145" s="15">
        <v>45629</v>
      </c>
      <c r="F145" s="15">
        <v>45565</v>
      </c>
      <c r="G145" t="s">
        <v>130</v>
      </c>
      <c r="H145" t="s">
        <v>771</v>
      </c>
      <c r="I145" t="s">
        <v>858</v>
      </c>
    </row>
    <row r="146" spans="1:9" x14ac:dyDescent="0.3">
      <c r="A146" t="s">
        <v>625</v>
      </c>
      <c r="B146" t="s">
        <v>284</v>
      </c>
      <c r="C146" t="s">
        <v>606</v>
      </c>
      <c r="D146" t="s">
        <v>780</v>
      </c>
      <c r="E146" s="15">
        <v>45629</v>
      </c>
      <c r="F146" s="15">
        <v>45565</v>
      </c>
      <c r="G146" t="s">
        <v>149</v>
      </c>
      <c r="H146" t="s">
        <v>859</v>
      </c>
      <c r="I146" t="s">
        <v>860</v>
      </c>
    </row>
    <row r="147" spans="1:9" x14ac:dyDescent="0.3">
      <c r="A147" t="s">
        <v>625</v>
      </c>
      <c r="B147" t="s">
        <v>43</v>
      </c>
      <c r="C147" t="s">
        <v>601</v>
      </c>
      <c r="D147" t="s">
        <v>629</v>
      </c>
      <c r="E147" s="15">
        <v>45629</v>
      </c>
      <c r="F147" s="15">
        <v>45565</v>
      </c>
      <c r="G147" t="s">
        <v>130</v>
      </c>
      <c r="I147" t="s">
        <v>861</v>
      </c>
    </row>
    <row r="148" spans="1:9" x14ac:dyDescent="0.3">
      <c r="A148" t="s">
        <v>625</v>
      </c>
      <c r="B148" t="s">
        <v>43</v>
      </c>
      <c r="C148" t="s">
        <v>606</v>
      </c>
      <c r="D148" t="s">
        <v>807</v>
      </c>
      <c r="E148" s="15">
        <v>45629</v>
      </c>
      <c r="F148" s="15">
        <v>45565</v>
      </c>
      <c r="G148" t="s">
        <v>130</v>
      </c>
      <c r="I148" t="s">
        <v>862</v>
      </c>
    </row>
    <row r="149" spans="1:9" x14ac:dyDescent="0.3">
      <c r="A149" t="s">
        <v>625</v>
      </c>
      <c r="B149" t="s">
        <v>43</v>
      </c>
      <c r="C149" t="s">
        <v>606</v>
      </c>
      <c r="D149" t="s">
        <v>809</v>
      </c>
      <c r="E149" s="15">
        <v>45629</v>
      </c>
      <c r="F149" s="15">
        <v>45565</v>
      </c>
      <c r="G149" t="s">
        <v>149</v>
      </c>
      <c r="H149" t="s">
        <v>863</v>
      </c>
      <c r="I149" t="s">
        <v>864</v>
      </c>
    </row>
    <row r="150" spans="1:9" x14ac:dyDescent="0.3">
      <c r="A150" t="s">
        <v>625</v>
      </c>
      <c r="B150" t="s">
        <v>43</v>
      </c>
      <c r="C150" t="s">
        <v>606</v>
      </c>
      <c r="D150" t="s">
        <v>811</v>
      </c>
      <c r="E150" s="15">
        <v>45629</v>
      </c>
      <c r="F150" s="15">
        <v>45565</v>
      </c>
      <c r="G150" t="s">
        <v>149</v>
      </c>
      <c r="H150" t="s">
        <v>865</v>
      </c>
      <c r="I150" t="s">
        <v>866</v>
      </c>
    </row>
    <row r="151" spans="1:9" x14ac:dyDescent="0.3">
      <c r="A151" t="s">
        <v>625</v>
      </c>
      <c r="B151" t="s">
        <v>43</v>
      </c>
      <c r="C151" t="s">
        <v>606</v>
      </c>
      <c r="D151" t="s">
        <v>814</v>
      </c>
      <c r="E151" s="15">
        <v>45629</v>
      </c>
      <c r="F151" s="15">
        <v>45565</v>
      </c>
      <c r="G151" t="s">
        <v>130</v>
      </c>
      <c r="I151" t="s">
        <v>867</v>
      </c>
    </row>
    <row r="152" spans="1:9" x14ac:dyDescent="0.3">
      <c r="A152" t="s">
        <v>625</v>
      </c>
      <c r="B152" t="s">
        <v>43</v>
      </c>
      <c r="C152" t="s">
        <v>606</v>
      </c>
      <c r="D152" t="s">
        <v>816</v>
      </c>
      <c r="E152" s="15">
        <v>45629</v>
      </c>
      <c r="F152" s="15">
        <v>45565</v>
      </c>
      <c r="G152" t="s">
        <v>130</v>
      </c>
      <c r="I152" t="s">
        <v>868</v>
      </c>
    </row>
    <row r="153" spans="1:9" x14ac:dyDescent="0.3">
      <c r="A153" t="s">
        <v>625</v>
      </c>
      <c r="B153" t="s">
        <v>43</v>
      </c>
      <c r="C153" t="s">
        <v>606</v>
      </c>
      <c r="D153" t="s">
        <v>818</v>
      </c>
      <c r="E153" s="15">
        <v>45629</v>
      </c>
      <c r="F153" s="15">
        <v>45565</v>
      </c>
      <c r="G153" t="s">
        <v>130</v>
      </c>
      <c r="I153" t="s">
        <v>869</v>
      </c>
    </row>
    <row r="154" spans="1:9" x14ac:dyDescent="0.3">
      <c r="A154" t="s">
        <v>625</v>
      </c>
      <c r="B154" t="s">
        <v>243</v>
      </c>
      <c r="C154" t="s">
        <v>601</v>
      </c>
      <c r="D154" t="s">
        <v>629</v>
      </c>
      <c r="E154" s="15">
        <v>45630</v>
      </c>
      <c r="F154" s="15">
        <v>45565</v>
      </c>
      <c r="G154" t="s">
        <v>130</v>
      </c>
      <c r="I154" t="s">
        <v>870</v>
      </c>
    </row>
    <row r="155" spans="1:9" x14ac:dyDescent="0.3">
      <c r="A155" t="s">
        <v>625</v>
      </c>
      <c r="B155" t="s">
        <v>243</v>
      </c>
      <c r="C155" t="s">
        <v>606</v>
      </c>
      <c r="D155" t="s">
        <v>735</v>
      </c>
      <c r="E155" s="15">
        <v>45630</v>
      </c>
      <c r="F155" s="15">
        <v>45565</v>
      </c>
      <c r="G155" t="s">
        <v>130</v>
      </c>
      <c r="I155" t="s">
        <v>871</v>
      </c>
    </row>
    <row r="156" spans="1:9" x14ac:dyDescent="0.3">
      <c r="A156" t="s">
        <v>625</v>
      </c>
      <c r="B156" t="s">
        <v>243</v>
      </c>
      <c r="C156" t="s">
        <v>606</v>
      </c>
      <c r="D156" t="s">
        <v>737</v>
      </c>
      <c r="E156" s="15">
        <v>45630</v>
      </c>
      <c r="F156" s="15">
        <v>45565</v>
      </c>
      <c r="G156" t="s">
        <v>149</v>
      </c>
      <c r="H156" t="s">
        <v>872</v>
      </c>
      <c r="I156" t="s">
        <v>873</v>
      </c>
    </row>
    <row r="157" spans="1:9" x14ac:dyDescent="0.3">
      <c r="A157" t="s">
        <v>625</v>
      </c>
      <c r="B157" t="s">
        <v>243</v>
      </c>
      <c r="C157" t="s">
        <v>606</v>
      </c>
      <c r="D157" t="s">
        <v>739</v>
      </c>
      <c r="E157" s="15">
        <v>45630</v>
      </c>
      <c r="F157" s="15">
        <v>45565</v>
      </c>
      <c r="G157" t="s">
        <v>130</v>
      </c>
      <c r="I157" t="s">
        <v>874</v>
      </c>
    </row>
    <row r="158" spans="1:9" x14ac:dyDescent="0.3">
      <c r="A158" t="s">
        <v>625</v>
      </c>
      <c r="B158" t="s">
        <v>243</v>
      </c>
      <c r="C158" t="s">
        <v>606</v>
      </c>
      <c r="D158" t="s">
        <v>742</v>
      </c>
      <c r="E158" s="15">
        <v>45630</v>
      </c>
      <c r="F158" s="15">
        <v>45565</v>
      </c>
      <c r="G158" t="s">
        <v>130</v>
      </c>
      <c r="I158" t="s">
        <v>875</v>
      </c>
    </row>
    <row r="159" spans="1:9" x14ac:dyDescent="0.3">
      <c r="A159" t="s">
        <v>625</v>
      </c>
      <c r="B159" t="s">
        <v>243</v>
      </c>
      <c r="C159" t="s">
        <v>606</v>
      </c>
      <c r="D159" t="s">
        <v>744</v>
      </c>
      <c r="E159" s="15">
        <v>45630</v>
      </c>
      <c r="F159" s="15">
        <v>45565</v>
      </c>
      <c r="G159" t="s">
        <v>130</v>
      </c>
      <c r="I159" t="s">
        <v>876</v>
      </c>
    </row>
    <row r="160" spans="1:9" x14ac:dyDescent="0.3">
      <c r="A160" t="s">
        <v>625</v>
      </c>
      <c r="B160" t="s">
        <v>243</v>
      </c>
      <c r="C160" t="s">
        <v>606</v>
      </c>
      <c r="D160" t="s">
        <v>746</v>
      </c>
      <c r="E160" s="15">
        <v>45630</v>
      </c>
      <c r="F160" s="15">
        <v>45565</v>
      </c>
      <c r="G160" t="s">
        <v>130</v>
      </c>
      <c r="I160" t="s">
        <v>877</v>
      </c>
    </row>
    <row r="161" spans="1:9" x14ac:dyDescent="0.3">
      <c r="A161" t="s">
        <v>625</v>
      </c>
      <c r="B161" t="s">
        <v>255</v>
      </c>
      <c r="C161" t="s">
        <v>601</v>
      </c>
      <c r="D161" t="s">
        <v>629</v>
      </c>
      <c r="E161" s="15">
        <v>45630</v>
      </c>
      <c r="F161" s="15">
        <v>45473</v>
      </c>
      <c r="G161" t="s">
        <v>130</v>
      </c>
      <c r="I161" t="s">
        <v>878</v>
      </c>
    </row>
    <row r="162" spans="1:9" x14ac:dyDescent="0.3">
      <c r="A162" t="s">
        <v>625</v>
      </c>
      <c r="B162" t="s">
        <v>255</v>
      </c>
      <c r="C162" t="s">
        <v>606</v>
      </c>
      <c r="D162" t="s">
        <v>782</v>
      </c>
      <c r="E162" s="15">
        <v>45630</v>
      </c>
      <c r="F162" s="15">
        <v>45473</v>
      </c>
      <c r="G162" t="s">
        <v>130</v>
      </c>
      <c r="I162" t="s">
        <v>879</v>
      </c>
    </row>
    <row r="163" spans="1:9" x14ac:dyDescent="0.3">
      <c r="A163" t="s">
        <v>625</v>
      </c>
      <c r="B163" t="s">
        <v>255</v>
      </c>
      <c r="C163" t="s">
        <v>606</v>
      </c>
      <c r="D163" t="s">
        <v>784</v>
      </c>
      <c r="E163" s="15">
        <v>45630</v>
      </c>
      <c r="F163" s="15">
        <v>45473</v>
      </c>
      <c r="G163" t="s">
        <v>130</v>
      </c>
      <c r="I163" t="s">
        <v>880</v>
      </c>
    </row>
    <row r="164" spans="1:9" x14ac:dyDescent="0.3">
      <c r="A164" t="s">
        <v>625</v>
      </c>
      <c r="B164" t="s">
        <v>255</v>
      </c>
      <c r="C164" t="s">
        <v>606</v>
      </c>
      <c r="D164" t="s">
        <v>786</v>
      </c>
      <c r="E164" s="15">
        <v>45630</v>
      </c>
      <c r="F164" s="15">
        <v>45473</v>
      </c>
      <c r="G164" t="s">
        <v>130</v>
      </c>
      <c r="I164" t="s">
        <v>880</v>
      </c>
    </row>
    <row r="165" spans="1:9" x14ac:dyDescent="0.3">
      <c r="A165" t="s">
        <v>625</v>
      </c>
      <c r="B165" t="s">
        <v>255</v>
      </c>
      <c r="C165" t="s">
        <v>606</v>
      </c>
      <c r="D165" t="s">
        <v>788</v>
      </c>
      <c r="E165" s="15">
        <v>45630</v>
      </c>
      <c r="F165" s="15">
        <v>45473</v>
      </c>
      <c r="G165" t="s">
        <v>130</v>
      </c>
      <c r="I165" t="s">
        <v>881</v>
      </c>
    </row>
    <row r="166" spans="1:9" x14ac:dyDescent="0.3">
      <c r="A166" t="s">
        <v>625</v>
      </c>
      <c r="B166" t="s">
        <v>255</v>
      </c>
      <c r="C166" t="s">
        <v>606</v>
      </c>
      <c r="D166" t="s">
        <v>790</v>
      </c>
      <c r="E166" s="15">
        <v>45630</v>
      </c>
      <c r="F166" s="15">
        <v>45473</v>
      </c>
      <c r="G166" t="s">
        <v>130</v>
      </c>
      <c r="I166" t="s">
        <v>882</v>
      </c>
    </row>
    <row r="167" spans="1:9" x14ac:dyDescent="0.3">
      <c r="A167" t="s">
        <v>625</v>
      </c>
      <c r="B167" t="s">
        <v>255</v>
      </c>
      <c r="C167" t="s">
        <v>606</v>
      </c>
      <c r="D167" t="s">
        <v>792</v>
      </c>
      <c r="E167" s="15">
        <v>45630</v>
      </c>
      <c r="F167" s="15">
        <v>45473</v>
      </c>
      <c r="G167" t="s">
        <v>130</v>
      </c>
      <c r="I167" t="s">
        <v>883</v>
      </c>
    </row>
    <row r="168" spans="1:9" x14ac:dyDescent="0.3">
      <c r="A168" t="s">
        <v>625</v>
      </c>
      <c r="B168" t="s">
        <v>255</v>
      </c>
      <c r="C168" t="s">
        <v>606</v>
      </c>
      <c r="D168" t="s">
        <v>794</v>
      </c>
      <c r="E168" s="15">
        <v>45630</v>
      </c>
      <c r="F168" s="15">
        <v>45473</v>
      </c>
      <c r="G168" t="s">
        <v>130</v>
      </c>
      <c r="I168" t="s">
        <v>884</v>
      </c>
    </row>
    <row r="169" spans="1:9" x14ac:dyDescent="0.3">
      <c r="A169" t="s">
        <v>625</v>
      </c>
      <c r="B169" t="s">
        <v>255</v>
      </c>
      <c r="C169" t="s">
        <v>606</v>
      </c>
      <c r="D169" t="s">
        <v>797</v>
      </c>
      <c r="E169" s="15">
        <v>45630</v>
      </c>
      <c r="F169" s="15">
        <v>45473</v>
      </c>
      <c r="G169" t="s">
        <v>130</v>
      </c>
      <c r="I169" t="s">
        <v>885</v>
      </c>
    </row>
    <row r="170" spans="1:9" x14ac:dyDescent="0.3">
      <c r="A170" t="s">
        <v>625</v>
      </c>
      <c r="B170" t="s">
        <v>255</v>
      </c>
      <c r="C170" t="s">
        <v>606</v>
      </c>
      <c r="D170" t="s">
        <v>799</v>
      </c>
      <c r="E170" s="15">
        <v>45630</v>
      </c>
      <c r="F170" s="15">
        <v>45473</v>
      </c>
      <c r="H170" t="s">
        <v>800</v>
      </c>
    </row>
    <row r="171" spans="1:9" x14ac:dyDescent="0.3">
      <c r="A171" t="s">
        <v>625</v>
      </c>
      <c r="B171" t="s">
        <v>273</v>
      </c>
      <c r="C171" t="s">
        <v>601</v>
      </c>
      <c r="D171" t="s">
        <v>629</v>
      </c>
      <c r="E171" s="15">
        <v>45630</v>
      </c>
      <c r="F171" s="15">
        <v>45473</v>
      </c>
      <c r="G171" t="s">
        <v>130</v>
      </c>
      <c r="I171" t="s">
        <v>886</v>
      </c>
    </row>
    <row r="172" spans="1:9" x14ac:dyDescent="0.3">
      <c r="A172" t="s">
        <v>625</v>
      </c>
      <c r="B172" t="s">
        <v>273</v>
      </c>
      <c r="C172" t="s">
        <v>606</v>
      </c>
      <c r="D172" t="s">
        <v>801</v>
      </c>
      <c r="E172" s="15">
        <v>45630</v>
      </c>
      <c r="F172" s="15">
        <v>45473</v>
      </c>
      <c r="G172" t="s">
        <v>130</v>
      </c>
      <c r="I172" t="s">
        <v>887</v>
      </c>
    </row>
    <row r="173" spans="1:9" x14ac:dyDescent="0.3">
      <c r="A173" t="s">
        <v>625</v>
      </c>
      <c r="B173" t="s">
        <v>273</v>
      </c>
      <c r="C173" t="s">
        <v>606</v>
      </c>
      <c r="D173" t="s">
        <v>803</v>
      </c>
      <c r="E173" s="15">
        <v>45630</v>
      </c>
      <c r="F173" s="15">
        <v>45473</v>
      </c>
      <c r="G173" t="s">
        <v>130</v>
      </c>
      <c r="I173" t="s">
        <v>888</v>
      </c>
    </row>
    <row r="174" spans="1:9" x14ac:dyDescent="0.3">
      <c r="A174" t="s">
        <v>625</v>
      </c>
      <c r="B174" t="s">
        <v>273</v>
      </c>
      <c r="C174" t="s">
        <v>606</v>
      </c>
      <c r="D174" t="s">
        <v>805</v>
      </c>
      <c r="E174" s="15">
        <v>45630</v>
      </c>
      <c r="F174" s="15">
        <v>45473</v>
      </c>
      <c r="G174" t="s">
        <v>130</v>
      </c>
      <c r="I174" t="s">
        <v>889</v>
      </c>
    </row>
    <row r="175" spans="1:9" x14ac:dyDescent="0.3">
      <c r="A175" t="s">
        <v>625</v>
      </c>
      <c r="B175" t="s">
        <v>463</v>
      </c>
      <c r="C175" t="s">
        <v>601</v>
      </c>
      <c r="D175" t="s">
        <v>629</v>
      </c>
      <c r="E175" s="15">
        <v>45630</v>
      </c>
      <c r="F175" s="15">
        <v>45565</v>
      </c>
      <c r="G175" t="s">
        <v>130</v>
      </c>
      <c r="I175" t="s">
        <v>890</v>
      </c>
    </row>
    <row r="176" spans="1:9" x14ac:dyDescent="0.3">
      <c r="A176" t="s">
        <v>625</v>
      </c>
      <c r="B176" t="s">
        <v>463</v>
      </c>
      <c r="C176" t="s">
        <v>626</v>
      </c>
      <c r="D176" t="s">
        <v>627</v>
      </c>
      <c r="E176" s="15">
        <v>45630</v>
      </c>
      <c r="F176" s="15">
        <v>45565</v>
      </c>
      <c r="G176" t="s">
        <v>130</v>
      </c>
      <c r="I176" t="s">
        <v>891</v>
      </c>
    </row>
    <row r="177" spans="1:9" x14ac:dyDescent="0.3">
      <c r="A177" t="s">
        <v>625</v>
      </c>
      <c r="B177" t="s">
        <v>463</v>
      </c>
      <c r="C177" t="s">
        <v>606</v>
      </c>
      <c r="D177" t="s">
        <v>892</v>
      </c>
      <c r="E177" s="15">
        <v>45630</v>
      </c>
      <c r="F177" s="15">
        <v>45565</v>
      </c>
      <c r="G177" t="s">
        <v>130</v>
      </c>
      <c r="I177" t="s">
        <v>893</v>
      </c>
    </row>
    <row r="178" spans="1:9" x14ac:dyDescent="0.3">
      <c r="A178" t="s">
        <v>625</v>
      </c>
      <c r="B178" t="s">
        <v>463</v>
      </c>
      <c r="C178" t="s">
        <v>606</v>
      </c>
      <c r="D178" t="s">
        <v>633</v>
      </c>
      <c r="E178" s="15">
        <v>45630</v>
      </c>
      <c r="F178" s="15">
        <v>45565</v>
      </c>
      <c r="G178" t="s">
        <v>149</v>
      </c>
      <c r="H178" t="s">
        <v>894</v>
      </c>
      <c r="I178" t="s">
        <v>895</v>
      </c>
    </row>
    <row r="179" spans="1:9" x14ac:dyDescent="0.3">
      <c r="A179" t="s">
        <v>625</v>
      </c>
      <c r="B179" t="s">
        <v>463</v>
      </c>
      <c r="C179" t="s">
        <v>606</v>
      </c>
      <c r="D179" t="s">
        <v>636</v>
      </c>
      <c r="E179" s="15">
        <v>45630</v>
      </c>
      <c r="F179" s="15">
        <v>45565</v>
      </c>
      <c r="G179" t="s">
        <v>130</v>
      </c>
      <c r="I179" t="s">
        <v>896</v>
      </c>
    </row>
    <row r="180" spans="1:9" x14ac:dyDescent="0.3">
      <c r="A180" t="s">
        <v>625</v>
      </c>
      <c r="B180" t="s">
        <v>276</v>
      </c>
      <c r="C180" t="s">
        <v>601</v>
      </c>
      <c r="D180" t="s">
        <v>629</v>
      </c>
      <c r="E180" s="15">
        <v>45630</v>
      </c>
      <c r="F180" s="15">
        <v>45565</v>
      </c>
      <c r="G180" t="s">
        <v>130</v>
      </c>
      <c r="I180" t="s">
        <v>897</v>
      </c>
    </row>
    <row r="181" spans="1:9" x14ac:dyDescent="0.3">
      <c r="A181" t="s">
        <v>625</v>
      </c>
      <c r="B181" t="s">
        <v>276</v>
      </c>
      <c r="C181" t="s">
        <v>606</v>
      </c>
      <c r="D181" t="s">
        <v>898</v>
      </c>
      <c r="E181" s="15">
        <v>45630</v>
      </c>
      <c r="F181" s="15">
        <v>45565</v>
      </c>
      <c r="G181" t="s">
        <v>130</v>
      </c>
      <c r="I181" t="s">
        <v>899</v>
      </c>
    </row>
    <row r="182" spans="1:9" x14ac:dyDescent="0.3">
      <c r="A182" t="s">
        <v>625</v>
      </c>
      <c r="B182" t="s">
        <v>276</v>
      </c>
      <c r="C182" t="s">
        <v>606</v>
      </c>
      <c r="D182" t="s">
        <v>900</v>
      </c>
      <c r="E182" s="15">
        <v>45630</v>
      </c>
      <c r="F182" s="15">
        <v>45565</v>
      </c>
      <c r="G182" t="s">
        <v>149</v>
      </c>
      <c r="H182" t="s">
        <v>901</v>
      </c>
      <c r="I182" t="s">
        <v>902</v>
      </c>
    </row>
    <row r="183" spans="1:9" x14ac:dyDescent="0.3">
      <c r="A183" t="s">
        <v>625</v>
      </c>
      <c r="B183" t="s">
        <v>276</v>
      </c>
      <c r="C183" t="s">
        <v>606</v>
      </c>
      <c r="D183" t="s">
        <v>903</v>
      </c>
      <c r="E183" s="15">
        <v>45630</v>
      </c>
      <c r="F183" s="15">
        <v>45565</v>
      </c>
      <c r="G183" t="s">
        <v>149</v>
      </c>
      <c r="H183" t="s">
        <v>901</v>
      </c>
      <c r="I183" t="s">
        <v>904</v>
      </c>
    </row>
    <row r="184" spans="1:9" x14ac:dyDescent="0.3">
      <c r="A184" t="s">
        <v>625</v>
      </c>
      <c r="B184" t="s">
        <v>276</v>
      </c>
      <c r="C184" t="s">
        <v>606</v>
      </c>
      <c r="D184" t="s">
        <v>646</v>
      </c>
      <c r="E184" s="15">
        <v>45630</v>
      </c>
      <c r="F184" s="15">
        <v>45565</v>
      </c>
      <c r="G184" t="s">
        <v>130</v>
      </c>
      <c r="I184" t="s">
        <v>905</v>
      </c>
    </row>
    <row r="185" spans="1:9" x14ac:dyDescent="0.3">
      <c r="A185" s="29" t="s">
        <v>625</v>
      </c>
      <c r="B185" s="29" t="s">
        <v>185</v>
      </c>
      <c r="C185" t="s">
        <v>601</v>
      </c>
      <c r="D185" t="s">
        <v>629</v>
      </c>
      <c r="E185" s="15">
        <v>45630</v>
      </c>
      <c r="F185" s="15">
        <v>45565</v>
      </c>
      <c r="G185" t="s">
        <v>130</v>
      </c>
      <c r="I185" t="s">
        <v>906</v>
      </c>
    </row>
    <row r="186" spans="1:9" x14ac:dyDescent="0.3">
      <c r="A186" s="29" t="s">
        <v>625</v>
      </c>
      <c r="B186" s="29" t="s">
        <v>185</v>
      </c>
      <c r="C186" t="s">
        <v>606</v>
      </c>
      <c r="D186" t="s">
        <v>680</v>
      </c>
      <c r="E186" s="15">
        <v>45630</v>
      </c>
      <c r="F186" s="15">
        <v>45565</v>
      </c>
      <c r="G186" t="s">
        <v>130</v>
      </c>
      <c r="I186" t="s">
        <v>907</v>
      </c>
    </row>
    <row r="187" spans="1:9" x14ac:dyDescent="0.3">
      <c r="A187" s="29" t="s">
        <v>625</v>
      </c>
      <c r="B187" s="29" t="s">
        <v>185</v>
      </c>
      <c r="C187" t="s">
        <v>606</v>
      </c>
      <c r="D187" t="s">
        <v>682</v>
      </c>
      <c r="E187" s="15">
        <v>45630</v>
      </c>
      <c r="F187" s="15">
        <v>45565</v>
      </c>
      <c r="G187" t="s">
        <v>130</v>
      </c>
      <c r="I187" t="s">
        <v>908</v>
      </c>
    </row>
    <row r="188" spans="1:9" x14ac:dyDescent="0.3">
      <c r="A188" s="29" t="s">
        <v>625</v>
      </c>
      <c r="B188" s="29" t="s">
        <v>185</v>
      </c>
      <c r="C188" t="s">
        <v>606</v>
      </c>
      <c r="D188" t="s">
        <v>685</v>
      </c>
      <c r="E188" s="15">
        <v>45630</v>
      </c>
      <c r="F188" s="15">
        <v>45565</v>
      </c>
      <c r="G188" t="s">
        <v>130</v>
      </c>
      <c r="I188" t="s">
        <v>909</v>
      </c>
    </row>
    <row r="189" spans="1:9" x14ac:dyDescent="0.3">
      <c r="A189" s="29" t="s">
        <v>625</v>
      </c>
      <c r="B189" s="29" t="s">
        <v>185</v>
      </c>
      <c r="C189" t="s">
        <v>606</v>
      </c>
      <c r="D189" t="s">
        <v>687</v>
      </c>
      <c r="E189" s="15">
        <v>45630</v>
      </c>
      <c r="F189" s="15">
        <v>45565</v>
      </c>
      <c r="G189" t="s">
        <v>130</v>
      </c>
      <c r="I189" t="s">
        <v>910</v>
      </c>
    </row>
    <row r="190" spans="1:9" x14ac:dyDescent="0.3">
      <c r="A190" s="29" t="s">
        <v>625</v>
      </c>
      <c r="B190" s="29" t="s">
        <v>185</v>
      </c>
      <c r="C190" t="s">
        <v>606</v>
      </c>
      <c r="D190" t="s">
        <v>690</v>
      </c>
      <c r="E190" s="15">
        <v>45630</v>
      </c>
      <c r="F190" s="15">
        <v>45565</v>
      </c>
      <c r="G190" t="s">
        <v>130</v>
      </c>
      <c r="I190" t="s">
        <v>911</v>
      </c>
    </row>
    <row r="191" spans="1:9" x14ac:dyDescent="0.3">
      <c r="A191" s="29" t="s">
        <v>625</v>
      </c>
      <c r="B191" s="29" t="s">
        <v>185</v>
      </c>
      <c r="C191" t="s">
        <v>606</v>
      </c>
      <c r="D191" t="s">
        <v>692</v>
      </c>
      <c r="E191" s="15">
        <v>45630</v>
      </c>
      <c r="F191" s="15">
        <v>45565</v>
      </c>
      <c r="G191" t="s">
        <v>130</v>
      </c>
      <c r="I191" t="s">
        <v>912</v>
      </c>
    </row>
    <row r="192" spans="1:9" x14ac:dyDescent="0.3">
      <c r="A192" t="s">
        <v>625</v>
      </c>
      <c r="B192" t="s">
        <v>41</v>
      </c>
      <c r="C192" t="s">
        <v>601</v>
      </c>
      <c r="D192" t="s">
        <v>629</v>
      </c>
      <c r="E192" s="15">
        <v>45643</v>
      </c>
      <c r="F192" s="15">
        <v>45565</v>
      </c>
      <c r="G192" t="s">
        <v>149</v>
      </c>
      <c r="I192" t="s">
        <v>913</v>
      </c>
    </row>
    <row r="193" spans="1:9" x14ac:dyDescent="0.3">
      <c r="A193" t="s">
        <v>625</v>
      </c>
      <c r="B193" t="s">
        <v>41</v>
      </c>
      <c r="C193" t="s">
        <v>606</v>
      </c>
      <c r="D193" t="s">
        <v>820</v>
      </c>
      <c r="E193" s="15">
        <v>45643</v>
      </c>
      <c r="F193" s="15">
        <v>45565</v>
      </c>
      <c r="G193" t="s">
        <v>149</v>
      </c>
      <c r="I193" t="s">
        <v>914</v>
      </c>
    </row>
    <row r="194" spans="1:9" x14ac:dyDescent="0.3">
      <c r="A194" t="s">
        <v>625</v>
      </c>
      <c r="B194" t="s">
        <v>41</v>
      </c>
      <c r="C194" t="s">
        <v>606</v>
      </c>
      <c r="D194" t="s">
        <v>822</v>
      </c>
      <c r="E194" s="15">
        <v>45643</v>
      </c>
      <c r="F194" s="15">
        <v>45565</v>
      </c>
      <c r="G194" t="s">
        <v>130</v>
      </c>
      <c r="I194" t="s">
        <v>915</v>
      </c>
    </row>
    <row r="195" spans="1:9" x14ac:dyDescent="0.3">
      <c r="A195" t="s">
        <v>625</v>
      </c>
      <c r="B195" t="s">
        <v>41</v>
      </c>
      <c r="C195" t="s">
        <v>606</v>
      </c>
      <c r="D195" t="s">
        <v>824</v>
      </c>
      <c r="E195" s="15">
        <v>45643</v>
      </c>
      <c r="F195" s="15">
        <v>45565</v>
      </c>
      <c r="G195" t="s">
        <v>149</v>
      </c>
      <c r="H195" t="s">
        <v>916</v>
      </c>
      <c r="I195" t="s">
        <v>917</v>
      </c>
    </row>
    <row r="196" spans="1:9" x14ac:dyDescent="0.3">
      <c r="A196" t="s">
        <v>625</v>
      </c>
      <c r="B196" t="s">
        <v>41</v>
      </c>
      <c r="C196" t="s">
        <v>606</v>
      </c>
      <c r="D196" t="s">
        <v>826</v>
      </c>
      <c r="E196" s="15">
        <v>45643</v>
      </c>
      <c r="F196" s="15">
        <v>45565</v>
      </c>
      <c r="G196" t="s">
        <v>130</v>
      </c>
      <c r="I196" t="s">
        <v>918</v>
      </c>
    </row>
    <row r="197" spans="1:9" x14ac:dyDescent="0.3">
      <c r="A197" t="s">
        <v>625</v>
      </c>
      <c r="B197" t="s">
        <v>41</v>
      </c>
      <c r="C197" t="s">
        <v>606</v>
      </c>
      <c r="D197" t="s">
        <v>828</v>
      </c>
      <c r="E197" s="15">
        <v>45643</v>
      </c>
      <c r="F197" s="15">
        <v>45565</v>
      </c>
      <c r="G197" t="s">
        <v>130</v>
      </c>
      <c r="I197" t="s">
        <v>919</v>
      </c>
    </row>
    <row r="198" spans="1:9" x14ac:dyDescent="0.3">
      <c r="A198" s="29" t="s">
        <v>597</v>
      </c>
      <c r="B198" t="s">
        <v>437</v>
      </c>
      <c r="C198" t="s">
        <v>601</v>
      </c>
      <c r="D198" t="s">
        <v>629</v>
      </c>
      <c r="E198" s="15">
        <v>45644</v>
      </c>
      <c r="F198" s="15">
        <v>45565</v>
      </c>
      <c r="G198" t="s">
        <v>130</v>
      </c>
      <c r="I198" t="s">
        <v>920</v>
      </c>
    </row>
    <row r="199" spans="1:9" x14ac:dyDescent="0.3">
      <c r="A199" s="29" t="s">
        <v>597</v>
      </c>
      <c r="B199" t="s">
        <v>437</v>
      </c>
      <c r="C199" t="s">
        <v>606</v>
      </c>
      <c r="D199" t="s">
        <v>921</v>
      </c>
      <c r="E199" s="15">
        <v>45644</v>
      </c>
      <c r="F199" s="15">
        <v>45565</v>
      </c>
      <c r="G199" t="s">
        <v>130</v>
      </c>
      <c r="I199" t="s">
        <v>922</v>
      </c>
    </row>
    <row r="200" spans="1:9" x14ac:dyDescent="0.3">
      <c r="A200" s="29" t="s">
        <v>597</v>
      </c>
      <c r="B200" t="s">
        <v>437</v>
      </c>
      <c r="C200" t="s">
        <v>606</v>
      </c>
      <c r="D200" t="s">
        <v>923</v>
      </c>
      <c r="E200" s="15">
        <v>45644</v>
      </c>
      <c r="F200" s="15">
        <v>45565</v>
      </c>
      <c r="G200" t="s">
        <v>130</v>
      </c>
      <c r="I200" t="s">
        <v>924</v>
      </c>
    </row>
    <row r="201" spans="1:9" x14ac:dyDescent="0.3">
      <c r="A201" s="29" t="s">
        <v>597</v>
      </c>
      <c r="B201" t="s">
        <v>437</v>
      </c>
      <c r="C201" t="s">
        <v>606</v>
      </c>
      <c r="D201" t="s">
        <v>925</v>
      </c>
      <c r="E201" s="15">
        <v>45644</v>
      </c>
      <c r="F201" s="15">
        <v>45565</v>
      </c>
      <c r="G201" t="s">
        <v>130</v>
      </c>
      <c r="I201" t="s">
        <v>926</v>
      </c>
    </row>
    <row r="202" spans="1:9" x14ac:dyDescent="0.3">
      <c r="A202" s="29" t="s">
        <v>597</v>
      </c>
      <c r="B202" t="s">
        <v>437</v>
      </c>
      <c r="C202" t="s">
        <v>606</v>
      </c>
      <c r="D202" t="s">
        <v>927</v>
      </c>
      <c r="E202" s="15">
        <v>45644</v>
      </c>
      <c r="F202" s="15">
        <v>45565</v>
      </c>
      <c r="G202" t="s">
        <v>149</v>
      </c>
      <c r="H202" t="s">
        <v>928</v>
      </c>
      <c r="I202" t="s">
        <v>929</v>
      </c>
    </row>
    <row r="203" spans="1:9" x14ac:dyDescent="0.3">
      <c r="A203" s="29" t="s">
        <v>597</v>
      </c>
      <c r="B203" t="s">
        <v>287</v>
      </c>
      <c r="C203" t="s">
        <v>601</v>
      </c>
      <c r="D203" t="s">
        <v>629</v>
      </c>
      <c r="E203" s="15">
        <v>45644</v>
      </c>
      <c r="F203" s="15">
        <v>45565</v>
      </c>
      <c r="G203" t="s">
        <v>130</v>
      </c>
      <c r="I203" t="s">
        <v>930</v>
      </c>
    </row>
    <row r="204" spans="1:9" x14ac:dyDescent="0.3">
      <c r="A204" s="29" t="s">
        <v>597</v>
      </c>
      <c r="B204" t="s">
        <v>287</v>
      </c>
      <c r="C204" t="s">
        <v>606</v>
      </c>
      <c r="D204" t="s">
        <v>765</v>
      </c>
      <c r="E204" s="15">
        <v>45644</v>
      </c>
      <c r="F204" s="15">
        <v>45565</v>
      </c>
      <c r="G204" t="s">
        <v>130</v>
      </c>
      <c r="I204" t="s">
        <v>931</v>
      </c>
    </row>
    <row r="205" spans="1:9" x14ac:dyDescent="0.3">
      <c r="A205" s="29" t="s">
        <v>597</v>
      </c>
      <c r="B205" t="s">
        <v>287</v>
      </c>
      <c r="C205" t="s">
        <v>606</v>
      </c>
      <c r="D205" t="s">
        <v>767</v>
      </c>
      <c r="E205" s="15">
        <v>45644</v>
      </c>
      <c r="F205" s="15">
        <v>45565</v>
      </c>
      <c r="G205" t="s">
        <v>130</v>
      </c>
      <c r="I205" t="s">
        <v>932</v>
      </c>
    </row>
    <row r="206" spans="1:9" x14ac:dyDescent="0.3">
      <c r="A206" t="s">
        <v>193</v>
      </c>
      <c r="B206" t="s">
        <v>419</v>
      </c>
      <c r="C206" t="s">
        <v>601</v>
      </c>
      <c r="D206" t="s">
        <v>629</v>
      </c>
      <c r="E206" s="15">
        <v>45361</v>
      </c>
      <c r="F206" s="15">
        <v>45657</v>
      </c>
      <c r="G206" t="s">
        <v>130</v>
      </c>
      <c r="I206" t="s">
        <v>933</v>
      </c>
    </row>
    <row r="207" spans="1:9" x14ac:dyDescent="0.3">
      <c r="A207" s="29" t="s">
        <v>597</v>
      </c>
      <c r="B207" t="s">
        <v>437</v>
      </c>
      <c r="C207" t="s">
        <v>601</v>
      </c>
      <c r="D207" t="s">
        <v>629</v>
      </c>
      <c r="E207" s="15">
        <v>45361</v>
      </c>
      <c r="F207" s="15">
        <v>45657</v>
      </c>
      <c r="G207" t="s">
        <v>149</v>
      </c>
      <c r="H207" t="s">
        <v>934</v>
      </c>
      <c r="I207" t="s">
        <v>935</v>
      </c>
    </row>
    <row r="208" spans="1:9" x14ac:dyDescent="0.3">
      <c r="A208" s="29" t="s">
        <v>597</v>
      </c>
      <c r="B208" t="s">
        <v>287</v>
      </c>
      <c r="C208" t="s">
        <v>601</v>
      </c>
      <c r="D208" t="s">
        <v>629</v>
      </c>
      <c r="E208" s="15">
        <v>45362</v>
      </c>
      <c r="F208" s="15">
        <v>45657</v>
      </c>
      <c r="G208" t="s">
        <v>130</v>
      </c>
      <c r="I208" t="s">
        <v>936</v>
      </c>
    </row>
    <row r="209" spans="1:9" x14ac:dyDescent="0.3">
      <c r="A209" t="s">
        <v>625</v>
      </c>
      <c r="B209" t="s">
        <v>41</v>
      </c>
      <c r="C209" t="s">
        <v>601</v>
      </c>
      <c r="D209" t="s">
        <v>629</v>
      </c>
      <c r="E209" s="15">
        <v>45362</v>
      </c>
      <c r="F209" s="15">
        <v>45657</v>
      </c>
      <c r="G209" t="s">
        <v>130</v>
      </c>
      <c r="I209" t="s">
        <v>937</v>
      </c>
    </row>
    <row r="210" spans="1:9" x14ac:dyDescent="0.3">
      <c r="A210" t="s">
        <v>193</v>
      </c>
      <c r="B210" t="s">
        <v>419</v>
      </c>
      <c r="C210" t="s">
        <v>601</v>
      </c>
      <c r="D210" t="s">
        <v>629</v>
      </c>
      <c r="E210" s="15">
        <v>45371</v>
      </c>
      <c r="F210" s="15">
        <v>45657</v>
      </c>
      <c r="G210" t="s">
        <v>130</v>
      </c>
      <c r="I210" t="s">
        <v>938</v>
      </c>
    </row>
    <row r="211" spans="1:9" x14ac:dyDescent="0.3">
      <c r="A211" t="s">
        <v>193</v>
      </c>
      <c r="B211" t="s">
        <v>419</v>
      </c>
      <c r="C211" t="s">
        <v>606</v>
      </c>
      <c r="D211" t="s">
        <v>939</v>
      </c>
      <c r="E211" s="15">
        <v>45371</v>
      </c>
      <c r="F211" s="15">
        <v>45657</v>
      </c>
      <c r="G211" t="s">
        <v>130</v>
      </c>
      <c r="I211" t="s">
        <v>940</v>
      </c>
    </row>
    <row r="212" spans="1:9" x14ac:dyDescent="0.3">
      <c r="A212" t="s">
        <v>193</v>
      </c>
      <c r="B212" t="s">
        <v>419</v>
      </c>
      <c r="C212" t="s">
        <v>606</v>
      </c>
      <c r="D212" t="s">
        <v>941</v>
      </c>
      <c r="E212" s="15">
        <v>45371</v>
      </c>
      <c r="F212" s="15">
        <v>45657</v>
      </c>
      <c r="G212" t="s">
        <v>130</v>
      </c>
      <c r="I212" t="s">
        <v>940</v>
      </c>
    </row>
    <row r="213" spans="1:9" x14ac:dyDescent="0.3">
      <c r="A213" s="29" t="s">
        <v>597</v>
      </c>
      <c r="B213" t="s">
        <v>287</v>
      </c>
      <c r="C213" t="s">
        <v>601</v>
      </c>
      <c r="D213" t="s">
        <v>629</v>
      </c>
      <c r="E213" s="15">
        <v>45371</v>
      </c>
      <c r="F213" s="15">
        <v>45657</v>
      </c>
      <c r="G213" t="s">
        <v>130</v>
      </c>
      <c r="I213" t="s">
        <v>942</v>
      </c>
    </row>
    <row r="214" spans="1:9" x14ac:dyDescent="0.3">
      <c r="A214" s="29" t="s">
        <v>597</v>
      </c>
      <c r="B214" t="s">
        <v>287</v>
      </c>
      <c r="C214" t="s">
        <v>606</v>
      </c>
      <c r="D214" t="s">
        <v>765</v>
      </c>
      <c r="E214" s="15">
        <v>45371</v>
      </c>
      <c r="F214" s="15">
        <v>45657</v>
      </c>
      <c r="G214" t="s">
        <v>130</v>
      </c>
      <c r="I214" t="s">
        <v>943</v>
      </c>
    </row>
    <row r="215" spans="1:9" x14ac:dyDescent="0.3">
      <c r="A215" s="29" t="s">
        <v>597</v>
      </c>
      <c r="B215" t="s">
        <v>287</v>
      </c>
      <c r="C215" t="s">
        <v>606</v>
      </c>
      <c r="D215" t="s">
        <v>767</v>
      </c>
      <c r="E215" s="15">
        <v>45371</v>
      </c>
      <c r="F215" s="15">
        <v>45657</v>
      </c>
      <c r="G215" t="s">
        <v>130</v>
      </c>
      <c r="I215" t="s">
        <v>944</v>
      </c>
    </row>
    <row r="216" spans="1:9" x14ac:dyDescent="0.3">
      <c r="A216" t="s">
        <v>625</v>
      </c>
      <c r="B216" t="s">
        <v>41</v>
      </c>
      <c r="C216" t="s">
        <v>601</v>
      </c>
      <c r="D216" t="s">
        <v>629</v>
      </c>
      <c r="E216" s="15">
        <v>45371</v>
      </c>
      <c r="F216" s="15">
        <v>45657</v>
      </c>
      <c r="G216" t="s">
        <v>130</v>
      </c>
      <c r="I216" t="s">
        <v>945</v>
      </c>
    </row>
    <row r="217" spans="1:9" x14ac:dyDescent="0.3">
      <c r="A217" t="s">
        <v>625</v>
      </c>
      <c r="B217" t="s">
        <v>41</v>
      </c>
      <c r="C217" t="s">
        <v>606</v>
      </c>
      <c r="D217" t="s">
        <v>820</v>
      </c>
      <c r="E217" s="15">
        <v>45371</v>
      </c>
      <c r="F217" s="15">
        <v>45657</v>
      </c>
      <c r="G217" t="s">
        <v>149</v>
      </c>
      <c r="H217" t="s">
        <v>946</v>
      </c>
      <c r="I217" t="s">
        <v>947</v>
      </c>
    </row>
    <row r="218" spans="1:9" x14ac:dyDescent="0.3">
      <c r="A218" t="s">
        <v>625</v>
      </c>
      <c r="B218" t="s">
        <v>41</v>
      </c>
      <c r="C218" t="s">
        <v>606</v>
      </c>
      <c r="D218" t="s">
        <v>822</v>
      </c>
      <c r="E218" s="15">
        <v>45371</v>
      </c>
      <c r="F218" s="15">
        <v>45657</v>
      </c>
      <c r="G218" t="s">
        <v>130</v>
      </c>
      <c r="I218" t="s">
        <v>948</v>
      </c>
    </row>
    <row r="219" spans="1:9" x14ac:dyDescent="0.3">
      <c r="A219" t="s">
        <v>625</v>
      </c>
      <c r="B219" t="s">
        <v>41</v>
      </c>
      <c r="C219" t="s">
        <v>606</v>
      </c>
      <c r="D219" t="s">
        <v>824</v>
      </c>
      <c r="E219" s="15">
        <v>45371</v>
      </c>
      <c r="F219" s="15">
        <v>45657</v>
      </c>
      <c r="G219" t="s">
        <v>149</v>
      </c>
      <c r="H219" t="s">
        <v>949</v>
      </c>
      <c r="I219" t="s">
        <v>950</v>
      </c>
    </row>
    <row r="220" spans="1:9" x14ac:dyDescent="0.3">
      <c r="A220" t="s">
        <v>625</v>
      </c>
      <c r="B220" t="s">
        <v>41</v>
      </c>
      <c r="C220" t="s">
        <v>606</v>
      </c>
      <c r="D220" t="s">
        <v>826</v>
      </c>
      <c r="E220" s="15">
        <v>45371</v>
      </c>
      <c r="F220" s="15">
        <v>45657</v>
      </c>
      <c r="G220" t="s">
        <v>130</v>
      </c>
      <c r="I220" t="s">
        <v>951</v>
      </c>
    </row>
    <row r="221" spans="1:9" x14ac:dyDescent="0.3">
      <c r="A221" t="s">
        <v>625</v>
      </c>
      <c r="B221" t="s">
        <v>41</v>
      </c>
      <c r="C221" t="s">
        <v>606</v>
      </c>
      <c r="D221" t="s">
        <v>828</v>
      </c>
      <c r="E221" s="15">
        <v>45371</v>
      </c>
      <c r="F221" s="15">
        <v>45657</v>
      </c>
      <c r="G221" t="s">
        <v>130</v>
      </c>
      <c r="I221" t="s">
        <v>952</v>
      </c>
    </row>
    <row r="222" spans="1:9" x14ac:dyDescent="0.3">
      <c r="A222" s="29" t="s">
        <v>597</v>
      </c>
      <c r="B222" t="s">
        <v>437</v>
      </c>
      <c r="C222" t="s">
        <v>601</v>
      </c>
      <c r="D222" t="s">
        <v>629</v>
      </c>
      <c r="E222" s="15">
        <v>45371</v>
      </c>
      <c r="F222" s="15">
        <v>45657</v>
      </c>
      <c r="G222" t="s">
        <v>130</v>
      </c>
      <c r="I222" t="s">
        <v>953</v>
      </c>
    </row>
    <row r="223" spans="1:9" x14ac:dyDescent="0.3">
      <c r="A223" s="29" t="s">
        <v>597</v>
      </c>
      <c r="B223" t="s">
        <v>437</v>
      </c>
      <c r="C223" t="s">
        <v>606</v>
      </c>
      <c r="D223" t="s">
        <v>921</v>
      </c>
      <c r="E223" s="15">
        <v>45371</v>
      </c>
      <c r="F223" s="15">
        <v>45657</v>
      </c>
      <c r="G223" t="s">
        <v>130</v>
      </c>
      <c r="I223" t="s">
        <v>954</v>
      </c>
    </row>
    <row r="224" spans="1:9" x14ac:dyDescent="0.3">
      <c r="A224" s="29" t="s">
        <v>597</v>
      </c>
      <c r="B224" t="s">
        <v>437</v>
      </c>
      <c r="C224" t="s">
        <v>606</v>
      </c>
      <c r="D224" t="s">
        <v>923</v>
      </c>
      <c r="E224" s="15">
        <v>45371</v>
      </c>
      <c r="F224" s="15">
        <v>45657</v>
      </c>
      <c r="G224" t="s">
        <v>130</v>
      </c>
      <c r="I224" t="s">
        <v>955</v>
      </c>
    </row>
    <row r="225" spans="1:9" x14ac:dyDescent="0.3">
      <c r="A225" s="29" t="s">
        <v>597</v>
      </c>
      <c r="B225" t="s">
        <v>437</v>
      </c>
      <c r="C225" t="s">
        <v>606</v>
      </c>
      <c r="D225" t="s">
        <v>925</v>
      </c>
      <c r="E225" s="15">
        <v>45371</v>
      </c>
      <c r="F225" s="15">
        <v>45657</v>
      </c>
      <c r="G225" t="s">
        <v>130</v>
      </c>
      <c r="I225" t="s">
        <v>956</v>
      </c>
    </row>
    <row r="226" spans="1:9" x14ac:dyDescent="0.3">
      <c r="A226" s="29" t="s">
        <v>597</v>
      </c>
      <c r="B226" t="s">
        <v>437</v>
      </c>
      <c r="C226" t="s">
        <v>606</v>
      </c>
      <c r="D226" t="s">
        <v>927</v>
      </c>
      <c r="E226" s="15">
        <v>45371</v>
      </c>
      <c r="F226" s="15">
        <v>45657</v>
      </c>
      <c r="G226" t="s">
        <v>130</v>
      </c>
      <c r="H226" t="s">
        <v>928</v>
      </c>
      <c r="I226" t="s">
        <v>957</v>
      </c>
    </row>
    <row r="227" spans="1:9" x14ac:dyDescent="0.3">
      <c r="A227" s="29" t="s">
        <v>597</v>
      </c>
      <c r="B227" t="s">
        <v>394</v>
      </c>
      <c r="C227" t="s">
        <v>601</v>
      </c>
      <c r="D227" t="s">
        <v>629</v>
      </c>
      <c r="E227" s="15">
        <v>45383</v>
      </c>
      <c r="F227" s="15">
        <v>45657</v>
      </c>
      <c r="G227" t="s">
        <v>130</v>
      </c>
      <c r="I227" t="s">
        <v>1100</v>
      </c>
    </row>
    <row r="228" spans="1:9" x14ac:dyDescent="0.3">
      <c r="A228" s="29" t="s">
        <v>597</v>
      </c>
      <c r="B228" t="s">
        <v>394</v>
      </c>
      <c r="C228" t="s">
        <v>606</v>
      </c>
      <c r="D228" t="s">
        <v>1102</v>
      </c>
      <c r="E228" s="15">
        <v>45383</v>
      </c>
      <c r="F228" s="15">
        <v>45657</v>
      </c>
      <c r="G228" t="s">
        <v>130</v>
      </c>
      <c r="I228" t="s">
        <v>1101</v>
      </c>
    </row>
    <row r="229" spans="1:9" x14ac:dyDescent="0.3">
      <c r="A229" s="29" t="s">
        <v>597</v>
      </c>
      <c r="B229" t="s">
        <v>395</v>
      </c>
      <c r="C229" t="s">
        <v>601</v>
      </c>
      <c r="D229" t="s">
        <v>629</v>
      </c>
      <c r="E229" s="15">
        <v>45383</v>
      </c>
      <c r="F229" s="15">
        <v>45657</v>
      </c>
      <c r="G229" t="s">
        <v>130</v>
      </c>
      <c r="I229" t="s">
        <v>1103</v>
      </c>
    </row>
    <row r="230" spans="1:9" x14ac:dyDescent="0.3">
      <c r="A230" s="29" t="s">
        <v>597</v>
      </c>
      <c r="B230" t="s">
        <v>395</v>
      </c>
      <c r="C230" t="s">
        <v>606</v>
      </c>
      <c r="D230" t="s">
        <v>1104</v>
      </c>
      <c r="E230" s="15">
        <v>45383</v>
      </c>
      <c r="F230" s="15">
        <v>45657</v>
      </c>
      <c r="G230" t="s">
        <v>130</v>
      </c>
      <c r="I230" t="s">
        <v>1105</v>
      </c>
    </row>
    <row r="231" spans="1:9" x14ac:dyDescent="0.3">
      <c r="A231" s="29" t="s">
        <v>597</v>
      </c>
      <c r="B231" s="126" t="s">
        <v>129</v>
      </c>
      <c r="C231" t="s">
        <v>601</v>
      </c>
      <c r="D231" t="s">
        <v>629</v>
      </c>
      <c r="E231" s="15">
        <v>45383</v>
      </c>
      <c r="F231" s="15">
        <v>45657</v>
      </c>
      <c r="G231" t="s">
        <v>130</v>
      </c>
      <c r="I231" t="s">
        <v>1106</v>
      </c>
    </row>
    <row r="232" spans="1:9" x14ac:dyDescent="0.3">
      <c r="A232" s="29" t="s">
        <v>597</v>
      </c>
      <c r="B232" s="126" t="s">
        <v>129</v>
      </c>
      <c r="C232" t="s">
        <v>606</v>
      </c>
      <c r="D232" t="s">
        <v>1107</v>
      </c>
      <c r="E232" s="15">
        <v>45383</v>
      </c>
      <c r="F232" s="15">
        <v>45657</v>
      </c>
      <c r="G232" t="s">
        <v>130</v>
      </c>
      <c r="I232" t="s">
        <v>1113</v>
      </c>
    </row>
    <row r="233" spans="1:9" x14ac:dyDescent="0.3">
      <c r="A233" s="29" t="s">
        <v>597</v>
      </c>
      <c r="B233" s="126" t="s">
        <v>129</v>
      </c>
      <c r="C233" t="s">
        <v>606</v>
      </c>
      <c r="D233" t="s">
        <v>1108</v>
      </c>
      <c r="E233" s="15">
        <v>45383</v>
      </c>
      <c r="F233" s="15">
        <v>45657</v>
      </c>
      <c r="G233" t="s">
        <v>130</v>
      </c>
      <c r="I233" t="s">
        <v>1114</v>
      </c>
    </row>
    <row r="234" spans="1:9" x14ac:dyDescent="0.3">
      <c r="A234" s="29" t="s">
        <v>597</v>
      </c>
      <c r="B234" s="126" t="s">
        <v>129</v>
      </c>
      <c r="C234" t="s">
        <v>606</v>
      </c>
      <c r="D234" t="s">
        <v>1109</v>
      </c>
      <c r="E234" s="15">
        <v>45383</v>
      </c>
      <c r="F234" s="15">
        <v>45657</v>
      </c>
      <c r="G234" t="s">
        <v>130</v>
      </c>
      <c r="I234" t="s">
        <v>1115</v>
      </c>
    </row>
    <row r="235" spans="1:9" x14ac:dyDescent="0.3">
      <c r="A235" s="29" t="s">
        <v>597</v>
      </c>
      <c r="B235" s="126" t="s">
        <v>129</v>
      </c>
      <c r="C235" t="s">
        <v>606</v>
      </c>
      <c r="D235" t="s">
        <v>1110</v>
      </c>
      <c r="E235" s="15"/>
      <c r="F235" s="15"/>
    </row>
    <row r="236" spans="1:9" x14ac:dyDescent="0.3">
      <c r="A236" s="29" t="s">
        <v>597</v>
      </c>
      <c r="B236" s="126" t="s">
        <v>129</v>
      </c>
      <c r="C236" t="s">
        <v>606</v>
      </c>
      <c r="D236" t="s">
        <v>1111</v>
      </c>
      <c r="E236" s="15"/>
      <c r="F236" s="15"/>
      <c r="H236" t="s">
        <v>1116</v>
      </c>
    </row>
    <row r="237" spans="1:9" x14ac:dyDescent="0.3">
      <c r="A237" s="29" t="s">
        <v>597</v>
      </c>
      <c r="B237" s="126" t="s">
        <v>129</v>
      </c>
      <c r="C237" t="s">
        <v>606</v>
      </c>
      <c r="D237" t="s">
        <v>1112</v>
      </c>
      <c r="E237" s="15">
        <v>45383</v>
      </c>
      <c r="F237" s="15">
        <v>45657</v>
      </c>
      <c r="G237" t="s">
        <v>130</v>
      </c>
      <c r="I237" t="s">
        <v>1117</v>
      </c>
    </row>
    <row r="238" spans="1:9" x14ac:dyDescent="0.3">
      <c r="A238" s="29" t="s">
        <v>597</v>
      </c>
      <c r="B238" t="s">
        <v>437</v>
      </c>
      <c r="C238" t="s">
        <v>601</v>
      </c>
      <c r="D238" t="s">
        <v>629</v>
      </c>
      <c r="E238" s="15">
        <v>45840</v>
      </c>
      <c r="F238" s="15">
        <v>45747</v>
      </c>
      <c r="G238" t="s">
        <v>130</v>
      </c>
      <c r="I238" t="s">
        <v>1184</v>
      </c>
    </row>
    <row r="239" spans="1:9" x14ac:dyDescent="0.3">
      <c r="A239" s="29" t="s">
        <v>597</v>
      </c>
      <c r="B239" t="s">
        <v>437</v>
      </c>
      <c r="C239" t="s">
        <v>606</v>
      </c>
      <c r="D239" t="s">
        <v>921</v>
      </c>
      <c r="E239" s="15">
        <v>45840</v>
      </c>
      <c r="F239" s="15">
        <v>45747</v>
      </c>
      <c r="G239" t="s">
        <v>130</v>
      </c>
      <c r="I239" t="s">
        <v>1185</v>
      </c>
    </row>
    <row r="240" spans="1:9" x14ac:dyDescent="0.3">
      <c r="A240" s="29" t="s">
        <v>597</v>
      </c>
      <c r="B240" t="s">
        <v>437</v>
      </c>
      <c r="C240" t="s">
        <v>606</v>
      </c>
      <c r="D240" t="s">
        <v>923</v>
      </c>
      <c r="E240" s="15">
        <v>45840</v>
      </c>
      <c r="F240" s="15">
        <v>45747</v>
      </c>
      <c r="G240" t="s">
        <v>130</v>
      </c>
      <c r="I240" t="s">
        <v>1186</v>
      </c>
    </row>
    <row r="241" spans="1:9" x14ac:dyDescent="0.3">
      <c r="A241" s="29" t="s">
        <v>597</v>
      </c>
      <c r="B241" t="s">
        <v>437</v>
      </c>
      <c r="C241" t="s">
        <v>606</v>
      </c>
      <c r="D241" t="s">
        <v>925</v>
      </c>
      <c r="E241" s="15">
        <v>45840</v>
      </c>
      <c r="F241" s="15">
        <v>45747</v>
      </c>
      <c r="G241" t="s">
        <v>130</v>
      </c>
      <c r="I241" t="s">
        <v>1187</v>
      </c>
    </row>
    <row r="242" spans="1:9" x14ac:dyDescent="0.3">
      <c r="A242" s="29" t="s">
        <v>597</v>
      </c>
      <c r="B242" t="s">
        <v>437</v>
      </c>
      <c r="C242" t="s">
        <v>606</v>
      </c>
      <c r="D242" t="s">
        <v>927</v>
      </c>
      <c r="E242" s="15">
        <v>45840</v>
      </c>
      <c r="F242" s="15">
        <v>45747</v>
      </c>
      <c r="G242" t="s">
        <v>130</v>
      </c>
      <c r="H242" t="s">
        <v>928</v>
      </c>
      <c r="I242" t="s">
        <v>1188</v>
      </c>
    </row>
    <row r="243" spans="1:9" x14ac:dyDescent="0.3">
      <c r="A243" s="29" t="s">
        <v>1191</v>
      </c>
      <c r="B243" t="s">
        <v>1192</v>
      </c>
      <c r="C243" t="s">
        <v>601</v>
      </c>
      <c r="D243" t="s">
        <v>629</v>
      </c>
      <c r="E243" s="15">
        <v>45860</v>
      </c>
      <c r="F243" s="15">
        <v>45838</v>
      </c>
      <c r="G243" t="s">
        <v>130</v>
      </c>
      <c r="I243" t="s">
        <v>1195</v>
      </c>
    </row>
    <row r="244" spans="1:9" x14ac:dyDescent="0.3">
      <c r="A244" s="29" t="s">
        <v>1191</v>
      </c>
      <c r="B244" t="s">
        <v>1193</v>
      </c>
      <c r="C244" t="s">
        <v>601</v>
      </c>
      <c r="D244" t="s">
        <v>629</v>
      </c>
      <c r="E244" s="15">
        <v>45860</v>
      </c>
      <c r="F244" s="15">
        <v>45838</v>
      </c>
      <c r="G244" t="s">
        <v>130</v>
      </c>
      <c r="I244" t="s">
        <v>1194</v>
      </c>
    </row>
    <row r="245" spans="1:9" x14ac:dyDescent="0.3">
      <c r="A245" s="29" t="s">
        <v>597</v>
      </c>
      <c r="B245" t="s">
        <v>513</v>
      </c>
      <c r="C245" t="s">
        <v>601</v>
      </c>
      <c r="D245" t="s">
        <v>629</v>
      </c>
      <c r="E245" s="15">
        <v>45861</v>
      </c>
      <c r="F245" s="15">
        <v>45838</v>
      </c>
      <c r="G245" t="s">
        <v>130</v>
      </c>
      <c r="I245" t="s">
        <v>1245</v>
      </c>
    </row>
    <row r="246" spans="1:9" x14ac:dyDescent="0.3">
      <c r="A246" s="29" t="s">
        <v>597</v>
      </c>
      <c r="B246" t="s">
        <v>199</v>
      </c>
      <c r="C246" t="s">
        <v>601</v>
      </c>
      <c r="D246" t="s">
        <v>629</v>
      </c>
      <c r="E246" s="15">
        <v>45861</v>
      </c>
      <c r="F246" s="15">
        <v>45838</v>
      </c>
      <c r="G246" t="s">
        <v>130</v>
      </c>
      <c r="I246" t="s">
        <v>1198</v>
      </c>
    </row>
    <row r="247" spans="1:9" x14ac:dyDescent="0.3">
      <c r="A247" s="29" t="s">
        <v>597</v>
      </c>
      <c r="B247" t="s">
        <v>199</v>
      </c>
      <c r="C247" t="s">
        <v>606</v>
      </c>
      <c r="D247" t="s">
        <v>1200</v>
      </c>
      <c r="E247" s="15">
        <v>45862</v>
      </c>
      <c r="F247" s="15">
        <v>45838</v>
      </c>
      <c r="G247" t="s">
        <v>130</v>
      </c>
      <c r="I247" t="s">
        <v>1207</v>
      </c>
    </row>
    <row r="248" spans="1:9" x14ac:dyDescent="0.3">
      <c r="A248" s="29" t="s">
        <v>597</v>
      </c>
      <c r="B248" t="s">
        <v>199</v>
      </c>
      <c r="C248" t="s">
        <v>606</v>
      </c>
      <c r="D248" t="s">
        <v>1201</v>
      </c>
      <c r="E248" s="15">
        <v>45862</v>
      </c>
      <c r="F248" s="15">
        <v>45838</v>
      </c>
      <c r="G248" t="s">
        <v>130</v>
      </c>
      <c r="I248" t="s">
        <v>1207</v>
      </c>
    </row>
    <row r="249" spans="1:9" x14ac:dyDescent="0.3">
      <c r="A249" s="29" t="s">
        <v>597</v>
      </c>
      <c r="B249" t="s">
        <v>199</v>
      </c>
      <c r="C249" t="s">
        <v>606</v>
      </c>
      <c r="D249" t="s">
        <v>1202</v>
      </c>
      <c r="E249" s="15">
        <v>45862</v>
      </c>
      <c r="F249" s="15">
        <v>45838</v>
      </c>
      <c r="G249" t="s">
        <v>130</v>
      </c>
      <c r="I249" t="s">
        <v>1208</v>
      </c>
    </row>
    <row r="250" spans="1:9" x14ac:dyDescent="0.3">
      <c r="A250" s="29" t="s">
        <v>597</v>
      </c>
      <c r="B250" t="s">
        <v>199</v>
      </c>
      <c r="C250" t="s">
        <v>606</v>
      </c>
      <c r="D250" t="s">
        <v>1203</v>
      </c>
      <c r="E250" s="15">
        <v>45862</v>
      </c>
      <c r="F250" s="15">
        <v>45838</v>
      </c>
      <c r="G250" t="s">
        <v>130</v>
      </c>
      <c r="H250" t="s">
        <v>1222</v>
      </c>
      <c r="I250" t="s">
        <v>1209</v>
      </c>
    </row>
    <row r="251" spans="1:9" x14ac:dyDescent="0.3">
      <c r="A251" s="29" t="s">
        <v>597</v>
      </c>
      <c r="B251" t="s">
        <v>199</v>
      </c>
      <c r="C251" t="s">
        <v>606</v>
      </c>
      <c r="D251" t="s">
        <v>1204</v>
      </c>
      <c r="E251" s="15">
        <v>45862</v>
      </c>
      <c r="F251" s="15">
        <v>45838</v>
      </c>
      <c r="G251" t="s">
        <v>149</v>
      </c>
      <c r="H251" t="s">
        <v>1231</v>
      </c>
      <c r="I251" t="s">
        <v>1206</v>
      </c>
    </row>
    <row r="252" spans="1:9" x14ac:dyDescent="0.3">
      <c r="A252" s="29" t="s">
        <v>597</v>
      </c>
      <c r="B252" t="s">
        <v>501</v>
      </c>
      <c r="C252" t="s">
        <v>601</v>
      </c>
      <c r="D252" t="s">
        <v>629</v>
      </c>
      <c r="E252" s="15">
        <v>45861</v>
      </c>
      <c r="F252" s="15">
        <v>45838</v>
      </c>
      <c r="G252" t="s">
        <v>130</v>
      </c>
      <c r="I252" t="s">
        <v>1199</v>
      </c>
    </row>
    <row r="253" spans="1:9" x14ac:dyDescent="0.3">
      <c r="A253" s="29" t="s">
        <v>597</v>
      </c>
      <c r="B253" t="s">
        <v>501</v>
      </c>
      <c r="C253" t="s">
        <v>606</v>
      </c>
      <c r="D253" t="s">
        <v>1223</v>
      </c>
      <c r="E253" s="15">
        <v>45861</v>
      </c>
      <c r="F253" s="15">
        <v>45838</v>
      </c>
      <c r="G253" t="s">
        <v>130</v>
      </c>
      <c r="I253" t="s">
        <v>1227</v>
      </c>
    </row>
    <row r="254" spans="1:9" x14ac:dyDescent="0.3">
      <c r="A254" s="29" t="s">
        <v>597</v>
      </c>
      <c r="B254" t="s">
        <v>501</v>
      </c>
      <c r="C254" t="s">
        <v>606</v>
      </c>
      <c r="D254" t="s">
        <v>1224</v>
      </c>
      <c r="E254" s="15">
        <v>45861</v>
      </c>
      <c r="F254" s="15">
        <v>45838</v>
      </c>
      <c r="G254" t="s">
        <v>130</v>
      </c>
      <c r="I254" t="s">
        <v>1227</v>
      </c>
    </row>
    <row r="255" spans="1:9" x14ac:dyDescent="0.3">
      <c r="A255" s="29" t="s">
        <v>597</v>
      </c>
      <c r="B255" t="s">
        <v>501</v>
      </c>
      <c r="C255" t="s">
        <v>606</v>
      </c>
      <c r="D255" t="s">
        <v>1225</v>
      </c>
      <c r="E255" s="15">
        <v>45862</v>
      </c>
      <c r="F255" s="15">
        <v>45838</v>
      </c>
      <c r="G255" t="s">
        <v>130</v>
      </c>
      <c r="H255" t="s">
        <v>1222</v>
      </c>
      <c r="I255" t="s">
        <v>1209</v>
      </c>
    </row>
    <row r="256" spans="1:9" x14ac:dyDescent="0.3">
      <c r="A256" s="29" t="s">
        <v>597</v>
      </c>
      <c r="B256" t="s">
        <v>501</v>
      </c>
      <c r="C256" t="s">
        <v>606</v>
      </c>
      <c r="D256" t="s">
        <v>1226</v>
      </c>
      <c r="E256" s="15">
        <v>45862</v>
      </c>
      <c r="F256" s="15">
        <v>45838</v>
      </c>
      <c r="G256" t="s">
        <v>130</v>
      </c>
      <c r="I256" t="s">
        <v>1228</v>
      </c>
    </row>
    <row r="257" spans="1:9" x14ac:dyDescent="0.3">
      <c r="A257" s="29" t="s">
        <v>1011</v>
      </c>
      <c r="B257" t="s">
        <v>1196</v>
      </c>
      <c r="C257" t="s">
        <v>601</v>
      </c>
      <c r="D257" t="s">
        <v>629</v>
      </c>
      <c r="E257" s="15">
        <v>45861</v>
      </c>
      <c r="F257" s="15">
        <v>45838</v>
      </c>
      <c r="G257" t="s">
        <v>130</v>
      </c>
      <c r="H257" t="s">
        <v>1210</v>
      </c>
      <c r="I257" t="s">
        <v>1197</v>
      </c>
    </row>
    <row r="258" spans="1:9" x14ac:dyDescent="0.3">
      <c r="A258" s="29" t="s">
        <v>1011</v>
      </c>
      <c r="B258" t="s">
        <v>1196</v>
      </c>
      <c r="C258" t="s">
        <v>606</v>
      </c>
      <c r="D258" t="s">
        <v>1211</v>
      </c>
      <c r="E258" s="15">
        <v>45861</v>
      </c>
      <c r="F258" s="15">
        <v>45838</v>
      </c>
      <c r="G258" t="s">
        <v>130</v>
      </c>
      <c r="I258" t="s">
        <v>1219</v>
      </c>
    </row>
    <row r="259" spans="1:9" x14ac:dyDescent="0.3">
      <c r="A259" s="29" t="s">
        <v>1011</v>
      </c>
      <c r="B259" t="s">
        <v>1196</v>
      </c>
      <c r="C259" t="s">
        <v>606</v>
      </c>
      <c r="D259" t="s">
        <v>1212</v>
      </c>
      <c r="E259" s="15">
        <v>45861</v>
      </c>
      <c r="F259" s="15">
        <v>45838</v>
      </c>
      <c r="G259" t="s">
        <v>130</v>
      </c>
      <c r="I259" t="s">
        <v>1246</v>
      </c>
    </row>
    <row r="260" spans="1:9" x14ac:dyDescent="0.3">
      <c r="A260" s="29" t="s">
        <v>1011</v>
      </c>
      <c r="B260" t="s">
        <v>1196</v>
      </c>
      <c r="C260" t="s">
        <v>606</v>
      </c>
      <c r="D260" t="s">
        <v>1213</v>
      </c>
      <c r="E260" s="15">
        <v>45861</v>
      </c>
      <c r="F260" s="15">
        <v>45838</v>
      </c>
      <c r="G260" t="s">
        <v>130</v>
      </c>
      <c r="I260" t="s">
        <v>1220</v>
      </c>
    </row>
    <row r="261" spans="1:9" x14ac:dyDescent="0.3">
      <c r="A261" s="29" t="s">
        <v>1011</v>
      </c>
      <c r="B261" t="s">
        <v>1196</v>
      </c>
      <c r="C261" t="s">
        <v>606</v>
      </c>
      <c r="D261" t="s">
        <v>1214</v>
      </c>
      <c r="E261" s="15">
        <v>45861</v>
      </c>
      <c r="F261" s="15">
        <v>45838</v>
      </c>
      <c r="G261" s="133" t="s">
        <v>149</v>
      </c>
      <c r="H261" t="s">
        <v>1205</v>
      </c>
      <c r="I261" t="s">
        <v>1221</v>
      </c>
    </row>
    <row r="262" spans="1:9" x14ac:dyDescent="0.3">
      <c r="A262" s="29" t="s">
        <v>1011</v>
      </c>
      <c r="B262" t="s">
        <v>1196</v>
      </c>
      <c r="C262" t="s">
        <v>606</v>
      </c>
      <c r="D262" t="s">
        <v>1215</v>
      </c>
      <c r="E262" s="15">
        <v>45861</v>
      </c>
      <c r="F262" s="15">
        <v>45838</v>
      </c>
      <c r="G262" t="s">
        <v>130</v>
      </c>
      <c r="H262" t="s">
        <v>1116</v>
      </c>
    </row>
    <row r="263" spans="1:9" x14ac:dyDescent="0.3">
      <c r="A263" s="29" t="s">
        <v>597</v>
      </c>
      <c r="B263" t="s">
        <v>136</v>
      </c>
      <c r="C263" t="s">
        <v>601</v>
      </c>
      <c r="D263" t="s">
        <v>629</v>
      </c>
      <c r="E263" s="15">
        <v>45866</v>
      </c>
      <c r="F263" s="15">
        <v>45838</v>
      </c>
      <c r="G263" t="s">
        <v>130</v>
      </c>
      <c r="I263" t="s">
        <v>1284</v>
      </c>
    </row>
    <row r="264" spans="1:9" x14ac:dyDescent="0.3">
      <c r="A264" s="29" t="s">
        <v>597</v>
      </c>
      <c r="B264" t="s">
        <v>440</v>
      </c>
      <c r="C264" t="s">
        <v>601</v>
      </c>
      <c r="D264" t="s">
        <v>629</v>
      </c>
      <c r="E264" s="15">
        <v>45866</v>
      </c>
      <c r="F264" s="15">
        <v>45838</v>
      </c>
      <c r="G264" t="s">
        <v>130</v>
      </c>
      <c r="I264" t="s">
        <v>1285</v>
      </c>
    </row>
    <row r="265" spans="1:9" x14ac:dyDescent="0.3">
      <c r="A265" s="29" t="s">
        <v>597</v>
      </c>
      <c r="B265" t="s">
        <v>301</v>
      </c>
      <c r="C265" t="s">
        <v>601</v>
      </c>
      <c r="D265" t="s">
        <v>629</v>
      </c>
      <c r="E265" s="15">
        <v>45867</v>
      </c>
      <c r="F265" s="15">
        <v>45838</v>
      </c>
      <c r="G265" t="s">
        <v>130</v>
      </c>
      <c r="I265" t="s">
        <v>1286</v>
      </c>
    </row>
    <row r="266" spans="1:9" x14ac:dyDescent="0.3">
      <c r="A266" s="29" t="s">
        <v>597</v>
      </c>
      <c r="B266" t="s">
        <v>1287</v>
      </c>
      <c r="C266" t="s">
        <v>601</v>
      </c>
      <c r="D266" t="s">
        <v>629</v>
      </c>
      <c r="E266" s="15">
        <v>45887</v>
      </c>
      <c r="F266" s="15">
        <v>45838</v>
      </c>
      <c r="G266" t="s">
        <v>130</v>
      </c>
      <c r="I266" t="s">
        <v>1288</v>
      </c>
    </row>
    <row r="267" spans="1:9" x14ac:dyDescent="0.3">
      <c r="A267" s="29" t="s">
        <v>1011</v>
      </c>
      <c r="B267" t="s">
        <v>411</v>
      </c>
      <c r="C267" t="s">
        <v>601</v>
      </c>
      <c r="D267" t="s">
        <v>629</v>
      </c>
      <c r="E267" s="15">
        <v>45888</v>
      </c>
      <c r="F267" s="15">
        <v>45838</v>
      </c>
      <c r="G267" t="s">
        <v>130</v>
      </c>
      <c r="I267" t="s">
        <v>1289</v>
      </c>
    </row>
    <row r="268" spans="1:9" x14ac:dyDescent="0.3">
      <c r="A268" s="29" t="s">
        <v>1011</v>
      </c>
      <c r="B268" t="s">
        <v>425</v>
      </c>
      <c r="C268" t="s">
        <v>601</v>
      </c>
      <c r="D268" t="s">
        <v>629</v>
      </c>
      <c r="E268" s="15">
        <v>45891</v>
      </c>
      <c r="F268" s="15">
        <v>45838</v>
      </c>
      <c r="G268" t="s">
        <v>130</v>
      </c>
      <c r="I268" t="s">
        <v>1290</v>
      </c>
    </row>
    <row r="269" spans="1:9" x14ac:dyDescent="0.3">
      <c r="A269" s="29" t="s">
        <v>597</v>
      </c>
      <c r="B269" t="s">
        <v>136</v>
      </c>
      <c r="C269" t="s">
        <v>601</v>
      </c>
      <c r="D269" t="s">
        <v>629</v>
      </c>
      <c r="E269" s="15">
        <v>45911</v>
      </c>
      <c r="F269" s="15">
        <v>45838</v>
      </c>
      <c r="G269" t="s">
        <v>130</v>
      </c>
      <c r="I269" t="s">
        <v>1294</v>
      </c>
    </row>
    <row r="270" spans="1:9" x14ac:dyDescent="0.3">
      <c r="A270" s="29" t="s">
        <v>597</v>
      </c>
      <c r="B270" t="s">
        <v>440</v>
      </c>
      <c r="C270" t="s">
        <v>601</v>
      </c>
      <c r="D270" t="s">
        <v>629</v>
      </c>
      <c r="E270" s="15">
        <v>45911</v>
      </c>
      <c r="F270" s="15">
        <v>45838</v>
      </c>
      <c r="G270" t="s">
        <v>130</v>
      </c>
      <c r="I270" t="s">
        <v>1285</v>
      </c>
    </row>
    <row r="271" spans="1:9" x14ac:dyDescent="0.3">
      <c r="A271" s="29" t="s">
        <v>597</v>
      </c>
      <c r="B271" t="s">
        <v>301</v>
      </c>
      <c r="C271" t="s">
        <v>601</v>
      </c>
      <c r="D271" t="s">
        <v>629</v>
      </c>
      <c r="E271" s="15">
        <v>45911</v>
      </c>
      <c r="F271" s="15">
        <v>45838</v>
      </c>
      <c r="G271" t="s">
        <v>130</v>
      </c>
      <c r="I271" t="s">
        <v>1295</v>
      </c>
    </row>
    <row r="272" spans="1:9" x14ac:dyDescent="0.3">
      <c r="A272" s="29" t="s">
        <v>597</v>
      </c>
      <c r="B272" t="s">
        <v>1277</v>
      </c>
      <c r="C272" t="s">
        <v>601</v>
      </c>
      <c r="D272" t="s">
        <v>629</v>
      </c>
      <c r="E272" s="15">
        <v>45915</v>
      </c>
      <c r="F272" s="15">
        <v>45838</v>
      </c>
      <c r="G272" t="s">
        <v>130</v>
      </c>
      <c r="I272" t="s">
        <v>1299</v>
      </c>
    </row>
    <row r="273" spans="1:9" x14ac:dyDescent="0.3">
      <c r="A273" s="29" t="s">
        <v>597</v>
      </c>
      <c r="B273" t="s">
        <v>308</v>
      </c>
      <c r="C273" t="s">
        <v>601</v>
      </c>
      <c r="D273" t="s">
        <v>629</v>
      </c>
      <c r="E273" s="15">
        <v>45915</v>
      </c>
      <c r="F273" s="15">
        <v>45838</v>
      </c>
      <c r="G273" t="s">
        <v>130</v>
      </c>
      <c r="I273" t="s">
        <v>1300</v>
      </c>
    </row>
    <row r="274" spans="1:9" x14ac:dyDescent="0.3">
      <c r="A274" s="29" t="s">
        <v>597</v>
      </c>
      <c r="B274" t="s">
        <v>1278</v>
      </c>
      <c r="C274" t="s">
        <v>601</v>
      </c>
      <c r="D274" t="s">
        <v>629</v>
      </c>
      <c r="E274" s="15">
        <v>45915</v>
      </c>
      <c r="F274" s="15">
        <v>45838</v>
      </c>
      <c r="G274" t="s">
        <v>130</v>
      </c>
      <c r="I274" t="s">
        <v>1301</v>
      </c>
    </row>
    <row r="275" spans="1:9" x14ac:dyDescent="0.3">
      <c r="A275" s="29" t="s">
        <v>1011</v>
      </c>
      <c r="B275" t="s">
        <v>1280</v>
      </c>
      <c r="C275" t="s">
        <v>601</v>
      </c>
      <c r="D275" t="s">
        <v>629</v>
      </c>
      <c r="E275" s="15">
        <v>45915</v>
      </c>
      <c r="F275" s="15">
        <v>45838</v>
      </c>
      <c r="G275" t="s">
        <v>130</v>
      </c>
      <c r="I275" t="s">
        <v>1302</v>
      </c>
    </row>
    <row r="276" spans="1:9" x14ac:dyDescent="0.3">
      <c r="A276" s="29" t="s">
        <v>597</v>
      </c>
      <c r="B276" t="s">
        <v>571</v>
      </c>
      <c r="C276" t="s">
        <v>601</v>
      </c>
      <c r="D276" t="s">
        <v>629</v>
      </c>
      <c r="E276" s="15">
        <v>45923</v>
      </c>
      <c r="F276" s="15">
        <v>45838</v>
      </c>
      <c r="G276" t="s">
        <v>130</v>
      </c>
      <c r="I276" t="s">
        <v>1309</v>
      </c>
    </row>
    <row r="277" spans="1:9" x14ac:dyDescent="0.3">
      <c r="A277" s="29" t="s">
        <v>597</v>
      </c>
      <c r="B277" t="s">
        <v>1277</v>
      </c>
      <c r="C277" t="s">
        <v>601</v>
      </c>
      <c r="D277" t="s">
        <v>629</v>
      </c>
      <c r="E277" s="15">
        <v>45930</v>
      </c>
      <c r="F277" s="15">
        <v>45838</v>
      </c>
      <c r="G277" t="s">
        <v>130</v>
      </c>
      <c r="H277" t="s">
        <v>1311</v>
      </c>
      <c r="I277" t="s">
        <v>1310</v>
      </c>
    </row>
    <row r="278" spans="1:9" x14ac:dyDescent="0.3">
      <c r="A278" s="29" t="s">
        <v>597</v>
      </c>
      <c r="B278" t="s">
        <v>367</v>
      </c>
      <c r="C278" t="s">
        <v>601</v>
      </c>
      <c r="D278" t="s">
        <v>629</v>
      </c>
      <c r="E278" s="15">
        <v>45947</v>
      </c>
      <c r="F278" s="15">
        <v>45838</v>
      </c>
      <c r="G278" t="s">
        <v>130</v>
      </c>
      <c r="H278" t="s">
        <v>1318</v>
      </c>
      <c r="I278" t="s">
        <v>1317</v>
      </c>
    </row>
  </sheetData>
  <autoFilter ref="A1:I276" xr:uid="{00000000-0009-0000-0000-000003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DDB5-79F6-4132-9942-378764F443DD}">
  <dimension ref="A1:I69"/>
  <sheetViews>
    <sheetView showGridLines="0" topLeftCell="A15" zoomScale="87" zoomScaleNormal="80" workbookViewId="0">
      <selection activeCell="B25" sqref="B25"/>
    </sheetView>
  </sheetViews>
  <sheetFormatPr defaultColWidth="8.88671875" defaultRowHeight="16.2" x14ac:dyDescent="0.4"/>
  <cols>
    <col min="1" max="1" width="9.5546875" style="32" bestFit="1" customWidth="1"/>
    <col min="2" max="3" width="31.44140625" style="24" customWidth="1"/>
    <col min="4" max="4" width="46.33203125" style="24" bestFit="1" customWidth="1"/>
    <col min="5" max="5" width="50.6640625" style="32" bestFit="1" customWidth="1"/>
    <col min="6" max="6" width="13.6640625" style="32" customWidth="1"/>
    <col min="7" max="7" width="15.109375" style="32" customWidth="1"/>
    <col min="8" max="8" width="31.5546875" style="32" bestFit="1" customWidth="1"/>
    <col min="9" max="9" width="23.6640625" style="24" bestFit="1" customWidth="1"/>
    <col min="10" max="16384" width="8.88671875" style="24"/>
  </cols>
  <sheetData>
    <row r="1" spans="1:9" x14ac:dyDescent="0.4">
      <c r="A1" s="30" t="s">
        <v>589</v>
      </c>
      <c r="B1" s="28" t="s">
        <v>590</v>
      </c>
      <c r="C1" s="28" t="s">
        <v>112</v>
      </c>
      <c r="D1" s="28" t="s">
        <v>958</v>
      </c>
      <c r="E1" s="30" t="s">
        <v>959</v>
      </c>
      <c r="F1" s="30" t="s">
        <v>960</v>
      </c>
      <c r="G1" s="30" t="s">
        <v>961</v>
      </c>
      <c r="H1" s="30" t="s">
        <v>962</v>
      </c>
      <c r="I1" s="30" t="s">
        <v>963</v>
      </c>
    </row>
    <row r="2" spans="1:9" x14ac:dyDescent="0.4">
      <c r="A2" s="31" t="s">
        <v>597</v>
      </c>
      <c r="B2" s="25" t="s">
        <v>44</v>
      </c>
      <c r="C2" s="25" t="s">
        <v>964</v>
      </c>
      <c r="D2" s="25" t="s">
        <v>965</v>
      </c>
      <c r="E2" s="25" t="s">
        <v>966</v>
      </c>
      <c r="F2" s="31" t="s">
        <v>32</v>
      </c>
      <c r="G2" s="31" t="s">
        <v>32</v>
      </c>
      <c r="H2" s="31" t="s">
        <v>967</v>
      </c>
      <c r="I2" s="31" t="s">
        <v>968</v>
      </c>
    </row>
    <row r="3" spans="1:9" x14ac:dyDescent="0.4">
      <c r="A3" s="31" t="s">
        <v>597</v>
      </c>
      <c r="B3" s="25" t="s">
        <v>45</v>
      </c>
      <c r="C3" s="25" t="s">
        <v>969</v>
      </c>
      <c r="D3" s="25" t="s">
        <v>965</v>
      </c>
      <c r="E3" s="25" t="s">
        <v>966</v>
      </c>
      <c r="F3" s="31" t="s">
        <v>32</v>
      </c>
      <c r="G3" s="31" t="s">
        <v>32</v>
      </c>
      <c r="H3" s="31" t="s">
        <v>967</v>
      </c>
      <c r="I3" s="31" t="s">
        <v>968</v>
      </c>
    </row>
    <row r="4" spans="1:9" x14ac:dyDescent="0.4">
      <c r="A4" s="31" t="s">
        <v>597</v>
      </c>
      <c r="B4" s="25" t="s">
        <v>46</v>
      </c>
      <c r="C4" s="25" t="s">
        <v>970</v>
      </c>
      <c r="D4" s="25" t="s">
        <v>965</v>
      </c>
      <c r="E4" s="25" t="s">
        <v>966</v>
      </c>
      <c r="F4" s="31" t="s">
        <v>32</v>
      </c>
      <c r="G4" s="31" t="s">
        <v>32</v>
      </c>
      <c r="H4" s="31" t="s">
        <v>967</v>
      </c>
      <c r="I4" s="31" t="s">
        <v>968</v>
      </c>
    </row>
    <row r="5" spans="1:9" ht="32.4" x14ac:dyDescent="0.4">
      <c r="A5" s="31" t="s">
        <v>597</v>
      </c>
      <c r="B5" s="25" t="s">
        <v>296</v>
      </c>
      <c r="C5" s="25" t="s">
        <v>971</v>
      </c>
      <c r="D5" s="25" t="s">
        <v>972</v>
      </c>
      <c r="E5" s="25" t="s">
        <v>973</v>
      </c>
      <c r="F5" s="31" t="s">
        <v>32</v>
      </c>
      <c r="G5" s="31" t="s">
        <v>32</v>
      </c>
      <c r="H5" s="31" t="s">
        <v>967</v>
      </c>
      <c r="I5" s="31" t="s">
        <v>968</v>
      </c>
    </row>
    <row r="6" spans="1:9" x14ac:dyDescent="0.4">
      <c r="A6" s="31" t="s">
        <v>597</v>
      </c>
      <c r="B6" s="25" t="s">
        <v>47</v>
      </c>
      <c r="C6" s="25" t="s">
        <v>970</v>
      </c>
      <c r="D6" s="25" t="s">
        <v>965</v>
      </c>
      <c r="E6" s="25" t="s">
        <v>966</v>
      </c>
      <c r="F6" s="31" t="s">
        <v>32</v>
      </c>
      <c r="G6" s="31" t="s">
        <v>32</v>
      </c>
      <c r="H6" s="31" t="s">
        <v>967</v>
      </c>
      <c r="I6" s="31" t="s">
        <v>968</v>
      </c>
    </row>
    <row r="7" spans="1:9" ht="64.8" x14ac:dyDescent="0.4">
      <c r="A7" s="31" t="s">
        <v>597</v>
      </c>
      <c r="B7" s="25" t="s">
        <v>48</v>
      </c>
      <c r="C7" s="25" t="s">
        <v>974</v>
      </c>
      <c r="D7" s="25" t="s">
        <v>975</v>
      </c>
      <c r="E7" s="25" t="s">
        <v>976</v>
      </c>
      <c r="F7" s="31" t="s">
        <v>32</v>
      </c>
      <c r="G7" s="31" t="s">
        <v>32</v>
      </c>
      <c r="H7" s="31" t="s">
        <v>967</v>
      </c>
      <c r="I7" s="31" t="s">
        <v>968</v>
      </c>
    </row>
    <row r="8" spans="1:9" ht="64.8" x14ac:dyDescent="0.4">
      <c r="A8" s="31" t="s">
        <v>597</v>
      </c>
      <c r="B8" s="25" t="s">
        <v>49</v>
      </c>
      <c r="C8" s="25" t="s">
        <v>977</v>
      </c>
      <c r="D8" s="25" t="s">
        <v>975</v>
      </c>
      <c r="E8" s="25" t="s">
        <v>976</v>
      </c>
      <c r="F8" s="31" t="s">
        <v>32</v>
      </c>
      <c r="G8" s="31" t="s">
        <v>32</v>
      </c>
      <c r="H8" s="31" t="s">
        <v>967</v>
      </c>
      <c r="I8" s="31" t="s">
        <v>968</v>
      </c>
    </row>
    <row r="9" spans="1:9" ht="64.8" x14ac:dyDescent="0.4">
      <c r="A9" s="31" t="s">
        <v>597</v>
      </c>
      <c r="B9" s="25" t="s">
        <v>50</v>
      </c>
      <c r="C9" s="25" t="s">
        <v>978</v>
      </c>
      <c r="D9" s="25" t="s">
        <v>975</v>
      </c>
      <c r="E9" s="25" t="s">
        <v>976</v>
      </c>
      <c r="F9" s="31" t="s">
        <v>32</v>
      </c>
      <c r="G9" s="31" t="s">
        <v>32</v>
      </c>
      <c r="H9" s="31" t="s">
        <v>967</v>
      </c>
      <c r="I9" s="31" t="s">
        <v>968</v>
      </c>
    </row>
    <row r="10" spans="1:9" x14ac:dyDescent="0.4">
      <c r="A10" s="31" t="s">
        <v>597</v>
      </c>
      <c r="B10" s="25" t="s">
        <v>51</v>
      </c>
      <c r="C10" s="25" t="s">
        <v>979</v>
      </c>
      <c r="D10" s="25" t="s">
        <v>965</v>
      </c>
      <c r="E10" s="25" t="s">
        <v>966</v>
      </c>
      <c r="F10" s="31" t="s">
        <v>32</v>
      </c>
      <c r="G10" s="31" t="s">
        <v>32</v>
      </c>
      <c r="H10" s="31" t="s">
        <v>967</v>
      </c>
      <c r="I10" s="31" t="s">
        <v>968</v>
      </c>
    </row>
    <row r="11" spans="1:9" x14ac:dyDescent="0.4">
      <c r="A11" s="31" t="s">
        <v>597</v>
      </c>
      <c r="B11" s="25" t="s">
        <v>52</v>
      </c>
      <c r="C11" s="25" t="s">
        <v>980</v>
      </c>
      <c r="D11" s="25" t="s">
        <v>965</v>
      </c>
      <c r="E11" s="25" t="s">
        <v>966</v>
      </c>
      <c r="F11" s="31" t="s">
        <v>32</v>
      </c>
      <c r="G11" s="31" t="s">
        <v>32</v>
      </c>
      <c r="H11" s="31" t="s">
        <v>967</v>
      </c>
      <c r="I11" s="31" t="s">
        <v>968</v>
      </c>
    </row>
    <row r="12" spans="1:9" x14ac:dyDescent="0.4">
      <c r="A12" s="31" t="s">
        <v>597</v>
      </c>
      <c r="B12" s="25" t="s">
        <v>53</v>
      </c>
      <c r="C12" s="25" t="s">
        <v>981</v>
      </c>
      <c r="D12" s="25" t="s">
        <v>965</v>
      </c>
      <c r="E12" s="25" t="s">
        <v>966</v>
      </c>
      <c r="F12" s="31" t="s">
        <v>32</v>
      </c>
      <c r="G12" s="31" t="s">
        <v>32</v>
      </c>
      <c r="H12" s="31" t="s">
        <v>967</v>
      </c>
      <c r="I12" s="31" t="s">
        <v>968</v>
      </c>
    </row>
    <row r="13" spans="1:9" x14ac:dyDescent="0.4">
      <c r="A13" s="31" t="s">
        <v>597</v>
      </c>
      <c r="B13" s="25" t="s">
        <v>54</v>
      </c>
      <c r="C13" s="25" t="s">
        <v>982</v>
      </c>
      <c r="D13" s="25" t="s">
        <v>965</v>
      </c>
      <c r="E13" s="25" t="s">
        <v>966</v>
      </c>
      <c r="F13" s="31" t="s">
        <v>32</v>
      </c>
      <c r="G13" s="31" t="s">
        <v>32</v>
      </c>
      <c r="H13" s="31" t="s">
        <v>967</v>
      </c>
      <c r="I13" s="31" t="s">
        <v>968</v>
      </c>
    </row>
    <row r="14" spans="1:9" x14ac:dyDescent="0.4">
      <c r="A14" s="31" t="s">
        <v>597</v>
      </c>
      <c r="B14" s="25" t="s">
        <v>309</v>
      </c>
      <c r="C14" s="25"/>
      <c r="D14" s="25" t="s">
        <v>983</v>
      </c>
      <c r="E14" s="25" t="s">
        <v>984</v>
      </c>
      <c r="F14" s="31" t="s">
        <v>32</v>
      </c>
      <c r="G14" s="31" t="s">
        <v>29</v>
      </c>
      <c r="H14" s="31"/>
      <c r="I14" s="31"/>
    </row>
    <row r="15" spans="1:9" ht="48.6" x14ac:dyDescent="0.4">
      <c r="A15" s="31" t="s">
        <v>597</v>
      </c>
      <c r="B15" s="25" t="s">
        <v>310</v>
      </c>
      <c r="C15" s="25"/>
      <c r="D15" s="25" t="s">
        <v>985</v>
      </c>
      <c r="E15" s="25" t="s">
        <v>986</v>
      </c>
      <c r="F15" s="31" t="s">
        <v>32</v>
      </c>
      <c r="G15" s="31" t="s">
        <v>29</v>
      </c>
      <c r="H15" s="31"/>
      <c r="I15" s="31"/>
    </row>
    <row r="16" spans="1:9" x14ac:dyDescent="0.4">
      <c r="A16" s="31" t="s">
        <v>597</v>
      </c>
      <c r="B16" s="25" t="s">
        <v>365</v>
      </c>
      <c r="C16" s="25"/>
      <c r="D16" s="25" t="s">
        <v>983</v>
      </c>
      <c r="E16" s="25" t="s">
        <v>987</v>
      </c>
      <c r="F16" s="31" t="s">
        <v>32</v>
      </c>
      <c r="G16" s="31" t="s">
        <v>29</v>
      </c>
      <c r="H16" s="31"/>
      <c r="I16" s="31"/>
    </row>
    <row r="17" spans="1:9" x14ac:dyDescent="0.4">
      <c r="A17" s="31" t="s">
        <v>597</v>
      </c>
      <c r="B17" s="25" t="s">
        <v>367</v>
      </c>
      <c r="C17" s="25"/>
      <c r="D17" s="25" t="s">
        <v>988</v>
      </c>
      <c r="E17" s="25" t="s">
        <v>989</v>
      </c>
      <c r="F17" s="31" t="s">
        <v>32</v>
      </c>
      <c r="G17" s="31" t="s">
        <v>29</v>
      </c>
      <c r="H17" s="31"/>
      <c r="I17" s="31"/>
    </row>
    <row r="18" spans="1:9" x14ac:dyDescent="0.4">
      <c r="A18" s="31" t="s">
        <v>597</v>
      </c>
      <c r="B18" s="25" t="s">
        <v>368</v>
      </c>
      <c r="C18" s="25"/>
      <c r="D18" s="25" t="s">
        <v>983</v>
      </c>
      <c r="E18" s="25" t="s">
        <v>990</v>
      </c>
      <c r="F18" s="31" t="s">
        <v>32</v>
      </c>
      <c r="G18" s="31" t="s">
        <v>29</v>
      </c>
      <c r="H18" s="31"/>
      <c r="I18" s="31"/>
    </row>
    <row r="19" spans="1:9" x14ac:dyDescent="0.4">
      <c r="A19" s="31" t="s">
        <v>597</v>
      </c>
      <c r="B19" s="25" t="s">
        <v>369</v>
      </c>
      <c r="C19" s="25"/>
      <c r="D19" s="25" t="s">
        <v>991</v>
      </c>
      <c r="E19" s="25" t="s">
        <v>992</v>
      </c>
      <c r="F19" s="31" t="s">
        <v>32</v>
      </c>
      <c r="G19" s="31" t="s">
        <v>29</v>
      </c>
      <c r="H19" s="31"/>
      <c r="I19" s="31"/>
    </row>
    <row r="20" spans="1:9" ht="64.8" x14ac:dyDescent="0.4">
      <c r="A20" s="31" t="s">
        <v>597</v>
      </c>
      <c r="B20" s="25" t="s">
        <v>370</v>
      </c>
      <c r="C20" s="25"/>
      <c r="D20" s="25" t="s">
        <v>993</v>
      </c>
      <c r="E20" s="25" t="s">
        <v>994</v>
      </c>
      <c r="F20" s="31" t="s">
        <v>32</v>
      </c>
      <c r="G20" s="31" t="s">
        <v>29</v>
      </c>
      <c r="H20" s="31"/>
      <c r="I20" s="31"/>
    </row>
    <row r="21" spans="1:9" ht="32.4" x14ac:dyDescent="0.4">
      <c r="A21" s="31" t="s">
        <v>597</v>
      </c>
      <c r="B21" s="26" t="s">
        <v>387</v>
      </c>
      <c r="C21" s="26"/>
      <c r="D21" s="26" t="s">
        <v>995</v>
      </c>
      <c r="E21" s="26" t="s">
        <v>996</v>
      </c>
      <c r="F21" s="31" t="s">
        <v>32</v>
      </c>
      <c r="G21" s="31" t="s">
        <v>29</v>
      </c>
      <c r="H21" s="31"/>
      <c r="I21" s="31"/>
    </row>
    <row r="22" spans="1:9" ht="32.4" x14ac:dyDescent="0.4">
      <c r="A22" s="31" t="s">
        <v>597</v>
      </c>
      <c r="B22" s="25" t="s">
        <v>403</v>
      </c>
      <c r="C22" s="25" t="s">
        <v>997</v>
      </c>
      <c r="D22" s="25" t="s">
        <v>998</v>
      </c>
      <c r="E22" s="25" t="s">
        <v>999</v>
      </c>
      <c r="F22" s="31" t="s">
        <v>32</v>
      </c>
      <c r="G22" s="31" t="s">
        <v>32</v>
      </c>
      <c r="H22" s="31" t="s">
        <v>1000</v>
      </c>
      <c r="I22" s="31"/>
    </row>
    <row r="23" spans="1:9" x14ac:dyDescent="0.4">
      <c r="A23" s="31" t="s">
        <v>597</v>
      </c>
      <c r="B23" s="25" t="s">
        <v>449</v>
      </c>
      <c r="C23" s="25"/>
      <c r="D23" s="25" t="s">
        <v>983</v>
      </c>
      <c r="E23" s="25" t="s">
        <v>1001</v>
      </c>
      <c r="F23" s="31" t="s">
        <v>32</v>
      </c>
      <c r="G23" s="31" t="s">
        <v>29</v>
      </c>
      <c r="H23" s="31"/>
      <c r="I23" s="31"/>
    </row>
    <row r="24" spans="1:9" ht="32.4" x14ac:dyDescent="0.4">
      <c r="A24" s="31" t="s">
        <v>597</v>
      </c>
      <c r="B24" s="25" t="s">
        <v>450</v>
      </c>
      <c r="C24" s="25"/>
      <c r="D24" s="25" t="s">
        <v>1002</v>
      </c>
      <c r="E24" s="25" t="s">
        <v>1003</v>
      </c>
      <c r="F24" s="31" t="s">
        <v>32</v>
      </c>
      <c r="G24" s="31" t="s">
        <v>29</v>
      </c>
      <c r="H24" s="31"/>
      <c r="I24" s="31"/>
    </row>
    <row r="25" spans="1:9" ht="32.4" x14ac:dyDescent="0.4">
      <c r="A25" s="31" t="s">
        <v>597</v>
      </c>
      <c r="B25" s="25" t="s">
        <v>452</v>
      </c>
      <c r="C25" s="25"/>
      <c r="D25" s="25" t="s">
        <v>1004</v>
      </c>
      <c r="E25" s="25" t="s">
        <v>1005</v>
      </c>
      <c r="F25" s="31" t="s">
        <v>32</v>
      </c>
      <c r="G25" s="31" t="s">
        <v>29</v>
      </c>
      <c r="H25" s="31"/>
      <c r="I25" s="31"/>
    </row>
    <row r="26" spans="1:9" ht="48.6" x14ac:dyDescent="0.4">
      <c r="A26" s="31" t="s">
        <v>597</v>
      </c>
      <c r="B26" s="25" t="s">
        <v>453</v>
      </c>
      <c r="C26" s="25"/>
      <c r="D26" s="25" t="s">
        <v>1006</v>
      </c>
      <c r="E26" s="25" t="s">
        <v>1007</v>
      </c>
      <c r="F26" s="31" t="s">
        <v>32</v>
      </c>
      <c r="G26" s="31" t="s">
        <v>29</v>
      </c>
      <c r="H26" s="31"/>
      <c r="I26" s="31"/>
    </row>
    <row r="27" spans="1:9" x14ac:dyDescent="0.4">
      <c r="A27" s="31" t="s">
        <v>597</v>
      </c>
      <c r="B27" s="25" t="s">
        <v>454</v>
      </c>
      <c r="C27" s="25"/>
      <c r="D27" s="25" t="s">
        <v>983</v>
      </c>
      <c r="E27" s="25" t="s">
        <v>1008</v>
      </c>
      <c r="F27" s="31" t="s">
        <v>32</v>
      </c>
      <c r="G27" s="31" t="s">
        <v>29</v>
      </c>
      <c r="H27" s="31"/>
      <c r="I27" s="31"/>
    </row>
    <row r="28" spans="1:9" ht="32.4" x14ac:dyDescent="0.4">
      <c r="A28" s="31" t="s">
        <v>597</v>
      </c>
      <c r="B28" s="25" t="s">
        <v>455</v>
      </c>
      <c r="C28" s="25"/>
      <c r="D28" s="25" t="s">
        <v>1002</v>
      </c>
      <c r="E28" s="25" t="s">
        <v>1009</v>
      </c>
      <c r="F28" s="31" t="s">
        <v>32</v>
      </c>
      <c r="G28" s="31" t="s">
        <v>29</v>
      </c>
      <c r="H28" s="31"/>
      <c r="I28" s="31"/>
    </row>
    <row r="29" spans="1:9" x14ac:dyDescent="0.4">
      <c r="A29" s="31" t="s">
        <v>597</v>
      </c>
      <c r="B29" s="25" t="s">
        <v>279</v>
      </c>
      <c r="C29" s="25"/>
      <c r="D29" s="25" t="s">
        <v>998</v>
      </c>
      <c r="E29" s="25" t="s">
        <v>1010</v>
      </c>
      <c r="F29" s="31" t="s">
        <v>32</v>
      </c>
      <c r="G29" s="31" t="s">
        <v>29</v>
      </c>
      <c r="H29" s="31"/>
      <c r="I29" s="31"/>
    </row>
    <row r="30" spans="1:9" ht="32.4" x14ac:dyDescent="0.4">
      <c r="A30" s="31" t="s">
        <v>1011</v>
      </c>
      <c r="B30" s="27" t="s">
        <v>450</v>
      </c>
      <c r="C30" s="27"/>
      <c r="D30" s="27" t="s">
        <v>1012</v>
      </c>
      <c r="E30" s="27" t="s">
        <v>1013</v>
      </c>
      <c r="F30" s="31" t="s">
        <v>32</v>
      </c>
      <c r="G30" s="31" t="s">
        <v>29</v>
      </c>
      <c r="H30" s="31"/>
      <c r="I30" s="31"/>
    </row>
    <row r="31" spans="1:9" ht="32.4" x14ac:dyDescent="0.4">
      <c r="A31" s="31" t="s">
        <v>1011</v>
      </c>
      <c r="B31" s="27" t="s">
        <v>452</v>
      </c>
      <c r="C31" s="27"/>
      <c r="D31" s="27" t="s">
        <v>1014</v>
      </c>
      <c r="E31" s="27" t="s">
        <v>1015</v>
      </c>
      <c r="F31" s="31" t="s">
        <v>32</v>
      </c>
      <c r="G31" s="31" t="s">
        <v>29</v>
      </c>
      <c r="H31" s="31"/>
      <c r="I31" s="31"/>
    </row>
    <row r="32" spans="1:9" ht="48.6" x14ac:dyDescent="0.4">
      <c r="A32" s="31" t="s">
        <v>625</v>
      </c>
      <c r="B32" s="25" t="s">
        <v>360</v>
      </c>
      <c r="C32" s="25"/>
      <c r="D32" s="25" t="s">
        <v>1016</v>
      </c>
      <c r="E32" s="25" t="s">
        <v>1017</v>
      </c>
      <c r="F32" s="31" t="s">
        <v>32</v>
      </c>
      <c r="G32" s="31" t="s">
        <v>29</v>
      </c>
      <c r="H32" s="31"/>
      <c r="I32" s="31"/>
    </row>
    <row r="33" spans="1:9" ht="32.4" x14ac:dyDescent="0.4">
      <c r="A33" s="31" t="s">
        <v>128</v>
      </c>
      <c r="B33" s="25" t="s">
        <v>129</v>
      </c>
      <c r="C33" s="111" t="s">
        <v>1018</v>
      </c>
      <c r="D33" s="25" t="s">
        <v>998</v>
      </c>
      <c r="E33" s="25" t="s">
        <v>1019</v>
      </c>
      <c r="F33" s="31" t="s">
        <v>29</v>
      </c>
      <c r="G33" s="31" t="s">
        <v>32</v>
      </c>
      <c r="H33" s="31" t="s">
        <v>1020</v>
      </c>
      <c r="I33" s="31" t="s">
        <v>961</v>
      </c>
    </row>
    <row r="34" spans="1:9" ht="32.4" x14ac:dyDescent="0.4">
      <c r="A34" s="31" t="s">
        <v>128</v>
      </c>
      <c r="B34" s="25" t="s">
        <v>134</v>
      </c>
      <c r="C34" s="25" t="s">
        <v>1021</v>
      </c>
      <c r="D34" s="25" t="s">
        <v>1022</v>
      </c>
      <c r="E34" s="25" t="s">
        <v>1023</v>
      </c>
      <c r="F34" s="31" t="s">
        <v>29</v>
      </c>
      <c r="G34" s="31" t="s">
        <v>32</v>
      </c>
      <c r="H34" s="31" t="s">
        <v>1020</v>
      </c>
      <c r="I34" s="31" t="s">
        <v>961</v>
      </c>
    </row>
    <row r="35" spans="1:9" ht="32.4" x14ac:dyDescent="0.4">
      <c r="A35" s="31" t="s">
        <v>128</v>
      </c>
      <c r="B35" s="25" t="s">
        <v>136</v>
      </c>
      <c r="C35" s="25" t="s">
        <v>1024</v>
      </c>
      <c r="D35" s="25" t="s">
        <v>1022</v>
      </c>
      <c r="E35" s="25" t="s">
        <v>1023</v>
      </c>
      <c r="F35" s="31" t="s">
        <v>29</v>
      </c>
      <c r="G35" s="31" t="s">
        <v>32</v>
      </c>
      <c r="H35" s="31" t="s">
        <v>1020</v>
      </c>
      <c r="I35" s="31" t="s">
        <v>961</v>
      </c>
    </row>
    <row r="36" spans="1:9" ht="32.4" x14ac:dyDescent="0.4">
      <c r="A36" s="31" t="s">
        <v>128</v>
      </c>
      <c r="B36" s="25" t="s">
        <v>140</v>
      </c>
      <c r="C36" s="25" t="s">
        <v>1025</v>
      </c>
      <c r="D36" s="25" t="s">
        <v>1022</v>
      </c>
      <c r="E36" s="25" t="s">
        <v>1023</v>
      </c>
      <c r="F36" s="31" t="s">
        <v>29</v>
      </c>
      <c r="G36" s="31" t="s">
        <v>32</v>
      </c>
      <c r="H36" s="31" t="s">
        <v>1020</v>
      </c>
      <c r="I36" s="31" t="s">
        <v>961</v>
      </c>
    </row>
    <row r="37" spans="1:9" ht="32.4" x14ac:dyDescent="0.4">
      <c r="A37" s="31" t="s">
        <v>128</v>
      </c>
      <c r="B37" s="25" t="s">
        <v>141</v>
      </c>
      <c r="C37" s="25" t="s">
        <v>1026</v>
      </c>
      <c r="D37" s="25" t="s">
        <v>1022</v>
      </c>
      <c r="E37" s="25" t="s">
        <v>1023</v>
      </c>
      <c r="F37" s="31" t="s">
        <v>29</v>
      </c>
      <c r="G37" s="31" t="s">
        <v>32</v>
      </c>
      <c r="H37" s="31" t="s">
        <v>1020</v>
      </c>
      <c r="I37" s="31" t="s">
        <v>961</v>
      </c>
    </row>
    <row r="38" spans="1:9" ht="32.4" x14ac:dyDescent="0.4">
      <c r="A38" s="31" t="s">
        <v>128</v>
      </c>
      <c r="B38" s="25" t="s">
        <v>534</v>
      </c>
      <c r="C38" s="25" t="s">
        <v>1027</v>
      </c>
      <c r="D38" s="25" t="s">
        <v>1022</v>
      </c>
      <c r="E38" s="25" t="s">
        <v>1023</v>
      </c>
      <c r="F38" s="31" t="s">
        <v>29</v>
      </c>
      <c r="G38" s="31" t="s">
        <v>32</v>
      </c>
      <c r="H38" s="31" t="s">
        <v>1020</v>
      </c>
      <c r="I38" s="31" t="s">
        <v>961</v>
      </c>
    </row>
    <row r="39" spans="1:9" ht="48.6" x14ac:dyDescent="0.4">
      <c r="A39" s="31" t="s">
        <v>128</v>
      </c>
      <c r="B39" s="25" t="s">
        <v>165</v>
      </c>
      <c r="C39" s="25" t="s">
        <v>1028</v>
      </c>
      <c r="D39" s="25" t="s">
        <v>1029</v>
      </c>
      <c r="E39" s="25" t="s">
        <v>1030</v>
      </c>
      <c r="F39" s="31" t="s">
        <v>29</v>
      </c>
      <c r="G39" s="31" t="s">
        <v>32</v>
      </c>
      <c r="H39" s="31" t="s">
        <v>1020</v>
      </c>
      <c r="I39" s="31" t="s">
        <v>961</v>
      </c>
    </row>
    <row r="40" spans="1:9" ht="48.6" x14ac:dyDescent="0.4">
      <c r="A40" s="31" t="s">
        <v>128</v>
      </c>
      <c r="B40" s="25" t="s">
        <v>167</v>
      </c>
      <c r="C40" s="25" t="s">
        <v>1031</v>
      </c>
      <c r="D40" s="25" t="s">
        <v>1029</v>
      </c>
      <c r="E40" s="25" t="s">
        <v>1030</v>
      </c>
      <c r="F40" s="31" t="s">
        <v>29</v>
      </c>
      <c r="G40" s="31" t="s">
        <v>32</v>
      </c>
      <c r="H40" s="31" t="s">
        <v>1020</v>
      </c>
      <c r="I40" s="31" t="s">
        <v>961</v>
      </c>
    </row>
    <row r="42" spans="1:9" x14ac:dyDescent="0.4">
      <c r="A42" s="31" t="s">
        <v>128</v>
      </c>
      <c r="B42" s="25" t="s">
        <v>205</v>
      </c>
      <c r="C42" s="25" t="s">
        <v>1032</v>
      </c>
      <c r="D42" s="25" t="s">
        <v>965</v>
      </c>
      <c r="E42" s="25" t="s">
        <v>1033</v>
      </c>
      <c r="F42" s="31" t="s">
        <v>29</v>
      </c>
      <c r="G42" s="31" t="s">
        <v>32</v>
      </c>
      <c r="H42" s="31" t="s">
        <v>1020</v>
      </c>
      <c r="I42" s="31" t="s">
        <v>961</v>
      </c>
    </row>
    <row r="43" spans="1:9" ht="32.4" x14ac:dyDescent="0.4">
      <c r="A43" s="31" t="s">
        <v>128</v>
      </c>
      <c r="B43" s="25" t="s">
        <v>206</v>
      </c>
      <c r="C43" s="25" t="s">
        <v>1034</v>
      </c>
      <c r="D43" s="25" t="s">
        <v>1022</v>
      </c>
      <c r="E43" s="25" t="s">
        <v>1023</v>
      </c>
      <c r="F43" s="31" t="s">
        <v>29</v>
      </c>
      <c r="G43" s="31" t="s">
        <v>32</v>
      </c>
      <c r="H43" s="31" t="s">
        <v>1020</v>
      </c>
      <c r="I43" s="31" t="s">
        <v>961</v>
      </c>
    </row>
    <row r="44" spans="1:9" ht="48.6" x14ac:dyDescent="0.4">
      <c r="A44" s="31" t="s">
        <v>128</v>
      </c>
      <c r="B44" s="25" t="s">
        <v>227</v>
      </c>
      <c r="C44" s="25" t="s">
        <v>1035</v>
      </c>
      <c r="D44" s="25" t="s">
        <v>1036</v>
      </c>
      <c r="E44" s="25" t="s">
        <v>1037</v>
      </c>
      <c r="F44" s="31" t="s">
        <v>29</v>
      </c>
      <c r="G44" s="31" t="s">
        <v>32</v>
      </c>
      <c r="H44" s="31" t="s">
        <v>1020</v>
      </c>
      <c r="I44" s="31" t="s">
        <v>961</v>
      </c>
    </row>
    <row r="45" spans="1:9" ht="64.8" x14ac:dyDescent="0.4">
      <c r="A45" s="31" t="s">
        <v>128</v>
      </c>
      <c r="B45" s="25" t="s">
        <v>228</v>
      </c>
      <c r="C45" s="25" t="s">
        <v>1038</v>
      </c>
      <c r="D45" s="25" t="s">
        <v>1036</v>
      </c>
      <c r="E45" s="25" t="s">
        <v>1039</v>
      </c>
      <c r="F45" s="31" t="s">
        <v>29</v>
      </c>
      <c r="G45" s="31" t="s">
        <v>32</v>
      </c>
      <c r="H45" s="31" t="s">
        <v>1020</v>
      </c>
      <c r="I45" s="31" t="s">
        <v>961</v>
      </c>
    </row>
    <row r="46" spans="1:9" ht="64.8" x14ac:dyDescent="0.4">
      <c r="A46" s="31" t="s">
        <v>128</v>
      </c>
      <c r="B46" s="25" t="s">
        <v>231</v>
      </c>
      <c r="C46" s="25" t="s">
        <v>1040</v>
      </c>
      <c r="D46" s="25" t="s">
        <v>1036</v>
      </c>
      <c r="E46" s="25" t="s">
        <v>1039</v>
      </c>
      <c r="F46" s="31" t="s">
        <v>29</v>
      </c>
      <c r="G46" s="31" t="s">
        <v>32</v>
      </c>
      <c r="H46" s="31" t="s">
        <v>1020</v>
      </c>
      <c r="I46" s="31" t="s">
        <v>961</v>
      </c>
    </row>
    <row r="47" spans="1:9" ht="64.8" x14ac:dyDescent="0.4">
      <c r="A47" s="31" t="s">
        <v>128</v>
      </c>
      <c r="B47" s="25" t="s">
        <v>233</v>
      </c>
      <c r="C47" s="25" t="s">
        <v>1041</v>
      </c>
      <c r="D47" s="25" t="s">
        <v>1036</v>
      </c>
      <c r="E47" s="25" t="s">
        <v>1039</v>
      </c>
      <c r="F47" s="31" t="s">
        <v>29</v>
      </c>
      <c r="G47" s="31" t="s">
        <v>32</v>
      </c>
      <c r="H47" s="31" t="s">
        <v>1020</v>
      </c>
      <c r="I47" s="31" t="s">
        <v>961</v>
      </c>
    </row>
    <row r="48" spans="1:9" ht="48.6" x14ac:dyDescent="0.4">
      <c r="A48" s="31" t="s">
        <v>128</v>
      </c>
      <c r="B48" s="25" t="s">
        <v>291</v>
      </c>
      <c r="C48" s="25" t="s">
        <v>1042</v>
      </c>
      <c r="D48" s="25" t="s">
        <v>1029</v>
      </c>
      <c r="E48" s="25" t="s">
        <v>1043</v>
      </c>
      <c r="F48" s="31" t="s">
        <v>29</v>
      </c>
      <c r="G48" s="31" t="s">
        <v>32</v>
      </c>
      <c r="H48" s="31" t="s">
        <v>1020</v>
      </c>
      <c r="I48" s="31" t="s">
        <v>961</v>
      </c>
    </row>
    <row r="49" spans="1:9" ht="32.4" x14ac:dyDescent="0.4">
      <c r="A49" s="31" t="s">
        <v>128</v>
      </c>
      <c r="B49" s="25" t="s">
        <v>293</v>
      </c>
      <c r="C49" s="25" t="s">
        <v>1044</v>
      </c>
      <c r="D49" s="25" t="s">
        <v>1045</v>
      </c>
      <c r="E49" s="25" t="s">
        <v>1046</v>
      </c>
      <c r="F49" s="31" t="s">
        <v>29</v>
      </c>
      <c r="G49" s="31" t="s">
        <v>29</v>
      </c>
      <c r="H49" s="31"/>
      <c r="I49" s="31"/>
    </row>
    <row r="50" spans="1:9" ht="32.4" x14ac:dyDescent="0.4">
      <c r="A50" s="31" t="s">
        <v>128</v>
      </c>
      <c r="B50" s="25" t="s">
        <v>294</v>
      </c>
      <c r="C50" s="111" t="s">
        <v>1047</v>
      </c>
      <c r="D50" s="25" t="s">
        <v>1045</v>
      </c>
      <c r="E50" s="25" t="s">
        <v>1046</v>
      </c>
      <c r="F50" s="31" t="s">
        <v>29</v>
      </c>
      <c r="G50" s="31" t="s">
        <v>29</v>
      </c>
      <c r="H50" s="31"/>
      <c r="I50" s="31"/>
    </row>
    <row r="51" spans="1:9" x14ac:dyDescent="0.4">
      <c r="A51" s="31" t="s">
        <v>128</v>
      </c>
      <c r="B51" s="25" t="s">
        <v>358</v>
      </c>
      <c r="C51" s="25" t="s">
        <v>1048</v>
      </c>
      <c r="D51" s="25" t="s">
        <v>1049</v>
      </c>
      <c r="E51" s="25" t="s">
        <v>1050</v>
      </c>
      <c r="F51" s="31" t="s">
        <v>29</v>
      </c>
      <c r="G51" s="31" t="s">
        <v>32</v>
      </c>
      <c r="H51" s="31" t="s">
        <v>1020</v>
      </c>
      <c r="I51" s="31" t="s">
        <v>961</v>
      </c>
    </row>
    <row r="52" spans="1:9" x14ac:dyDescent="0.4">
      <c r="A52" s="31" t="s">
        <v>128</v>
      </c>
      <c r="B52" s="25" t="s">
        <v>384</v>
      </c>
      <c r="C52" s="25" t="s">
        <v>1051</v>
      </c>
      <c r="D52" s="25" t="s">
        <v>965</v>
      </c>
      <c r="E52" s="25" t="s">
        <v>1052</v>
      </c>
      <c r="F52" s="31" t="s">
        <v>29</v>
      </c>
      <c r="G52" s="31" t="s">
        <v>32</v>
      </c>
      <c r="H52" s="31" t="s">
        <v>1020</v>
      </c>
      <c r="I52" s="31" t="s">
        <v>961</v>
      </c>
    </row>
    <row r="53" spans="1:9" x14ac:dyDescent="0.4">
      <c r="A53" s="31" t="s">
        <v>128</v>
      </c>
      <c r="B53" s="25" t="s">
        <v>413</v>
      </c>
      <c r="C53" s="25" t="s">
        <v>1053</v>
      </c>
      <c r="D53" s="25" t="s">
        <v>1054</v>
      </c>
      <c r="E53" s="25" t="s">
        <v>1055</v>
      </c>
      <c r="F53" s="31" t="s">
        <v>29</v>
      </c>
      <c r="G53" s="31" t="s">
        <v>32</v>
      </c>
      <c r="H53" s="31" t="s">
        <v>1020</v>
      </c>
      <c r="I53" s="31" t="s">
        <v>961</v>
      </c>
    </row>
    <row r="54" spans="1:9" x14ac:dyDescent="0.4">
      <c r="A54" s="31" t="s">
        <v>128</v>
      </c>
      <c r="B54" s="25" t="s">
        <v>414</v>
      </c>
      <c r="C54" s="33" t="s">
        <v>1056</v>
      </c>
      <c r="D54" s="25" t="s">
        <v>1054</v>
      </c>
      <c r="E54" s="25" t="s">
        <v>1057</v>
      </c>
      <c r="F54" s="31" t="s">
        <v>29</v>
      </c>
      <c r="G54" s="31" t="s">
        <v>32</v>
      </c>
      <c r="H54" s="31" t="s">
        <v>1020</v>
      </c>
      <c r="I54" s="31" t="s">
        <v>961</v>
      </c>
    </row>
    <row r="55" spans="1:9" ht="48.6" x14ac:dyDescent="0.4">
      <c r="A55" s="31" t="s">
        <v>128</v>
      </c>
      <c r="B55" s="25" t="s">
        <v>415</v>
      </c>
      <c r="C55" s="111" t="s">
        <v>1058</v>
      </c>
      <c r="D55" s="25" t="s">
        <v>1059</v>
      </c>
      <c r="E55" s="25" t="s">
        <v>1060</v>
      </c>
      <c r="F55" s="31" t="s">
        <v>29</v>
      </c>
      <c r="G55" s="31" t="s">
        <v>32</v>
      </c>
      <c r="H55" s="31" t="s">
        <v>1020</v>
      </c>
      <c r="I55" s="31" t="s">
        <v>961</v>
      </c>
    </row>
    <row r="56" spans="1:9" ht="32.4" x14ac:dyDescent="0.4">
      <c r="A56" s="31" t="s">
        <v>128</v>
      </c>
      <c r="B56" s="25" t="s">
        <v>436</v>
      </c>
      <c r="C56" s="25" t="s">
        <v>1061</v>
      </c>
      <c r="D56" s="25" t="s">
        <v>1022</v>
      </c>
      <c r="E56" s="25" t="s">
        <v>1023</v>
      </c>
      <c r="F56" s="31" t="s">
        <v>29</v>
      </c>
      <c r="G56" s="31" t="s">
        <v>32</v>
      </c>
      <c r="H56" s="31" t="s">
        <v>1020</v>
      </c>
      <c r="I56" s="31" t="s">
        <v>961</v>
      </c>
    </row>
    <row r="57" spans="1:9" ht="32.4" x14ac:dyDescent="0.4">
      <c r="A57" s="31" t="s">
        <v>128</v>
      </c>
      <c r="B57" s="25" t="s">
        <v>437</v>
      </c>
      <c r="C57" s="25" t="s">
        <v>1061</v>
      </c>
      <c r="D57" s="25" t="s">
        <v>1022</v>
      </c>
      <c r="E57" s="25" t="s">
        <v>1023</v>
      </c>
      <c r="F57" s="31" t="s">
        <v>29</v>
      </c>
      <c r="G57" s="31" t="s">
        <v>32</v>
      </c>
      <c r="H57" s="31" t="s">
        <v>1020</v>
      </c>
      <c r="I57" s="31" t="s">
        <v>961</v>
      </c>
    </row>
    <row r="58" spans="1:9" ht="32.4" x14ac:dyDescent="0.4">
      <c r="A58" s="31" t="s">
        <v>128</v>
      </c>
      <c r="B58" s="25" t="s">
        <v>440</v>
      </c>
      <c r="C58" s="25" t="s">
        <v>1062</v>
      </c>
      <c r="D58" s="25" t="s">
        <v>1022</v>
      </c>
      <c r="E58" s="25" t="s">
        <v>1023</v>
      </c>
      <c r="F58" s="31" t="s">
        <v>29</v>
      </c>
      <c r="G58" s="31" t="s">
        <v>32</v>
      </c>
      <c r="H58" s="31" t="s">
        <v>1020</v>
      </c>
      <c r="I58" s="31" t="s">
        <v>961</v>
      </c>
    </row>
    <row r="59" spans="1:9" ht="32.4" x14ac:dyDescent="0.4">
      <c r="A59" s="31" t="s">
        <v>128</v>
      </c>
      <c r="B59" s="25" t="s">
        <v>301</v>
      </c>
      <c r="C59" s="25" t="s">
        <v>1063</v>
      </c>
      <c r="D59" s="25" t="s">
        <v>1022</v>
      </c>
      <c r="E59" s="25" t="s">
        <v>1023</v>
      </c>
      <c r="F59" s="31" t="s">
        <v>29</v>
      </c>
      <c r="G59" s="31" t="s">
        <v>32</v>
      </c>
      <c r="H59" s="31" t="s">
        <v>1020</v>
      </c>
      <c r="I59" s="31" t="s">
        <v>961</v>
      </c>
    </row>
    <row r="60" spans="1:9" ht="32.4" x14ac:dyDescent="0.4">
      <c r="A60" s="31" t="s">
        <v>128</v>
      </c>
      <c r="B60" s="25" t="s">
        <v>480</v>
      </c>
      <c r="C60" s="25" t="s">
        <v>1064</v>
      </c>
      <c r="D60" s="25" t="s">
        <v>1022</v>
      </c>
      <c r="E60" s="25" t="s">
        <v>1023</v>
      </c>
      <c r="F60" s="31" t="s">
        <v>29</v>
      </c>
      <c r="G60" s="31" t="s">
        <v>32</v>
      </c>
      <c r="H60" s="31" t="s">
        <v>1020</v>
      </c>
      <c r="I60" s="31" t="s">
        <v>961</v>
      </c>
    </row>
    <row r="61" spans="1:9" x14ac:dyDescent="0.4">
      <c r="A61" s="112" t="s">
        <v>128</v>
      </c>
      <c r="B61" s="34" t="s">
        <v>538</v>
      </c>
      <c r="C61" s="34" t="s">
        <v>1065</v>
      </c>
      <c r="D61" s="34" t="s">
        <v>1066</v>
      </c>
      <c r="E61" s="34" t="s">
        <v>1067</v>
      </c>
      <c r="F61" s="112" t="s">
        <v>29</v>
      </c>
      <c r="G61" s="112" t="s">
        <v>32</v>
      </c>
      <c r="H61" s="31" t="s">
        <v>1020</v>
      </c>
      <c r="I61" s="31" t="s">
        <v>961</v>
      </c>
    </row>
    <row r="62" spans="1:9" ht="32.4" x14ac:dyDescent="0.4">
      <c r="A62" s="112" t="s">
        <v>128</v>
      </c>
      <c r="B62" s="34" t="s">
        <v>183</v>
      </c>
      <c r="C62" s="34" t="s">
        <v>1068</v>
      </c>
      <c r="D62" s="34" t="s">
        <v>998</v>
      </c>
      <c r="E62" s="34" t="s">
        <v>1069</v>
      </c>
      <c r="F62" s="112" t="s">
        <v>29</v>
      </c>
      <c r="G62" s="112" t="s">
        <v>32</v>
      </c>
      <c r="H62" s="31" t="s">
        <v>1020</v>
      </c>
      <c r="I62" s="31" t="s">
        <v>961</v>
      </c>
    </row>
    <row r="63" spans="1:9" ht="32.4" x14ac:dyDescent="0.4">
      <c r="A63" s="112" t="s">
        <v>128</v>
      </c>
      <c r="B63" s="34" t="s">
        <v>241</v>
      </c>
      <c r="C63" s="34" t="s">
        <v>1070</v>
      </c>
      <c r="D63" s="34" t="s">
        <v>1066</v>
      </c>
      <c r="E63" s="34" t="s">
        <v>1071</v>
      </c>
      <c r="F63" s="112" t="s">
        <v>29</v>
      </c>
      <c r="G63" s="112" t="s">
        <v>32</v>
      </c>
      <c r="H63" s="31" t="s">
        <v>1020</v>
      </c>
      <c r="I63" s="31" t="s">
        <v>961</v>
      </c>
    </row>
    <row r="64" spans="1:9" ht="32.4" x14ac:dyDescent="0.4">
      <c r="A64" s="112" t="s">
        <v>128</v>
      </c>
      <c r="B64" s="34" t="s">
        <v>242</v>
      </c>
      <c r="C64" s="34" t="s">
        <v>1072</v>
      </c>
      <c r="D64" s="34" t="s">
        <v>1066</v>
      </c>
      <c r="E64" s="34" t="s">
        <v>1071</v>
      </c>
      <c r="F64" s="112" t="s">
        <v>29</v>
      </c>
      <c r="G64" s="112" t="s">
        <v>32</v>
      </c>
      <c r="H64" s="31" t="s">
        <v>1020</v>
      </c>
      <c r="I64" s="31" t="s">
        <v>961</v>
      </c>
    </row>
    <row r="65" spans="1:9" ht="32.4" x14ac:dyDescent="0.4">
      <c r="A65" s="112" t="s">
        <v>128</v>
      </c>
      <c r="B65" s="34" t="s">
        <v>252</v>
      </c>
      <c r="C65" s="34" t="s">
        <v>1073</v>
      </c>
      <c r="D65" s="34" t="s">
        <v>1066</v>
      </c>
      <c r="E65" s="34" t="s">
        <v>1074</v>
      </c>
      <c r="F65" s="112" t="s">
        <v>29</v>
      </c>
      <c r="G65" s="112" t="s">
        <v>32</v>
      </c>
      <c r="H65" s="31" t="s">
        <v>1020</v>
      </c>
      <c r="I65" s="31" t="s">
        <v>961</v>
      </c>
    </row>
    <row r="66" spans="1:9" ht="32.4" x14ac:dyDescent="0.4">
      <c r="A66" s="112" t="s">
        <v>128</v>
      </c>
      <c r="B66" s="34" t="s">
        <v>254</v>
      </c>
      <c r="C66" s="34" t="s">
        <v>1075</v>
      </c>
      <c r="D66" s="34" t="s">
        <v>1066</v>
      </c>
      <c r="E66" s="34" t="s">
        <v>1074</v>
      </c>
      <c r="F66" s="112" t="s">
        <v>29</v>
      </c>
      <c r="G66" s="112" t="s">
        <v>32</v>
      </c>
      <c r="H66" s="31" t="s">
        <v>1020</v>
      </c>
      <c r="I66" s="31" t="s">
        <v>961</v>
      </c>
    </row>
    <row r="67" spans="1:9" ht="64.8" x14ac:dyDescent="0.4">
      <c r="A67" s="112" t="s">
        <v>128</v>
      </c>
      <c r="B67" s="34" t="s">
        <v>300</v>
      </c>
      <c r="C67" s="34" t="s">
        <v>1076</v>
      </c>
      <c r="D67" s="34" t="s">
        <v>1077</v>
      </c>
      <c r="E67" s="34" t="s">
        <v>1078</v>
      </c>
      <c r="F67" s="112" t="s">
        <v>29</v>
      </c>
      <c r="G67" s="112" t="s">
        <v>32</v>
      </c>
      <c r="H67" s="31" t="s">
        <v>1020</v>
      </c>
      <c r="I67" s="31" t="s">
        <v>961</v>
      </c>
    </row>
    <row r="68" spans="1:9" x14ac:dyDescent="0.4">
      <c r="A68" s="112" t="s">
        <v>128</v>
      </c>
      <c r="B68" s="34" t="s">
        <v>351</v>
      </c>
      <c r="C68" s="34" t="s">
        <v>1079</v>
      </c>
      <c r="D68" s="34" t="s">
        <v>1066</v>
      </c>
      <c r="E68" s="34" t="s">
        <v>1080</v>
      </c>
      <c r="F68" s="112" t="s">
        <v>29</v>
      </c>
      <c r="G68" s="112" t="s">
        <v>32</v>
      </c>
      <c r="H68" s="31" t="s">
        <v>1020</v>
      </c>
      <c r="I68" s="31" t="s">
        <v>961</v>
      </c>
    </row>
    <row r="69" spans="1:9" ht="32.4" x14ac:dyDescent="0.4">
      <c r="A69" s="112" t="s">
        <v>128</v>
      </c>
      <c r="B69" s="34" t="s">
        <v>427</v>
      </c>
      <c r="C69" s="34" t="s">
        <v>1081</v>
      </c>
      <c r="D69" s="34" t="s">
        <v>1066</v>
      </c>
      <c r="E69" s="34" t="s">
        <v>1074</v>
      </c>
      <c r="F69" s="112" t="s">
        <v>29</v>
      </c>
      <c r="G69" s="112" t="s">
        <v>32</v>
      </c>
      <c r="H69" s="31" t="s">
        <v>1020</v>
      </c>
      <c r="I69" s="31" t="s">
        <v>961</v>
      </c>
    </row>
  </sheetData>
  <autoFilter ref="A1:J69" xr:uid="{206DDDB5-79F6-4132-9942-378764F443D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8745-4737-43FB-B538-64A34E96FDB5}">
  <dimension ref="A1:CB87"/>
  <sheetViews>
    <sheetView showGridLines="0" zoomScale="54" zoomScaleNormal="60" workbookViewId="0">
      <selection activeCell="I87" sqref="A65:I87"/>
    </sheetView>
  </sheetViews>
  <sheetFormatPr defaultColWidth="8.88671875" defaultRowHeight="15.6" x14ac:dyDescent="0.3"/>
  <cols>
    <col min="1" max="1" width="3.6640625" style="103" customWidth="1"/>
    <col min="2" max="2" width="18.44140625" style="87" customWidth="1"/>
    <col min="3" max="3" width="38.33203125" style="87" bestFit="1" customWidth="1"/>
    <col min="4" max="4" width="18.6640625" style="87" customWidth="1"/>
    <col min="5" max="5" width="15.6640625" style="87" customWidth="1"/>
    <col min="6" max="6" width="28" style="87" customWidth="1"/>
    <col min="7" max="7" width="29.33203125" style="87" customWidth="1"/>
    <col min="8" max="8" width="42.6640625" style="87" customWidth="1"/>
    <col min="9" max="9" width="12.6640625" style="87" customWidth="1"/>
    <col min="10" max="11" width="21.6640625" style="87" customWidth="1"/>
    <col min="12" max="12" width="30.33203125" style="87" customWidth="1"/>
    <col min="13" max="13" width="33.44140625" style="87" customWidth="1"/>
    <col min="14" max="14" width="21.6640625" style="87" customWidth="1"/>
    <col min="15" max="15" width="12.6640625" style="87" customWidth="1"/>
    <col min="16" max="20" width="20.5546875" style="87" customWidth="1"/>
    <col min="21" max="21" width="8.88671875" style="87"/>
    <col min="22" max="26" width="25.109375" style="87" customWidth="1"/>
    <col min="27" max="27" width="8.88671875" style="87"/>
    <col min="28" max="28" width="22.109375" style="87" customWidth="1"/>
    <col min="29" max="30" width="8.88671875" style="87"/>
    <col min="31" max="31" width="37.6640625" style="87" customWidth="1"/>
    <col min="32" max="32" width="37.5546875" style="87" customWidth="1"/>
    <col min="33" max="33" width="8.88671875" style="87" customWidth="1"/>
    <col min="34" max="16384" width="8.88671875" style="87"/>
  </cols>
  <sheetData>
    <row r="1" spans="1:80" ht="51.6" customHeight="1" thickBot="1" x14ac:dyDescent="0.5">
      <c r="A1" s="108"/>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row>
    <row r="2" spans="1:80" ht="16.2" thickTop="1" x14ac:dyDescent="0.3"/>
    <row r="7" spans="1:80" x14ac:dyDescent="0.3">
      <c r="D7" s="98" t="s">
        <v>1082</v>
      </c>
      <c r="E7" s="97"/>
      <c r="G7" s="110" t="s">
        <v>1083</v>
      </c>
      <c r="H7" s="110" t="s">
        <v>1084</v>
      </c>
      <c r="J7" s="98" t="s">
        <v>1125</v>
      </c>
      <c r="K7" s="97"/>
      <c r="M7" s="110" t="s">
        <v>1083</v>
      </c>
      <c r="N7" s="110" t="s">
        <v>1084</v>
      </c>
      <c r="P7" s="98" t="s">
        <v>1182</v>
      </c>
      <c r="Q7" s="97"/>
      <c r="S7" s="110" t="s">
        <v>1083</v>
      </c>
      <c r="T7" s="110" t="s">
        <v>1084</v>
      </c>
      <c r="V7" s="98" t="s">
        <v>1307</v>
      </c>
      <c r="W7" s="97"/>
      <c r="Y7" s="110" t="s">
        <v>1083</v>
      </c>
      <c r="Z7" s="110" t="s">
        <v>1084</v>
      </c>
      <c r="AB7" s="98" t="s">
        <v>1308</v>
      </c>
      <c r="AC7" s="97"/>
      <c r="AE7" s="110" t="s">
        <v>1083</v>
      </c>
      <c r="AF7" s="110" t="s">
        <v>1084</v>
      </c>
    </row>
    <row r="8" spans="1:80" x14ac:dyDescent="0.3">
      <c r="B8" s="101"/>
      <c r="D8" s="102"/>
      <c r="E8" s="97"/>
      <c r="G8" s="100" t="s">
        <v>282</v>
      </c>
      <c r="H8" s="100">
        <v>45744</v>
      </c>
      <c r="J8" s="102"/>
      <c r="K8" s="97"/>
      <c r="M8" s="100">
        <v>45747</v>
      </c>
      <c r="N8" s="100">
        <v>45828</v>
      </c>
      <c r="P8" s="102"/>
      <c r="Q8" s="97"/>
      <c r="S8" s="100">
        <v>45832</v>
      </c>
      <c r="T8" s="100">
        <v>45915</v>
      </c>
      <c r="V8" s="102"/>
      <c r="W8" s="97"/>
      <c r="Y8" s="100" t="s">
        <v>282</v>
      </c>
      <c r="Z8" s="100" t="s">
        <v>282</v>
      </c>
      <c r="AB8" s="102"/>
      <c r="AC8" s="97"/>
      <c r="AE8" s="100" t="s">
        <v>282</v>
      </c>
      <c r="AF8" s="100" t="s">
        <v>282</v>
      </c>
    </row>
    <row r="9" spans="1:80" x14ac:dyDescent="0.3">
      <c r="B9" s="99" t="s">
        <v>1085</v>
      </c>
      <c r="D9" s="88"/>
      <c r="J9" s="88"/>
      <c r="P9" s="88"/>
      <c r="V9" s="88"/>
      <c r="AB9" s="88"/>
    </row>
    <row r="10" spans="1:80" x14ac:dyDescent="0.3">
      <c r="B10" s="180" t="s">
        <v>1086</v>
      </c>
      <c r="D10" s="113" t="s">
        <v>5</v>
      </c>
      <c r="E10" s="114"/>
      <c r="F10" s="114"/>
      <c r="G10" s="114"/>
      <c r="H10" s="115"/>
      <c r="J10" s="105" t="s">
        <v>5</v>
      </c>
      <c r="K10" s="89"/>
      <c r="L10" s="89"/>
      <c r="M10" s="89"/>
      <c r="N10" s="90"/>
      <c r="P10" s="105" t="s">
        <v>5</v>
      </c>
      <c r="Q10" s="89"/>
      <c r="R10" s="89"/>
      <c r="S10" s="89"/>
      <c r="T10" s="90"/>
      <c r="V10" s="105" t="s">
        <v>5</v>
      </c>
      <c r="W10" s="89"/>
      <c r="X10" s="89"/>
      <c r="Y10" s="89"/>
      <c r="Z10" s="90"/>
      <c r="AB10" s="105" t="s">
        <v>5</v>
      </c>
      <c r="AC10" s="89"/>
      <c r="AD10" s="89"/>
      <c r="AE10" s="89"/>
      <c r="AF10" s="90"/>
    </row>
    <row r="11" spans="1:80" ht="22.95" customHeight="1" x14ac:dyDescent="0.3">
      <c r="B11" s="180"/>
      <c r="D11" s="168" t="s">
        <v>1099</v>
      </c>
      <c r="E11" s="169"/>
      <c r="F11" s="169"/>
      <c r="G11" s="169"/>
      <c r="H11" s="170"/>
      <c r="J11" s="174" t="s">
        <v>1178</v>
      </c>
      <c r="K11" s="175"/>
      <c r="L11" s="175"/>
      <c r="M11" s="175"/>
      <c r="N11" s="176"/>
      <c r="P11" s="177" t="s">
        <v>1303</v>
      </c>
      <c r="Q11" s="178"/>
      <c r="R11" s="178"/>
      <c r="S11" s="178"/>
      <c r="T11" s="179"/>
      <c r="V11" s="107"/>
      <c r="W11" s="92"/>
      <c r="X11" s="92"/>
      <c r="Y11" s="92"/>
      <c r="Z11" s="93"/>
      <c r="AB11" s="107"/>
      <c r="AC11" s="92"/>
      <c r="AD11" s="92"/>
      <c r="AE11" s="92"/>
      <c r="AF11" s="93"/>
    </row>
    <row r="12" spans="1:80" ht="38.4" customHeight="1" x14ac:dyDescent="0.3">
      <c r="B12" s="180"/>
      <c r="D12" s="168"/>
      <c r="E12" s="169"/>
      <c r="F12" s="169"/>
      <c r="G12" s="169"/>
      <c r="H12" s="170"/>
      <c r="J12" s="174"/>
      <c r="K12" s="175"/>
      <c r="L12" s="175"/>
      <c r="M12" s="175"/>
      <c r="N12" s="176"/>
      <c r="P12" s="177"/>
      <c r="Q12" s="178"/>
      <c r="R12" s="178"/>
      <c r="S12" s="178"/>
      <c r="T12" s="179"/>
      <c r="V12" s="106"/>
      <c r="W12" s="92"/>
      <c r="X12" s="92"/>
      <c r="Y12" s="92"/>
      <c r="Z12" s="93"/>
      <c r="AB12" s="106"/>
      <c r="AC12" s="92"/>
      <c r="AD12" s="92"/>
      <c r="AE12" s="92"/>
      <c r="AF12" s="93"/>
    </row>
    <row r="13" spans="1:80" ht="97.8" customHeight="1" x14ac:dyDescent="0.3">
      <c r="B13" s="180"/>
      <c r="D13" s="168"/>
      <c r="E13" s="169"/>
      <c r="F13" s="169"/>
      <c r="G13" s="169"/>
      <c r="H13" s="170"/>
      <c r="J13" s="174"/>
      <c r="K13" s="175"/>
      <c r="L13" s="175"/>
      <c r="M13" s="175"/>
      <c r="N13" s="176"/>
      <c r="P13" s="177"/>
      <c r="Q13" s="178"/>
      <c r="R13" s="178"/>
      <c r="S13" s="178"/>
      <c r="T13" s="179"/>
      <c r="V13" s="106"/>
      <c r="W13" s="92"/>
      <c r="X13" s="92"/>
      <c r="Y13" s="92"/>
      <c r="Z13" s="93"/>
      <c r="AB13" s="106"/>
      <c r="AC13" s="92"/>
      <c r="AD13" s="92"/>
      <c r="AE13" s="92"/>
      <c r="AF13" s="93"/>
    </row>
    <row r="14" spans="1:80" ht="13.95" customHeight="1" x14ac:dyDescent="0.3">
      <c r="B14" s="180"/>
      <c r="D14" s="168"/>
      <c r="E14" s="169"/>
      <c r="F14" s="169"/>
      <c r="G14" s="169"/>
      <c r="H14" s="170"/>
      <c r="J14" s="174"/>
      <c r="K14" s="175"/>
      <c r="L14" s="175"/>
      <c r="M14" s="175"/>
      <c r="N14" s="176"/>
      <c r="P14" s="106"/>
      <c r="Q14" s="92"/>
      <c r="R14" s="92"/>
      <c r="S14" s="92"/>
      <c r="T14" s="93"/>
      <c r="V14" s="106"/>
      <c r="W14" s="92"/>
      <c r="X14" s="92"/>
      <c r="Y14" s="92"/>
      <c r="Z14" s="93"/>
      <c r="AB14" s="106"/>
      <c r="AC14" s="92"/>
      <c r="AD14" s="92"/>
      <c r="AE14" s="92"/>
      <c r="AF14" s="93"/>
    </row>
    <row r="15" spans="1:80" x14ac:dyDescent="0.3">
      <c r="B15" s="180"/>
      <c r="D15" s="116" t="s">
        <v>138</v>
      </c>
      <c r="E15" s="35"/>
      <c r="F15" s="35"/>
      <c r="G15" s="35"/>
      <c r="H15" s="117"/>
      <c r="J15" s="107" t="s">
        <v>138</v>
      </c>
      <c r="K15" s="92"/>
      <c r="L15" s="92"/>
      <c r="M15" s="92"/>
      <c r="N15" s="93"/>
      <c r="P15" s="107" t="s">
        <v>138</v>
      </c>
      <c r="Q15" s="92"/>
      <c r="R15" s="92"/>
      <c r="S15" s="92"/>
      <c r="T15" s="93"/>
      <c r="V15" s="107" t="s">
        <v>138</v>
      </c>
      <c r="W15" s="92"/>
      <c r="X15" s="92"/>
      <c r="Y15" s="92"/>
      <c r="Z15" s="93"/>
      <c r="AB15" s="107" t="s">
        <v>138</v>
      </c>
      <c r="AC15" s="92"/>
      <c r="AD15" s="92"/>
      <c r="AE15" s="92"/>
      <c r="AF15" s="93"/>
    </row>
    <row r="16" spans="1:80" ht="265.2" customHeight="1" x14ac:dyDescent="0.3">
      <c r="B16" s="180"/>
      <c r="D16" s="171" t="s">
        <v>1096</v>
      </c>
      <c r="E16" s="172"/>
      <c r="F16" s="172"/>
      <c r="G16" s="172"/>
      <c r="H16" s="173"/>
      <c r="J16" s="177" t="s">
        <v>1180</v>
      </c>
      <c r="K16" s="178"/>
      <c r="L16" s="178"/>
      <c r="M16" s="178"/>
      <c r="N16" s="179"/>
      <c r="P16" s="177" t="s">
        <v>1304</v>
      </c>
      <c r="Q16" s="178"/>
      <c r="R16" s="178"/>
      <c r="S16" s="178"/>
      <c r="T16" s="179"/>
      <c r="V16" s="106"/>
      <c r="W16" s="92"/>
      <c r="X16" s="92"/>
      <c r="Y16" s="92"/>
      <c r="Z16" s="93"/>
      <c r="AB16" s="106"/>
      <c r="AC16" s="92"/>
      <c r="AD16" s="92"/>
      <c r="AE16" s="92"/>
      <c r="AF16" s="93"/>
    </row>
    <row r="17" spans="2:32" x14ac:dyDescent="0.3">
      <c r="B17" s="180"/>
      <c r="D17" s="171"/>
      <c r="E17" s="172"/>
      <c r="F17" s="172"/>
      <c r="G17" s="172"/>
      <c r="H17" s="173"/>
      <c r="J17" s="106"/>
      <c r="K17" s="92"/>
      <c r="L17" s="92"/>
      <c r="M17" s="92"/>
      <c r="N17" s="93"/>
      <c r="P17" s="106"/>
      <c r="Q17" s="92"/>
      <c r="R17" s="92"/>
      <c r="S17" s="92"/>
      <c r="T17" s="93"/>
      <c r="V17" s="106"/>
      <c r="W17" s="92"/>
      <c r="X17" s="92"/>
      <c r="Y17" s="92"/>
      <c r="Z17" s="93"/>
      <c r="AB17" s="106"/>
      <c r="AC17" s="92"/>
      <c r="AD17" s="92"/>
      <c r="AE17" s="92"/>
      <c r="AF17" s="93"/>
    </row>
    <row r="18" spans="2:32" x14ac:dyDescent="0.3">
      <c r="B18" s="180"/>
      <c r="D18" s="118"/>
      <c r="E18" s="35"/>
      <c r="F18" s="35"/>
      <c r="G18" s="35"/>
      <c r="H18" s="117"/>
      <c r="J18" s="106"/>
      <c r="K18" s="92"/>
      <c r="L18" s="92"/>
      <c r="M18" s="92"/>
      <c r="N18" s="93"/>
      <c r="P18" s="106"/>
      <c r="Q18" s="92"/>
      <c r="R18" s="92"/>
      <c r="S18" s="92"/>
      <c r="T18" s="93"/>
      <c r="V18" s="106"/>
      <c r="W18" s="92"/>
      <c r="X18" s="92"/>
      <c r="Y18" s="92"/>
      <c r="Z18" s="93"/>
      <c r="AB18" s="106"/>
      <c r="AC18" s="92"/>
      <c r="AD18" s="92"/>
      <c r="AE18" s="92"/>
      <c r="AF18" s="93"/>
    </row>
    <row r="19" spans="2:32" x14ac:dyDescent="0.3">
      <c r="B19" s="180"/>
      <c r="D19" s="116" t="s">
        <v>1087</v>
      </c>
      <c r="E19" s="35"/>
      <c r="F19" s="35"/>
      <c r="G19" s="35"/>
      <c r="H19" s="117"/>
      <c r="J19" s="107" t="s">
        <v>1087</v>
      </c>
      <c r="K19" s="92"/>
      <c r="L19" s="92"/>
      <c r="M19" s="92"/>
      <c r="N19" s="93"/>
      <c r="P19" s="107" t="s">
        <v>1087</v>
      </c>
      <c r="Q19" s="92"/>
      <c r="R19" s="92"/>
      <c r="S19" s="92"/>
      <c r="T19" s="93"/>
      <c r="V19" s="107" t="s">
        <v>1087</v>
      </c>
      <c r="W19" s="92"/>
      <c r="X19" s="92"/>
      <c r="Y19" s="92"/>
      <c r="Z19" s="93"/>
      <c r="AB19" s="107" t="s">
        <v>1087</v>
      </c>
      <c r="AC19" s="92"/>
      <c r="AD19" s="92"/>
      <c r="AE19" s="92"/>
      <c r="AF19" s="93"/>
    </row>
    <row r="20" spans="2:32" ht="55.95" customHeight="1" x14ac:dyDescent="0.3">
      <c r="B20" s="180"/>
      <c r="D20" s="171" t="s">
        <v>1098</v>
      </c>
      <c r="E20" s="172"/>
      <c r="F20" s="172"/>
      <c r="G20" s="172"/>
      <c r="H20" s="173"/>
      <c r="J20" s="106"/>
      <c r="K20" s="92"/>
      <c r="L20" s="92"/>
      <c r="M20" s="92"/>
      <c r="N20" s="93"/>
      <c r="P20" s="106"/>
      <c r="Q20" s="92"/>
      <c r="R20" s="92"/>
      <c r="S20" s="92"/>
      <c r="T20" s="93"/>
      <c r="V20" s="106"/>
      <c r="W20" s="92"/>
      <c r="X20" s="92"/>
      <c r="Y20" s="92"/>
      <c r="Z20" s="93"/>
      <c r="AB20" s="106"/>
      <c r="AC20" s="92"/>
      <c r="AD20" s="92"/>
      <c r="AE20" s="92"/>
      <c r="AF20" s="93"/>
    </row>
    <row r="21" spans="2:32" ht="77.400000000000006" customHeight="1" x14ac:dyDescent="0.3">
      <c r="B21" s="180"/>
      <c r="D21" s="171"/>
      <c r="E21" s="172"/>
      <c r="F21" s="172"/>
      <c r="G21" s="172"/>
      <c r="H21" s="173"/>
      <c r="J21" s="106"/>
      <c r="K21" s="92"/>
      <c r="L21" s="92"/>
      <c r="M21" s="92"/>
      <c r="N21" s="93"/>
      <c r="P21" s="106"/>
      <c r="Q21" s="92"/>
      <c r="R21" s="92"/>
      <c r="S21" s="92"/>
      <c r="T21" s="93"/>
      <c r="V21" s="106"/>
      <c r="W21" s="92"/>
      <c r="X21" s="92"/>
      <c r="Y21" s="92"/>
      <c r="Z21" s="93"/>
      <c r="AB21" s="106"/>
      <c r="AC21" s="92"/>
      <c r="AD21" s="92"/>
      <c r="AE21" s="92"/>
      <c r="AF21" s="93"/>
    </row>
    <row r="22" spans="2:32" x14ac:dyDescent="0.3">
      <c r="B22" s="180"/>
      <c r="D22" s="118"/>
      <c r="E22" s="35"/>
      <c r="F22" s="35"/>
      <c r="G22" s="35"/>
      <c r="H22" s="117"/>
      <c r="J22" s="106"/>
      <c r="K22" s="92"/>
      <c r="L22" s="92"/>
      <c r="M22" s="92"/>
      <c r="N22" s="93"/>
      <c r="P22" s="106"/>
      <c r="Q22" s="92"/>
      <c r="R22" s="92"/>
      <c r="S22" s="92"/>
      <c r="T22" s="93"/>
      <c r="V22" s="106"/>
      <c r="W22" s="92"/>
      <c r="X22" s="92"/>
      <c r="Y22" s="92"/>
      <c r="Z22" s="93"/>
      <c r="AB22" s="106"/>
      <c r="AC22" s="92"/>
      <c r="AD22" s="92"/>
      <c r="AE22" s="92"/>
      <c r="AF22" s="93"/>
    </row>
    <row r="23" spans="2:32" x14ac:dyDescent="0.3">
      <c r="B23" s="180"/>
      <c r="D23" s="116" t="s">
        <v>1088</v>
      </c>
      <c r="E23" s="35"/>
      <c r="F23" s="35"/>
      <c r="G23" s="35"/>
      <c r="H23" s="117"/>
      <c r="J23" s="107" t="s">
        <v>1088</v>
      </c>
      <c r="K23" s="92"/>
      <c r="L23" s="92"/>
      <c r="M23" s="92"/>
      <c r="N23" s="93"/>
      <c r="P23" s="107" t="s">
        <v>1088</v>
      </c>
      <c r="Q23" s="92"/>
      <c r="R23" s="92"/>
      <c r="S23" s="92"/>
      <c r="T23" s="93"/>
      <c r="V23" s="107" t="s">
        <v>1088</v>
      </c>
      <c r="W23" s="92"/>
      <c r="X23" s="92"/>
      <c r="Y23" s="92"/>
      <c r="Z23" s="93"/>
      <c r="AB23" s="107" t="s">
        <v>1088</v>
      </c>
      <c r="AC23" s="92"/>
      <c r="AD23" s="92"/>
      <c r="AE23" s="92"/>
      <c r="AF23" s="93"/>
    </row>
    <row r="24" spans="2:32" ht="17.399999999999999" customHeight="1" x14ac:dyDescent="0.3">
      <c r="B24" s="180"/>
      <c r="D24" s="125" t="s">
        <v>1097</v>
      </c>
      <c r="E24" s="123"/>
      <c r="F24" s="123"/>
      <c r="G24" s="123"/>
      <c r="H24" s="124"/>
      <c r="J24" s="106"/>
      <c r="K24" s="92"/>
      <c r="L24" s="92"/>
      <c r="M24" s="92"/>
      <c r="N24" s="93"/>
      <c r="P24" s="177" t="s">
        <v>1305</v>
      </c>
      <c r="Q24" s="178"/>
      <c r="R24" s="178"/>
      <c r="S24" s="178"/>
      <c r="T24" s="179"/>
      <c r="V24" s="106"/>
      <c r="W24" s="92"/>
      <c r="X24" s="92"/>
      <c r="Y24" s="92"/>
      <c r="Z24" s="93"/>
      <c r="AB24" s="106"/>
      <c r="AC24" s="92"/>
      <c r="AD24" s="92"/>
      <c r="AE24" s="92"/>
      <c r="AF24" s="93"/>
    </row>
    <row r="25" spans="2:32" ht="106.2" customHeight="1" x14ac:dyDescent="0.3">
      <c r="B25" s="180"/>
      <c r="D25" s="119"/>
      <c r="E25" s="35"/>
      <c r="F25" s="35"/>
      <c r="G25" s="35"/>
      <c r="H25" s="117"/>
      <c r="J25" s="106"/>
      <c r="K25" s="92"/>
      <c r="L25" s="92"/>
      <c r="M25" s="92"/>
      <c r="N25" s="93"/>
      <c r="P25" s="177"/>
      <c r="Q25" s="178"/>
      <c r="R25" s="178"/>
      <c r="S25" s="178"/>
      <c r="T25" s="179"/>
      <c r="V25" s="106"/>
      <c r="W25" s="92"/>
      <c r="X25" s="92"/>
      <c r="Y25" s="92"/>
      <c r="Z25" s="93"/>
      <c r="AB25" s="106"/>
      <c r="AC25" s="92"/>
      <c r="AD25" s="92"/>
      <c r="AE25" s="92"/>
      <c r="AF25" s="93"/>
    </row>
    <row r="26" spans="2:32" x14ac:dyDescent="0.3">
      <c r="B26" s="180"/>
      <c r="D26" s="116" t="s">
        <v>1089</v>
      </c>
      <c r="E26" s="35"/>
      <c r="F26" s="35"/>
      <c r="G26" s="35"/>
      <c r="H26" s="117"/>
      <c r="J26" s="107" t="s">
        <v>1089</v>
      </c>
      <c r="K26" s="92"/>
      <c r="L26" s="92"/>
      <c r="M26" s="92"/>
      <c r="N26" s="93"/>
      <c r="P26" s="107" t="s">
        <v>1089</v>
      </c>
      <c r="Q26" s="92"/>
      <c r="R26" s="92"/>
      <c r="S26" s="92"/>
      <c r="T26" s="93"/>
      <c r="V26" s="107" t="s">
        <v>1089</v>
      </c>
      <c r="W26" s="92"/>
      <c r="X26" s="92"/>
      <c r="Y26" s="92"/>
      <c r="Z26" s="93"/>
      <c r="AB26" s="107" t="s">
        <v>1089</v>
      </c>
      <c r="AC26" s="92"/>
      <c r="AD26" s="92"/>
      <c r="AE26" s="92"/>
      <c r="AF26" s="93"/>
    </row>
    <row r="27" spans="2:32" ht="202.8" customHeight="1" x14ac:dyDescent="0.3">
      <c r="B27" s="180"/>
      <c r="D27" s="119" t="s">
        <v>282</v>
      </c>
      <c r="E27" s="35"/>
      <c r="F27" s="35"/>
      <c r="G27" s="35"/>
      <c r="H27" s="117"/>
      <c r="J27" s="177" t="s">
        <v>1181</v>
      </c>
      <c r="K27" s="178"/>
      <c r="L27" s="178"/>
      <c r="M27" s="178"/>
      <c r="N27" s="179"/>
      <c r="P27" s="177" t="s">
        <v>1306</v>
      </c>
      <c r="Q27" s="178"/>
      <c r="R27" s="178"/>
      <c r="S27" s="178"/>
      <c r="T27" s="179"/>
      <c r="V27" s="91"/>
      <c r="W27" s="92"/>
      <c r="X27" s="92"/>
      <c r="Y27" s="92"/>
      <c r="Z27" s="93"/>
      <c r="AB27" s="91"/>
      <c r="AC27" s="92"/>
      <c r="AD27" s="92"/>
      <c r="AE27" s="92"/>
      <c r="AF27" s="93"/>
    </row>
    <row r="28" spans="2:32" x14ac:dyDescent="0.3">
      <c r="B28" s="180"/>
      <c r="D28" s="119"/>
      <c r="E28" s="35"/>
      <c r="F28" s="35"/>
      <c r="G28" s="35"/>
      <c r="H28" s="117"/>
      <c r="J28" s="91"/>
      <c r="K28" s="92"/>
      <c r="L28" s="92"/>
      <c r="M28" s="92"/>
      <c r="N28" s="93"/>
      <c r="P28" s="91"/>
      <c r="Q28" s="92"/>
      <c r="R28" s="92"/>
      <c r="S28" s="92"/>
      <c r="T28" s="93"/>
      <c r="V28" s="91"/>
      <c r="W28" s="92"/>
      <c r="X28" s="92"/>
      <c r="Y28" s="92"/>
      <c r="Z28" s="93"/>
      <c r="AB28" s="91"/>
      <c r="AC28" s="92"/>
      <c r="AD28" s="92"/>
      <c r="AE28" s="92"/>
      <c r="AF28" s="93"/>
    </row>
    <row r="29" spans="2:32" x14ac:dyDescent="0.3">
      <c r="B29" s="180"/>
      <c r="D29" s="119"/>
      <c r="E29" s="35"/>
      <c r="F29" s="35"/>
      <c r="G29" s="35"/>
      <c r="H29" s="117"/>
      <c r="J29" s="91"/>
      <c r="K29" s="92"/>
      <c r="L29" s="92"/>
      <c r="M29" s="92"/>
      <c r="N29" s="93"/>
      <c r="P29" s="91"/>
      <c r="Q29" s="92"/>
      <c r="R29" s="92"/>
      <c r="S29" s="92"/>
      <c r="T29" s="93"/>
      <c r="V29" s="91"/>
      <c r="W29" s="92"/>
      <c r="X29" s="92"/>
      <c r="Y29" s="92"/>
      <c r="Z29" s="93"/>
      <c r="AB29" s="91"/>
      <c r="AC29" s="92"/>
      <c r="AD29" s="92"/>
      <c r="AE29" s="92"/>
      <c r="AF29" s="93"/>
    </row>
    <row r="30" spans="2:32" x14ac:dyDescent="0.3">
      <c r="B30" s="180"/>
      <c r="D30" s="120"/>
      <c r="E30" s="121"/>
      <c r="F30" s="121"/>
      <c r="G30" s="121"/>
      <c r="H30" s="122"/>
      <c r="J30" s="94"/>
      <c r="K30" s="95"/>
      <c r="L30" s="95"/>
      <c r="M30" s="95"/>
      <c r="N30" s="96"/>
      <c r="P30" s="94"/>
      <c r="Q30" s="95"/>
      <c r="R30" s="95"/>
      <c r="S30" s="95"/>
      <c r="T30" s="96"/>
      <c r="V30" s="94"/>
      <c r="W30" s="95"/>
      <c r="X30" s="95"/>
      <c r="Y30" s="95"/>
      <c r="Z30" s="96"/>
      <c r="AB30" s="94"/>
      <c r="AC30" s="95"/>
      <c r="AD30" s="95"/>
      <c r="AE30" s="95"/>
      <c r="AF30" s="96"/>
    </row>
    <row r="34" spans="2:32" x14ac:dyDescent="0.3">
      <c r="D34" s="98" t="s">
        <v>1090</v>
      </c>
      <c r="E34" s="97"/>
      <c r="G34" s="110" t="s">
        <v>1083</v>
      </c>
      <c r="H34" s="110" t="s">
        <v>1084</v>
      </c>
      <c r="J34" s="98" t="s">
        <v>1082</v>
      </c>
      <c r="K34" s="97"/>
      <c r="M34" s="110" t="s">
        <v>1083</v>
      </c>
      <c r="N34" s="110" t="s">
        <v>1084</v>
      </c>
      <c r="O34" s="104"/>
      <c r="P34" s="98" t="s">
        <v>1125</v>
      </c>
      <c r="Q34" s="97"/>
      <c r="S34" s="110" t="s">
        <v>1083</v>
      </c>
      <c r="T34" s="110" t="s">
        <v>1084</v>
      </c>
      <c r="V34" s="98" t="s">
        <v>1182</v>
      </c>
      <c r="W34" s="97"/>
      <c r="Y34" s="110" t="s">
        <v>1083</v>
      </c>
      <c r="Z34" s="110" t="s">
        <v>1084</v>
      </c>
      <c r="AB34" s="98" t="s">
        <v>1307</v>
      </c>
      <c r="AC34" s="97"/>
      <c r="AE34" s="110" t="s">
        <v>1083</v>
      </c>
      <c r="AF34" s="110" t="s">
        <v>1084</v>
      </c>
    </row>
    <row r="35" spans="2:32" x14ac:dyDescent="0.3">
      <c r="D35" s="102"/>
      <c r="E35" s="97"/>
      <c r="G35" s="100">
        <v>45721</v>
      </c>
      <c r="H35" s="100">
        <v>45744</v>
      </c>
      <c r="J35" s="102"/>
      <c r="K35" s="97"/>
      <c r="M35" s="100">
        <v>45747</v>
      </c>
      <c r="N35" s="100">
        <v>45832</v>
      </c>
      <c r="P35" s="102"/>
      <c r="Q35" s="97"/>
      <c r="S35" s="100">
        <v>45832</v>
      </c>
      <c r="T35" s="100" t="s">
        <v>282</v>
      </c>
      <c r="V35" s="102"/>
      <c r="W35" s="97"/>
      <c r="Y35" s="100" t="s">
        <v>282</v>
      </c>
      <c r="Z35" s="100" t="s">
        <v>282</v>
      </c>
      <c r="AB35" s="102"/>
      <c r="AC35" s="97"/>
      <c r="AE35" s="100" t="s">
        <v>282</v>
      </c>
      <c r="AF35" s="100" t="s">
        <v>282</v>
      </c>
    </row>
    <row r="36" spans="2:32" ht="14.4" customHeight="1" x14ac:dyDescent="0.3">
      <c r="B36" s="99" t="s">
        <v>1085</v>
      </c>
      <c r="D36" s="88"/>
      <c r="J36" s="88"/>
      <c r="P36" s="88"/>
      <c r="V36" s="88"/>
      <c r="AB36" s="88"/>
    </row>
    <row r="37" spans="2:32" x14ac:dyDescent="0.3">
      <c r="B37" s="181" t="s">
        <v>1091</v>
      </c>
      <c r="D37" s="105" t="s">
        <v>5</v>
      </c>
      <c r="E37" s="89"/>
      <c r="F37" s="89"/>
      <c r="G37" s="89"/>
      <c r="H37" s="90"/>
      <c r="J37" s="113" t="s">
        <v>5</v>
      </c>
      <c r="K37" s="114"/>
      <c r="L37" s="114"/>
      <c r="M37" s="114"/>
      <c r="N37" s="115"/>
      <c r="P37" s="105" t="s">
        <v>5</v>
      </c>
      <c r="Q37" s="89"/>
      <c r="R37" s="89"/>
      <c r="S37" s="89"/>
      <c r="T37" s="90"/>
      <c r="V37" s="105" t="s">
        <v>5</v>
      </c>
      <c r="W37" s="89"/>
      <c r="X37" s="89"/>
      <c r="Y37" s="89"/>
      <c r="Z37" s="90"/>
      <c r="AB37" s="105" t="s">
        <v>5</v>
      </c>
      <c r="AC37" s="89"/>
      <c r="AD37" s="89"/>
      <c r="AE37" s="89"/>
      <c r="AF37" s="90"/>
    </row>
    <row r="38" spans="2:32" x14ac:dyDescent="0.3">
      <c r="B38" s="182"/>
      <c r="D38" s="107"/>
      <c r="E38" s="92"/>
      <c r="F38" s="92"/>
      <c r="G38" s="92"/>
      <c r="H38" s="93"/>
      <c r="J38" s="168" t="s">
        <v>1099</v>
      </c>
      <c r="K38" s="169"/>
      <c r="L38" s="169"/>
      <c r="M38" s="169"/>
      <c r="N38" s="170"/>
      <c r="P38" s="174" t="s">
        <v>1178</v>
      </c>
      <c r="Q38" s="175"/>
      <c r="R38" s="175"/>
      <c r="S38" s="175"/>
      <c r="T38" s="176"/>
      <c r="V38" s="174"/>
      <c r="W38" s="175"/>
      <c r="X38" s="175"/>
      <c r="Y38" s="175"/>
      <c r="Z38" s="176"/>
      <c r="AB38" s="174"/>
      <c r="AC38" s="175"/>
      <c r="AD38" s="175"/>
      <c r="AE38" s="175"/>
      <c r="AF38" s="176"/>
    </row>
    <row r="39" spans="2:32" x14ac:dyDescent="0.3">
      <c r="B39" s="182"/>
      <c r="D39" s="106"/>
      <c r="E39" s="92"/>
      <c r="F39" s="92"/>
      <c r="G39" s="92"/>
      <c r="H39" s="93"/>
      <c r="J39" s="168"/>
      <c r="K39" s="169"/>
      <c r="L39" s="169"/>
      <c r="M39" s="169"/>
      <c r="N39" s="170"/>
      <c r="P39" s="174"/>
      <c r="Q39" s="175"/>
      <c r="R39" s="175"/>
      <c r="S39" s="175"/>
      <c r="T39" s="176"/>
      <c r="V39" s="174"/>
      <c r="W39" s="175"/>
      <c r="X39" s="175"/>
      <c r="Y39" s="175"/>
      <c r="Z39" s="176"/>
      <c r="AB39" s="174"/>
      <c r="AC39" s="175"/>
      <c r="AD39" s="175"/>
      <c r="AE39" s="175"/>
      <c r="AF39" s="176"/>
    </row>
    <row r="40" spans="2:32" x14ac:dyDescent="0.3">
      <c r="B40" s="182"/>
      <c r="D40" s="106"/>
      <c r="E40" s="92"/>
      <c r="F40" s="92"/>
      <c r="G40" s="92"/>
      <c r="H40" s="93"/>
      <c r="J40" s="168"/>
      <c r="K40" s="169"/>
      <c r="L40" s="169"/>
      <c r="M40" s="169"/>
      <c r="N40" s="170"/>
      <c r="P40" s="174"/>
      <c r="Q40" s="175"/>
      <c r="R40" s="175"/>
      <c r="S40" s="175"/>
      <c r="T40" s="176"/>
      <c r="V40" s="174"/>
      <c r="W40" s="175"/>
      <c r="X40" s="175"/>
      <c r="Y40" s="175"/>
      <c r="Z40" s="176"/>
      <c r="AB40" s="174"/>
      <c r="AC40" s="175"/>
      <c r="AD40" s="175"/>
      <c r="AE40" s="175"/>
      <c r="AF40" s="176"/>
    </row>
    <row r="41" spans="2:32" x14ac:dyDescent="0.3">
      <c r="B41" s="182"/>
      <c r="D41" s="106"/>
      <c r="E41" s="92"/>
      <c r="F41" s="92"/>
      <c r="G41" s="92"/>
      <c r="H41" s="93"/>
      <c r="J41" s="168"/>
      <c r="K41" s="169"/>
      <c r="L41" s="169"/>
      <c r="M41" s="169"/>
      <c r="N41" s="170"/>
      <c r="P41" s="174"/>
      <c r="Q41" s="175"/>
      <c r="R41" s="175"/>
      <c r="S41" s="175"/>
      <c r="T41" s="176"/>
      <c r="V41" s="174"/>
      <c r="W41" s="175"/>
      <c r="X41" s="175"/>
      <c r="Y41" s="175"/>
      <c r="Z41" s="176"/>
      <c r="AB41" s="174"/>
      <c r="AC41" s="175"/>
      <c r="AD41" s="175"/>
      <c r="AE41" s="175"/>
      <c r="AF41" s="176"/>
    </row>
    <row r="42" spans="2:32" x14ac:dyDescent="0.3">
      <c r="B42" s="182"/>
      <c r="D42" s="107" t="s">
        <v>138</v>
      </c>
      <c r="E42" s="92"/>
      <c r="F42" s="92"/>
      <c r="G42" s="92"/>
      <c r="H42" s="93"/>
      <c r="J42" s="116" t="s">
        <v>138</v>
      </c>
      <c r="K42" s="35"/>
      <c r="L42" s="35"/>
      <c r="M42" s="35"/>
      <c r="N42" s="117"/>
      <c r="P42" s="107" t="s">
        <v>138</v>
      </c>
      <c r="Q42" s="92"/>
      <c r="R42" s="92"/>
      <c r="S42" s="92"/>
      <c r="T42" s="93"/>
      <c r="V42" s="107" t="s">
        <v>138</v>
      </c>
      <c r="W42" s="92"/>
      <c r="X42" s="92"/>
      <c r="Y42" s="92"/>
      <c r="Z42" s="93"/>
      <c r="AB42" s="107" t="s">
        <v>138</v>
      </c>
      <c r="AC42" s="92"/>
      <c r="AD42" s="92"/>
      <c r="AE42" s="92"/>
      <c r="AF42" s="93"/>
    </row>
    <row r="43" spans="2:32" x14ac:dyDescent="0.3">
      <c r="B43" s="182"/>
      <c r="D43" s="106"/>
      <c r="E43" s="92"/>
      <c r="F43" s="92"/>
      <c r="G43" s="92"/>
      <c r="H43" s="93"/>
      <c r="J43" s="171" t="s">
        <v>1096</v>
      </c>
      <c r="K43" s="172"/>
      <c r="L43" s="172"/>
      <c r="M43" s="172"/>
      <c r="N43" s="173"/>
      <c r="P43" s="177" t="s">
        <v>1180</v>
      </c>
      <c r="Q43" s="178"/>
      <c r="R43" s="178"/>
      <c r="S43" s="178"/>
      <c r="T43" s="179"/>
      <c r="V43" s="177"/>
      <c r="W43" s="178"/>
      <c r="X43" s="178"/>
      <c r="Y43" s="178"/>
      <c r="Z43" s="179"/>
      <c r="AB43" s="177"/>
      <c r="AC43" s="178"/>
      <c r="AD43" s="178"/>
      <c r="AE43" s="178"/>
      <c r="AF43" s="179"/>
    </row>
    <row r="44" spans="2:32" x14ac:dyDescent="0.3">
      <c r="B44" s="182"/>
      <c r="D44" s="106"/>
      <c r="E44" s="92"/>
      <c r="F44" s="92"/>
      <c r="G44" s="92"/>
      <c r="H44" s="93"/>
      <c r="J44" s="171"/>
      <c r="K44" s="172"/>
      <c r="L44" s="172"/>
      <c r="M44" s="172"/>
      <c r="N44" s="173"/>
      <c r="P44" s="106"/>
      <c r="Q44" s="92"/>
      <c r="R44" s="92"/>
      <c r="S44" s="92"/>
      <c r="T44" s="93"/>
      <c r="V44" s="106"/>
      <c r="W44" s="92"/>
      <c r="X44" s="92"/>
      <c r="Y44" s="92"/>
      <c r="Z44" s="93"/>
      <c r="AB44" s="106"/>
      <c r="AC44" s="92"/>
      <c r="AD44" s="92"/>
      <c r="AE44" s="92"/>
      <c r="AF44" s="93"/>
    </row>
    <row r="45" spans="2:32" x14ac:dyDescent="0.3">
      <c r="B45" s="182"/>
      <c r="D45" s="106"/>
      <c r="E45" s="92"/>
      <c r="F45" s="92"/>
      <c r="G45" s="92"/>
      <c r="H45" s="93"/>
      <c r="J45" s="118"/>
      <c r="K45" s="35"/>
      <c r="L45" s="35"/>
      <c r="M45" s="35"/>
      <c r="N45" s="117"/>
      <c r="P45" s="106"/>
      <c r="Q45" s="92"/>
      <c r="R45" s="92"/>
      <c r="S45" s="92"/>
      <c r="T45" s="93"/>
      <c r="V45" s="106"/>
      <c r="W45" s="92"/>
      <c r="X45" s="92"/>
      <c r="Y45" s="92"/>
      <c r="Z45" s="93"/>
      <c r="AB45" s="106"/>
      <c r="AC45" s="92"/>
      <c r="AD45" s="92"/>
      <c r="AE45" s="92"/>
      <c r="AF45" s="93"/>
    </row>
    <row r="46" spans="2:32" x14ac:dyDescent="0.3">
      <c r="B46" s="182"/>
      <c r="D46" s="107" t="s">
        <v>1087</v>
      </c>
      <c r="E46" s="92"/>
      <c r="F46" s="92"/>
      <c r="G46" s="92"/>
      <c r="H46" s="93"/>
      <c r="J46" s="116" t="s">
        <v>1087</v>
      </c>
      <c r="K46" s="35"/>
      <c r="L46" s="35"/>
      <c r="M46" s="35"/>
      <c r="N46" s="117"/>
      <c r="P46" s="107" t="s">
        <v>1087</v>
      </c>
      <c r="Q46" s="92"/>
      <c r="R46" s="92"/>
      <c r="S46" s="92"/>
      <c r="T46" s="93"/>
      <c r="V46" s="107" t="s">
        <v>1087</v>
      </c>
      <c r="W46" s="92"/>
      <c r="X46" s="92"/>
      <c r="Y46" s="92"/>
      <c r="Z46" s="93"/>
      <c r="AB46" s="107" t="s">
        <v>1087</v>
      </c>
      <c r="AC46" s="92"/>
      <c r="AD46" s="92"/>
      <c r="AE46" s="92"/>
      <c r="AF46" s="93"/>
    </row>
    <row r="47" spans="2:32" x14ac:dyDescent="0.3">
      <c r="B47" s="182"/>
      <c r="D47" s="106"/>
      <c r="E47" s="92"/>
      <c r="F47" s="92"/>
      <c r="G47" s="92"/>
      <c r="H47" s="93"/>
      <c r="J47" s="171" t="s">
        <v>1098</v>
      </c>
      <c r="K47" s="172"/>
      <c r="L47" s="172"/>
      <c r="M47" s="172"/>
      <c r="N47" s="173"/>
      <c r="P47" s="106"/>
      <c r="Q47" s="92"/>
      <c r="R47" s="92"/>
      <c r="S47" s="92"/>
      <c r="T47" s="93"/>
      <c r="V47" s="106"/>
      <c r="W47" s="92"/>
      <c r="X47" s="92"/>
      <c r="Y47" s="92"/>
      <c r="Z47" s="93"/>
      <c r="AB47" s="106"/>
      <c r="AC47" s="92"/>
      <c r="AD47" s="92"/>
      <c r="AE47" s="92"/>
      <c r="AF47" s="93"/>
    </row>
    <row r="48" spans="2:32" ht="131.4" customHeight="1" x14ac:dyDescent="0.3">
      <c r="B48" s="182"/>
      <c r="D48" s="106"/>
      <c r="E48" s="92"/>
      <c r="F48" s="92"/>
      <c r="G48" s="92"/>
      <c r="H48" s="93"/>
      <c r="J48" s="171"/>
      <c r="K48" s="172"/>
      <c r="L48" s="172"/>
      <c r="M48" s="172"/>
      <c r="N48" s="173"/>
      <c r="P48" s="106"/>
      <c r="Q48" s="92"/>
      <c r="R48" s="92"/>
      <c r="S48" s="92"/>
      <c r="T48" s="93"/>
      <c r="V48" s="106"/>
      <c r="W48" s="92"/>
      <c r="X48" s="92"/>
      <c r="Y48" s="92"/>
      <c r="Z48" s="93"/>
      <c r="AB48" s="106"/>
      <c r="AC48" s="92"/>
      <c r="AD48" s="92"/>
      <c r="AE48" s="92"/>
      <c r="AF48" s="93"/>
    </row>
    <row r="49" spans="2:32" x14ac:dyDescent="0.3">
      <c r="B49" s="182"/>
      <c r="D49" s="106"/>
      <c r="E49" s="92"/>
      <c r="F49" s="92"/>
      <c r="G49" s="92"/>
      <c r="H49" s="93"/>
      <c r="J49" s="118"/>
      <c r="K49" s="35"/>
      <c r="L49" s="35"/>
      <c r="M49" s="35"/>
      <c r="N49" s="117"/>
      <c r="P49" s="106"/>
      <c r="Q49" s="92"/>
      <c r="R49" s="92"/>
      <c r="S49" s="92"/>
      <c r="T49" s="93"/>
      <c r="V49" s="106"/>
      <c r="W49" s="92"/>
      <c r="X49" s="92"/>
      <c r="Y49" s="92"/>
      <c r="Z49" s="93"/>
      <c r="AB49" s="106"/>
      <c r="AC49" s="92"/>
      <c r="AD49" s="92"/>
      <c r="AE49" s="92"/>
      <c r="AF49" s="93"/>
    </row>
    <row r="50" spans="2:32" x14ac:dyDescent="0.3">
      <c r="B50" s="182"/>
      <c r="D50" s="107" t="s">
        <v>1088</v>
      </c>
      <c r="E50" s="92"/>
      <c r="F50" s="92"/>
      <c r="G50" s="92"/>
      <c r="H50" s="93"/>
      <c r="J50" s="116" t="s">
        <v>1088</v>
      </c>
      <c r="K50" s="35"/>
      <c r="L50" s="35"/>
      <c r="M50" s="35"/>
      <c r="N50" s="117"/>
      <c r="P50" s="107" t="s">
        <v>1088</v>
      </c>
      <c r="Q50" s="92"/>
      <c r="R50" s="92"/>
      <c r="S50" s="92"/>
      <c r="T50" s="93"/>
      <c r="V50" s="107" t="s">
        <v>1088</v>
      </c>
      <c r="W50" s="92"/>
      <c r="X50" s="92"/>
      <c r="Y50" s="92"/>
      <c r="Z50" s="93"/>
      <c r="AB50" s="107" t="s">
        <v>1088</v>
      </c>
      <c r="AC50" s="92"/>
      <c r="AD50" s="92"/>
      <c r="AE50" s="92"/>
      <c r="AF50" s="93"/>
    </row>
    <row r="51" spans="2:32" ht="23.4" customHeight="1" x14ac:dyDescent="0.3">
      <c r="B51" s="182"/>
      <c r="D51" s="91"/>
      <c r="E51" s="92"/>
      <c r="F51" s="92"/>
      <c r="G51" s="92"/>
      <c r="H51" s="93"/>
      <c r="J51" s="125" t="s">
        <v>1097</v>
      </c>
      <c r="K51" s="123"/>
      <c r="L51" s="123"/>
      <c r="M51" s="123"/>
      <c r="N51" s="124"/>
      <c r="P51" s="106"/>
      <c r="Q51" s="92"/>
      <c r="R51" s="92"/>
      <c r="S51" s="92"/>
      <c r="T51" s="93"/>
      <c r="V51" s="106"/>
      <c r="W51" s="92"/>
      <c r="X51" s="92"/>
      <c r="Y51" s="92"/>
      <c r="Z51" s="93"/>
      <c r="AB51" s="106"/>
      <c r="AC51" s="92"/>
      <c r="AD51" s="92"/>
      <c r="AE51" s="92"/>
      <c r="AF51" s="93"/>
    </row>
    <row r="52" spans="2:32" x14ac:dyDescent="0.3">
      <c r="B52" s="182"/>
      <c r="D52" s="91"/>
      <c r="E52" s="92"/>
      <c r="F52" s="92"/>
      <c r="G52" s="92"/>
      <c r="H52" s="93"/>
      <c r="J52" s="119"/>
      <c r="K52" s="35"/>
      <c r="L52" s="35"/>
      <c r="M52" s="35"/>
      <c r="N52" s="117"/>
      <c r="P52" s="106"/>
      <c r="Q52" s="92"/>
      <c r="R52" s="92"/>
      <c r="S52" s="92"/>
      <c r="T52" s="93"/>
      <c r="V52" s="106"/>
      <c r="W52" s="92"/>
      <c r="X52" s="92"/>
      <c r="Y52" s="92"/>
      <c r="Z52" s="93"/>
      <c r="AB52" s="106"/>
      <c r="AC52" s="92"/>
      <c r="AD52" s="92"/>
      <c r="AE52" s="92"/>
      <c r="AF52" s="93"/>
    </row>
    <row r="53" spans="2:32" x14ac:dyDescent="0.3">
      <c r="B53" s="182"/>
      <c r="D53" s="91"/>
      <c r="E53" s="92"/>
      <c r="F53" s="92"/>
      <c r="G53" s="92"/>
      <c r="H53" s="93"/>
      <c r="J53" s="116" t="s">
        <v>1089</v>
      </c>
      <c r="K53" s="35"/>
      <c r="L53" s="35"/>
      <c r="M53" s="35"/>
      <c r="N53" s="117"/>
      <c r="P53" s="107" t="s">
        <v>1089</v>
      </c>
      <c r="Q53" s="92"/>
      <c r="R53" s="92"/>
      <c r="S53" s="92"/>
      <c r="T53" s="93"/>
      <c r="V53" s="107" t="s">
        <v>1089</v>
      </c>
      <c r="W53" s="92"/>
      <c r="X53" s="92"/>
      <c r="Y53" s="92"/>
      <c r="Z53" s="93"/>
      <c r="AB53" s="107" t="s">
        <v>1089</v>
      </c>
      <c r="AC53" s="92"/>
      <c r="AD53" s="92"/>
      <c r="AE53" s="92"/>
      <c r="AF53" s="93"/>
    </row>
    <row r="54" spans="2:32" ht="246" customHeight="1" x14ac:dyDescent="0.3">
      <c r="B54" s="182"/>
      <c r="D54" s="107" t="s">
        <v>1089</v>
      </c>
      <c r="E54" s="92"/>
      <c r="F54" s="92"/>
      <c r="G54" s="92"/>
      <c r="H54" s="93"/>
      <c r="J54" s="119" t="s">
        <v>282</v>
      </c>
      <c r="K54" s="35"/>
      <c r="L54" s="35"/>
      <c r="M54" s="35"/>
      <c r="N54" s="117"/>
      <c r="P54" s="177" t="s">
        <v>1181</v>
      </c>
      <c r="Q54" s="178"/>
      <c r="R54" s="178"/>
      <c r="S54" s="178"/>
      <c r="T54" s="179"/>
      <c r="V54" s="177"/>
      <c r="W54" s="178"/>
      <c r="X54" s="178"/>
      <c r="Y54" s="178"/>
      <c r="Z54" s="179"/>
      <c r="AB54" s="177"/>
      <c r="AC54" s="178"/>
      <c r="AD54" s="178"/>
      <c r="AE54" s="178"/>
      <c r="AF54" s="179"/>
    </row>
    <row r="55" spans="2:32" x14ac:dyDescent="0.3">
      <c r="B55" s="182"/>
      <c r="D55" s="91"/>
      <c r="E55" s="92"/>
      <c r="F55" s="92"/>
      <c r="G55" s="92"/>
      <c r="H55" s="93"/>
      <c r="J55" s="119"/>
      <c r="K55" s="35"/>
      <c r="L55" s="35"/>
      <c r="M55" s="35"/>
      <c r="N55" s="117"/>
      <c r="P55" s="91"/>
      <c r="Q55" s="92"/>
      <c r="R55" s="92"/>
      <c r="S55" s="92"/>
      <c r="T55" s="93"/>
      <c r="V55" s="91"/>
      <c r="W55" s="92"/>
      <c r="X55" s="92"/>
      <c r="Y55" s="92"/>
      <c r="Z55" s="93"/>
      <c r="AB55" s="91"/>
      <c r="AC55" s="92"/>
      <c r="AD55" s="92"/>
      <c r="AE55" s="92"/>
      <c r="AF55" s="93"/>
    </row>
    <row r="56" spans="2:32" x14ac:dyDescent="0.3">
      <c r="B56" s="182"/>
      <c r="D56" s="91"/>
      <c r="E56" s="92"/>
      <c r="F56" s="92"/>
      <c r="G56" s="92"/>
      <c r="H56" s="93"/>
      <c r="J56" s="119"/>
      <c r="K56" s="35"/>
      <c r="L56" s="35"/>
      <c r="M56" s="35"/>
      <c r="N56" s="117"/>
      <c r="P56" s="91"/>
      <c r="Q56" s="92"/>
      <c r="R56" s="92"/>
      <c r="S56" s="92"/>
      <c r="T56" s="93"/>
      <c r="V56" s="91"/>
      <c r="W56" s="92"/>
      <c r="X56" s="92"/>
      <c r="Y56" s="92"/>
      <c r="Z56" s="93"/>
      <c r="AB56" s="91"/>
      <c r="AC56" s="92"/>
      <c r="AD56" s="92"/>
      <c r="AE56" s="92"/>
      <c r="AF56" s="93"/>
    </row>
    <row r="57" spans="2:32" x14ac:dyDescent="0.3">
      <c r="B57" s="182"/>
      <c r="D57" s="91"/>
      <c r="E57" s="92"/>
      <c r="F57" s="92"/>
      <c r="G57" s="92"/>
      <c r="H57" s="93"/>
      <c r="J57" s="119"/>
      <c r="K57" s="35"/>
      <c r="L57" s="35"/>
      <c r="M57" s="35"/>
      <c r="N57" s="117"/>
      <c r="P57" s="91"/>
      <c r="Q57" s="92"/>
      <c r="R57" s="92"/>
      <c r="S57" s="92"/>
      <c r="T57" s="93"/>
      <c r="V57" s="91"/>
      <c r="W57" s="92"/>
      <c r="X57" s="92"/>
      <c r="Y57" s="92"/>
      <c r="Z57" s="93"/>
      <c r="AB57" s="91"/>
      <c r="AC57" s="92"/>
      <c r="AD57" s="92"/>
      <c r="AE57" s="92"/>
      <c r="AF57" s="93"/>
    </row>
    <row r="58" spans="2:32" x14ac:dyDescent="0.3">
      <c r="B58" s="183"/>
      <c r="D58" s="94"/>
      <c r="E58" s="95"/>
      <c r="F58" s="95"/>
      <c r="G58" s="95"/>
      <c r="H58" s="96"/>
      <c r="J58" s="94"/>
      <c r="K58" s="95"/>
      <c r="L58" s="95"/>
      <c r="M58" s="95"/>
      <c r="N58" s="96"/>
      <c r="P58" s="94"/>
      <c r="Q58" s="95"/>
      <c r="R58" s="95"/>
      <c r="S58" s="95"/>
      <c r="T58" s="96"/>
      <c r="V58" s="94"/>
      <c r="W58" s="95"/>
      <c r="X58" s="95"/>
      <c r="Y58" s="95"/>
      <c r="Z58" s="96"/>
      <c r="AB58" s="94"/>
      <c r="AC58" s="95"/>
      <c r="AD58" s="95"/>
      <c r="AE58" s="95"/>
      <c r="AF58" s="96"/>
    </row>
    <row r="59" spans="2:32" x14ac:dyDescent="0.3">
      <c r="Y59" s="1"/>
      <c r="AE59" s="1"/>
    </row>
    <row r="60" spans="2:32" x14ac:dyDescent="0.3">
      <c r="Y60" s="1"/>
    </row>
    <row r="61" spans="2:32" x14ac:dyDescent="0.3">
      <c r="Y61" s="1"/>
    </row>
    <row r="62" spans="2:32" x14ac:dyDescent="0.3">
      <c r="Y62" s="1"/>
    </row>
    <row r="63" spans="2:32" x14ac:dyDescent="0.3">
      <c r="Y63" s="1"/>
    </row>
    <row r="64" spans="2:32" x14ac:dyDescent="0.3">
      <c r="Y64" s="1"/>
    </row>
    <row r="65" spans="1:16" x14ac:dyDescent="0.3">
      <c r="A65" s="87"/>
      <c r="P65" s="1"/>
    </row>
    <row r="66" spans="1:16" x14ac:dyDescent="0.3">
      <c r="A66" s="87"/>
      <c r="P66" s="1"/>
    </row>
    <row r="67" spans="1:16" x14ac:dyDescent="0.3">
      <c r="A67" s="87"/>
      <c r="P67" s="1"/>
    </row>
    <row r="68" spans="1:16" x14ac:dyDescent="0.3">
      <c r="A68" s="87"/>
      <c r="P68" s="1"/>
    </row>
    <row r="69" spans="1:16" x14ac:dyDescent="0.3">
      <c r="A69" s="87"/>
      <c r="P69" s="1"/>
    </row>
    <row r="70" spans="1:16" x14ac:dyDescent="0.3">
      <c r="A70" s="87"/>
      <c r="P70" s="1"/>
    </row>
    <row r="71" spans="1:16" x14ac:dyDescent="0.3">
      <c r="A71" s="87"/>
    </row>
    <row r="72" spans="1:16" x14ac:dyDescent="0.3">
      <c r="A72" s="87"/>
    </row>
    <row r="73" spans="1:16" x14ac:dyDescent="0.3">
      <c r="A73" s="87"/>
    </row>
    <row r="74" spans="1:16" x14ac:dyDescent="0.3">
      <c r="A74" s="87"/>
    </row>
    <row r="75" spans="1:16" x14ac:dyDescent="0.3">
      <c r="A75" s="87"/>
    </row>
    <row r="76" spans="1:16" x14ac:dyDescent="0.3">
      <c r="A76" s="87"/>
    </row>
    <row r="77" spans="1:16" x14ac:dyDescent="0.3">
      <c r="A77" s="87"/>
    </row>
    <row r="78" spans="1:16" x14ac:dyDescent="0.3">
      <c r="A78" s="87"/>
    </row>
    <row r="79" spans="1:16" x14ac:dyDescent="0.3">
      <c r="A79" s="87"/>
    </row>
    <row r="80" spans="1:16" x14ac:dyDescent="0.3">
      <c r="A80" s="87"/>
    </row>
    <row r="81" spans="1:1" x14ac:dyDescent="0.3">
      <c r="A81" s="87"/>
    </row>
    <row r="82" spans="1:1" x14ac:dyDescent="0.3">
      <c r="A82" s="87"/>
    </row>
    <row r="83" spans="1:1" x14ac:dyDescent="0.3">
      <c r="A83" s="87"/>
    </row>
    <row r="84" spans="1:1" x14ac:dyDescent="0.3">
      <c r="A84" s="87"/>
    </row>
    <row r="85" spans="1:1" x14ac:dyDescent="0.3">
      <c r="A85" s="87"/>
    </row>
    <row r="86" spans="1:1" x14ac:dyDescent="0.3">
      <c r="A86" s="87"/>
    </row>
    <row r="87" spans="1:1" x14ac:dyDescent="0.3">
      <c r="A87" s="87"/>
    </row>
  </sheetData>
  <mergeCells count="24">
    <mergeCell ref="AB38:AF41"/>
    <mergeCell ref="AB43:AF43"/>
    <mergeCell ref="AB54:AF54"/>
    <mergeCell ref="P11:T13"/>
    <mergeCell ref="P16:T16"/>
    <mergeCell ref="P24:T25"/>
    <mergeCell ref="P27:T27"/>
    <mergeCell ref="V38:Z41"/>
    <mergeCell ref="V43:Z43"/>
    <mergeCell ref="V54:Z54"/>
    <mergeCell ref="P38:T41"/>
    <mergeCell ref="P43:T43"/>
    <mergeCell ref="P54:T54"/>
    <mergeCell ref="B10:B30"/>
    <mergeCell ref="B37:B58"/>
    <mergeCell ref="D11:H14"/>
    <mergeCell ref="D16:H17"/>
    <mergeCell ref="D20:H21"/>
    <mergeCell ref="J38:N41"/>
    <mergeCell ref="J43:N44"/>
    <mergeCell ref="J47:N48"/>
    <mergeCell ref="J11:N14"/>
    <mergeCell ref="J16:N16"/>
    <mergeCell ref="J27:N27"/>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5452-0B58-48DE-975B-13BCDADD59FD}">
  <dimension ref="A1:AQ75"/>
  <sheetViews>
    <sheetView showGridLines="0" topLeftCell="A22" zoomScale="62" zoomScaleNormal="85" workbookViewId="0">
      <selection activeCell="C48" sqref="C48"/>
    </sheetView>
  </sheetViews>
  <sheetFormatPr defaultColWidth="8.88671875" defaultRowHeight="19.8" x14ac:dyDescent="0.3"/>
  <cols>
    <col min="1" max="1" width="3.6640625" style="136" customWidth="1"/>
    <col min="2" max="2" width="15.5546875" style="136" customWidth="1"/>
    <col min="3" max="3" width="50.5546875" style="135" bestFit="1" customWidth="1"/>
    <col min="4" max="4" width="67.33203125" style="135" customWidth="1"/>
    <col min="5" max="5" width="24" style="135" customWidth="1"/>
    <col min="6" max="6" width="34.21875" style="135" bestFit="1" customWidth="1"/>
    <col min="7" max="7" width="28.21875" style="135" bestFit="1" customWidth="1"/>
    <col min="8" max="8" width="118.5546875" style="135" customWidth="1"/>
    <col min="9" max="9" width="43.88671875" style="135" customWidth="1"/>
    <col min="10" max="10" width="75.44140625" style="135" customWidth="1"/>
    <col min="11" max="11" width="121.6640625" style="135" customWidth="1"/>
    <col min="12" max="12" width="26.88671875" style="135" customWidth="1"/>
    <col min="13" max="13" width="19.109375" style="135" customWidth="1"/>
    <col min="14" max="14" width="25.33203125" style="135" customWidth="1"/>
    <col min="15" max="15" width="22.6640625" style="135" customWidth="1"/>
    <col min="16" max="16" width="32.33203125" style="135" customWidth="1"/>
    <col min="17" max="16384" width="8.88671875" style="135"/>
  </cols>
  <sheetData>
    <row r="1" spans="1:43" ht="48" customHeight="1" thickBot="1" x14ac:dyDescent="0.35">
      <c r="A1" s="134"/>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row>
    <row r="2" spans="1:43" ht="20.399999999999999" thickTop="1" x14ac:dyDescent="0.3">
      <c r="A2" s="135"/>
      <c r="B2" s="135"/>
    </row>
    <row r="3" spans="1:43" s="136" customFormat="1" x14ac:dyDescent="0.3">
      <c r="C3" s="137" t="s">
        <v>1120</v>
      </c>
      <c r="D3" s="138">
        <f ca="1">TODAY()</f>
        <v>45959</v>
      </c>
      <c r="K3" s="135"/>
    </row>
    <row r="4" spans="1:43" s="136" customFormat="1" x14ac:dyDescent="0.3">
      <c r="K4" s="135"/>
    </row>
    <row r="5" spans="1:43" s="136" customFormat="1" x14ac:dyDescent="0.3">
      <c r="C5" s="185" t="s">
        <v>1122</v>
      </c>
      <c r="D5" s="185"/>
      <c r="E5" s="185"/>
      <c r="F5" s="185"/>
      <c r="K5" s="135"/>
    </row>
    <row r="6" spans="1:43" s="136" customFormat="1" x14ac:dyDescent="0.3">
      <c r="C6" s="139" t="s">
        <v>1240</v>
      </c>
      <c r="D6" s="140" t="s">
        <v>22</v>
      </c>
      <c r="E6" s="140" t="s">
        <v>23</v>
      </c>
      <c r="F6" s="140" t="s">
        <v>1313</v>
      </c>
      <c r="K6" s="135"/>
    </row>
    <row r="7" spans="1:43" s="136" customFormat="1" x14ac:dyDescent="0.3">
      <c r="B7" s="163">
        <v>23</v>
      </c>
      <c r="C7" s="162" t="s">
        <v>26</v>
      </c>
      <c r="D7" s="141">
        <f>COUNTIF($G$18:$G$1048576,C7)</f>
        <v>23</v>
      </c>
      <c r="E7" s="142">
        <f t="shared" ref="E7:E12" si="0">D7/$D$12</f>
        <v>0.65714285714285714</v>
      </c>
      <c r="F7" s="141">
        <f>D7-B7</f>
        <v>0</v>
      </c>
      <c r="K7" s="135"/>
    </row>
    <row r="8" spans="1:43" s="136" customFormat="1" x14ac:dyDescent="0.3">
      <c r="B8" s="163">
        <v>0</v>
      </c>
      <c r="C8" s="162" t="s">
        <v>1183</v>
      </c>
      <c r="D8" s="141">
        <f>COUNTIF($G$18:$G$1048576,C8)</f>
        <v>0</v>
      </c>
      <c r="E8" s="142">
        <f t="shared" si="0"/>
        <v>0</v>
      </c>
      <c r="F8" s="141">
        <f>D8-B8</f>
        <v>0</v>
      </c>
      <c r="K8" s="135"/>
    </row>
    <row r="9" spans="1:43" s="136" customFormat="1" x14ac:dyDescent="0.3">
      <c r="B9" s="163">
        <v>8</v>
      </c>
      <c r="C9" s="162" t="s">
        <v>1233</v>
      </c>
      <c r="D9" s="141">
        <f>COUNTIF($G$18:$G$1048576,C9)</f>
        <v>8</v>
      </c>
      <c r="E9" s="142">
        <f t="shared" si="0"/>
        <v>0.22857142857142856</v>
      </c>
      <c r="F9" s="141">
        <f>D9-B9</f>
        <v>0</v>
      </c>
      <c r="K9" s="135"/>
    </row>
    <row r="10" spans="1:43" s="136" customFormat="1" x14ac:dyDescent="0.3">
      <c r="B10" s="163">
        <v>3</v>
      </c>
      <c r="C10" s="162" t="s">
        <v>1234</v>
      </c>
      <c r="D10" s="141">
        <f>COUNTIF($G$18:$G$1048576,C10)</f>
        <v>3</v>
      </c>
      <c r="E10" s="142">
        <f t="shared" si="0"/>
        <v>8.5714285714285715E-2</v>
      </c>
      <c r="F10" s="141">
        <f>D10-B10</f>
        <v>0</v>
      </c>
      <c r="K10" s="135"/>
    </row>
    <row r="11" spans="1:43" s="136" customFormat="1" x14ac:dyDescent="0.3">
      <c r="B11" s="163">
        <v>1</v>
      </c>
      <c r="C11" s="162" t="s">
        <v>1179</v>
      </c>
      <c r="D11" s="141">
        <f>COUNTIF($G$18:$G$1048576,C11)</f>
        <v>1</v>
      </c>
      <c r="E11" s="142">
        <f t="shared" si="0"/>
        <v>2.8571428571428571E-2</v>
      </c>
      <c r="F11" s="141">
        <f>D11-B11</f>
        <v>0</v>
      </c>
      <c r="K11" s="135"/>
    </row>
    <row r="12" spans="1:43" x14ac:dyDescent="0.3">
      <c r="A12" s="135"/>
      <c r="B12" s="158"/>
      <c r="C12" s="139" t="s">
        <v>1121</v>
      </c>
      <c r="D12" s="143">
        <f>COUNTA(C19:C53)</f>
        <v>35</v>
      </c>
      <c r="E12" s="140">
        <f t="shared" si="0"/>
        <v>1</v>
      </c>
      <c r="F12" s="140"/>
    </row>
    <row r="13" spans="1:43" x14ac:dyDescent="0.3">
      <c r="A13" s="135"/>
      <c r="B13" s="135"/>
      <c r="C13" s="144"/>
      <c r="D13" s="144"/>
      <c r="E13" s="144"/>
      <c r="F13" s="144"/>
    </row>
    <row r="14" spans="1:43" x14ac:dyDescent="0.3">
      <c r="C14" s="137" t="s">
        <v>1123</v>
      </c>
      <c r="D14" s="138">
        <v>45838</v>
      </c>
    </row>
    <row r="15" spans="1:43" x14ac:dyDescent="0.3">
      <c r="C15" s="137" t="s">
        <v>1243</v>
      </c>
      <c r="D15" s="138" t="s">
        <v>1242</v>
      </c>
    </row>
    <row r="16" spans="1:43" x14ac:dyDescent="0.3">
      <c r="D16" s="145"/>
    </row>
    <row r="17" spans="2:9" x14ac:dyDescent="0.3">
      <c r="E17" s="184" t="s">
        <v>1315</v>
      </c>
      <c r="F17" s="184"/>
    </row>
    <row r="18" spans="2:9" ht="39.6" x14ac:dyDescent="0.3">
      <c r="B18" s="157" t="s">
        <v>1236</v>
      </c>
      <c r="C18" s="157" t="s">
        <v>590</v>
      </c>
      <c r="D18" s="137" t="s">
        <v>1092</v>
      </c>
      <c r="E18" s="164" t="s">
        <v>1093</v>
      </c>
      <c r="F18" s="164" t="s">
        <v>1094</v>
      </c>
      <c r="G18" s="137" t="s">
        <v>1127</v>
      </c>
      <c r="H18" s="157" t="s">
        <v>1119</v>
      </c>
      <c r="I18" s="157" t="s">
        <v>1126</v>
      </c>
    </row>
    <row r="19" spans="2:9" x14ac:dyDescent="0.3">
      <c r="B19" s="146">
        <v>1</v>
      </c>
      <c r="C19" s="147" t="s">
        <v>1216</v>
      </c>
      <c r="D19" s="150" t="s">
        <v>1189</v>
      </c>
      <c r="E19" s="149" t="s">
        <v>130</v>
      </c>
      <c r="F19" s="149" t="s">
        <v>1282</v>
      </c>
      <c r="G19" s="154" t="s">
        <v>26</v>
      </c>
      <c r="H19" s="152" t="s">
        <v>282</v>
      </c>
      <c r="I19" s="152" t="s">
        <v>282</v>
      </c>
    </row>
    <row r="20" spans="2:9" x14ac:dyDescent="0.3">
      <c r="B20" s="146">
        <v>2</v>
      </c>
      <c r="C20" s="147" t="s">
        <v>1217</v>
      </c>
      <c r="D20" s="150" t="s">
        <v>1189</v>
      </c>
      <c r="E20" s="149" t="s">
        <v>130</v>
      </c>
      <c r="F20" s="149" t="s">
        <v>1282</v>
      </c>
      <c r="G20" s="154" t="s">
        <v>26</v>
      </c>
      <c r="H20" s="152" t="s">
        <v>282</v>
      </c>
      <c r="I20" s="152" t="s">
        <v>282</v>
      </c>
    </row>
    <row r="21" spans="2:9" x14ac:dyDescent="0.3">
      <c r="B21" s="146">
        <v>3</v>
      </c>
      <c r="C21" s="147" t="s">
        <v>1280</v>
      </c>
      <c r="D21" s="148" t="s">
        <v>1281</v>
      </c>
      <c r="E21" s="149" t="s">
        <v>130</v>
      </c>
      <c r="F21" s="149" t="s">
        <v>1282</v>
      </c>
      <c r="G21" s="154" t="s">
        <v>26</v>
      </c>
      <c r="H21" s="152" t="s">
        <v>282</v>
      </c>
      <c r="I21" s="152"/>
    </row>
    <row r="22" spans="2:9" x14ac:dyDescent="0.3">
      <c r="B22" s="146">
        <v>4</v>
      </c>
      <c r="C22" s="147" t="s">
        <v>437</v>
      </c>
      <c r="D22" s="148" t="s">
        <v>1229</v>
      </c>
      <c r="E22" s="149" t="s">
        <v>130</v>
      </c>
      <c r="F22" s="149" t="s">
        <v>130</v>
      </c>
      <c r="G22" s="154" t="s">
        <v>26</v>
      </c>
      <c r="H22" s="152" t="s">
        <v>282</v>
      </c>
      <c r="I22" s="152" t="s">
        <v>282</v>
      </c>
    </row>
    <row r="23" spans="2:9" x14ac:dyDescent="0.3">
      <c r="B23" s="146">
        <v>4</v>
      </c>
      <c r="C23" s="147" t="s">
        <v>308</v>
      </c>
      <c r="D23" s="148" t="s">
        <v>1281</v>
      </c>
      <c r="E23" s="149" t="s">
        <v>130</v>
      </c>
      <c r="F23" s="149" t="s">
        <v>130</v>
      </c>
      <c r="G23" s="154" t="s">
        <v>26</v>
      </c>
      <c r="H23" s="152" t="s">
        <v>282</v>
      </c>
      <c r="I23" s="152"/>
    </row>
    <row r="24" spans="2:9" x14ac:dyDescent="0.3">
      <c r="B24" s="146">
        <v>5</v>
      </c>
      <c r="C24" s="147" t="s">
        <v>1279</v>
      </c>
      <c r="D24" s="148" t="s">
        <v>1281</v>
      </c>
      <c r="E24" s="149" t="s">
        <v>130</v>
      </c>
      <c r="F24" s="149" t="s">
        <v>130</v>
      </c>
      <c r="G24" s="154" t="s">
        <v>26</v>
      </c>
      <c r="H24" s="152" t="s">
        <v>282</v>
      </c>
      <c r="I24" s="152" t="s">
        <v>282</v>
      </c>
    </row>
    <row r="25" spans="2:9" ht="39.6" x14ac:dyDescent="0.3">
      <c r="B25" s="146">
        <v>6</v>
      </c>
      <c r="C25" s="147" t="s">
        <v>49</v>
      </c>
      <c r="D25" s="148" t="s">
        <v>1095</v>
      </c>
      <c r="E25" s="149" t="s">
        <v>130</v>
      </c>
      <c r="F25" s="149" t="s">
        <v>130</v>
      </c>
      <c r="G25" s="154" t="s">
        <v>26</v>
      </c>
      <c r="H25" s="153" t="s">
        <v>1176</v>
      </c>
      <c r="I25" s="153" t="s">
        <v>282</v>
      </c>
    </row>
    <row r="26" spans="2:9" ht="39.6" x14ac:dyDescent="0.3">
      <c r="B26" s="146">
        <v>7</v>
      </c>
      <c r="C26" s="147" t="s">
        <v>50</v>
      </c>
      <c r="D26" s="148" t="s">
        <v>1095</v>
      </c>
      <c r="E26" s="149" t="s">
        <v>130</v>
      </c>
      <c r="F26" s="149" t="s">
        <v>130</v>
      </c>
      <c r="G26" s="154" t="s">
        <v>26</v>
      </c>
      <c r="H26" s="153" t="s">
        <v>1176</v>
      </c>
      <c r="I26" s="153" t="s">
        <v>282</v>
      </c>
    </row>
    <row r="27" spans="2:9" x14ac:dyDescent="0.3">
      <c r="B27" s="146">
        <v>8</v>
      </c>
      <c r="C27" s="147" t="s">
        <v>47</v>
      </c>
      <c r="D27" s="148" t="s">
        <v>1095</v>
      </c>
      <c r="E27" s="149" t="s">
        <v>130</v>
      </c>
      <c r="F27" s="149" t="s">
        <v>130</v>
      </c>
      <c r="G27" s="154" t="s">
        <v>26</v>
      </c>
      <c r="H27" s="153" t="s">
        <v>1190</v>
      </c>
      <c r="I27" s="152" t="s">
        <v>282</v>
      </c>
    </row>
    <row r="28" spans="2:9" ht="79.2" x14ac:dyDescent="0.3">
      <c r="B28" s="146">
        <v>9</v>
      </c>
      <c r="C28" s="147" t="s">
        <v>513</v>
      </c>
      <c r="D28" s="150" t="s">
        <v>1189</v>
      </c>
      <c r="E28" s="149" t="s">
        <v>130</v>
      </c>
      <c r="F28" s="151" t="s">
        <v>130</v>
      </c>
      <c r="G28" s="154" t="s">
        <v>26</v>
      </c>
      <c r="H28" s="153" t="s">
        <v>1237</v>
      </c>
      <c r="I28" s="152" t="s">
        <v>282</v>
      </c>
    </row>
    <row r="29" spans="2:9" x14ac:dyDescent="0.3">
      <c r="B29" s="146">
        <v>10</v>
      </c>
      <c r="C29" s="147" t="s">
        <v>461</v>
      </c>
      <c r="D29" s="148" t="s">
        <v>1230</v>
      </c>
      <c r="E29" s="149" t="s">
        <v>130</v>
      </c>
      <c r="F29" s="149" t="s">
        <v>130</v>
      </c>
      <c r="G29" s="154" t="s">
        <v>26</v>
      </c>
      <c r="H29" s="152" t="s">
        <v>282</v>
      </c>
      <c r="I29" s="152" t="s">
        <v>282</v>
      </c>
    </row>
    <row r="30" spans="2:9" x14ac:dyDescent="0.3">
      <c r="B30" s="146">
        <v>11</v>
      </c>
      <c r="C30" s="147" t="s">
        <v>48</v>
      </c>
      <c r="D30" s="148" t="s">
        <v>1095</v>
      </c>
      <c r="E30" s="149" t="s">
        <v>130</v>
      </c>
      <c r="F30" s="149" t="s">
        <v>130</v>
      </c>
      <c r="G30" s="154" t="s">
        <v>26</v>
      </c>
      <c r="H30" s="153" t="s">
        <v>1271</v>
      </c>
      <c r="I30" s="153" t="s">
        <v>282</v>
      </c>
    </row>
    <row r="31" spans="2:9" ht="59.4" x14ac:dyDescent="0.3">
      <c r="B31" s="146">
        <v>12</v>
      </c>
      <c r="C31" s="147" t="s">
        <v>501</v>
      </c>
      <c r="D31" s="150" t="s">
        <v>1218</v>
      </c>
      <c r="E31" s="149" t="s">
        <v>130</v>
      </c>
      <c r="F31" s="149" t="s">
        <v>130</v>
      </c>
      <c r="G31" s="154" t="s">
        <v>26</v>
      </c>
      <c r="H31" s="153" t="s">
        <v>282</v>
      </c>
      <c r="I31" s="153"/>
    </row>
    <row r="32" spans="2:9" x14ac:dyDescent="0.3">
      <c r="B32" s="146">
        <v>14</v>
      </c>
      <c r="C32" s="147" t="s">
        <v>301</v>
      </c>
      <c r="D32" s="148" t="s">
        <v>1229</v>
      </c>
      <c r="E32" s="149" t="s">
        <v>130</v>
      </c>
      <c r="F32" s="151" t="s">
        <v>1239</v>
      </c>
      <c r="G32" s="154" t="s">
        <v>26</v>
      </c>
      <c r="H32" s="153" t="s">
        <v>1312</v>
      </c>
      <c r="I32" s="152" t="s">
        <v>282</v>
      </c>
    </row>
    <row r="33" spans="2:9" x14ac:dyDescent="0.3">
      <c r="B33" s="146">
        <v>15</v>
      </c>
      <c r="C33" s="147" t="s">
        <v>411</v>
      </c>
      <c r="D33" s="148" t="s">
        <v>1230</v>
      </c>
      <c r="E33" s="149" t="s">
        <v>130</v>
      </c>
      <c r="F33" s="151" t="s">
        <v>1239</v>
      </c>
      <c r="G33" s="154" t="s">
        <v>26</v>
      </c>
      <c r="H33" s="152" t="s">
        <v>1314</v>
      </c>
      <c r="I33" s="152" t="s">
        <v>282</v>
      </c>
    </row>
    <row r="34" spans="2:9" x14ac:dyDescent="0.3">
      <c r="B34" s="146">
        <v>16</v>
      </c>
      <c r="C34" s="147" t="s">
        <v>52</v>
      </c>
      <c r="D34" s="148" t="s">
        <v>1095</v>
      </c>
      <c r="E34" s="149" t="s">
        <v>130</v>
      </c>
      <c r="F34" s="151" t="s">
        <v>1239</v>
      </c>
      <c r="G34" s="154" t="s">
        <v>26</v>
      </c>
      <c r="H34" s="153" t="s">
        <v>1247</v>
      </c>
      <c r="I34" s="153" t="s">
        <v>282</v>
      </c>
    </row>
    <row r="35" spans="2:9" x14ac:dyDescent="0.3">
      <c r="B35" s="146">
        <v>17</v>
      </c>
      <c r="C35" s="147" t="s">
        <v>51</v>
      </c>
      <c r="D35" s="148" t="s">
        <v>1095</v>
      </c>
      <c r="E35" s="149" t="s">
        <v>130</v>
      </c>
      <c r="F35" s="151" t="s">
        <v>1239</v>
      </c>
      <c r="G35" s="154" t="s">
        <v>26</v>
      </c>
      <c r="H35" s="153" t="s">
        <v>1248</v>
      </c>
      <c r="I35" s="153" t="s">
        <v>282</v>
      </c>
    </row>
    <row r="36" spans="2:9" x14ac:dyDescent="0.3">
      <c r="B36" s="146">
        <v>18</v>
      </c>
      <c r="C36" s="147" t="s">
        <v>54</v>
      </c>
      <c r="D36" s="148" t="s">
        <v>1095</v>
      </c>
      <c r="E36" s="149" t="s">
        <v>130</v>
      </c>
      <c r="F36" s="151" t="s">
        <v>1239</v>
      </c>
      <c r="G36" s="154" t="s">
        <v>26</v>
      </c>
      <c r="H36" s="153" t="s">
        <v>1249</v>
      </c>
      <c r="I36" s="153" t="s">
        <v>282</v>
      </c>
    </row>
    <row r="37" spans="2:9" ht="118.8" x14ac:dyDescent="0.3">
      <c r="B37" s="146">
        <v>19</v>
      </c>
      <c r="C37" s="147" t="s">
        <v>199</v>
      </c>
      <c r="D37" s="153" t="s">
        <v>1218</v>
      </c>
      <c r="E37" s="149" t="s">
        <v>130</v>
      </c>
      <c r="F37" s="151" t="s">
        <v>1239</v>
      </c>
      <c r="G37" s="154" t="s">
        <v>26</v>
      </c>
      <c r="H37" s="153" t="s">
        <v>1232</v>
      </c>
      <c r="I37" s="152" t="s">
        <v>282</v>
      </c>
    </row>
    <row r="38" spans="2:9" x14ac:dyDescent="0.3">
      <c r="B38" s="146">
        <v>20</v>
      </c>
      <c r="C38" s="147" t="s">
        <v>440</v>
      </c>
      <c r="D38" s="152" t="s">
        <v>1229</v>
      </c>
      <c r="E38" s="149" t="s">
        <v>130</v>
      </c>
      <c r="F38" s="151" t="s">
        <v>1239</v>
      </c>
      <c r="G38" s="154" t="s">
        <v>26</v>
      </c>
      <c r="H38" s="152" t="s">
        <v>1238</v>
      </c>
      <c r="I38" s="152" t="s">
        <v>282</v>
      </c>
    </row>
    <row r="39" spans="2:9" ht="39.6" x14ac:dyDescent="0.3">
      <c r="B39" s="146">
        <v>21</v>
      </c>
      <c r="C39" s="147" t="s">
        <v>314</v>
      </c>
      <c r="D39" s="153" t="s">
        <v>1189</v>
      </c>
      <c r="E39" s="149" t="s">
        <v>130</v>
      </c>
      <c r="F39" s="151" t="s">
        <v>1239</v>
      </c>
      <c r="G39" s="154" t="s">
        <v>26</v>
      </c>
      <c r="H39" s="153" t="s">
        <v>1316</v>
      </c>
      <c r="I39" s="153" t="s">
        <v>1244</v>
      </c>
    </row>
    <row r="40" spans="2:9" x14ac:dyDescent="0.3">
      <c r="B40" s="146">
        <v>22</v>
      </c>
      <c r="C40" s="147" t="s">
        <v>53</v>
      </c>
      <c r="D40" s="152" t="s">
        <v>1095</v>
      </c>
      <c r="E40" s="149" t="s">
        <v>130</v>
      </c>
      <c r="F40" s="151" t="s">
        <v>1239</v>
      </c>
      <c r="G40" s="154" t="s">
        <v>26</v>
      </c>
      <c r="H40" s="153" t="s">
        <v>1250</v>
      </c>
      <c r="I40" s="153" t="s">
        <v>282</v>
      </c>
    </row>
    <row r="41" spans="2:9" ht="39.6" x14ac:dyDescent="0.3">
      <c r="B41" s="146">
        <v>23</v>
      </c>
      <c r="C41" s="147" t="s">
        <v>41</v>
      </c>
      <c r="D41" s="148" t="s">
        <v>1095</v>
      </c>
      <c r="E41" s="149" t="s">
        <v>130</v>
      </c>
      <c r="F41" s="149" t="s">
        <v>149</v>
      </c>
      <c r="G41" s="155" t="s">
        <v>1233</v>
      </c>
      <c r="H41" s="152" t="s">
        <v>1124</v>
      </c>
      <c r="I41" s="153" t="s">
        <v>1235</v>
      </c>
    </row>
    <row r="42" spans="2:9" ht="59.4" x14ac:dyDescent="0.3">
      <c r="B42" s="146">
        <v>24</v>
      </c>
      <c r="C42" s="147" t="s">
        <v>44</v>
      </c>
      <c r="D42" s="148" t="s">
        <v>1095</v>
      </c>
      <c r="E42" s="149" t="s">
        <v>130</v>
      </c>
      <c r="F42" s="149" t="s">
        <v>149</v>
      </c>
      <c r="G42" s="155" t="s">
        <v>1233</v>
      </c>
      <c r="H42" s="153" t="s">
        <v>1270</v>
      </c>
      <c r="I42" s="153" t="s">
        <v>282</v>
      </c>
    </row>
    <row r="43" spans="2:9" ht="59.4" x14ac:dyDescent="0.3">
      <c r="B43" s="146">
        <v>25</v>
      </c>
      <c r="C43" s="147" t="s">
        <v>45</v>
      </c>
      <c r="D43" s="148" t="s">
        <v>1095</v>
      </c>
      <c r="E43" s="149" t="s">
        <v>130</v>
      </c>
      <c r="F43" s="149" t="s">
        <v>149</v>
      </c>
      <c r="G43" s="155" t="s">
        <v>1233</v>
      </c>
      <c r="H43" s="153" t="s">
        <v>1177</v>
      </c>
      <c r="I43" s="153" t="s">
        <v>282</v>
      </c>
    </row>
    <row r="44" spans="2:9" x14ac:dyDescent="0.3">
      <c r="B44" s="146">
        <v>26</v>
      </c>
      <c r="C44" s="147" t="s">
        <v>46</v>
      </c>
      <c r="D44" s="148" t="s">
        <v>1095</v>
      </c>
      <c r="E44" s="149" t="s">
        <v>130</v>
      </c>
      <c r="F44" s="149" t="s">
        <v>149</v>
      </c>
      <c r="G44" s="155" t="s">
        <v>1233</v>
      </c>
      <c r="H44" s="152" t="s">
        <v>1269</v>
      </c>
      <c r="I44" s="152" t="s">
        <v>282</v>
      </c>
    </row>
    <row r="45" spans="2:9" x14ac:dyDescent="0.3">
      <c r="B45" s="146">
        <v>27</v>
      </c>
      <c r="C45" s="147" t="s">
        <v>136</v>
      </c>
      <c r="D45" s="148" t="s">
        <v>1229</v>
      </c>
      <c r="E45" s="149" t="s">
        <v>130</v>
      </c>
      <c r="F45" s="149" t="s">
        <v>149</v>
      </c>
      <c r="G45" s="155" t="s">
        <v>1233</v>
      </c>
      <c r="H45" s="152" t="s">
        <v>1269</v>
      </c>
      <c r="I45" s="152" t="s">
        <v>282</v>
      </c>
    </row>
    <row r="46" spans="2:9" x14ac:dyDescent="0.3">
      <c r="B46" s="146">
        <v>28</v>
      </c>
      <c r="C46" s="147" t="s">
        <v>425</v>
      </c>
      <c r="D46" s="148" t="s">
        <v>1230</v>
      </c>
      <c r="E46" s="149" t="s">
        <v>130</v>
      </c>
      <c r="F46" s="149" t="s">
        <v>149</v>
      </c>
      <c r="G46" s="155" t="s">
        <v>1233</v>
      </c>
      <c r="H46" s="152" t="s">
        <v>1283</v>
      </c>
      <c r="I46" s="152" t="s">
        <v>282</v>
      </c>
    </row>
    <row r="47" spans="2:9" x14ac:dyDescent="0.3">
      <c r="B47" s="146">
        <v>29</v>
      </c>
      <c r="C47" s="147" t="s">
        <v>198</v>
      </c>
      <c r="D47" s="148" t="s">
        <v>1230</v>
      </c>
      <c r="E47" s="149" t="s">
        <v>130</v>
      </c>
      <c r="F47" s="149" t="s">
        <v>149</v>
      </c>
      <c r="G47" s="155" t="s">
        <v>1233</v>
      </c>
      <c r="H47" s="152" t="s">
        <v>1292</v>
      </c>
      <c r="I47" s="152" t="s">
        <v>282</v>
      </c>
    </row>
    <row r="48" spans="2:9" x14ac:dyDescent="0.3">
      <c r="B48" s="146">
        <v>30</v>
      </c>
      <c r="C48" s="147" t="s">
        <v>1278</v>
      </c>
      <c r="D48" s="148" t="s">
        <v>1281</v>
      </c>
      <c r="E48" s="149" t="s">
        <v>130</v>
      </c>
      <c r="F48" s="149" t="s">
        <v>149</v>
      </c>
      <c r="G48" s="155" t="s">
        <v>1233</v>
      </c>
      <c r="H48" s="152" t="s">
        <v>1291</v>
      </c>
      <c r="I48" s="152" t="s">
        <v>282</v>
      </c>
    </row>
    <row r="49" spans="1:9" x14ac:dyDescent="0.3">
      <c r="B49" s="146">
        <v>31</v>
      </c>
      <c r="C49" s="165" t="s">
        <v>1277</v>
      </c>
      <c r="D49" s="148" t="s">
        <v>1281</v>
      </c>
      <c r="E49" s="149" t="s">
        <v>149</v>
      </c>
      <c r="F49" s="149" t="s">
        <v>149</v>
      </c>
      <c r="G49" s="155" t="s">
        <v>1234</v>
      </c>
      <c r="H49" s="152" t="s">
        <v>1296</v>
      </c>
      <c r="I49" s="152" t="s">
        <v>282</v>
      </c>
    </row>
    <row r="50" spans="1:9" x14ac:dyDescent="0.3">
      <c r="B50" s="146">
        <v>32</v>
      </c>
      <c r="C50" s="165" t="s">
        <v>452</v>
      </c>
      <c r="D50" s="148" t="s">
        <v>1230</v>
      </c>
      <c r="E50" s="149" t="s">
        <v>149</v>
      </c>
      <c r="F50" s="149" t="s">
        <v>149</v>
      </c>
      <c r="G50" s="155" t="s">
        <v>1234</v>
      </c>
      <c r="H50" s="152" t="s">
        <v>1297</v>
      </c>
      <c r="I50" s="152" t="s">
        <v>1293</v>
      </c>
    </row>
    <row r="51" spans="1:9" x14ac:dyDescent="0.3">
      <c r="B51" s="146">
        <v>33</v>
      </c>
      <c r="C51" s="165" t="s">
        <v>448</v>
      </c>
      <c r="D51" s="148" t="s">
        <v>1230</v>
      </c>
      <c r="E51" s="149" t="s">
        <v>149</v>
      </c>
      <c r="F51" s="149" t="s">
        <v>149</v>
      </c>
      <c r="G51" s="155" t="s">
        <v>1234</v>
      </c>
      <c r="H51" s="152" t="s">
        <v>1298</v>
      </c>
      <c r="I51" s="152" t="s">
        <v>282</v>
      </c>
    </row>
    <row r="52" spans="1:9" x14ac:dyDescent="0.3">
      <c r="B52" s="146">
        <v>34</v>
      </c>
      <c r="C52" s="147" t="s">
        <v>304</v>
      </c>
      <c r="D52" s="148" t="s">
        <v>1095</v>
      </c>
      <c r="E52" s="149" t="s">
        <v>282</v>
      </c>
      <c r="F52" s="149" t="s">
        <v>282</v>
      </c>
      <c r="G52" s="155" t="s">
        <v>1179</v>
      </c>
      <c r="H52" s="152" t="s">
        <v>282</v>
      </c>
      <c r="I52" s="152" t="s">
        <v>1241</v>
      </c>
    </row>
    <row r="53" spans="1:9" s="127" customFormat="1" x14ac:dyDescent="0.3">
      <c r="A53" s="128"/>
      <c r="B53" s="146">
        <v>35</v>
      </c>
      <c r="C53" s="147" t="s">
        <v>287</v>
      </c>
      <c r="D53" s="148" t="s">
        <v>1095</v>
      </c>
      <c r="E53" s="131" t="s">
        <v>130</v>
      </c>
      <c r="F53" s="131" t="s">
        <v>130</v>
      </c>
      <c r="G53" s="154" t="s">
        <v>26</v>
      </c>
      <c r="H53" s="129" t="s">
        <v>282</v>
      </c>
      <c r="I53" s="130" t="s">
        <v>282</v>
      </c>
    </row>
    <row r="54" spans="1:9" ht="72" customHeight="1" x14ac:dyDescent="0.3"/>
    <row r="56" spans="1:9" x14ac:dyDescent="0.3">
      <c r="C56" s="156"/>
    </row>
    <row r="57" spans="1:9" x14ac:dyDescent="0.3">
      <c r="C57" s="156"/>
    </row>
    <row r="58" spans="1:9" x14ac:dyDescent="0.3">
      <c r="C58" s="156"/>
    </row>
    <row r="59" spans="1:9" x14ac:dyDescent="0.3">
      <c r="C59" s="156"/>
    </row>
    <row r="74" ht="14.4" customHeight="1" x14ac:dyDescent="0.3"/>
    <row r="75" ht="15.6" customHeight="1" x14ac:dyDescent="0.3"/>
  </sheetData>
  <autoFilter ref="B18:I53" xr:uid="{E2A05452-0B58-48DE-975B-13BCDADD59FD}">
    <sortState xmlns:xlrd2="http://schemas.microsoft.com/office/spreadsheetml/2017/richdata2" ref="B19:I53">
      <sortCondition ref="B18:B53"/>
    </sortState>
  </autoFilter>
  <mergeCells count="2">
    <mergeCell ref="E17:F17"/>
    <mergeCell ref="C5:F5"/>
  </mergeCells>
  <conditionalFormatting sqref="E17:E28 E30 E23:F23 G14:G15 E44:F53">
    <cfRule type="cellIs" dxfId="31" priority="108" operator="equal">
      <formula>"NOK"</formula>
    </cfRule>
  </conditionalFormatting>
  <conditionalFormatting sqref="E25:E26 E30">
    <cfRule type="cellIs" dxfId="30" priority="107" operator="equal">
      <formula>"NOK"</formula>
    </cfRule>
  </conditionalFormatting>
  <conditionalFormatting sqref="E32:E43 E42:F42">
    <cfRule type="cellIs" dxfId="29" priority="30" operator="equal">
      <formula>"NOK"</formula>
    </cfRule>
    <cfRule type="cellIs" dxfId="28" priority="31" operator="equal">
      <formula>"NOK"</formula>
    </cfRule>
  </conditionalFormatting>
  <conditionalFormatting sqref="E18:F53">
    <cfRule type="cellIs" dxfId="27" priority="1" operator="equal">
      <formula>"OK"</formula>
    </cfRule>
  </conditionalFormatting>
  <conditionalFormatting sqref="E23:F23 E31:F31 E44:F53">
    <cfRule type="cellIs" dxfId="26" priority="111" operator="equal">
      <formula>"NOK"</formula>
    </cfRule>
  </conditionalFormatting>
  <conditionalFormatting sqref="E25:F26 E29:E30 F20:F31 F18">
    <cfRule type="cellIs" dxfId="25" priority="110" operator="equal">
      <formula>"NOK"</formula>
    </cfRule>
  </conditionalFormatting>
  <conditionalFormatting sqref="E29:F29 G1 G65:G1048576">
    <cfRule type="cellIs" dxfId="24" priority="175" operator="equal">
      <formula>"NOK"</formula>
    </cfRule>
  </conditionalFormatting>
  <conditionalFormatting sqref="E29:F29">
    <cfRule type="cellIs" dxfId="23" priority="163" operator="equal">
      <formula>"NOK"</formula>
    </cfRule>
    <cfRule type="cellIs" dxfId="22" priority="164" operator="equal">
      <formula>"NOK"</formula>
    </cfRule>
  </conditionalFormatting>
  <conditionalFormatting sqref="F19">
    <cfRule type="cellIs" dxfId="21" priority="61" operator="equal">
      <formula>"NOK"</formula>
    </cfRule>
  </conditionalFormatting>
  <conditionalFormatting sqref="F21:F28">
    <cfRule type="cellIs" dxfId="20" priority="98" operator="equal">
      <formula>"NOK"</formula>
    </cfRule>
  </conditionalFormatting>
  <conditionalFormatting sqref="F23:F25">
    <cfRule type="cellIs" dxfId="19" priority="97" operator="equal">
      <formula>"NOK"</formula>
    </cfRule>
  </conditionalFormatting>
  <conditionalFormatting sqref="F28">
    <cfRule type="cellIs" dxfId="18" priority="114" operator="equal">
      <formula>"NOK"</formula>
    </cfRule>
  </conditionalFormatting>
  <conditionalFormatting sqref="F30">
    <cfRule type="cellIs" dxfId="17" priority="41" operator="equal">
      <formula>"NOK"</formula>
    </cfRule>
    <cfRule type="cellIs" dxfId="16" priority="43" operator="equal">
      <formula>"NOK"</formula>
    </cfRule>
  </conditionalFormatting>
  <conditionalFormatting sqref="F30:F31">
    <cfRule type="cellIs" dxfId="15" priority="42" operator="equal">
      <formula>"NOK"</formula>
    </cfRule>
  </conditionalFormatting>
  <conditionalFormatting sqref="F32">
    <cfRule type="cellIs" dxfId="14" priority="2" operator="equal">
      <formula>"NOK"</formula>
    </cfRule>
  </conditionalFormatting>
  <conditionalFormatting sqref="F32:F40">
    <cfRule type="cellIs" dxfId="13" priority="16" operator="equal">
      <formula>"NOK"</formula>
    </cfRule>
  </conditionalFormatting>
  <conditionalFormatting sqref="F34:F39">
    <cfRule type="cellIs" dxfId="12" priority="15" operator="equal">
      <formula>"NOK"</formula>
    </cfRule>
    <cfRule type="cellIs" dxfId="11" priority="17" operator="equal">
      <formula>"NOK"</formula>
    </cfRule>
  </conditionalFormatting>
  <conditionalFormatting sqref="F41:F43">
    <cfRule type="cellIs" dxfId="10" priority="4" operator="equal">
      <formula>"NOK"</formula>
    </cfRule>
    <cfRule type="cellIs" dxfId="9" priority="5" operator="equal">
      <formula>"NOK"</formula>
    </cfRule>
  </conditionalFormatting>
  <conditionalFormatting sqref="G17">
    <cfRule type="cellIs" dxfId="8" priority="66" operator="equal">
      <formula>"NOK"</formula>
    </cfRule>
    <cfRule type="cellIs" dxfId="7" priority="67" operator="equal">
      <formula>"OK"</formula>
    </cfRule>
  </conditionalFormatting>
  <conditionalFormatting sqref="G19:G53">
    <cfRule type="cellIs" dxfId="6" priority="20" operator="equal">
      <formula>"Reaberto"</formula>
    </cfRule>
  </conditionalFormatting>
  <conditionalFormatting sqref="G1:H1 G65:H1048576">
    <cfRule type="cellIs" dxfId="5" priority="168" operator="equal">
      <formula>"OK"</formula>
    </cfRule>
  </conditionalFormatting>
  <conditionalFormatting sqref="G14:H15 E17">
    <cfRule type="cellIs" dxfId="4" priority="121" operator="equal">
      <formula>"OK"</formula>
    </cfRule>
  </conditionalFormatting>
  <conditionalFormatting sqref="H1 H14:H17 H65:H1048576">
    <cfRule type="cellIs" dxfId="3" priority="169" operator="equal">
      <formula>"NOK"</formula>
    </cfRule>
  </conditionalFormatting>
  <conditionalFormatting sqref="H16:H17">
    <cfRule type="cellIs" dxfId="2" priority="96" operator="equal">
      <formula>"OK"</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7AD8-548F-46EB-9D95-57305968A545}">
  <dimension ref="B3:L22"/>
  <sheetViews>
    <sheetView zoomScale="61" zoomScaleNormal="100" workbookViewId="0">
      <selection activeCell="L16" sqref="L16"/>
    </sheetView>
  </sheetViews>
  <sheetFormatPr defaultRowHeight="14.4" x14ac:dyDescent="0.3"/>
  <cols>
    <col min="1" max="1" width="3.77734375" customWidth="1"/>
    <col min="2" max="2" width="19.44140625" bestFit="1" customWidth="1"/>
    <col min="3" max="3" width="70.88671875" customWidth="1"/>
    <col min="4" max="4" width="16.33203125" bestFit="1" customWidth="1"/>
    <col min="5" max="5" width="33" style="2" bestFit="1" customWidth="1"/>
    <col min="6" max="6" width="19.109375" bestFit="1" customWidth="1"/>
    <col min="7" max="7" width="15.6640625" bestFit="1" customWidth="1"/>
    <col min="8" max="8" width="17.109375" customWidth="1"/>
    <col min="9" max="9" width="16.109375" bestFit="1" customWidth="1"/>
    <col min="10" max="10" width="16.44140625" bestFit="1" customWidth="1"/>
    <col min="11" max="11" width="11.44140625" bestFit="1" customWidth="1"/>
    <col min="12" max="12" width="72.44140625" style="1" bestFit="1" customWidth="1"/>
  </cols>
  <sheetData>
    <row r="3" spans="2:12" x14ac:dyDescent="0.3">
      <c r="B3" s="132" t="s">
        <v>1128</v>
      </c>
      <c r="C3" s="132" t="s">
        <v>1129</v>
      </c>
      <c r="D3" s="132" t="s">
        <v>1130</v>
      </c>
      <c r="E3" s="132" t="s">
        <v>1131</v>
      </c>
      <c r="F3" s="132" t="s">
        <v>1132</v>
      </c>
      <c r="G3" s="132" t="s">
        <v>1133</v>
      </c>
      <c r="H3" s="132" t="s">
        <v>1134</v>
      </c>
      <c r="I3" s="132" t="s">
        <v>1135</v>
      </c>
      <c r="J3" s="132" t="s">
        <v>1136</v>
      </c>
      <c r="K3" s="132" t="s">
        <v>1137</v>
      </c>
      <c r="L3" s="159" t="s">
        <v>1261</v>
      </c>
    </row>
    <row r="4" spans="2:12" x14ac:dyDescent="0.3">
      <c r="B4" s="132" t="s">
        <v>1255</v>
      </c>
      <c r="C4" s="132" t="s">
        <v>1256</v>
      </c>
      <c r="D4" s="132" t="s">
        <v>1142</v>
      </c>
      <c r="E4" s="132" t="s">
        <v>136</v>
      </c>
      <c r="F4" s="132" t="s">
        <v>1143</v>
      </c>
      <c r="G4" s="132" t="s">
        <v>1144</v>
      </c>
      <c r="H4" s="132" t="s">
        <v>1145</v>
      </c>
      <c r="I4" s="132">
        <v>13</v>
      </c>
      <c r="J4" s="132">
        <v>11</v>
      </c>
      <c r="K4" s="132">
        <v>84.615399999999994</v>
      </c>
      <c r="L4" s="161" t="s">
        <v>1273</v>
      </c>
    </row>
    <row r="5" spans="2:12" x14ac:dyDescent="0.3">
      <c r="B5" s="132" t="s">
        <v>1140</v>
      </c>
      <c r="C5" s="132" t="s">
        <v>1141</v>
      </c>
      <c r="D5" s="132" t="s">
        <v>1142</v>
      </c>
      <c r="E5" s="132" t="s">
        <v>48</v>
      </c>
      <c r="F5" s="132" t="s">
        <v>1143</v>
      </c>
      <c r="G5" s="132" t="s">
        <v>1144</v>
      </c>
      <c r="H5" s="132" t="s">
        <v>1145</v>
      </c>
      <c r="I5" s="132">
        <v>113948</v>
      </c>
      <c r="J5" s="132">
        <v>77017</v>
      </c>
      <c r="K5" s="132">
        <v>67.589600000000004</v>
      </c>
      <c r="L5" s="161" t="s">
        <v>1274</v>
      </c>
    </row>
    <row r="6" spans="2:12" x14ac:dyDescent="0.3">
      <c r="B6" s="132" t="s">
        <v>1146</v>
      </c>
      <c r="C6" s="132" t="s">
        <v>1147</v>
      </c>
      <c r="D6" s="132" t="s">
        <v>128</v>
      </c>
      <c r="E6" s="132" t="s">
        <v>51</v>
      </c>
      <c r="F6" s="132" t="s">
        <v>1148</v>
      </c>
      <c r="G6" s="132" t="s">
        <v>1139</v>
      </c>
      <c r="H6" s="132" t="s">
        <v>1145</v>
      </c>
      <c r="I6" s="132">
        <v>2138963</v>
      </c>
      <c r="J6" s="132">
        <v>29</v>
      </c>
      <c r="K6" s="132">
        <v>1.4E-3</v>
      </c>
      <c r="L6" s="160" t="s">
        <v>1262</v>
      </c>
    </row>
    <row r="7" spans="2:12" x14ac:dyDescent="0.3">
      <c r="B7" s="132" t="s">
        <v>1149</v>
      </c>
      <c r="C7" s="132" t="s">
        <v>1150</v>
      </c>
      <c r="D7" s="132" t="s">
        <v>128</v>
      </c>
      <c r="E7" s="132" t="s">
        <v>52</v>
      </c>
      <c r="F7" s="132" t="s">
        <v>1148</v>
      </c>
      <c r="G7" s="132" t="s">
        <v>1139</v>
      </c>
      <c r="H7" s="132" t="s">
        <v>1145</v>
      </c>
      <c r="I7" s="132">
        <v>2138963</v>
      </c>
      <c r="J7" s="132">
        <v>29</v>
      </c>
      <c r="K7" s="132">
        <v>1.4E-3</v>
      </c>
      <c r="L7" s="160" t="s">
        <v>1262</v>
      </c>
    </row>
    <row r="8" spans="2:12" x14ac:dyDescent="0.3">
      <c r="B8" s="132" t="s">
        <v>1151</v>
      </c>
      <c r="C8" s="132" t="s">
        <v>1152</v>
      </c>
      <c r="D8" s="132" t="s">
        <v>128</v>
      </c>
      <c r="E8" s="132" t="s">
        <v>53</v>
      </c>
      <c r="F8" s="132" t="s">
        <v>1148</v>
      </c>
      <c r="G8" s="132" t="s">
        <v>1139</v>
      </c>
      <c r="H8" s="132" t="s">
        <v>1145</v>
      </c>
      <c r="I8" s="132">
        <v>2138963</v>
      </c>
      <c r="J8" s="132">
        <v>36</v>
      </c>
      <c r="K8" s="132">
        <v>1.6999999999999999E-3</v>
      </c>
      <c r="L8" s="160" t="s">
        <v>1262</v>
      </c>
    </row>
    <row r="9" spans="2:12" x14ac:dyDescent="0.3">
      <c r="B9" s="132" t="s">
        <v>1154</v>
      </c>
      <c r="C9" s="132" t="s">
        <v>1155</v>
      </c>
      <c r="D9" s="132" t="s">
        <v>128</v>
      </c>
      <c r="E9" s="132" t="s">
        <v>54</v>
      </c>
      <c r="F9" s="132" t="s">
        <v>1148</v>
      </c>
      <c r="G9" s="132" t="s">
        <v>1139</v>
      </c>
      <c r="H9" s="132" t="s">
        <v>1145</v>
      </c>
      <c r="I9" s="132">
        <v>2138963</v>
      </c>
      <c r="J9" s="132">
        <v>36</v>
      </c>
      <c r="K9" s="132">
        <v>1.6999999999999999E-3</v>
      </c>
      <c r="L9" s="160" t="s">
        <v>1262</v>
      </c>
    </row>
    <row r="10" spans="2:12" x14ac:dyDescent="0.3">
      <c r="B10" s="132" t="s">
        <v>1251</v>
      </c>
      <c r="C10" s="132" t="s">
        <v>1212</v>
      </c>
      <c r="D10" s="132" t="s">
        <v>1153</v>
      </c>
      <c r="E10" s="132" t="s">
        <v>314</v>
      </c>
      <c r="F10" s="132" t="s">
        <v>1143</v>
      </c>
      <c r="G10" s="132" t="s">
        <v>1252</v>
      </c>
      <c r="H10" s="132" t="s">
        <v>1145</v>
      </c>
      <c r="I10" s="132">
        <v>113228</v>
      </c>
      <c r="J10" s="132">
        <v>16945</v>
      </c>
      <c r="K10" s="132">
        <v>14.965400000000001</v>
      </c>
      <c r="L10" s="160" t="s">
        <v>1268</v>
      </c>
    </row>
    <row r="11" spans="2:12" x14ac:dyDescent="0.3">
      <c r="B11" s="132" t="s">
        <v>1253</v>
      </c>
      <c r="C11" s="132" t="s">
        <v>1214</v>
      </c>
      <c r="D11" s="132" t="s">
        <v>1254</v>
      </c>
      <c r="E11" s="132" t="s">
        <v>314</v>
      </c>
      <c r="F11" s="132" t="s">
        <v>1143</v>
      </c>
      <c r="G11" s="132" t="s">
        <v>1252</v>
      </c>
      <c r="H11" s="132" t="s">
        <v>1145</v>
      </c>
      <c r="I11" s="132">
        <v>38</v>
      </c>
      <c r="J11" s="132">
        <v>1</v>
      </c>
      <c r="K11" s="132">
        <v>2.6316000000000002</v>
      </c>
      <c r="L11" s="160" t="s">
        <v>1263</v>
      </c>
    </row>
    <row r="12" spans="2:12" x14ac:dyDescent="0.3">
      <c r="B12" s="132" t="s">
        <v>1156</v>
      </c>
      <c r="C12" s="132" t="s">
        <v>1157</v>
      </c>
      <c r="D12" s="132" t="s">
        <v>1142</v>
      </c>
      <c r="E12" s="132" t="s">
        <v>44</v>
      </c>
      <c r="F12" s="132" t="s">
        <v>1143</v>
      </c>
      <c r="G12" s="132" t="s">
        <v>1144</v>
      </c>
      <c r="H12" s="132" t="s">
        <v>1145</v>
      </c>
      <c r="I12" s="132">
        <v>130343</v>
      </c>
      <c r="J12" s="132">
        <v>67</v>
      </c>
      <c r="K12" s="132">
        <v>5.1400000000000001E-2</v>
      </c>
      <c r="L12" s="160" t="s">
        <v>1264</v>
      </c>
    </row>
    <row r="13" spans="2:12" x14ac:dyDescent="0.3">
      <c r="B13" s="132" t="s">
        <v>1158</v>
      </c>
      <c r="C13" s="132" t="s">
        <v>1159</v>
      </c>
      <c r="D13" s="132" t="s">
        <v>1142</v>
      </c>
      <c r="E13" s="132" t="s">
        <v>44</v>
      </c>
      <c r="F13" s="132" t="s">
        <v>1143</v>
      </c>
      <c r="G13" s="132" t="s">
        <v>1144</v>
      </c>
      <c r="H13" s="132" t="s">
        <v>1145</v>
      </c>
      <c r="I13" s="132">
        <v>2008285</v>
      </c>
      <c r="J13" s="132">
        <v>51</v>
      </c>
      <c r="K13" s="132">
        <v>2.5000000000000001E-3</v>
      </c>
      <c r="L13" s="160" t="s">
        <v>1264</v>
      </c>
    </row>
    <row r="14" spans="2:12" x14ac:dyDescent="0.3">
      <c r="B14" s="132" t="s">
        <v>1160</v>
      </c>
      <c r="C14" s="132" t="s">
        <v>1161</v>
      </c>
      <c r="D14" s="132" t="s">
        <v>1153</v>
      </c>
      <c r="E14" s="132" t="s">
        <v>44</v>
      </c>
      <c r="F14" s="132" t="s">
        <v>1143</v>
      </c>
      <c r="G14" s="132" t="s">
        <v>1144</v>
      </c>
      <c r="H14" s="132" t="s">
        <v>1145</v>
      </c>
      <c r="I14" s="132">
        <v>16150</v>
      </c>
      <c r="J14" s="132">
        <v>1924</v>
      </c>
      <c r="K14" s="132">
        <v>11.9133</v>
      </c>
      <c r="L14" s="161" t="s">
        <v>1275</v>
      </c>
    </row>
    <row r="15" spans="2:12" x14ac:dyDescent="0.3">
      <c r="B15" s="132" t="s">
        <v>1163</v>
      </c>
      <c r="C15" s="132" t="s">
        <v>1164</v>
      </c>
      <c r="D15" s="132" t="s">
        <v>1162</v>
      </c>
      <c r="E15" s="132" t="s">
        <v>44</v>
      </c>
      <c r="F15" s="132" t="s">
        <v>1143</v>
      </c>
      <c r="G15" s="132" t="s">
        <v>1144</v>
      </c>
      <c r="H15" s="132" t="s">
        <v>1145</v>
      </c>
      <c r="I15" s="132">
        <v>1676415</v>
      </c>
      <c r="J15" s="132">
        <v>7</v>
      </c>
      <c r="K15" s="132">
        <v>4.0000000000000002E-4</v>
      </c>
      <c r="L15" s="160" t="s">
        <v>1265</v>
      </c>
    </row>
    <row r="16" spans="2:12" x14ac:dyDescent="0.3">
      <c r="B16" s="132" t="s">
        <v>1165</v>
      </c>
      <c r="C16" s="132" t="s">
        <v>1166</v>
      </c>
      <c r="D16" s="132" t="s">
        <v>1162</v>
      </c>
      <c r="E16" s="132" t="s">
        <v>46</v>
      </c>
      <c r="F16" s="132" t="s">
        <v>1143</v>
      </c>
      <c r="G16" s="132" t="s">
        <v>1144</v>
      </c>
      <c r="H16" s="132" t="s">
        <v>1145</v>
      </c>
      <c r="I16" s="132">
        <v>13</v>
      </c>
      <c r="J16" s="132">
        <v>3</v>
      </c>
      <c r="K16" s="132">
        <v>23.076899999999998</v>
      </c>
      <c r="L16" s="161" t="s">
        <v>1273</v>
      </c>
    </row>
    <row r="17" spans="2:12" x14ac:dyDescent="0.3">
      <c r="B17" s="132" t="s">
        <v>1259</v>
      </c>
      <c r="C17" s="132" t="s">
        <v>1260</v>
      </c>
      <c r="D17" s="132" t="s">
        <v>128</v>
      </c>
      <c r="E17" s="132" t="s">
        <v>440</v>
      </c>
      <c r="F17" s="132" t="s">
        <v>1138</v>
      </c>
      <c r="G17" s="132" t="s">
        <v>1139</v>
      </c>
      <c r="H17" s="132" t="s">
        <v>1145</v>
      </c>
      <c r="I17" s="132">
        <v>2138963</v>
      </c>
      <c r="J17" s="132">
        <v>26793</v>
      </c>
      <c r="K17" s="132">
        <v>1.2525999999999999</v>
      </c>
      <c r="L17" s="160" t="s">
        <v>1266</v>
      </c>
    </row>
    <row r="18" spans="2:12" x14ac:dyDescent="0.3">
      <c r="B18" s="132" t="s">
        <v>1257</v>
      </c>
      <c r="C18" s="132" t="s">
        <v>1258</v>
      </c>
      <c r="D18" s="132" t="s">
        <v>1142</v>
      </c>
      <c r="E18" s="132" t="s">
        <v>440</v>
      </c>
      <c r="F18" s="132" t="s">
        <v>1143</v>
      </c>
      <c r="G18" s="132" t="s">
        <v>1144</v>
      </c>
      <c r="H18" s="132" t="s">
        <v>1145</v>
      </c>
      <c r="I18" s="132">
        <v>1233119</v>
      </c>
      <c r="J18" s="132">
        <v>46553</v>
      </c>
      <c r="K18" s="132">
        <v>3.7751999999999999</v>
      </c>
      <c r="L18" s="160" t="s">
        <v>1262</v>
      </c>
    </row>
    <row r="19" spans="2:12" x14ac:dyDescent="0.3">
      <c r="B19" s="132" t="s">
        <v>1167</v>
      </c>
      <c r="C19" s="132" t="s">
        <v>1168</v>
      </c>
      <c r="D19" s="132" t="s">
        <v>1142</v>
      </c>
      <c r="E19" s="132" t="s">
        <v>45</v>
      </c>
      <c r="F19" s="132" t="s">
        <v>1143</v>
      </c>
      <c r="G19" s="132" t="s">
        <v>1144</v>
      </c>
      <c r="H19" s="132" t="s">
        <v>1145</v>
      </c>
      <c r="I19" s="132">
        <v>130343</v>
      </c>
      <c r="J19" s="132">
        <v>67</v>
      </c>
      <c r="K19" s="132">
        <v>5.1400000000000001E-2</v>
      </c>
      <c r="L19" s="160" t="s">
        <v>1264</v>
      </c>
    </row>
    <row r="20" spans="2:12" x14ac:dyDescent="0.3">
      <c r="B20" s="132" t="s">
        <v>1169</v>
      </c>
      <c r="C20" s="132" t="s">
        <v>1170</v>
      </c>
      <c r="D20" s="132" t="s">
        <v>1171</v>
      </c>
      <c r="E20" s="132" t="s">
        <v>45</v>
      </c>
      <c r="F20" s="132" t="s">
        <v>1143</v>
      </c>
      <c r="G20" s="132" t="s">
        <v>1144</v>
      </c>
      <c r="H20" s="132" t="s">
        <v>1145</v>
      </c>
      <c r="I20" s="132">
        <v>110</v>
      </c>
      <c r="J20" s="132">
        <v>12</v>
      </c>
      <c r="K20" s="132">
        <v>10.9091</v>
      </c>
      <c r="L20" s="161" t="s">
        <v>1276</v>
      </c>
    </row>
    <row r="21" spans="2:12" x14ac:dyDescent="0.3">
      <c r="B21" s="132" t="s">
        <v>1174</v>
      </c>
      <c r="C21" s="132" t="s">
        <v>1175</v>
      </c>
      <c r="D21" s="132" t="s">
        <v>1162</v>
      </c>
      <c r="E21" s="132" t="s">
        <v>45</v>
      </c>
      <c r="F21" s="132" t="s">
        <v>1143</v>
      </c>
      <c r="G21" s="132" t="s">
        <v>1144</v>
      </c>
      <c r="H21" s="132" t="s">
        <v>1145</v>
      </c>
      <c r="I21" s="132">
        <v>2008639</v>
      </c>
      <c r="J21" s="132">
        <v>3</v>
      </c>
      <c r="K21" s="132">
        <v>1E-4</v>
      </c>
      <c r="L21" s="159" t="s">
        <v>1267</v>
      </c>
    </row>
    <row r="22" spans="2:12" x14ac:dyDescent="0.3">
      <c r="B22" s="132" t="s">
        <v>1172</v>
      </c>
      <c r="C22" s="132" t="s">
        <v>1173</v>
      </c>
      <c r="D22" s="132" t="s">
        <v>1153</v>
      </c>
      <c r="E22" s="132" t="s">
        <v>45</v>
      </c>
      <c r="F22" s="132" t="s">
        <v>1143</v>
      </c>
      <c r="G22" s="132" t="s">
        <v>1144</v>
      </c>
      <c r="H22" s="132" t="s">
        <v>1145</v>
      </c>
      <c r="I22" s="132">
        <v>141060</v>
      </c>
      <c r="J22" s="132">
        <v>10733</v>
      </c>
      <c r="K22" s="132">
        <v>7.6087999999999996</v>
      </c>
      <c r="L22" s="160" t="s">
        <v>1272</v>
      </c>
    </row>
  </sheetData>
  <autoFilter ref="B3:L22" xr:uid="{FE6A7AD8-548F-46EB-9D95-57305968A545}"/>
  <conditionalFormatting sqref="H1:H1048576">
    <cfRule type="cellIs" dxfId="1" priority="1" operator="equal">
      <formula>"KO"</formula>
    </cfRule>
    <cfRule type="cellIs" dxfId="0" priority="2" operator="equal">
      <formula>"OK"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434b52fc5b014f91874dcdb5ac7e02b6">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01ab76691a39df134d926fa71d8b9473"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9EBC25-E760-411F-BF53-D0FEE5CBE98D}"/>
</file>

<file path=customXml/itemProps2.xml><?xml version="1.0" encoding="utf-8"?>
<ds:datastoreItem xmlns:ds="http://schemas.openxmlformats.org/officeDocument/2006/customXml" ds:itemID="{BD08B9EA-78A1-402B-9A17-848E2AB9FB5A}">
  <ds:schemaRefs>
    <ds:schemaRef ds:uri="http://www.w3.org/XML/1998/namespace"/>
    <ds:schemaRef ds:uri="http://schemas.microsoft.com/office/2006/documentManagement/types"/>
    <ds:schemaRef ds:uri="http://schemas.microsoft.com/sharepoint/v3"/>
    <ds:schemaRef ds:uri="a9b50dc7-8f72-473c-8b7e-4a8c46ecad32"/>
    <ds:schemaRef ds:uri="http://schemas.microsoft.com/office/infopath/2007/PartnerControls"/>
    <ds:schemaRef ds:uri="http://purl.org/dc/dcmitype/"/>
    <ds:schemaRef ds:uri="http://purl.org/dc/elements/1.1/"/>
    <ds:schemaRef ds:uri="http://schemas.openxmlformats.org/package/2006/metadata/core-properties"/>
    <ds:schemaRef ds:uri="7b1ec8e5-5652-48eb-8550-a56a35f5f817"/>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13A9D5AD-5A66-43CE-BB4D-0F048F16D8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40</vt:i4>
      </vt:variant>
    </vt:vector>
  </HeadingPairs>
  <TitlesOfParts>
    <vt:vector size="50" baseType="lpstr">
      <vt:lpstr>Status</vt:lpstr>
      <vt:lpstr>PDS (old)</vt:lpstr>
      <vt:lpstr>Aux.</vt:lpstr>
      <vt:lpstr>PDS</vt:lpstr>
      <vt:lpstr>Detalhe</vt:lpstr>
      <vt:lpstr>Caderno Testes</vt:lpstr>
      <vt:lpstr>Campos IMP vs CNT</vt:lpstr>
      <vt:lpstr>Planeamento</vt:lpstr>
      <vt:lpstr>Status PM (Campos)</vt:lpstr>
      <vt:lpstr>Controlos Corporativos</vt:lpstr>
      <vt:lpstr>'Campos IMP vs CNT'!_Hlk71900621</vt:lpstr>
      <vt:lpstr>'Campos IMP vs CNT'!_Toc164082158</vt:lpstr>
      <vt:lpstr>'Campos IMP vs CNT'!_Toc164082286</vt:lpstr>
      <vt:lpstr>'Campos IMP vs CNT'!_Toc164082298</vt:lpstr>
      <vt:lpstr>'Campos IMP vs CNT'!_Toc164082299</vt:lpstr>
      <vt:lpstr>'Campos IMP vs CNT'!_Toc164082302</vt:lpstr>
      <vt:lpstr>'Campos IMP vs CNT'!_Toc164082303</vt:lpstr>
      <vt:lpstr>'Campos IMP vs CNT'!_Toc164082304</vt:lpstr>
      <vt:lpstr>'Campos IMP vs CNT'!_Toc164082314</vt:lpstr>
      <vt:lpstr>'Campos IMP vs CNT'!_Toc164082315</vt:lpstr>
      <vt:lpstr>'Campos IMP vs CNT'!_Toc164082316</vt:lpstr>
      <vt:lpstr>'Campos IMP vs CNT'!_Toc164082319</vt:lpstr>
      <vt:lpstr>'Campos IMP vs CNT'!_Toc164082330</vt:lpstr>
      <vt:lpstr>'Campos IMP vs CNT'!_Toc164082331</vt:lpstr>
      <vt:lpstr>'Campos IMP vs CNT'!_Toc164082332</vt:lpstr>
      <vt:lpstr>'Campos IMP vs CNT'!_Toc164082333</vt:lpstr>
      <vt:lpstr>'Campos IMP vs CNT'!_Toc164082334</vt:lpstr>
      <vt:lpstr>'Campos IMP vs CNT'!_Toc164082339</vt:lpstr>
      <vt:lpstr>'Campos IMP vs CNT'!_Toc164082348</vt:lpstr>
      <vt:lpstr>'Campos IMP vs CNT'!_Toc164082349</vt:lpstr>
      <vt:lpstr>'Campos IMP vs CNT'!_Toc164082351</vt:lpstr>
      <vt:lpstr>'Campos IMP vs CNT'!_Toc164082352</vt:lpstr>
      <vt:lpstr>'Campos IMP vs CNT'!_Toc164082353</vt:lpstr>
      <vt:lpstr>'Campos IMP vs CNT'!_Toc164082359</vt:lpstr>
      <vt:lpstr>'Campos IMP vs CNT'!_Toc164082360</vt:lpstr>
      <vt:lpstr>'Campos IMP vs CNT'!_Toc164082361</vt:lpstr>
      <vt:lpstr>'Campos IMP vs CNT'!_Toc164082362</vt:lpstr>
      <vt:lpstr>'Campos IMP vs CNT'!_Toc164082363</vt:lpstr>
      <vt:lpstr>'Campos IMP vs CNT'!_Toc164082366</vt:lpstr>
      <vt:lpstr>'Campos IMP vs CNT'!_Toc164082367</vt:lpstr>
      <vt:lpstr>'Campos IMP vs CNT'!_Toc164082368</vt:lpstr>
      <vt:lpstr>'Campos IMP vs CNT'!_Toc164082369</vt:lpstr>
      <vt:lpstr>'Campos IMP vs CNT'!_Toc164082370</vt:lpstr>
      <vt:lpstr>'Campos IMP vs CNT'!_Toc164082371</vt:lpstr>
      <vt:lpstr>'Campos IMP vs CNT'!_Toc164082372</vt:lpstr>
      <vt:lpstr>'Campos IMP vs CNT'!_Toc164082373</vt:lpstr>
      <vt:lpstr>'Campos IMP vs CNT'!_Toc164082374</vt:lpstr>
      <vt:lpstr>'Campos IMP vs CNT'!_Toc164082375</vt:lpstr>
      <vt:lpstr>'Campos IMP vs CNT'!_Toc164082382</vt:lpstr>
      <vt:lpstr>'Campos IMP vs CNT'!_Toc164082383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Cristiana Serafim Stephani</dc:creator>
  <cp:keywords/>
  <dc:description/>
  <cp:lastModifiedBy>Gonçalo Mendes Baptista Filipe</cp:lastModifiedBy>
  <cp:revision/>
  <dcterms:created xsi:type="dcterms:W3CDTF">2024-05-23T09:46:15Z</dcterms:created>
  <dcterms:modified xsi:type="dcterms:W3CDTF">2025-10-29T14:32:04Z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2024-05-23T13:22:07Z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31e3cbb2-9e6e-4b62-8d7d-92b28613781b</vt:lpwstr>
  </property>
  <property fmtid="{D5CDD505-2E9C-101B-9397-08002B2CF9AE}" pid="8" name="MSIP_Label_41b88ec2-a72b-4523-9e84-0458a1764731_ContentBits">
    <vt:lpwstr>0</vt:lpwstr>
  </property>
  <property fmtid="{D5CDD505-2E9C-101B-9397-08002B2CF9AE}" pid="9" name="ContentTypeId">
    <vt:lpwstr>0x010100C6D051AEB2C48B458F82B58F7F6D9A00</vt:lpwstr>
  </property>
  <property fmtid="{D5CDD505-2E9C-101B-9397-08002B2CF9AE}" pid="10" name="MediaServiceImageTags">
    <vt:lpwstr/>
  </property>
</Properties>
</file>