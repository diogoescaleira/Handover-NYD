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santandernet.sharepoint.com/sites/BSLoanTapeBCE/Shared Documents/General/03. Loan Tape/01. Documentação Final/01. Loan Tape/01. PDS/"/>
    </mc:Choice>
  </mc:AlternateContent>
  <xr:revisionPtr revIDLastSave="9401" documentId="8_{E5CB3F0B-AC18-4F3B-B66E-A27715A44338}" xr6:coauthVersionLast="47" xr6:coauthVersionMax="47" xr10:uidLastSave="{9D3D3773-202A-4705-A2A8-86C5E13A27F1}"/>
  <bookViews>
    <workbookView xWindow="-120" yWindow="-16320" windowWidth="29040" windowHeight="15720" tabRatio="863" activeTab="4" xr2:uid="{00000000-000D-0000-FFFF-FFFF00000000}"/>
  </bookViews>
  <sheets>
    <sheet name="Status" sheetId="4" r:id="rId1"/>
    <sheet name="PDS (old)" sheetId="6" state="hidden" r:id="rId2"/>
    <sheet name="Aux." sheetId="10" state="hidden" r:id="rId3"/>
    <sheet name="PDS" sheetId="11" r:id="rId4"/>
    <sheet name="Detalhe" sheetId="1" r:id="rId5"/>
    <sheet name="Caderno Testes" sheetId="5" r:id="rId6"/>
    <sheet name="Campos IMP vs CNT" sheetId="7" r:id="rId7"/>
    <sheet name="Planeamento" sheetId="15" r:id="rId8"/>
    <sheet name="Status PM (Campos)" sheetId="18" r:id="rId9"/>
    <sheet name="Controlos Corporativos" sheetId="19" r:id="rId10"/>
  </sheets>
  <externalReferences>
    <externalReference r:id="rId11"/>
    <externalReference r:id="rId12"/>
  </externalReferences>
  <definedNames>
    <definedName name="_xlnm._FilterDatabase" localSheetId="5" hidden="1">'Caderno Testes'!$A$1:$I$276</definedName>
    <definedName name="_xlnm._FilterDatabase" localSheetId="6" hidden="1">'Campos IMP vs CNT'!$A$1:$J$69</definedName>
    <definedName name="_xlnm._FilterDatabase" localSheetId="9" hidden="1">'Controlos Corporativos'!$B$3:$L$22</definedName>
    <definedName name="_xlnm._FilterDatabase" localSheetId="4" hidden="1">Detalhe!$B$5:$Y$408</definedName>
    <definedName name="_xlnm._FilterDatabase" localSheetId="3" hidden="1">Aux.!$B$2:$H$2</definedName>
    <definedName name="_xlnm._FilterDatabase" localSheetId="1" hidden="1">Aux.!$B$2:$H$2</definedName>
    <definedName name="_xlnm._FilterDatabase" localSheetId="8" hidden="1">'Status PM (Campos)'!$B$18:$I$53</definedName>
    <definedName name="_Hlk71900621" localSheetId="6">'Campos IMP vs CNT'!$C$61</definedName>
    <definedName name="_Toc164082157" localSheetId="6">'Campos IMP vs CNT'!#REF!</definedName>
    <definedName name="_Toc164082158" localSheetId="6">'Campos IMP vs CNT'!$C$52</definedName>
    <definedName name="_Toc164082286" localSheetId="6">'Campos IMP vs CNT'!$C$62</definedName>
    <definedName name="_Toc164082298" localSheetId="6">'Campos IMP vs CNT'!$C$64</definedName>
    <definedName name="_Toc164082299" localSheetId="6">'Campos IMP vs CNT'!$C$65</definedName>
    <definedName name="_Toc164082302" localSheetId="6">'Campos IMP vs CNT'!$C$12</definedName>
    <definedName name="_Toc164082303" localSheetId="6">'Campos IMP vs CNT'!$C$13</definedName>
    <definedName name="_Toc164082304" localSheetId="6">'Campos IMP vs CNT'!$C$49</definedName>
    <definedName name="_Toc164082314" localSheetId="6">'Campos IMP vs CNT'!$C$5</definedName>
    <definedName name="_Toc164082315" localSheetId="6">'Campos IMP vs CNT'!$C$3</definedName>
    <definedName name="_Toc164082316" localSheetId="6">'Campos IMP vs CNT'!$C$4</definedName>
    <definedName name="_Toc164082319" localSheetId="6">'Campos IMP vs CNT'!$C$60</definedName>
    <definedName name="_Toc164082330" localSheetId="6">'Campos IMP vs CNT'!$C$48</definedName>
    <definedName name="_Toc164082331" localSheetId="6">'Campos IMP vs CNT'!$C$68</definedName>
    <definedName name="_Toc164082332" localSheetId="6">'Campos IMP vs CNT'!$C$22</definedName>
    <definedName name="_Toc164082333" localSheetId="6">'Campos IMP vs CNT'!$C$36</definedName>
    <definedName name="_Toc164082334" localSheetId="6">'Campos IMP vs CNT'!$C$37</definedName>
    <definedName name="_Toc164082339" localSheetId="6">'Campos IMP vs CNT'!$C$42</definedName>
    <definedName name="_Toc164082348" localSheetId="6">'Campos IMP vs CNT'!$C$51</definedName>
    <definedName name="_Toc164082349" localSheetId="6">'Campos IMP vs CNT'!$C$69</definedName>
    <definedName name="_Toc164082351" localSheetId="6">'Campos IMP vs CNT'!$C$57</definedName>
    <definedName name="_Toc164082352" localSheetId="6">'Campos IMP vs CNT'!$C$58</definedName>
    <definedName name="_Toc164082353" localSheetId="6">'Campos IMP vs CNT'!$C$59</definedName>
    <definedName name="_Toc164082359" localSheetId="6">'Campos IMP vs CNT'!$C$33</definedName>
    <definedName name="_Toc164082360" localSheetId="6">'Campos IMP vs CNT'!$C$34</definedName>
    <definedName name="_Toc164082361" localSheetId="6">'Campos IMP vs CNT'!$C$35</definedName>
    <definedName name="_Toc164082362" localSheetId="6">'Campos IMP vs CNT'!$C$38</definedName>
    <definedName name="_Toc164082363" localSheetId="6">'Campos IMP vs CNT'!$C$39</definedName>
    <definedName name="_Toc164082366" localSheetId="6">'Campos IMP vs CNT'!$C$43</definedName>
    <definedName name="_Toc164082367" localSheetId="6">'Campos IMP vs CNT'!$C$44</definedName>
    <definedName name="_Toc164082368" localSheetId="6">'Campos IMP vs CNT'!$C$7</definedName>
    <definedName name="_Toc164082369" localSheetId="6">'Campos IMP vs CNT'!$C$45</definedName>
    <definedName name="_Toc164082370" localSheetId="6">'Campos IMP vs CNT'!$C$8</definedName>
    <definedName name="_Toc164082371" localSheetId="6">'Campos IMP vs CNT'!$C$46</definedName>
    <definedName name="_Toc164082372" localSheetId="6">'Campos IMP vs CNT'!$C$9</definedName>
    <definedName name="_Toc164082373" localSheetId="6">'Campos IMP vs CNT'!$C$10</definedName>
    <definedName name="_Toc164082374" localSheetId="6">'Campos IMP vs CNT'!$C$11</definedName>
    <definedName name="_Toc164082375" localSheetId="6">'Campos IMP vs CNT'!$C$66</definedName>
    <definedName name="_Toc164082381" localSheetId="6">'Campos IMP vs CNT'!#REF!</definedName>
    <definedName name="_Toc164082382" localSheetId="6">'Campos IMP vs CNT'!$C$53</definedName>
    <definedName name="_Toc164082383" localSheetId="6">'Campos IMP vs CNT'!$C$54</definedName>
    <definedName name="_Toc164082394" localSheetId="6">'Campos IMP vs CNT'!#REF!</definedName>
    <definedName name="_Toc164082395" localSheetId="6">'Campos IMP vs CNT'!#REF!</definedName>
    <definedName name="_Toc164082396" localSheetId="6">'Campos IMP vs CNT'!#REF!</definedName>
    <definedName name="_Toc164082397" localSheetId="6">'Campos IMP vs CNT'!#REF!</definedName>
  </definedNames>
  <calcPr calcId="191028"/>
  <pivotCaches>
    <pivotCache cacheId="19" r:id="rId13"/>
    <pivotCache cacheId="20" r:id="rId14"/>
  </pivotCaches>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88" i="1" l="1"/>
  <c r="R388" i="1"/>
  <c r="S388" i="1"/>
  <c r="T388" i="1"/>
  <c r="U388" i="1"/>
  <c r="V388" i="1"/>
  <c r="Q389" i="1"/>
  <c r="R389" i="1"/>
  <c r="S389" i="1"/>
  <c r="T389" i="1"/>
  <c r="U389" i="1"/>
  <c r="V389" i="1"/>
  <c r="Q390" i="1"/>
  <c r="R390" i="1"/>
  <c r="S390" i="1"/>
  <c r="T390" i="1"/>
  <c r="U390" i="1"/>
  <c r="V390" i="1"/>
  <c r="Q391" i="1"/>
  <c r="R391" i="1"/>
  <c r="S391" i="1"/>
  <c r="T391" i="1"/>
  <c r="U391" i="1"/>
  <c r="V391" i="1"/>
  <c r="Q392" i="1"/>
  <c r="R392" i="1"/>
  <c r="S392" i="1"/>
  <c r="T392" i="1"/>
  <c r="U392" i="1"/>
  <c r="V392" i="1"/>
  <c r="Q393" i="1"/>
  <c r="R393" i="1"/>
  <c r="S393" i="1"/>
  <c r="T393" i="1"/>
  <c r="U393" i="1"/>
  <c r="V393" i="1"/>
  <c r="Q394" i="1"/>
  <c r="R394" i="1"/>
  <c r="S394" i="1"/>
  <c r="T394" i="1"/>
  <c r="U394" i="1"/>
  <c r="V394" i="1"/>
  <c r="Q395" i="1"/>
  <c r="R395" i="1"/>
  <c r="S395" i="1"/>
  <c r="T395" i="1"/>
  <c r="U395" i="1"/>
  <c r="V395" i="1"/>
  <c r="Q396" i="1"/>
  <c r="R396" i="1"/>
  <c r="S396" i="1"/>
  <c r="T396" i="1"/>
  <c r="U396" i="1"/>
  <c r="V396" i="1"/>
  <c r="Q397" i="1"/>
  <c r="R397" i="1"/>
  <c r="S397" i="1"/>
  <c r="T397" i="1"/>
  <c r="U397" i="1"/>
  <c r="V397" i="1"/>
  <c r="Q398" i="1"/>
  <c r="R398" i="1"/>
  <c r="S398" i="1"/>
  <c r="T398" i="1"/>
  <c r="U398" i="1"/>
  <c r="V398" i="1"/>
  <c r="Q399" i="1"/>
  <c r="R399" i="1"/>
  <c r="S399" i="1"/>
  <c r="T399" i="1"/>
  <c r="U399" i="1"/>
  <c r="V399" i="1"/>
  <c r="Q400" i="1"/>
  <c r="R400" i="1"/>
  <c r="S400" i="1"/>
  <c r="T400" i="1"/>
  <c r="U400" i="1"/>
  <c r="V400" i="1"/>
  <c r="Q401" i="1"/>
  <c r="R401" i="1"/>
  <c r="S401" i="1"/>
  <c r="T401" i="1"/>
  <c r="U401" i="1"/>
  <c r="V401" i="1"/>
  <c r="Q402" i="1"/>
  <c r="R402" i="1"/>
  <c r="S402" i="1"/>
  <c r="T402" i="1"/>
  <c r="U402" i="1"/>
  <c r="V402" i="1"/>
  <c r="Q403" i="1"/>
  <c r="R403" i="1"/>
  <c r="S403" i="1"/>
  <c r="T403" i="1"/>
  <c r="U403" i="1"/>
  <c r="V403" i="1"/>
  <c r="Q404" i="1"/>
  <c r="R404" i="1"/>
  <c r="S404" i="1"/>
  <c r="T404" i="1"/>
  <c r="U404" i="1"/>
  <c r="V404" i="1"/>
  <c r="Q405" i="1"/>
  <c r="R405" i="1"/>
  <c r="S405" i="1"/>
  <c r="T405" i="1"/>
  <c r="U405" i="1"/>
  <c r="V405" i="1"/>
  <c r="Q406" i="1"/>
  <c r="R406" i="1"/>
  <c r="S406" i="1"/>
  <c r="T406" i="1"/>
  <c r="U406" i="1"/>
  <c r="V406" i="1"/>
  <c r="Q407" i="1"/>
  <c r="R407" i="1"/>
  <c r="S407" i="1"/>
  <c r="T407" i="1"/>
  <c r="U407" i="1"/>
  <c r="V407" i="1"/>
  <c r="Q408" i="1"/>
  <c r="R408" i="1"/>
  <c r="S408" i="1"/>
  <c r="T408" i="1"/>
  <c r="U408" i="1"/>
  <c r="V408" i="1"/>
  <c r="Y408" i="1"/>
  <c r="Y407" i="1"/>
  <c r="Y406" i="1"/>
  <c r="Y405" i="1"/>
  <c r="Y404" i="1"/>
  <c r="Y403" i="1"/>
  <c r="Y402" i="1"/>
  <c r="Y401" i="1"/>
  <c r="Y400" i="1"/>
  <c r="Y399" i="1"/>
  <c r="Y398" i="1"/>
  <c r="Y397" i="1"/>
  <c r="Y396" i="1"/>
  <c r="Y395" i="1"/>
  <c r="Y394" i="1"/>
  <c r="Y393" i="1"/>
  <c r="Y392" i="1"/>
  <c r="Y391" i="1"/>
  <c r="Y390" i="1"/>
  <c r="Y389" i="1"/>
  <c r="Y388" i="1"/>
  <c r="Y387" i="1"/>
  <c r="V387" i="1"/>
  <c r="U387" i="1"/>
  <c r="T387" i="1"/>
  <c r="S387" i="1"/>
  <c r="R387" i="1"/>
  <c r="Q387" i="1"/>
  <c r="A408" i="1"/>
  <c r="A407" i="1"/>
  <c r="A406" i="1"/>
  <c r="A405" i="1"/>
  <c r="A404" i="1"/>
  <c r="A403" i="1"/>
  <c r="A402" i="1"/>
  <c r="A401" i="1"/>
  <c r="A400" i="1"/>
  <c r="A399" i="1"/>
  <c r="A398" i="1"/>
  <c r="A397" i="1"/>
  <c r="A396" i="1"/>
  <c r="A395" i="1"/>
  <c r="A394" i="1"/>
  <c r="A393" i="1"/>
  <c r="A392" i="1"/>
  <c r="A391" i="1"/>
  <c r="A390" i="1"/>
  <c r="A389" i="1"/>
  <c r="A388" i="1"/>
  <c r="A387" i="1"/>
  <c r="Y386" i="1"/>
  <c r="Y385" i="1"/>
  <c r="Y384" i="1"/>
  <c r="Y383" i="1"/>
  <c r="Y382" i="1"/>
  <c r="Y381" i="1"/>
  <c r="Y380" i="1"/>
  <c r="Y379" i="1"/>
  <c r="Y378" i="1"/>
  <c r="Y377" i="1"/>
  <c r="Y376" i="1"/>
  <c r="Y375" i="1"/>
  <c r="Y374" i="1"/>
  <c r="Y373" i="1"/>
  <c r="Y372" i="1"/>
  <c r="Y371" i="1"/>
  <c r="Y370" i="1"/>
  <c r="Y369" i="1"/>
  <c r="Y368" i="1"/>
  <c r="Y367" i="1"/>
  <c r="Y366" i="1"/>
  <c r="Y365" i="1"/>
  <c r="Y364" i="1"/>
  <c r="Y363" i="1"/>
  <c r="Y362" i="1"/>
  <c r="Y361" i="1"/>
  <c r="Y360" i="1"/>
  <c r="Y359" i="1"/>
  <c r="Y358" i="1"/>
  <c r="Y357" i="1"/>
  <c r="Y356" i="1"/>
  <c r="Y355" i="1"/>
  <c r="Y354" i="1"/>
  <c r="Y353" i="1"/>
  <c r="Y352" i="1"/>
  <c r="Y351" i="1"/>
  <c r="Y350" i="1"/>
  <c r="Y349" i="1"/>
  <c r="Y348" i="1"/>
  <c r="Y347" i="1"/>
  <c r="Y346" i="1"/>
  <c r="Y345" i="1"/>
  <c r="Y344" i="1"/>
  <c r="Y343" i="1"/>
  <c r="Y342" i="1"/>
  <c r="Y341" i="1"/>
  <c r="Y340" i="1"/>
  <c r="Y339" i="1"/>
  <c r="Y338" i="1"/>
  <c r="Y337" i="1"/>
  <c r="Y336" i="1"/>
  <c r="Y335" i="1"/>
  <c r="Y334" i="1"/>
  <c r="Y333" i="1"/>
  <c r="Y332" i="1"/>
  <c r="Y331" i="1"/>
  <c r="Y330" i="1"/>
  <c r="Y329" i="1"/>
  <c r="Y328" i="1"/>
  <c r="Y327" i="1"/>
  <c r="Y326" i="1"/>
  <c r="Y325" i="1"/>
  <c r="Y324" i="1"/>
  <c r="Y323" i="1"/>
  <c r="Y322" i="1"/>
  <c r="Y321" i="1"/>
  <c r="Y320" i="1"/>
  <c r="Y319" i="1"/>
  <c r="Y318" i="1"/>
  <c r="Y317" i="1"/>
  <c r="Y316" i="1"/>
  <c r="Y315" i="1"/>
  <c r="Y314" i="1"/>
  <c r="Y313" i="1"/>
  <c r="Y312" i="1"/>
  <c r="Y311" i="1"/>
  <c r="Y310" i="1"/>
  <c r="Y309" i="1"/>
  <c r="Y308" i="1"/>
  <c r="Y307" i="1"/>
  <c r="Y306" i="1"/>
  <c r="Y305" i="1"/>
  <c r="Y304" i="1"/>
  <c r="Y303" i="1"/>
  <c r="Y302" i="1"/>
  <c r="Y301" i="1"/>
  <c r="Y300" i="1"/>
  <c r="Y299" i="1"/>
  <c r="Y298" i="1"/>
  <c r="Y297" i="1"/>
  <c r="Y296" i="1"/>
  <c r="Y295" i="1"/>
  <c r="Y294" i="1"/>
  <c r="Y293" i="1"/>
  <c r="Y292" i="1"/>
  <c r="Y291" i="1"/>
  <c r="Y290" i="1"/>
  <c r="Y289" i="1"/>
  <c r="Y288" i="1"/>
  <c r="Y287" i="1"/>
  <c r="Y286" i="1"/>
  <c r="Y285" i="1"/>
  <c r="Y284" i="1"/>
  <c r="Y283" i="1"/>
  <c r="Y282" i="1"/>
  <c r="Y281" i="1"/>
  <c r="Y280" i="1"/>
  <c r="Y279" i="1"/>
  <c r="Y278" i="1"/>
  <c r="Y277" i="1"/>
  <c r="Y276" i="1"/>
  <c r="Y275" i="1"/>
  <c r="Y274" i="1"/>
  <c r="Y273" i="1"/>
  <c r="Y272" i="1"/>
  <c r="Y271" i="1"/>
  <c r="Y270" i="1"/>
  <c r="Y269" i="1"/>
  <c r="Y268" i="1"/>
  <c r="Y267" i="1"/>
  <c r="Y266" i="1"/>
  <c r="Y265" i="1"/>
  <c r="Y264" i="1"/>
  <c r="Y263" i="1"/>
  <c r="Y262" i="1"/>
  <c r="Y261" i="1"/>
  <c r="Y260" i="1"/>
  <c r="Y259" i="1"/>
  <c r="Y258" i="1"/>
  <c r="Y257" i="1"/>
  <c r="Y256" i="1"/>
  <c r="Y255" i="1"/>
  <c r="Y254" i="1"/>
  <c r="Y253" i="1"/>
  <c r="Y252" i="1"/>
  <c r="Y251" i="1"/>
  <c r="Y250" i="1"/>
  <c r="Y249" i="1"/>
  <c r="Y248" i="1"/>
  <c r="Y247" i="1"/>
  <c r="Y246" i="1"/>
  <c r="Y245" i="1"/>
  <c r="Y244" i="1"/>
  <c r="Y243" i="1"/>
  <c r="Y242" i="1"/>
  <c r="Y241" i="1"/>
  <c r="Y240" i="1"/>
  <c r="Y239" i="1"/>
  <c r="Y238" i="1"/>
  <c r="Y237" i="1"/>
  <c r="Y236" i="1"/>
  <c r="Y235" i="1"/>
  <c r="Y234" i="1"/>
  <c r="Y233" i="1"/>
  <c r="Y232" i="1"/>
  <c r="Y231" i="1"/>
  <c r="Y230" i="1"/>
  <c r="Y229" i="1"/>
  <c r="Y228" i="1"/>
  <c r="Y227" i="1"/>
  <c r="Y226" i="1"/>
  <c r="Y225" i="1"/>
  <c r="Y224" i="1"/>
  <c r="Y223" i="1"/>
  <c r="Y222" i="1"/>
  <c r="Y221" i="1"/>
  <c r="Y220" i="1"/>
  <c r="Y219" i="1"/>
  <c r="Y218" i="1"/>
  <c r="Y217" i="1"/>
  <c r="Y216" i="1"/>
  <c r="Y215" i="1"/>
  <c r="Y214" i="1"/>
  <c r="Y213" i="1"/>
  <c r="Y212" i="1"/>
  <c r="Y211" i="1"/>
  <c r="Y210" i="1"/>
  <c r="Y209" i="1"/>
  <c r="Y208" i="1"/>
  <c r="Y207" i="1"/>
  <c r="Y206" i="1"/>
  <c r="Y205" i="1"/>
  <c r="Y204" i="1"/>
  <c r="Y203" i="1"/>
  <c r="Y202" i="1"/>
  <c r="Y201" i="1"/>
  <c r="Y200" i="1"/>
  <c r="Y199" i="1"/>
  <c r="Y198" i="1"/>
  <c r="Y197" i="1"/>
  <c r="Y196" i="1"/>
  <c r="Y195" i="1"/>
  <c r="Y194" i="1"/>
  <c r="Y193" i="1"/>
  <c r="Y192" i="1"/>
  <c r="Y191" i="1"/>
  <c r="Y190" i="1"/>
  <c r="Y189" i="1"/>
  <c r="Y188" i="1"/>
  <c r="Y187" i="1"/>
  <c r="Y186" i="1"/>
  <c r="Y185" i="1"/>
  <c r="Y184" i="1"/>
  <c r="Y183" i="1"/>
  <c r="Y182" i="1"/>
  <c r="Y181" i="1"/>
  <c r="Y180" i="1"/>
  <c r="Y179" i="1"/>
  <c r="Y178" i="1"/>
  <c r="Y177" i="1"/>
  <c r="Y176" i="1"/>
  <c r="Y175" i="1"/>
  <c r="Y174" i="1"/>
  <c r="Y173" i="1"/>
  <c r="Y172" i="1"/>
  <c r="Y171" i="1"/>
  <c r="Y170" i="1"/>
  <c r="Y169" i="1"/>
  <c r="Y168" i="1"/>
  <c r="Y167" i="1"/>
  <c r="Y166" i="1"/>
  <c r="Y165" i="1"/>
  <c r="Y164" i="1"/>
  <c r="Y163" i="1"/>
  <c r="Y162" i="1"/>
  <c r="Y161" i="1"/>
  <c r="Y160" i="1"/>
  <c r="Y159" i="1"/>
  <c r="Y158" i="1"/>
  <c r="Y157" i="1"/>
  <c r="Y156" i="1"/>
  <c r="Y155" i="1"/>
  <c r="Y154" i="1"/>
  <c r="Y153" i="1"/>
  <c r="Y152" i="1"/>
  <c r="Y151" i="1"/>
  <c r="Y150" i="1"/>
  <c r="Y149" i="1"/>
  <c r="Y148" i="1"/>
  <c r="Y147" i="1"/>
  <c r="Y146" i="1"/>
  <c r="Y145" i="1"/>
  <c r="Y144" i="1"/>
  <c r="Y143" i="1"/>
  <c r="Y142" i="1"/>
  <c r="Y141" i="1"/>
  <c r="Y140" i="1"/>
  <c r="Y139" i="1"/>
  <c r="Y138" i="1"/>
  <c r="Y137" i="1"/>
  <c r="Y136" i="1"/>
  <c r="Y135" i="1"/>
  <c r="Y134" i="1"/>
  <c r="Y133" i="1"/>
  <c r="Y132" i="1"/>
  <c r="Y131" i="1"/>
  <c r="Y130" i="1"/>
  <c r="Y129" i="1"/>
  <c r="Y128" i="1"/>
  <c r="Y127" i="1"/>
  <c r="Y126" i="1"/>
  <c r="Y125" i="1"/>
  <c r="Y124" i="1"/>
  <c r="Y123" i="1"/>
  <c r="Y122" i="1"/>
  <c r="Y121" i="1"/>
  <c r="Y120" i="1"/>
  <c r="Y119" i="1"/>
  <c r="Y118" i="1"/>
  <c r="Y117" i="1"/>
  <c r="Y116" i="1"/>
  <c r="Y115" i="1"/>
  <c r="Y114" i="1"/>
  <c r="Y113" i="1"/>
  <c r="Y112" i="1"/>
  <c r="Y111" i="1"/>
  <c r="Y110" i="1"/>
  <c r="Y109" i="1"/>
  <c r="Y108" i="1"/>
  <c r="Y107" i="1"/>
  <c r="Y106" i="1"/>
  <c r="Y105" i="1"/>
  <c r="Y104" i="1"/>
  <c r="Y103" i="1"/>
  <c r="Y102" i="1"/>
  <c r="Y101" i="1"/>
  <c r="Y100" i="1"/>
  <c r="Y99" i="1"/>
  <c r="Y98" i="1"/>
  <c r="Y97" i="1"/>
  <c r="Y96" i="1"/>
  <c r="Y95" i="1"/>
  <c r="Y94" i="1"/>
  <c r="Y93" i="1"/>
  <c r="Y92" i="1"/>
  <c r="Y91" i="1"/>
  <c r="Y90" i="1"/>
  <c r="Y89" i="1"/>
  <c r="Y88" i="1"/>
  <c r="Y87" i="1"/>
  <c r="Y86" i="1"/>
  <c r="Y85" i="1"/>
  <c r="Y84" i="1"/>
  <c r="Y83" i="1"/>
  <c r="Y82" i="1"/>
  <c r="Y81" i="1"/>
  <c r="Y80" i="1"/>
  <c r="Y79" i="1"/>
  <c r="Y78" i="1"/>
  <c r="Y77" i="1"/>
  <c r="Y76" i="1"/>
  <c r="Y75" i="1"/>
  <c r="Y74" i="1"/>
  <c r="Y73" i="1"/>
  <c r="Y72" i="1"/>
  <c r="Y71" i="1"/>
  <c r="Y70" i="1"/>
  <c r="Y69" i="1"/>
  <c r="Y68" i="1"/>
  <c r="Y67" i="1"/>
  <c r="Y66" i="1"/>
  <c r="Y65" i="1"/>
  <c r="Y64" i="1"/>
  <c r="Y63" i="1"/>
  <c r="Y62" i="1"/>
  <c r="Y61" i="1"/>
  <c r="Y60" i="1"/>
  <c r="Y59" i="1"/>
  <c r="Y58" i="1"/>
  <c r="Y57" i="1"/>
  <c r="Y56" i="1"/>
  <c r="Y55" i="1"/>
  <c r="Y54" i="1"/>
  <c r="Y53" i="1"/>
  <c r="Y52" i="1"/>
  <c r="Y51" i="1"/>
  <c r="Y50" i="1"/>
  <c r="Y49" i="1"/>
  <c r="Y48" i="1"/>
  <c r="Y47" i="1"/>
  <c r="Y46" i="1"/>
  <c r="Y45" i="1"/>
  <c r="Y44" i="1"/>
  <c r="Y43" i="1"/>
  <c r="Y42" i="1"/>
  <c r="Y41" i="1"/>
  <c r="Y40" i="1"/>
  <c r="Y39" i="1"/>
  <c r="Y38" i="1"/>
  <c r="Y37" i="1"/>
  <c r="Y36" i="1"/>
  <c r="Y35" i="1"/>
  <c r="Y34" i="1"/>
  <c r="Y33" i="1"/>
  <c r="Y32" i="1"/>
  <c r="Y31" i="1"/>
  <c r="Y30" i="1"/>
  <c r="Y29" i="1"/>
  <c r="Y28" i="1"/>
  <c r="Y27" i="1"/>
  <c r="Y26" i="1"/>
  <c r="Y25" i="1"/>
  <c r="Y24" i="1"/>
  <c r="Y23" i="1"/>
  <c r="Y22" i="1"/>
  <c r="Y21" i="1"/>
  <c r="Y20" i="1"/>
  <c r="Y19" i="1"/>
  <c r="Y18" i="1"/>
  <c r="Y17" i="1"/>
  <c r="Y16" i="1"/>
  <c r="Y15" i="1"/>
  <c r="Y14" i="1"/>
  <c r="Y13" i="1"/>
  <c r="Y12" i="1"/>
  <c r="Y11" i="1"/>
  <c r="Y10" i="1"/>
  <c r="Y9" i="1"/>
  <c r="Y8" i="1"/>
  <c r="Y7" i="1"/>
  <c r="Y6" i="1"/>
  <c r="A386" i="1" l="1"/>
  <c r="A385" i="1" l="1"/>
  <c r="D7" i="18" l="1"/>
  <c r="F7" i="18" l="1"/>
  <c r="D11" i="18" l="1"/>
  <c r="F11" i="18" s="1"/>
  <c r="D10" i="18"/>
  <c r="F10" i="18" s="1"/>
  <c r="D9" i="18"/>
  <c r="F9" i="18" s="1"/>
  <c r="D8" i="18"/>
  <c r="F8" i="18" s="1"/>
  <c r="D12" i="18"/>
  <c r="E7" i="18" s="1"/>
  <c r="E10" i="18" l="1"/>
  <c r="E9" i="18"/>
  <c r="E11" i="18"/>
  <c r="E12" i="18" l="1"/>
  <c r="E8" i="18"/>
  <c r="D3" i="18" l="1"/>
  <c r="T29" i="11" l="1"/>
  <c r="S29" i="11"/>
  <c r="R29" i="11"/>
  <c r="Q29" i="11"/>
  <c r="P29" i="11"/>
  <c r="O29" i="11"/>
  <c r="N29" i="11"/>
  <c r="M29" i="11"/>
  <c r="L29" i="11"/>
  <c r="K29" i="11"/>
  <c r="J29" i="11"/>
  <c r="T28" i="11"/>
  <c r="S28" i="11"/>
  <c r="R28" i="11"/>
  <c r="Q28" i="11"/>
  <c r="P28" i="11"/>
  <c r="O28" i="11"/>
  <c r="N28" i="11"/>
  <c r="M28" i="11"/>
  <c r="L28" i="11"/>
  <c r="K28" i="11"/>
  <c r="J28" i="11"/>
  <c r="E4" i="10"/>
  <c r="E5" i="10"/>
  <c r="E6" i="10"/>
  <c r="E7" i="10"/>
  <c r="E8" i="10"/>
  <c r="E9" i="10"/>
  <c r="E10" i="10"/>
  <c r="E11" i="10"/>
  <c r="E12" i="10"/>
  <c r="E13" i="10"/>
  <c r="E3" i="10"/>
  <c r="C13" i="10"/>
  <c r="C4" i="10"/>
  <c r="C5" i="10"/>
  <c r="C6" i="10"/>
  <c r="C7" i="10"/>
  <c r="C8" i="10"/>
  <c r="C9" i="10"/>
  <c r="C10" i="10"/>
  <c r="C11" i="10"/>
  <c r="C12" i="10"/>
  <c r="C3" i="10"/>
  <c r="A384" i="1"/>
  <c r="A383" i="1"/>
  <c r="A382" i="1"/>
  <c r="A381" i="1"/>
  <c r="A380" i="1"/>
  <c r="A379" i="1"/>
  <c r="A378" i="1"/>
  <c r="A377" i="1"/>
  <c r="A376" i="1"/>
  <c r="A375" i="1"/>
  <c r="A374" i="1"/>
  <c r="A373" i="1"/>
  <c r="A372" i="1"/>
  <c r="A371" i="1"/>
  <c r="A370" i="1"/>
  <c r="A369" i="1"/>
  <c r="A368" i="1"/>
  <c r="A367" i="1"/>
  <c r="A366" i="1"/>
  <c r="A365" i="1"/>
  <c r="A364" i="1"/>
  <c r="A363" i="1"/>
  <c r="A362" i="1"/>
  <c r="A361" i="1"/>
  <c r="A360" i="1"/>
  <c r="A359" i="1"/>
  <c r="A358" i="1"/>
  <c r="A357" i="1"/>
  <c r="A356" i="1"/>
  <c r="A355" i="1"/>
  <c r="A354" i="1"/>
  <c r="A353" i="1"/>
  <c r="A352" i="1"/>
  <c r="C14" i="10" l="1"/>
  <c r="M30" i="11" a="1"/>
  <c r="M30" i="11" s="1"/>
  <c r="T31" i="11"/>
  <c r="L31" i="11"/>
  <c r="J30" i="11" a="1"/>
  <c r="J30" i="11" s="1"/>
  <c r="R30" i="11" a="1"/>
  <c r="R30" i="11" s="1"/>
  <c r="K30" i="11" a="1"/>
  <c r="K30" i="11" s="1"/>
  <c r="S31" i="11"/>
  <c r="Q30" i="11" a="1"/>
  <c r="Q30" i="11" s="1"/>
  <c r="N30" i="11" a="1"/>
  <c r="N30" i="11" s="1"/>
  <c r="O30" i="11" a="1"/>
  <c r="O30" i="11" s="1"/>
  <c r="P31" i="11"/>
  <c r="S30" i="11" a="1"/>
  <c r="S30" i="11" s="1"/>
  <c r="M31" i="11"/>
  <c r="N31" i="11"/>
  <c r="O31" i="11"/>
  <c r="L30" i="11" a="1"/>
  <c r="L30" i="11" s="1"/>
  <c r="P30" i="11" a="1"/>
  <c r="P30" i="11" s="1"/>
  <c r="T30" i="11" a="1"/>
  <c r="T30" i="11" s="1"/>
  <c r="Q31" i="11"/>
  <c r="J31" i="11"/>
  <c r="R31" i="11"/>
  <c r="K31" i="11"/>
  <c r="A274" i="1"/>
  <c r="A351" i="1" l="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Q29" i="6"/>
  <c r="Q28" i="6"/>
  <c r="K29" i="6"/>
  <c r="J29" i="6"/>
  <c r="L29" i="6"/>
  <c r="M29" i="6"/>
  <c r="O29" i="6"/>
  <c r="P29" i="6"/>
  <c r="R29" i="6"/>
  <c r="S29" i="6"/>
  <c r="T29" i="6"/>
  <c r="N29" i="6"/>
  <c r="Q30" i="6" l="1" a="1"/>
  <c r="Q30" i="6" s="1"/>
  <c r="G10" i="10"/>
  <c r="Q31" i="6"/>
  <c r="D13" i="10"/>
  <c r="D10" i="10" l="1"/>
  <c r="D4" i="10"/>
  <c r="D8" i="10"/>
  <c r="D7" i="10"/>
  <c r="D6" i="10"/>
  <c r="D5" i="10"/>
  <c r="D11" i="10"/>
  <c r="D12" i="10"/>
  <c r="D3" i="10"/>
  <c r="D9" i="10"/>
  <c r="L351" i="1" l="1"/>
  <c r="L350" i="1"/>
  <c r="L349" i="1"/>
  <c r="L348" i="1"/>
  <c r="L347" i="1"/>
  <c r="L346" i="1"/>
  <c r="L345" i="1"/>
  <c r="L342" i="1"/>
  <c r="L341" i="1"/>
  <c r="L340" i="1"/>
  <c r="L339" i="1"/>
  <c r="L338" i="1"/>
  <c r="L337" i="1"/>
  <c r="L336" i="1"/>
  <c r="L30" i="1"/>
  <c r="L334" i="1"/>
  <c r="L333" i="1"/>
  <c r="L332" i="1"/>
  <c r="L331" i="1"/>
  <c r="L330" i="1"/>
  <c r="L329" i="1"/>
  <c r="L328" i="1"/>
  <c r="L327" i="1"/>
  <c r="L326" i="1"/>
  <c r="L325" i="1"/>
  <c r="L324" i="1"/>
  <c r="L323" i="1"/>
  <c r="L322" i="1"/>
  <c r="L321" i="1"/>
  <c r="L320" i="1"/>
  <c r="L319" i="1"/>
  <c r="L318" i="1"/>
  <c r="L317" i="1"/>
  <c r="L316" i="1"/>
  <c r="L314" i="1"/>
  <c r="L313" i="1"/>
  <c r="L312" i="1"/>
  <c r="L310" i="1"/>
  <c r="L309" i="1"/>
  <c r="L308" i="1"/>
  <c r="L307" i="1"/>
  <c r="L306" i="1"/>
  <c r="L304" i="1"/>
  <c r="L303" i="1"/>
  <c r="L302" i="1"/>
  <c r="L32" i="1"/>
  <c r="L300" i="1"/>
  <c r="L299" i="1"/>
  <c r="L67" i="1"/>
  <c r="L91" i="1"/>
  <c r="L93" i="1"/>
  <c r="L295" i="1"/>
  <c r="L294" i="1"/>
  <c r="L293" i="1"/>
  <c r="L292" i="1"/>
  <c r="L291" i="1"/>
  <c r="L290" i="1"/>
  <c r="L289" i="1"/>
  <c r="L288" i="1"/>
  <c r="L344" i="1"/>
  <c r="L285" i="1"/>
  <c r="L284" i="1"/>
  <c r="L283" i="1"/>
  <c r="L282" i="1"/>
  <c r="L281" i="1"/>
  <c r="L280" i="1"/>
  <c r="L279" i="1"/>
  <c r="L278" i="1"/>
  <c r="L277" i="1"/>
  <c r="L276" i="1"/>
  <c r="L275" i="1"/>
  <c r="L273" i="1"/>
  <c r="L269" i="1"/>
  <c r="L268" i="1"/>
  <c r="L267" i="1"/>
  <c r="L265" i="1"/>
  <c r="L264" i="1"/>
  <c r="L263" i="1"/>
  <c r="L262" i="1"/>
  <c r="L261" i="1"/>
  <c r="L260" i="1"/>
  <c r="L259" i="1"/>
  <c r="L258" i="1"/>
  <c r="L257" i="1"/>
  <c r="L256" i="1"/>
  <c r="L255" i="1"/>
  <c r="L254" i="1"/>
  <c r="L253" i="1"/>
  <c r="L252" i="1"/>
  <c r="L251" i="1"/>
  <c r="L250" i="1"/>
  <c r="L247" i="1"/>
  <c r="L244" i="1"/>
  <c r="L243" i="1"/>
  <c r="L242" i="1"/>
  <c r="L241" i="1"/>
  <c r="L240" i="1"/>
  <c r="L239" i="1"/>
  <c r="L238" i="1"/>
  <c r="L237" i="1"/>
  <c r="L236" i="1"/>
  <c r="L234" i="1"/>
  <c r="L233" i="1"/>
  <c r="L232" i="1"/>
  <c r="L231" i="1"/>
  <c r="L230" i="1"/>
  <c r="L229" i="1"/>
  <c r="L228" i="1"/>
  <c r="L227" i="1"/>
  <c r="L226" i="1"/>
  <c r="L225" i="1"/>
  <c r="L224"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25" i="1"/>
  <c r="L184" i="1"/>
  <c r="L181" i="1"/>
  <c r="L180" i="1"/>
  <c r="L179" i="1"/>
  <c r="L178" i="1"/>
  <c r="L177" i="1"/>
  <c r="L143" i="1"/>
  <c r="L175" i="1"/>
  <c r="L174" i="1"/>
  <c r="L173" i="1"/>
  <c r="L172" i="1"/>
  <c r="L171" i="1"/>
  <c r="L170" i="1"/>
  <c r="L169" i="1"/>
  <c r="L168" i="1"/>
  <c r="L167" i="1"/>
  <c r="L166" i="1"/>
  <c r="L165" i="1"/>
  <c r="L164" i="1"/>
  <c r="L163" i="1"/>
  <c r="L162" i="1"/>
  <c r="L161" i="1"/>
  <c r="L142" i="1"/>
  <c r="L159" i="1"/>
  <c r="L158" i="1"/>
  <c r="L157" i="1"/>
  <c r="L156" i="1"/>
  <c r="L155" i="1"/>
  <c r="L154" i="1"/>
  <c r="L153" i="1"/>
  <c r="L152" i="1"/>
  <c r="L151" i="1"/>
  <c r="L150" i="1"/>
  <c r="L149" i="1"/>
  <c r="L148" i="1"/>
  <c r="L147" i="1"/>
  <c r="L146" i="1"/>
  <c r="L145" i="1"/>
  <c r="L144" i="1"/>
  <c r="L160" i="1"/>
  <c r="L286" i="1"/>
  <c r="L141" i="1"/>
  <c r="L140" i="1"/>
  <c r="L139" i="1"/>
  <c r="L138" i="1"/>
  <c r="L137" i="1"/>
  <c r="L136" i="1"/>
  <c r="L135" i="1"/>
  <c r="L133" i="1"/>
  <c r="L132" i="1"/>
  <c r="L131" i="1"/>
  <c r="L130" i="1"/>
  <c r="L129" i="1"/>
  <c r="L127" i="1"/>
  <c r="L126" i="1"/>
  <c r="L176" i="1"/>
  <c r="L185" i="1"/>
  <c r="L123" i="1"/>
  <c r="L120" i="1"/>
  <c r="L119" i="1"/>
  <c r="L118" i="1"/>
  <c r="L117" i="1"/>
  <c r="L116" i="1"/>
  <c r="L115" i="1"/>
  <c r="L114" i="1"/>
  <c r="L113" i="1"/>
  <c r="L112" i="1"/>
  <c r="L12" i="1"/>
  <c r="L109" i="1"/>
  <c r="L106" i="1"/>
  <c r="L105" i="1"/>
  <c r="L104" i="1"/>
  <c r="L101" i="1"/>
  <c r="L100" i="1"/>
  <c r="L99" i="1"/>
  <c r="L98" i="1"/>
  <c r="L95" i="1"/>
  <c r="L94" i="1"/>
  <c r="L249" i="1"/>
  <c r="L92" i="1"/>
  <c r="L266" i="1"/>
  <c r="L90" i="1"/>
  <c r="L89" i="1"/>
  <c r="L87" i="1"/>
  <c r="L86" i="1"/>
  <c r="L85" i="1"/>
  <c r="L84" i="1"/>
  <c r="L83" i="1"/>
  <c r="L82" i="1"/>
  <c r="L296" i="1"/>
  <c r="L80" i="1"/>
  <c r="L79" i="1"/>
  <c r="L78" i="1"/>
  <c r="L76" i="1"/>
  <c r="L74" i="1"/>
  <c r="L72" i="1"/>
  <c r="L70" i="1"/>
  <c r="L69" i="1"/>
  <c r="L68" i="1"/>
  <c r="L297" i="1"/>
  <c r="L66" i="1"/>
  <c r="L65" i="1"/>
  <c r="L64" i="1"/>
  <c r="L63" i="1"/>
  <c r="L62" i="1"/>
  <c r="L61" i="1"/>
  <c r="L60" i="1"/>
  <c r="L59" i="1"/>
  <c r="L58" i="1"/>
  <c r="L57" i="1"/>
  <c r="L56" i="1"/>
  <c r="L55" i="1"/>
  <c r="L54" i="1"/>
  <c r="L53" i="1"/>
  <c r="L52" i="1"/>
  <c r="L51" i="1"/>
  <c r="L50" i="1"/>
  <c r="L49" i="1"/>
  <c r="L46" i="1"/>
  <c r="L45" i="1"/>
  <c r="L44" i="1"/>
  <c r="L43" i="1"/>
  <c r="L42" i="1"/>
  <c r="L41" i="1"/>
  <c r="L40" i="1"/>
  <c r="L39" i="1"/>
  <c r="L38" i="1"/>
  <c r="L37" i="1"/>
  <c r="L36" i="1"/>
  <c r="L34" i="1"/>
  <c r="L33" i="1"/>
  <c r="L298" i="1"/>
  <c r="L31" i="1"/>
  <c r="L301" i="1"/>
  <c r="L29" i="1"/>
  <c r="L28" i="1"/>
  <c r="L27" i="1"/>
  <c r="L26" i="1"/>
  <c r="L25" i="1"/>
  <c r="L24" i="1"/>
  <c r="L23" i="1"/>
  <c r="L22" i="1"/>
  <c r="L21" i="1"/>
  <c r="L20" i="1"/>
  <c r="L19" i="1"/>
  <c r="L18" i="1"/>
  <c r="L17" i="1"/>
  <c r="L16" i="1"/>
  <c r="L15" i="1"/>
  <c r="L14" i="1"/>
  <c r="L13" i="1"/>
  <c r="L335" i="1"/>
  <c r="L11" i="1"/>
  <c r="L10" i="1"/>
  <c r="L9" i="1"/>
  <c r="L7" i="1"/>
  <c r="L6" i="1"/>
  <c r="N28" i="6" l="1"/>
  <c r="N30" i="6" s="1" a="1"/>
  <c r="N30" i="6" s="1"/>
  <c r="M28" i="6"/>
  <c r="M30" i="6" s="1" a="1"/>
  <c r="M30" i="6" s="1"/>
  <c r="J28" i="6"/>
  <c r="L28" i="6"/>
  <c r="L30" i="6" s="1" a="1"/>
  <c r="L30" i="6" s="1"/>
  <c r="O28" i="6"/>
  <c r="O30" i="6" s="1" a="1"/>
  <c r="O30" i="6" s="1"/>
  <c r="P28" i="6"/>
  <c r="P30" i="6" s="1" a="1"/>
  <c r="P30" i="6" s="1"/>
  <c r="S28" i="6"/>
  <c r="S30" i="6" s="1" a="1"/>
  <c r="S30" i="6" s="1"/>
  <c r="T28" i="6"/>
  <c r="T30" i="6" s="1" a="1"/>
  <c r="T30" i="6" s="1"/>
  <c r="K28" i="6"/>
  <c r="K30" i="6" s="1" a="1"/>
  <c r="K30" i="6" s="1"/>
  <c r="R28" i="6"/>
  <c r="R30" i="6" s="1" a="1"/>
  <c r="R30" i="6" s="1"/>
  <c r="J31" i="6" l="1"/>
  <c r="J30" i="6" a="1"/>
  <c r="J30" i="6" s="1"/>
  <c r="G9" i="10"/>
  <c r="G11" i="10"/>
  <c r="G4" i="10"/>
  <c r="E14" i="10"/>
  <c r="G3" i="10"/>
  <c r="G7" i="10"/>
  <c r="G12" i="10"/>
  <c r="G6" i="10"/>
  <c r="G5" i="10"/>
  <c r="G8" i="10"/>
  <c r="G13" i="10"/>
  <c r="O31" i="6"/>
  <c r="T31" i="6"/>
  <c r="R31" i="6"/>
  <c r="K31" i="6"/>
  <c r="P31" i="6"/>
  <c r="N31" i="6"/>
  <c r="L31" i="6"/>
  <c r="M31" i="6"/>
  <c r="S31" i="6"/>
  <c r="F9" i="10" l="1"/>
  <c r="F10" i="10"/>
  <c r="F13" i="10"/>
  <c r="F12" i="10"/>
  <c r="F11" i="10"/>
  <c r="F8" i="10"/>
  <c r="F7" i="10"/>
  <c r="F4" i="10"/>
  <c r="F3" i="10"/>
  <c r="F6" i="10"/>
  <c r="F5"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<sst xmlns="http://schemas.openxmlformats.org/spreadsheetml/2006/main" count="9509" uniqueCount="1346">
  <si>
    <t>Status Atual</t>
  </si>
  <si>
    <t>(All)</t>
  </si>
  <si>
    <t>Row Labels</t>
  </si>
  <si>
    <t>Count of Categorização</t>
  </si>
  <si>
    <t xml:space="preserve">Âmbito (Projeto) </t>
  </si>
  <si>
    <t>PM</t>
  </si>
  <si>
    <t>Fora OSI</t>
  </si>
  <si>
    <r>
      <rPr>
        <b/>
        <sz val="11"/>
        <color theme="1"/>
        <rFont val="Aptos Narrow"/>
        <family val="2"/>
        <scheme val="minor"/>
      </rPr>
      <t xml:space="preserve">Potencial de proposta </t>
    </r>
    <r>
      <rPr>
        <sz val="11"/>
        <color theme="1"/>
        <rFont val="Aptos Narrow"/>
        <family val="2"/>
        <scheme val="minor"/>
      </rPr>
      <t>- Campos concluídos, sem melhorias identidicadas, mas com necessidade de documentação</t>
    </r>
  </si>
  <si>
    <t>Analisar controlos NOK</t>
  </si>
  <si>
    <t>Count of Status Atual</t>
  </si>
  <si>
    <t/>
  </si>
  <si>
    <t>OSI VS FORA OSI</t>
  </si>
  <si>
    <r>
      <rPr>
        <b/>
        <sz val="11"/>
        <color theme="1"/>
        <rFont val="Aptos Narrow"/>
        <family val="2"/>
        <scheme val="minor"/>
      </rPr>
      <t>Potencial de proposta</t>
    </r>
    <r>
      <rPr>
        <sz val="11"/>
        <color theme="1"/>
        <rFont val="Aptos Narrow"/>
        <family val="2"/>
        <scheme val="minor"/>
      </rPr>
      <t xml:space="preserve"> - Campos com melhorias mais complexas identificadas na OSI ou fora da mesma.</t>
    </r>
  </si>
  <si>
    <t>Melhorias estruturais (garantir coerência entre campos)</t>
  </si>
  <si>
    <t>OSI</t>
  </si>
  <si>
    <t>Grand Total</t>
  </si>
  <si>
    <t>Total #</t>
  </si>
  <si>
    <t>Total %</t>
  </si>
  <si>
    <t>Quick-win âmbito do projeto em curso</t>
  </si>
  <si>
    <t>Novo campo</t>
  </si>
  <si>
    <t>1. Especificar</t>
  </si>
  <si>
    <t>Quick Win</t>
  </si>
  <si>
    <t>#</t>
  </si>
  <si>
    <t>%</t>
  </si>
  <si>
    <t>Necessidade de correção de erros</t>
  </si>
  <si>
    <t>2. Alterar especificação</t>
  </si>
  <si>
    <t>Campo Fechado</t>
  </si>
  <si>
    <t>Campo concluído, mas sem ou pouca informação na fonte</t>
  </si>
  <si>
    <t>3. Pendente de decisão</t>
  </si>
  <si>
    <t>Não</t>
  </si>
  <si>
    <t>Campo concluido</t>
  </si>
  <si>
    <t>4.1 Em implementação - Re-especificação</t>
  </si>
  <si>
    <t>Sim</t>
  </si>
  <si>
    <t>5.1 Em testes - Re-especificação</t>
  </si>
  <si>
    <t>Alteração de especificação por parte do BCE</t>
  </si>
  <si>
    <t>5.2 Em testes - Incidência</t>
  </si>
  <si>
    <t>7. Analisar controlos e completude</t>
  </si>
  <si>
    <t>8. Concluído - sem dados</t>
  </si>
  <si>
    <t>9. Concluído</t>
  </si>
  <si>
    <t>Pendente de decisão</t>
  </si>
  <si>
    <t>Especificação</t>
  </si>
  <si>
    <t>ORGNL_PRTCTN_VL</t>
  </si>
  <si>
    <t xml:space="preserve">Campos Contabilidade </t>
  </si>
  <si>
    <t>DT_ORGNL_PRTCTN_VL</t>
  </si>
  <si>
    <t>IMPRMNT_STTS</t>
  </si>
  <si>
    <t>PRFRMNG_STTS</t>
  </si>
  <si>
    <t>IMPRMNT_STTS_PRVS</t>
  </si>
  <si>
    <t>PRFRMNG_STTS_PRVS</t>
  </si>
  <si>
    <t>DPD_12M_PRFRMNG_STTS</t>
  </si>
  <si>
    <t>DPD_24M_PRFRMNG_STTS</t>
  </si>
  <si>
    <t>DPD_PRFRMNG_STTS</t>
  </si>
  <si>
    <t>DT_IMPRMNT_STTS</t>
  </si>
  <si>
    <t>DT_IMPRMNT_STTS_PRVS</t>
  </si>
  <si>
    <t>DT_PRFRMNG_STTS</t>
  </si>
  <si>
    <t>DT_PRFRMNG_STTS_PRVS</t>
  </si>
  <si>
    <t>4.2 Em implementação - Incidência</t>
  </si>
  <si>
    <t>6. Outros Desenvolvimentos</t>
  </si>
  <si>
    <t>Status Inicial (pós OSI)</t>
  </si>
  <si>
    <t>Variação</t>
  </si>
  <si>
    <t>Progressão</t>
  </si>
  <si>
    <t xml:space="preserve">3. Pendente de decisão - Identificados temas em OSI nos campos e é necessário identificar cauisticas (pode ficar como está ou ser alterado). Quem toma as decisões são as areas de negócio, porém o Luis poderá dar a decisão final </t>
  </si>
  <si>
    <t>Tema</t>
  </si>
  <si>
    <t>Questão</t>
  </si>
  <si>
    <t>Decisão</t>
  </si>
  <si>
    <t>O campo 'dtvalia_resp_bem' só possuI informação para datas de referências posteriores a 2024-07-31. Como devemos proceder caso seja necessário reportar dados anteriores a Jul.2024? </t>
  </si>
  <si>
    <t>Manter a especificação com mapeamento após jul.24</t>
  </si>
  <si>
    <t xml:space="preserve">O campo 'mavaliai_resp_bem' só possuI informação para datas de referências posteriores a 2024-07-31. Como devemos proceder caso seja necessário reportar dados anteriores a Jul.2024? </t>
  </si>
  <si>
    <t>DT_CNSTRCTN_STTS</t>
  </si>
  <si>
    <t xml:space="preserve">Teremos de criar uma tabela auxiliar com o histórico dos estados de construção e mapear para a data mais antiga do estado de construção atual. Uma vez que o MUG tem uma ótica de atualização diária, para o mapeamento e criação desta tabela auxiliar devemos olhar para uma ótica ou mensal?  </t>
  </si>
  <si>
    <t>Criar tabela auxiliar e ir buscar a ref_date. Devemos utilizar uma ótica diária. Analisar controlos por amostragem.</t>
  </si>
  <si>
    <t>Caso o bem só tenha um estado desde sempre/ desde que foi recebido como garantia devemos reportar a DT_INCPTN? E caso tenha mais do que um instrumento associado, qual a dt_incptn que devemos utilizar? A mais antiga?</t>
  </si>
  <si>
    <t>Questionar Corporação: 1) Caso o bem só tenha um estado desde sempre/ desde que foi recebido como garantia qual a data que devemos reportar? 2) A DR_CNSTRCTN_STTS pode ser anterior à DT_INCPTN? Estes casos poderão acontecer caso uma garantia esteja associada a mais do que um contrato.</t>
  </si>
  <si>
    <t>Campos Contabilidade vs Imparidade</t>
  </si>
  <si>
    <t xml:space="preserve">12 campos com informação de Imparidade, em que a Contabilidade assumiu a ownership uma vez que reporta este dado. Avançamos na re-especificação dos campos utilizando o mapeamento das tabelas de Contabilidade para datas de referência após Dez.22 e a tabela 7_8 de Imparidade para datas anteriores a Dez.22?
IMPRMNT_STTS	
PRFRMNG_STTS	
IMPRMNT_STTS_PRVS	
POCI	
PRFRMNG_STTS_PRVS	
DPD_12M_PRFRMNG_STTS	
DPD_24M_PRFRMNG_STTS	
DPD_PRFRMNG_STTS	
DT_IMPRMNT_STTS	
DT_IMPRMNT_STTS_PRVS	
DT_PRFRMNG_STTS	
DT_PRFRMNG_STTS_PRVS	</t>
  </si>
  <si>
    <t>Atualmente o campo de stage está a ser populado com informação de Imparidade até Dez.19 e a partir de Jan.20 com informação da FR004. Deste modo, a alteração de especificação prende-se apenas com a alteração da data para Dez.22.
Solicitar a Alexandre Gonçalvez que validem os campos após implementação de IT, sem prejuizo dos testes por parte da equipa LT.</t>
  </si>
  <si>
    <t>Campos Imparidade - Fonte da Verdade</t>
  </si>
  <si>
    <t xml:space="preserve">12 campos de Imparidade. Devemos sugerir mapeamento dos campos tendo em conta a tabela de o David Texugo indicou e enviar para validação? Enviamos um e-mail a solicitar esse mapeamento, mas sem resposta até ao momento. 
EIR	
EIR_INCPTN	
IFRS9_CCF	
IFRS9_EAD	
IFRS9_LGD	
INTRNL_SGMNT_IFRS9	
PD_IFRS9_12M_INCPTN	
PD_IFRS9_12M_RD	
PD_IFRS9_12M_RD_T1	
PD_IFRS9_LFTM_INCPTN	
PD_IFRS9_RMNNG_LFTM_INCPTN	
PD_IFRS9_RMNNG_LFTM_RD	</t>
  </si>
  <si>
    <t>Fazer proposta. Segmentar por campos OK e NOK.</t>
  </si>
  <si>
    <t>PRTCTN_VL</t>
  </si>
  <si>
    <t xml:space="preserve">40 garantias imóveis com valor de proteção a zero, cuja origem são a G39 ou G26. Analisados por Henrique e Susana:
    35 casos encontram-se no nosso ficheiro de Erros dos Métodos Indiciários com falta de informação: 
           33 – Apenas com informação na GP26 
             1 – Valor de avaliação a zero 
             1 - % de CI não encontrado para o critério 
    2 casos são do cliente Vilamoura World – imóvel não identificado 
    3 casos são do cliente IAD da Madeira e já foram distratados </t>
  </si>
  <si>
    <t xml:space="preserve">11 Garantias Imóveis cuja origem provêm das CSs, com valor da proteção igual a zero  (não são clones). Para quem devemos enviar estes casos para análise? </t>
  </si>
  <si>
    <t xml:space="preserve">121 Garantias Imóveis com contratos de Leasing associados, cujo valor da proteção é zero  (não são clones). Para quem devemos enviar estes casos para análise? </t>
  </si>
  <si>
    <t xml:space="preserve">1 garantia Financeira, cujo valor da proteção é zero – Caso não está na GT018 para datas posteriores a 2024-05-31. Devíamos retirar da LT os casos com o msldreal a zero (temos 25 casos)? </t>
  </si>
  <si>
    <t>46 casos com data inválidas 0001-01-01 para análise da equipa de leasing.</t>
  </si>
  <si>
    <t>4.1 respecificado</t>
  </si>
  <si>
    <t>4.2 IT não implementou corretamente</t>
  </si>
  <si>
    <t>6. Outros desenvolvimentos - Não podemos avançar no campo por haver necessidade de alguma alteração no campo fonte</t>
  </si>
  <si>
    <t xml:space="preserve">7. Controlos corporativos NOK que necessitam de ser analizados </t>
  </si>
  <si>
    <t>8. Campos que não são para mexer</t>
  </si>
  <si>
    <t>9. A partir do momento que sobe a CD</t>
  </si>
  <si>
    <t>Estado</t>
  </si>
  <si>
    <t>Status Inicial</t>
  </si>
  <si>
    <t>Status Atual (%)</t>
  </si>
  <si>
    <t>Legenda</t>
  </si>
  <si>
    <t xml:space="preserve">O campo será especificado pela primeira vez </t>
  </si>
  <si>
    <t>O campo já foi especificado, no entanto foi necessário alterar</t>
  </si>
  <si>
    <t xml:space="preserve">Houve algum tema identificado em OSI nos campos e é necessário identificar casuísticas (podendo ficar como está ou ser alterado). Quem toma as decisões são as áreas de negócio, porém o Luis poderá dar a decisão final </t>
  </si>
  <si>
    <t>O campo já foi re-especificado e está do lado de IT</t>
  </si>
  <si>
    <t>O campo já foi re-especificado e entregue, no entanto veio com erros de implementação por parte de IT</t>
  </si>
  <si>
    <t>O campo foi re-especificado e implementado por IT e está em fase de testes</t>
  </si>
  <si>
    <t>O campo foi re-especificado e implementado por IT, porém foram encontradas incidências que levaram a uma nova fase de testes</t>
  </si>
  <si>
    <t>Não podemos avançar no campo por haver necessidade de alguma alteração no campo fonte pendente da área responsável</t>
  </si>
  <si>
    <t xml:space="preserve">Controlos corporativos NOK que necessitam de ser analizados </t>
  </si>
  <si>
    <t>Campos que não são para alterar</t>
  </si>
  <si>
    <t>O campo já subiu a CD</t>
  </si>
  <si>
    <t>Quick-win de alta prioridade</t>
  </si>
  <si>
    <t>Quick-win de média prioridade</t>
  </si>
  <si>
    <t>TABLE_NAME</t>
  </si>
  <si>
    <t>COLUMN_NAME</t>
  </si>
  <si>
    <t>ÂMBITO</t>
  </si>
  <si>
    <t>Status</t>
  </si>
  <si>
    <t>Controlos e Completude</t>
  </si>
  <si>
    <t>Descrição</t>
  </si>
  <si>
    <t>Detalhe</t>
  </si>
  <si>
    <t>Quick-win</t>
  </si>
  <si>
    <t>Data alteração status</t>
  </si>
  <si>
    <t>Controlos e Completuade atual</t>
  </si>
  <si>
    <t>Comentários</t>
  </si>
  <si>
    <t>Data envio para IT</t>
  </si>
  <si>
    <t>Data Implementação</t>
  </si>
  <si>
    <t>Categorização</t>
  </si>
  <si>
    <t>Structural 
ECB Loan Tape</t>
  </si>
  <si>
    <t>Green 
Dashboard</t>
  </si>
  <si>
    <t>Pillar III ESG</t>
  </si>
  <si>
    <t>Green Finance</t>
  </si>
  <si>
    <t>ESG Risks</t>
  </si>
  <si>
    <t>Leveraged Finance</t>
  </si>
  <si>
    <t>STREAM</t>
  </si>
  <si>
    <t>INSTRUMENT</t>
  </si>
  <si>
    <t>ACCMLTD_CHNGS_FV_CR_INSTRMNT</t>
  </si>
  <si>
    <t>OK</t>
  </si>
  <si>
    <t>Concluido, controlos OK</t>
  </si>
  <si>
    <t>Y</t>
  </si>
  <si>
    <t>N</t>
  </si>
  <si>
    <t>ACCMLTD_IMPRMNT_INSTRMNT</t>
  </si>
  <si>
    <t>6.1. Fora âmbito | Campos concluídos - Sem necessidade de espec.</t>
  </si>
  <si>
    <t>ACCMLTD_IMPRMNT_INSTRMNT_PRVS</t>
  </si>
  <si>
    <t>Campo com incidência. Verificar fonte LT</t>
  </si>
  <si>
    <t>LF</t>
  </si>
  <si>
    <t>3. Campos em testes ou c/ incidências</t>
  </si>
  <si>
    <t>ACCMLTD_WRTFFS_INSTRMNT</t>
  </si>
  <si>
    <t>ACCNTNG_CLSSFCTN</t>
  </si>
  <si>
    <t>ENTITY</t>
  </si>
  <si>
    <t>ACCNTNG_FRMWRK_SL</t>
  </si>
  <si>
    <t>Em especificação (Financial Statments CIB)</t>
  </si>
  <si>
    <t>Campo implementação, mas com falta de informação para o segmento de clientes CIB</t>
  </si>
  <si>
    <t>PM &amp; LF</t>
  </si>
  <si>
    <t>6.4. Fora âmbito | Re-especificação de campos complexos - Dem. Fin. CIB</t>
  </si>
  <si>
    <t>TYP_MRTGG</t>
  </si>
  <si>
    <t>NOK</t>
  </si>
  <si>
    <t>Alteração da Code list por parte do BCE</t>
  </si>
  <si>
    <t>Alterar especificação de acordo com codelist atual. No MUG existem apenas garantias elegiveis para cálculo de capital? Se sim, TYP_MRTGG irá assumir os valores 1, 5 e N/A. Caso contrário assumirá os valores  1, 5, 6 e N/A.</t>
  </si>
  <si>
    <t>AMNT_D_AT_MTRTY</t>
  </si>
  <si>
    <t>2.2 Re-especificação de campos complexos - Resto</t>
  </si>
  <si>
    <t>ANNL_TRNVR_LE</t>
  </si>
  <si>
    <t>ANNL_TRNVR_LE_BDR</t>
  </si>
  <si>
    <t>ANNL_TRNVR_PRVS</t>
  </si>
  <si>
    <t>ANNL_TRNVR_PRVS_BDR</t>
  </si>
  <si>
    <t>ANNLSD_AGRD_RT</t>
  </si>
  <si>
    <t>Verificar necessidade de alteração da fonte para fins de reconciliação. Rever Fonte</t>
  </si>
  <si>
    <t>Rever se devemos utilizar a informação de IFRS9 ou manter a de alm</t>
  </si>
  <si>
    <t>PROTECTION</t>
  </si>
  <si>
    <t>APPRSL_CRRNCY</t>
  </si>
  <si>
    <t>Controlos NOK</t>
  </si>
  <si>
    <t>APPRSR</t>
  </si>
  <si>
    <t>ARRRS_INSTRMNT</t>
  </si>
  <si>
    <t>4. Campos com NOK controlos Corporativos</t>
  </si>
  <si>
    <t>ARRRS_INSTRMNT_12M</t>
  </si>
  <si>
    <t>ASST_SCRT_CLSS</t>
  </si>
  <si>
    <t>BRCHD_CVNNTS</t>
  </si>
  <si>
    <t>Campo especificado, mas sem dados. Campo marcado com MISS ou NA</t>
  </si>
  <si>
    <t>CAPEX</t>
  </si>
  <si>
    <t>CAPEX_PRVS</t>
  </si>
  <si>
    <t>CCF</t>
  </si>
  <si>
    <t>CHNNL_ORGNTN</t>
  </si>
  <si>
    <t>Aguarda implementação de IT</t>
  </si>
  <si>
    <t>CLLCTN_MD</t>
  </si>
  <si>
    <t>TTL_INTRST_PD</t>
  </si>
  <si>
    <t>Em especificação (Amortizações Capital/ Juros)</t>
  </si>
  <si>
    <t>CMMTMNT_INCPTN_INSTRMNT</t>
  </si>
  <si>
    <t>Analisar controlos e completude</t>
  </si>
  <si>
    <t>RL_ESTT_CLLTRL_LCTN</t>
  </si>
  <si>
    <t>Alterados 3 casos. Campo está a devolver PT para todas as proteções, no entanto estas não estão localizadas em PT e alterou-se a localização para os respetivos paises.</t>
  </si>
  <si>
    <t>CMPLNT_MRTR_C19_NM</t>
  </si>
  <si>
    <t>CNSMPTN_FNRP18</t>
  </si>
  <si>
    <t>DT_APPRSL_PRVS</t>
  </si>
  <si>
    <t>Campo com incidência e controlos NOK</t>
  </si>
  <si>
    <t>1) Campo com incidência, data igual à data da protection_vl 2) Alteração de formatos MISS</t>
  </si>
  <si>
    <t xml:space="preserve">Alteraração da definição do campo no Guia da Corporação. Campo passou a reportar a data da avaliação completa anterior à data da última avaliação  completa.
</t>
  </si>
  <si>
    <t>CNTRCT_ID</t>
  </si>
  <si>
    <t>CNTRCT_ID_BDR</t>
  </si>
  <si>
    <t>CNTRY</t>
  </si>
  <si>
    <t>COD_SOC</t>
  </si>
  <si>
    <t>INSTR_ENTITY</t>
  </si>
  <si>
    <t>INSTR_PROTECTION</t>
  </si>
  <si>
    <t>COD_SOC_INTRGRP</t>
  </si>
  <si>
    <t>CPN_CRRNCY</t>
  </si>
  <si>
    <t>CPN_RT_FXD</t>
  </si>
  <si>
    <t>CR_FLG</t>
  </si>
  <si>
    <t>CRE_FNRP18</t>
  </si>
  <si>
    <t>CRE_INCM_CRRNCY</t>
  </si>
  <si>
    <t>Campo sem mapeamento, para análise da área  de Riscos</t>
  </si>
  <si>
    <t>CRE_YRLY_EXPNSS</t>
  </si>
  <si>
    <t>CRE_YRLY_INCM</t>
  </si>
  <si>
    <t>CRRLTN_CFFCNT</t>
  </si>
  <si>
    <t>CRRNCY_DNMNTN</t>
  </si>
  <si>
    <t>CRRYNG_AMNT_INSTRMNT</t>
  </si>
  <si>
    <t>CSH</t>
  </si>
  <si>
    <t>CSH_PRVS</t>
  </si>
  <si>
    <t>CSH_SWP_TRP</t>
  </si>
  <si>
    <t>CVNNT_STTS</t>
  </si>
  <si>
    <t>6.3. Fora âmbito | Fonte Manual LF</t>
  </si>
  <si>
    <t>CVNNT_TYP</t>
  </si>
  <si>
    <t>DBT_RPYMNT_CPCTY_SNR_DBT</t>
  </si>
  <si>
    <t>DBT_RPYMNT_CPCTY_TTL</t>
  </si>
  <si>
    <t>DBT_SRVC_RT</t>
  </si>
  <si>
    <t>DBT_SRVC_RT_12M</t>
  </si>
  <si>
    <t>DBT_YLD</t>
  </si>
  <si>
    <t>DCSD</t>
  </si>
  <si>
    <t>DFLT_STTS</t>
  </si>
  <si>
    <t>Alterar especificação  caso a LT passe a reportar os 1os titulares da Contabilidade.</t>
  </si>
  <si>
    <t>Na OSI foram reportados os 1os titulares da Contabilidade, o que para alguns casos, são diferentes do que está na CL01. Apenas será necessário ajustar este campo caso a LT passe a reportar os 1os titulares da Contabilidade. Campo com incidência: Para os casos em que o cliente tem operações titularizadas (flag consumo capital = 0) e tem pelo menos uma não titularizada (N/A), a LT está atualmente a reporta N/A.</t>
  </si>
  <si>
    <t xml:space="preserve">5. Campos com outras possíveis alterações - Dependente de decisões OSI </t>
  </si>
  <si>
    <t>RFNNC_PRPS</t>
  </si>
  <si>
    <t>Alterar especificação. Campo depende do FRBRNC_STTS_INSTRMNT</t>
  </si>
  <si>
    <t>Sempre que o campo FRBRNC_STTS_INSTRMNT =3 o campo RFNNC_PRPS deve estar marcado como Y. Reespecificar, implementar e testar.</t>
  </si>
  <si>
    <t>DPD</t>
  </si>
  <si>
    <t>DPD_12M</t>
  </si>
  <si>
    <t>DPD_12M_FRBRNC_STTS</t>
  </si>
  <si>
    <t>Em testes. Campo depende do FRBRNC_STTS que está com incidência nos formatos. Não é necessário alterar a especificação do mesmo, apenas testar quando o campo FRBRNC_STTS estiver corrigido.</t>
  </si>
  <si>
    <t>Campo depende do histórico do PRFRMNG_STTS. Não é necessário alterar a especificação do mesmo, apenas testar se a metodologia do campo PRFRMNG_STTS for alterada.</t>
  </si>
  <si>
    <t>DPD_24M_FRBRNC_STTS</t>
  </si>
  <si>
    <t>Em testes. Campo depende do campo PRFRMNG_STTS. Não é necessário alterar a especificação do mesmo, apenas testar  se o campo PRFRMNG_STTS for alterado.</t>
  </si>
  <si>
    <t>DPD_FRBRNC_STTS</t>
  </si>
  <si>
    <t>DSTI</t>
  </si>
  <si>
    <t>Em especificação (Campos Novos)</t>
  </si>
  <si>
    <t>TYP_PRTCTN</t>
  </si>
  <si>
    <t>Alterar especificação (alteração da fonte para MUG)</t>
  </si>
  <si>
    <t>Campo depende do campo 'cgarant' do MUG</t>
  </si>
  <si>
    <t xml:space="preserve">Alteração de especificação com base no campo cgarant_bem e cgarant_rpt do MUG. Controlo NOK - A Corporação ajustou o controlo e estes casos passarão a estar OK
</t>
  </si>
  <si>
    <t>DT_BRTH</t>
  </si>
  <si>
    <t>DT_CMPLNT_MRTR_STTS_C19</t>
  </si>
  <si>
    <t>DT_CMPLNT_MRTR_STTS_PRVS_C19</t>
  </si>
  <si>
    <t>DT_PRTCTN_VL</t>
  </si>
  <si>
    <t xml:space="preserve">Campo com incidência e controlos NOK. </t>
  </si>
  <si>
    <t>Alteração formato de 0001-01-01 para 0000-00-00</t>
  </si>
  <si>
    <t>Incidência corrigida. Especificação alterada para campo da GT018, de modo a estar coerente com a especificação do campo PRTCTN_VL
Controlo NOK (ver caderno de testes a 03/12/2023)</t>
  </si>
  <si>
    <t>DT_DFLT_STTS</t>
  </si>
  <si>
    <t>Na OSI foram reportados os 1os titulares da Contabilidade, o que para alguns casos, são diferentes do que está na CL01. Apenas será necessário ajustar este campo caso a LT passe a reportar os 1os titulares da Contabilidade.</t>
  </si>
  <si>
    <t>DT_DFLT_STTS_INSTRMNT</t>
  </si>
  <si>
    <t>Campo com incidência. É necessário adicionar a data de inception sempre que os contratos não estejam em default
Campo entregue por IT durante a OSI, no entanto foi detatada a incidência identificada supra</t>
  </si>
  <si>
    <t>DT_END_GP_PPAL</t>
  </si>
  <si>
    <t>DT_END_GP_PPAL_C19</t>
  </si>
  <si>
    <t>DT_END_INTRST_ONLY</t>
  </si>
  <si>
    <t>DT_END_INTRST_ONLY_C19</t>
  </si>
  <si>
    <t>CNSTRCTN_STTS</t>
  </si>
  <si>
    <t>Campo dependente do MUG</t>
  </si>
  <si>
    <t>DT_FNNCL_STTMTS</t>
  </si>
  <si>
    <t>DT_FNNCL_STTMTS_PRVS</t>
  </si>
  <si>
    <t>RCVD_INTRST_24M</t>
  </si>
  <si>
    <t>Em especificação (Amortizações Capital/ Juros). Campo com dados mas pouca qualidade</t>
  </si>
  <si>
    <t>DT_FRBRNC_STTS_C19</t>
  </si>
  <si>
    <t>RCVD_INTRST_12M</t>
  </si>
  <si>
    <t>DT_FRBRNC_STTS_PRVS_C19</t>
  </si>
  <si>
    <t>DT_FRST_USG</t>
  </si>
  <si>
    <t>Controlos NOK por parte de Riscos</t>
  </si>
  <si>
    <t>Rever fonte. Confirmar com LCM que a informação deverá estar de acordo com IFRS9/Imparidade, mantendo a metodologia da OSI (ir apenas à tabela FR004 na data de referência, as restantes datas ir à tabela de IFRS9)</t>
  </si>
  <si>
    <t>6.2.  Fora âmbito | Campos em testes ou c/ incidências (LT - PM)</t>
  </si>
  <si>
    <t>DT_INCPTN</t>
  </si>
  <si>
    <t>DT_INTRNL_RTNG</t>
  </si>
  <si>
    <t>Em testes, campo entregue por IT durante a OSI. Incidência nos formatos. Testar e validar controlos NOK</t>
  </si>
  <si>
    <t>Campo entregue durante a OSI</t>
  </si>
  <si>
    <t>Em testes, campo entregue por IT durante a OSI. Testar e validar controlos</t>
  </si>
  <si>
    <t>DT_INTTN_LGL_PRCDNGS_LE</t>
  </si>
  <si>
    <t>DVLPMNT_STTS</t>
  </si>
  <si>
    <t>Alterar especificação. Campo dependente do MUG</t>
  </si>
  <si>
    <t>Mapeamento de acordo com o CNSTRCTN_STTS</t>
  </si>
  <si>
    <t>DT_LST_FLL_APPRSL</t>
  </si>
  <si>
    <t>Campo está a reportar a data da última avaliação e não a data da última avaliação in person. Implementação não está a aplicar a metodologia de cálculo de acordo com a especificação</t>
  </si>
  <si>
    <t>DT_MTRTY_PRTCTN</t>
  </si>
  <si>
    <t>SICR_ASSSSMNT_MTHD</t>
  </si>
  <si>
    <t>Rever com Corporação se a codelist do IMPRMNT_STTS alterou, caso não tenha alterado não é necessário alterar o campo.</t>
  </si>
  <si>
    <t>E-mail enviado para Corporação. Codelist IMPRMNT_STTS não alterou</t>
  </si>
  <si>
    <t>-</t>
  </si>
  <si>
    <t>DT_ORGNL_MTRTY</t>
  </si>
  <si>
    <t>NTNL_ID</t>
  </si>
  <si>
    <t>Campo com incidência (Formatos). Remover aspas</t>
  </si>
  <si>
    <t>DT_PRFRMNG_STTS_LE</t>
  </si>
  <si>
    <t>IFRS9_BHVRL_MTRTY</t>
  </si>
  <si>
    <t>Alterar especificação. Necessidade de alteração da fonte para fins de reconciliação</t>
  </si>
  <si>
    <t>Em curso. Aguardamos resposta da equipa de Imparidade. Sempre que o campo for nulo colocar 111111111 valor de NA</t>
  </si>
  <si>
    <t xml:space="preserve">Alteração de fonte e tabelas reporting para tabelas terminadas em 7_8
</t>
  </si>
  <si>
    <t>DT_PST_D</t>
  </si>
  <si>
    <t>DT_RFRNC</t>
  </si>
  <si>
    <t>DT_STRT_GP_PPAL</t>
  </si>
  <si>
    <t>DT_STRT_INTRST_ONLY</t>
  </si>
  <si>
    <t>DT_VLTN</t>
  </si>
  <si>
    <t>POCI</t>
  </si>
  <si>
    <t>Alterar especificação para a tabela de Contabilidade FR004 campo Flag_POCI. Campo estava a mapear informação das tabelas de Imparidade, no entanto ficou definido que o Owner da informação deveria ser Contabilidade, neste sentido é necessário alterar a fonte para a tabela da Contabilidade</t>
  </si>
  <si>
    <t>EAD</t>
  </si>
  <si>
    <t>Em testes. Campo com incidências, mas corrigida na LT no âmbito da OSI.</t>
  </si>
  <si>
    <t>Campo com incidência para um contrato que tem valores de ead e rwa negativos.
A fonte (CT013) tem um valor muito superior, isto significa que provavelmente existem várias chaves FR para uma chave BDR. Fomos ao tradutor verificar e de facto existem 10 chaves FR para uma BDR
Sabemos que os campos EAD e RWA são desagragados pelo "saldo capital "nas várias chaves FR, onde "saldo capital" é obtido através das contas cargabal, cruzamento fr802 e cruzamento com matriz de contas 805 para o nome perimentro corporativo
Verificamos que o aprovisionamento do campo está correto de acordo com as regras especificadas</t>
  </si>
  <si>
    <t>EBA_CMPLNT_MRTR_ST_C19</t>
  </si>
  <si>
    <t>OTSTNDNG_NMNL_AMNT_INSTRMNT_PRVS</t>
  </si>
  <si>
    <t>Campo com incidência</t>
  </si>
  <si>
    <t>Diferenças na fonte
Regra utilizada na OSI:
cast(NVL((LT02_PRVS.GRSS_CRRYNG_AMNT_INSTRMNT_PRVS - NVL(ACCRD_T1.ACCRD_INTRST_INSTRMNT_PRVS,0)) ,11111111111.00) as decimal(21,2)) as  OTSTNDNG_NMNL_AMNT_INSTRMNT_PRVS</t>
  </si>
  <si>
    <t>INSTLMNT_PAY</t>
  </si>
  <si>
    <t>Campo especificado, mas com pouca qualidade de dados</t>
  </si>
  <si>
    <t>EC_GRP_ID</t>
  </si>
  <si>
    <t>EC_GRP_NM</t>
  </si>
  <si>
    <t>ECNMC_ACTVTY</t>
  </si>
  <si>
    <t>EIR</t>
  </si>
  <si>
    <t>EIR_INCPTN</t>
  </si>
  <si>
    <t>ELGBLTY_ECB</t>
  </si>
  <si>
    <t>EMPLYMNT_STTS</t>
  </si>
  <si>
    <t>EMPLYMNT_STTS_INTRNL</t>
  </si>
  <si>
    <t>ENTRPRS_SZ_LE</t>
  </si>
  <si>
    <t>ENTTY_ID</t>
  </si>
  <si>
    <t>ENTTY_NM</t>
  </si>
  <si>
    <t>EQTY</t>
  </si>
  <si>
    <t>EQTY_PRVS</t>
  </si>
  <si>
    <t>EXPCTD_LSS_CRR</t>
  </si>
  <si>
    <t>EXPSR_IN_SCP</t>
  </si>
  <si>
    <t>FRBRNC_STTS_INSTRMNT</t>
  </si>
  <si>
    <t>Na OSI fomos diretamente à RMN85, em âmbito da LT foi alinhado que iriamos à FR004 e que esta por sua vez iria à RMN85.  Na OSI foram adicionados os contratos com FRBRNC_STTS='9' (ficheiro com os ACC disponibilizado por Graça Vale), atualmente não existe esta informação automatizada.</t>
  </si>
  <si>
    <t>EXTRNL_RTNG_PRVS</t>
  </si>
  <si>
    <t>Alterar especificação para casos em informação na fonte.</t>
  </si>
  <si>
    <t>Quando não existe informação na fonte em vez de MISS substituir por NA</t>
  </si>
  <si>
    <t>EXTRNL_RTNG_NM</t>
  </si>
  <si>
    <t>FLD_SYNDCTN</t>
  </si>
  <si>
    <t>Em implementação IT BST (Sindicados)</t>
  </si>
  <si>
    <t>Aguarda desenvolvimentos nas plataformas Loan IQ e Mercurio</t>
  </si>
  <si>
    <t>2.1. Re-especificação de campos complexos | Sindicados</t>
  </si>
  <si>
    <t>FLG_BNKRPTCY_IN_GRP</t>
  </si>
  <si>
    <t>FLG_HGH_CDS</t>
  </si>
  <si>
    <t>FLG_ISDA_CRDT_EVNT</t>
  </si>
  <si>
    <t>FLG_LBO</t>
  </si>
  <si>
    <t>FLG_NN_ACCRL</t>
  </si>
  <si>
    <t>FLG_RQST_BNKRPTCY</t>
  </si>
  <si>
    <t>FLG_RQST_DSTRSSD_RSTRCTRNG</t>
  </si>
  <si>
    <t>Em especificação, rever fonte</t>
  </si>
  <si>
    <t>FLG_RQST_EMRGNCY_FNDNG</t>
  </si>
  <si>
    <t>FLG_SLL_WTH_LSS</t>
  </si>
  <si>
    <t>FR_CSH_FLW</t>
  </si>
  <si>
    <t>FR_CSH_FLW_T1</t>
  </si>
  <si>
    <t>FR_CSH_FLW_T2</t>
  </si>
  <si>
    <t>FR_CSH_FLW_T3</t>
  </si>
  <si>
    <t>FRBRNC_STTS_C19</t>
  </si>
  <si>
    <t>EXTRNL_RTNG</t>
  </si>
  <si>
    <t>GCC_PRNT_ID</t>
  </si>
  <si>
    <t>GCC_PRNT_NM</t>
  </si>
  <si>
    <t>GDWILL</t>
  </si>
  <si>
    <t>GDWILL_PRVS</t>
  </si>
  <si>
    <t>GRC_PRD_CPTL_INTRST_C19</t>
  </si>
  <si>
    <t>GRNTR_ID</t>
  </si>
  <si>
    <t>GRNTR_ID_TYP</t>
  </si>
  <si>
    <t>GRP_EBITDA</t>
  </si>
  <si>
    <t>GRP_EQTY</t>
  </si>
  <si>
    <t>GRP_NT_DBT</t>
  </si>
  <si>
    <t>GRP_TTL_DBT</t>
  </si>
  <si>
    <t>GRSS_CRRYNG_AMNT_INSTRMNT</t>
  </si>
  <si>
    <t>HEDGE_ID</t>
  </si>
  <si>
    <t>HRCT_MV</t>
  </si>
  <si>
    <t>IDCMB</t>
  </si>
  <si>
    <t>Em testes pela equipa de CDO</t>
  </si>
  <si>
    <t>EBITDA_PRVS</t>
  </si>
  <si>
    <t>Alterar especificação (Luis Bastos enviou nova metodologia do campo)</t>
  </si>
  <si>
    <t>IFRS9_CCF</t>
  </si>
  <si>
    <t>Campo Imparidade</t>
  </si>
  <si>
    <t>IFRS9_EAD</t>
  </si>
  <si>
    <t>IFRS9_LGD</t>
  </si>
  <si>
    <t>IMPRMNT_ASSSSMNT_MTHD</t>
  </si>
  <si>
    <t>IMPRMNT_CLCLTN_MTHD</t>
  </si>
  <si>
    <t>Rever com a Corporação se a nova code list foi apenas para a OSI (relativamente ao tema dos POCI).</t>
  </si>
  <si>
    <t>INCM_SC</t>
  </si>
  <si>
    <t>Em especificação (Salários)</t>
  </si>
  <si>
    <t>EBITDA</t>
  </si>
  <si>
    <t>INSTR_SNRTY_CLSS</t>
  </si>
  <si>
    <t>INSTRMNT_CLSS</t>
  </si>
  <si>
    <t>INSTRMNT_ID</t>
  </si>
  <si>
    <t>INTRNL_RTNG</t>
  </si>
  <si>
    <t>Em testes</t>
  </si>
  <si>
    <t>INTRNL_RTNG_INCPTN</t>
  </si>
  <si>
    <t>Alterar especificação, campo com incidência. Controlos NOK</t>
  </si>
  <si>
    <t>Na LT apenas foi especifido os restantes internal ratings, estando em falta o internal rating à data de inception.</t>
  </si>
  <si>
    <t>INTRNL_RTNG_PRVS</t>
  </si>
  <si>
    <t>INTRNL_SGMNT</t>
  </si>
  <si>
    <t>INTRNL_SGMNT_CAT_MSTA</t>
  </si>
  <si>
    <t>INTRNL_SGMNT_CATGSUB</t>
  </si>
  <si>
    <t>INTRNL_SGMNT_IFRS9</t>
  </si>
  <si>
    <t>INTRNL_UNT</t>
  </si>
  <si>
    <t>INTRST_RT_RST_FRQNCY</t>
  </si>
  <si>
    <t>ISIN</t>
  </si>
  <si>
    <t>ISIN_SCRTSTN</t>
  </si>
  <si>
    <t>ISSR_CNTRY</t>
  </si>
  <si>
    <t>ISSR_ESA_2010</t>
  </si>
  <si>
    <t>ISSR_ID</t>
  </si>
  <si>
    <t>ISSR_ID_TYP</t>
  </si>
  <si>
    <t>ISSR_NACE_SCTR</t>
  </si>
  <si>
    <t>ISSR_RTNG</t>
  </si>
  <si>
    <t>ISSR_RTNG_SRC</t>
  </si>
  <si>
    <t>ISSR_TYP</t>
  </si>
  <si>
    <t>JNT_LBLTY_AMNT</t>
  </si>
  <si>
    <t>LCL_INSTMRNT_ID</t>
  </si>
  <si>
    <t>LCR_BFFR_CTGRY</t>
  </si>
  <si>
    <t>LCRE</t>
  </si>
  <si>
    <t>Ficheiro enviado pela área. Rever se é necessário alterar a especificação de modo a estar de acordo com imparidade. Foi decisão que a informação a reportar deveria reconciliar com a informação de imparidade e por essa mesma razão não se utilizou os dados da LT</t>
  </si>
  <si>
    <t>LEI</t>
  </si>
  <si>
    <t>LGD</t>
  </si>
  <si>
    <t>LGL_PRCDNG_STTS</t>
  </si>
  <si>
    <t>LGL_PRCDNG_STTS_LE</t>
  </si>
  <si>
    <t>LND_DRGTN</t>
  </si>
  <si>
    <t>LSTI</t>
  </si>
  <si>
    <t>LTI</t>
  </si>
  <si>
    <t>LTI_INSTRMNT</t>
  </si>
  <si>
    <t>LTV</t>
  </si>
  <si>
    <t>LTV_INCPTN</t>
  </si>
  <si>
    <t>LTV_NPE</t>
  </si>
  <si>
    <t>LVRG</t>
  </si>
  <si>
    <t>LVRG_FNNC_FLG</t>
  </si>
  <si>
    <t>LVRG_PRVS</t>
  </si>
  <si>
    <t>MN_ENTTY_ID</t>
  </si>
  <si>
    <t>Campo com incidências. Verificar necessidade de alteração da fonte para fins de reconciliação.
Campo novo, enviado para especificação em Fevereiro e entregue por IT em Março (durante a OSI), no entanto campo está com incidências nas garantias prestadas (detetadas no decurso da OSI)</t>
  </si>
  <si>
    <t>Rever se os 1os titulares devem ser os da FR ou os da CL001 (clientes)</t>
  </si>
  <si>
    <t>MN_PRPS</t>
  </si>
  <si>
    <t>MNTHL_INCM</t>
  </si>
  <si>
    <t>MNTHL_INCM_SLR</t>
  </si>
  <si>
    <t>MNTHL_TRNVR</t>
  </si>
  <si>
    <t>MTRTY_LTST_FRBRNC_MSR_C19</t>
  </si>
  <si>
    <t>MTRTY_LTST_MRTR_C19</t>
  </si>
  <si>
    <t>NMBR_FRBRNC_MSRS</t>
  </si>
  <si>
    <t>NT_INCM</t>
  </si>
  <si>
    <t>NT_INCM_PRVS</t>
  </si>
  <si>
    <t>RWA_MTHD</t>
  </si>
  <si>
    <t>Alteração de formato de 11111111.00 para 11111111</t>
  </si>
  <si>
    <t>Incidência relativamente ao formatos corrigida. Controlos testados e OK</t>
  </si>
  <si>
    <t>OBSRVD_AGNT_ID</t>
  </si>
  <si>
    <t>OBSRVD_AGNT_NM</t>
  </si>
  <si>
    <t>OFF_BLNC_SHT_AMNT_INSTRMNT</t>
  </si>
  <si>
    <t>OFF_BLNC_SHT_AMNT_INSTRMNT_PRVS</t>
  </si>
  <si>
    <t>MISS deviam estar a ser reportados como NA ou zero</t>
  </si>
  <si>
    <t>OSI_ID</t>
  </si>
  <si>
    <t>OTSTNDNG_NMNL_AMNT_INSTRMNT</t>
  </si>
  <si>
    <t>DT_FRBRNC_STTS_PRVS</t>
  </si>
  <si>
    <t>Alterar especificação (alteração da fonte para a FR004)</t>
  </si>
  <si>
    <t>OWND_BY_SPNSR</t>
  </si>
  <si>
    <t>PBLC_GRNT_SCHM_C19_NM</t>
  </si>
  <si>
    <t>PD_CRR_INCPTN</t>
  </si>
  <si>
    <t>Campo com incidência. Confirmar com Tecnologia que o campo está alterado com base no que foi identificado na OSI</t>
  </si>
  <si>
    <t>PD_CRR_RD</t>
  </si>
  <si>
    <t>PD_CRR_RD_T1</t>
  </si>
  <si>
    <t>PD_IFRS9_12M_INCPTN</t>
  </si>
  <si>
    <t>PD_IFRS9_12M_RD</t>
  </si>
  <si>
    <t>Controlos NOK justificados no âmbito da OSI. 
1) Contratos fora do universo de IFRS9 2) Clientes que não são primeiros titulares de nenhum contrato
Alterar especificação  caso a LT passe a reportar os 1os titulares da Contabilidade.</t>
  </si>
  <si>
    <t>PD_IFRS9_12M_RD_T1</t>
  </si>
  <si>
    <t>PD_IFRS9_LFTM_INCPTN</t>
  </si>
  <si>
    <t>PD_IFRS9_RMNNG_LFTM_INCPTN</t>
  </si>
  <si>
    <t>PD_IFRS9_RMNNG_LFTM_RD</t>
  </si>
  <si>
    <t>PMNT_PBLC_GRNT_SCHM_C19</t>
  </si>
  <si>
    <t>DT_FRBRNC_STTS</t>
  </si>
  <si>
    <t>PRCH_UNDR_RSL_AGR</t>
  </si>
  <si>
    <t>PRDCT</t>
  </si>
  <si>
    <t>PRDNTL_PRTFL</t>
  </si>
  <si>
    <t>PRFRMNG_STTS_LE</t>
  </si>
  <si>
    <t>PRJCT_FNNC_LN</t>
  </si>
  <si>
    <t>PRM_LCTN</t>
  </si>
  <si>
    <t>100220 Casos que deviam ser N e estão a ser reportados MISS</t>
  </si>
  <si>
    <t>PRMRY_ASST_CLSSF</t>
  </si>
  <si>
    <t>PRPS</t>
  </si>
  <si>
    <t>PRSN_TYP</t>
  </si>
  <si>
    <t>PRT_LCR_BFFR</t>
  </si>
  <si>
    <t>PRTCTN_ALLCTD_VL</t>
  </si>
  <si>
    <t>PRTCTN_CLLD</t>
  </si>
  <si>
    <t>PRTCTN_FRCD_SL_VL</t>
  </si>
  <si>
    <t>PRTCTN_ID</t>
  </si>
  <si>
    <t>PRTCTN_PRVDR_ID</t>
  </si>
  <si>
    <t>PRTCTN_TYP_PBLC_GRNT_SCHM_C19</t>
  </si>
  <si>
    <t>DT_EXTRNL_RTNG</t>
  </si>
  <si>
    <t>1) Campo com incidência, está a reportar apenas valores de MISS e N/A</t>
  </si>
  <si>
    <t>14 casos com valor original da proteção a zero</t>
  </si>
  <si>
    <t>PRTCTN_VL_PRVS</t>
  </si>
  <si>
    <t>PRTCTN_VLTN_APPRCH</t>
  </si>
  <si>
    <t>PRVSNS_OFF_BLNC_SHT</t>
  </si>
  <si>
    <t>PYMNT_FRQNCY</t>
  </si>
  <si>
    <t>Campo com incidência. Verificar necessidade de alteração da fonte para fins de reconciliação</t>
  </si>
  <si>
    <t>Utilizada informação de imparidade, sempre que não exista reportar info da LT, tendo em conta que caso TYP-AMRTSTN seja 4 este campo também deverá ser igual a 4. Este último critério não está atualmente a ser aplicado na LT. Rever se devemos utilizar a informação de IFRS9 ou manter a de alm</t>
  </si>
  <si>
    <t>PYMNT_INTRST_ONLY</t>
  </si>
  <si>
    <t>Foi decisão que a informação a reportar deveria reconciliar com a informação de imparidade e por essa mesma razão não se utilizou os dados da LT. Rever se devemos utilizar a informação de IFRS9 ou manter a de alm</t>
  </si>
  <si>
    <t>RCRS</t>
  </si>
  <si>
    <t>RCVD_AMRTSTN_12M</t>
  </si>
  <si>
    <t>RCVD_AMRTSTN_24M</t>
  </si>
  <si>
    <t>Criação de uma tabela auxiliar de histórico dos estados de construção numa ótica diária</t>
  </si>
  <si>
    <t>DFLT_STTS_INSTRMNT</t>
  </si>
  <si>
    <t>É necessário adicionar este campo como obrigatório  para as linhas manuais (CMAH) e rever com a Leonor a tabela de parametrização (a área identificou incidências de acordo com o GUIA). Na OSI apenas foi adicionado a informação para ajustes manuais.</t>
  </si>
  <si>
    <t>CMMTMNT_INSTRMNT</t>
  </si>
  <si>
    <t>Alterar especificação (Área enviou nova metodologia do campo)</t>
  </si>
  <si>
    <t>Nova metodologia identificada pelo Rafael Pessoa durante OSI IFRS9, é necessário alterar a especificação para GRSS_CRRYNG_AMNT_INSTRMNT - OFF_BLNC_SHT_AMNT_INSTRMNT</t>
  </si>
  <si>
    <t>RFRNC_RT</t>
  </si>
  <si>
    <t>RL_ESTT_ADDRSS</t>
  </si>
  <si>
    <t>CMLTV_RCVRS_SNC_DFLT_INSTRMNT</t>
  </si>
  <si>
    <t>RL_ESTT_CLLTRL_LCTN_INT</t>
  </si>
  <si>
    <t>RL_ESTT_CTY</t>
  </si>
  <si>
    <t>RL_ESTT_PST_CD</t>
  </si>
  <si>
    <t>RRE_FNRP18</t>
  </si>
  <si>
    <t>RTNG_MTHD</t>
  </si>
  <si>
    <t>RTNG_SCL</t>
  </si>
  <si>
    <t>RTNTN_SHR</t>
  </si>
  <si>
    <t>RWA</t>
  </si>
  <si>
    <t>Campo com incidência para um contrato que tem valores de ead e rwa negativos.
A fonte (CT013) tem um valor muito superior, isto significa que provavelmente existem várias chaves FR para uma chave BDR. Fomos ao tradutor verificar e de facto existem 10 chaves FR para uma BDR
Sabemos que os campos EAD e RWA são desagragados pelo "saldo capital" nas várias chaves FR, onde "saldo capital" é obtido através das contas cargabal, cruzamento fr802 e cruzamento com matriz de contas CT805 para o nome perimentro corporativo
Verificamos que o aprovisionamento do campo está correto de acordo com as regras especificadas</t>
  </si>
  <si>
    <t>DT_LGL_FNL_MTRTY</t>
  </si>
  <si>
    <t xml:space="preserve">Controlos NOK e com Incidência nos formatos. </t>
  </si>
  <si>
    <t>Alterarção formato de 99999999 para 1111-11-11.</t>
  </si>
  <si>
    <t>SBJCT_PBLC_GRNT_SCHM_C19</t>
  </si>
  <si>
    <t>DT_NXT_INTRST_RT_RST</t>
  </si>
  <si>
    <t>Controlos NOK e com Incidência nos formatos.</t>
  </si>
  <si>
    <t xml:space="preserve"> Alteração formato de 0001-01-01 para 0000-00-00.</t>
  </si>
  <si>
    <t>SME_FNRP18</t>
  </si>
  <si>
    <t>SNGL_PRPS_VHCL</t>
  </si>
  <si>
    <t>SPCLTV_LNDNG</t>
  </si>
  <si>
    <t>SPNSR_NM</t>
  </si>
  <si>
    <t>SPRD</t>
  </si>
  <si>
    <t>SRCS_ENCMBRNC</t>
  </si>
  <si>
    <t>STTS_UNDRWRTTN_TRNSCTN</t>
  </si>
  <si>
    <t>SUBPORTFOLIO_ID</t>
  </si>
  <si>
    <t>SYNDCT_RL</t>
  </si>
  <si>
    <t>SYNDCTD_AGNT</t>
  </si>
  <si>
    <t>SYNDCTD_CNTRCT_ID</t>
  </si>
  <si>
    <t>SYNDCTD_LNDRS</t>
  </si>
  <si>
    <t>SYNDCTD_SHR</t>
  </si>
  <si>
    <t>SYNDCTN_TYP</t>
  </si>
  <si>
    <t>TAX_ID</t>
  </si>
  <si>
    <t>Campo especificado, mas com problemas a montante</t>
  </si>
  <si>
    <t>Concluido, controlos por parte de Riscos</t>
  </si>
  <si>
    <t>THRD_PRTY_PRRTY_CLMS</t>
  </si>
  <si>
    <t>TRNCH</t>
  </si>
  <si>
    <t>TTL_DBT</t>
  </si>
  <si>
    <t>TTL_DBT_PRVS</t>
  </si>
  <si>
    <t>ACCRD_INTRST_INSTRMNT</t>
  </si>
  <si>
    <t>TTL_LVRG_RT</t>
  </si>
  <si>
    <t>TTL_LVRG_RT_PRVS</t>
  </si>
  <si>
    <t>TYP_AMRTSTN</t>
  </si>
  <si>
    <t>TYP_CMPLNT_MRTR_C19</t>
  </si>
  <si>
    <t>TYP_CRE_OPRTN</t>
  </si>
  <si>
    <t>TYP_INSTRMNT</t>
  </si>
  <si>
    <t>TYP_INTRST_RT</t>
  </si>
  <si>
    <t>Incidências: Casos em que valor é 0</t>
  </si>
  <si>
    <t>44 garantias com valor zero.</t>
  </si>
  <si>
    <t>PRTCTN_VL_NPE</t>
  </si>
  <si>
    <t xml:space="preserve">Campo depende do histórico do PRFRMNG_STTS. Não é necessário alterar a especificação do mesmo, apenas testar se a metodologia do campo PRFRMNG_STTS for alterada. </t>
  </si>
  <si>
    <t>TYP_PRTCTN_INTRNL</t>
  </si>
  <si>
    <t>TYP_PRTCTN_VL</t>
  </si>
  <si>
    <t>TYPE_OF_PLCMNT</t>
  </si>
  <si>
    <t>VLTN_CRRNCY</t>
  </si>
  <si>
    <t>VLTN_TYP</t>
  </si>
  <si>
    <t>WTCH_LST</t>
  </si>
  <si>
    <t>YR_CNSTRCTN</t>
  </si>
  <si>
    <t>ADDRSS_CTY</t>
  </si>
  <si>
    <t>PM - Novos Campos</t>
  </si>
  <si>
    <t>ADDRSS_STRT</t>
  </si>
  <si>
    <t>DT_ENTRPRS_SZ</t>
  </si>
  <si>
    <t>NMBR_EMPLYS</t>
  </si>
  <si>
    <t>LGL_FRM</t>
  </si>
  <si>
    <t>HD_OFFC_UNDRTKNG_ID</t>
  </si>
  <si>
    <t>IMMDT_PRNT_UNDRTKNG_ID</t>
  </si>
  <si>
    <t>ULTMT_PRNT_UNDRTKNG_ID</t>
  </si>
  <si>
    <t>TTL_ASSTS</t>
  </si>
  <si>
    <t>ENTTY_ID_BDR</t>
  </si>
  <si>
    <t>CPN_RT_FLTNG</t>
  </si>
  <si>
    <t>INTRST_RT_CP</t>
  </si>
  <si>
    <t>INTRST_RT_FLR</t>
  </si>
  <si>
    <t>NMNL_INTRST_RT_FEE</t>
  </si>
  <si>
    <t>DT_STTLMNT</t>
  </si>
  <si>
    <t>TRNSFRRD_AMNT</t>
  </si>
  <si>
    <t>TYP_SCRTZTN</t>
  </si>
  <si>
    <t>TYP_OFF_BLNC_PRDCT</t>
  </si>
  <si>
    <t>1. Novos Campos</t>
  </si>
  <si>
    <t>BLNC_SHT_RCGNTN</t>
  </si>
  <si>
    <t>FLG_DFLT</t>
  </si>
  <si>
    <t>FLG_HGH_RSK</t>
  </si>
  <si>
    <t>PRTNR</t>
  </si>
  <si>
    <t>INCNTVS</t>
  </si>
  <si>
    <t>OTHR_OPRTNG_INCM</t>
  </si>
  <si>
    <t>RFRRL_FS</t>
  </si>
  <si>
    <t>INSRNC_CMSSNS</t>
  </si>
  <si>
    <t>OTHR_INCM_AND_CHRGS</t>
  </si>
  <si>
    <t>TX_ON_PRFT</t>
  </si>
  <si>
    <t>LND_AR</t>
  </si>
  <si>
    <t>LN_PSTN</t>
  </si>
  <si>
    <t>RL_ESTT_LNGTD</t>
  </si>
  <si>
    <t>RL_ESTT_LTTD</t>
  </si>
  <si>
    <t>INSTR_ACTIVITY</t>
  </si>
  <si>
    <t>PRCNTG_ACTVTY</t>
  </si>
  <si>
    <t>Tabela</t>
  </si>
  <si>
    <t>Campo</t>
  </si>
  <si>
    <t>Tipo de teste</t>
  </si>
  <si>
    <t>Descritivo</t>
  </si>
  <si>
    <t>Data atualização</t>
  </si>
  <si>
    <t>Data de referência</t>
  </si>
  <si>
    <t>Duvidas/comentários</t>
  </si>
  <si>
    <t>Query</t>
  </si>
  <si>
    <t>INSTRMNT</t>
  </si>
  <si>
    <t>Completude</t>
  </si>
  <si>
    <t>Validar se o número de MISS e N/A</t>
  </si>
  <si>
    <t xml:space="preserve">
SELECT rwa_mthd, a.NUM_REGISTOS, a.NUM_REGISTOS/b.NUM_REGISTOS*100 as Perc
from
(SELECT rwa_mthd , COUNT(*) AS NUM_REGISTOS
FROM cd_loan_tapes_bce.LT002_INSTRUMENT
WHERE REF_DATE='${date}'
  AND NOME_PERIMETRO='Individual Corporativo'
  AND AMBITO = 'PM'
  AND SEGMENTO = 'ESTR'
GROUP BY 1 
) a
join
(
SELECT COUNT(*) AS NUM_REGISTOS
FROM cd_loan_tapes_bce.LT002_INSTRUMENT
WHERE REF_DATE='${date}'
  AND NOME_PERIMETRO='Individual Corporativo'
  AND AMBITO = 'PM'
  AND SEGMENTO = 'ESTR'
) b
where rwa_mthd in ('99999999999', '11111111111')</t>
  </si>
  <si>
    <t>Desenvolvimento</t>
  </si>
  <si>
    <t>Validar alteração de formato de 11111111.00 para 11111111</t>
  </si>
  <si>
    <t>SELECT count(*), rwa_mthd
FROM cd_loan_tapes_bce.lt002_instrument
WHERE 1=1 
  AND REF_DATE='${date}'
  AND NOME_PERIMETRO='Individual Corporativo'
  AND AMBITO = 'PM'
  AND SEGMENTO = 'ESTR'
GROUP BY 2 ORDER BY 1</t>
  </si>
  <si>
    <t xml:space="preserve">Validar condição de N/A sempre que não existe de consumo de capital </t>
  </si>
  <si>
    <t>SELECT DISTINCT 
                EAD,
                RWA,
                rwa_mthd,
                VAL
FROM  
(SELECT DISTINCT INSTRMNT_ID,
                EAD,
                RWA,
                rwa_mthd
FROM cd_loan_tapes_bce.LT002_INSTRUMENT
WHERE REF_DATE='${date}'
  AND NOME_PERIMETRO='Individual Corporativo'
  AND AMBITO = 'PM') LT002
LEFT JOIN
(SELECT CHAVE_FR, SUM(flag_cons_cap) AS VAL FROM
(SELECT CHAVE_FR, S1EMP, CONTRA1 FROM
(SELECT DISTINCT CONCAT(CEMPRESA, CBALCAO,CNUMECTA, ZDEPOSIT) AS CHAVE_MASTER,
                 CONCAT(CEMPRESA_FR, CBALCAO_FR,CNUMECTA_FR, ZDEPOSIT_FR) AS CHAVE_FR
FROM cd_captools.KT_CHAVES_FINREP
WHERE REF_DATE='${date}') KT_FR
INNER JOIN
(SELECT DISTINCT CONCAT(CEMPRESA, CBALCAO,CNUMECTA, ZDEPOSIT) AS CHAVE_MASTER,
                 S1EMP, 
                 CONTRA1
FROM cd_captools.KT_CHAVES_BDR
WHERE REF_DATE='${date}') KT_BDR
ON KT_FR.CHAVE_MASTER=KT_BDR.CHAVE_MASTER ) KT
LEFT JOIN
(SELECT CT013.* FROM
(SELECT DISTINCT REF_DATE,
                 id_capital_perimetros,
                 s1emp,
                 contra1,
                 flag_cons_cap
FROM cd_captools.ct013_rwa_princ
WHERE REF_DATE = '${date}'
--   AND flag_cons_cap = 1
  AND flag_conc_contab = 1
  AND exercicio = "REAL" -- 30-03-2021: Adição de filtro
  AND subtipo_risco in ('1.1', '1.2', '1.3', '1.4', '1.5', '1.6', '1.7', '1.8', '1.9', '1.13')) CT013
  INNER JOIN
(SELECT DISTINCT ID_CAPITAL_PERIMETROS, REF_DATE  
FROM cd_captools.ct020_rwa_per
WHERE  REF_DATE = '${date}'
AND NOME_PERIMETRO='Individual Corporativo') CT020
on CT013.ID_CAPITAL_PERIMETROS=CT020.ID_CAPITAL_PERIMETROS) CAP
ON CAP.S1EMP=KT.S1EMP
AND CAP.CONTRA1=KT.CONTRA1
GROUP BY 1
) BASE
ON INSTRMNT_ID=CHAVE_FR
WHERE VAL=0</t>
  </si>
  <si>
    <t>Controlos</t>
  </si>
  <si>
    <t>If "RWA" is populated other than default values, then "RWA calculation method" cannot be 'Not applicable'</t>
  </si>
  <si>
    <t>SELECT instrmnt_id, ead, rwa, rwa_mthd
FROM cd_loan_tapes_bce.lt002_instrument
WHERE 1=1 
  AND REF_DATE='${date}'
  AND NOME_PERIMETRO='Individual Corporativo'
  AND AMBITO = 'PM'
  AND SEGMENTO = 'ESTR'
 AND rwa NOT IN (99999999999.00, 11111111111.00)
  and rwa_mthd = 11111111111</t>
  </si>
  <si>
    <t>If "RWA" is populated with 'Not applicable', then "RWA calculation method" must be a default value</t>
  </si>
  <si>
    <t>SELECT instrmnt_id, ead, rwa, rwa_mthd
FROM cd_loan_tapes_bce.lt002_instrument
WHERE 1=1 
  AND REF_DATE='${date}'
  AND NOME_PERIMETRO='Individual Corporativo'
  AND AMBITO = 'PM'
  AND SEGMENTO = 'ESTR'
 AND rwa = 11111111111.00
  and rwa_mthd &lt;&gt; 11111111111</t>
  </si>
  <si>
    <t>Validar se o campo está de acordo com a Codelist</t>
  </si>
  <si>
    <t>SELECT rwa, a.NUM_REGISTOS, a.NUM_REGISTOS/b.NUM_REGISTOS*100 as Perc
from
(SELECT rwa , COUNT(*) AS NUM_REGISTOS
FROM cd_loan_tapes_bce.LT002_INSTRUMENT
WHERE REF_DATE='${date}'
  AND NOME_PERIMETRO='Individual Corporativo'
  AND AMBITO = 'PM'
  AND SEGMENTO = 'ESTR'
GROUP BY 1 
) a
join
(
SELECT COUNT(*) AS NUM_REGISTOS
FROM cd_loan_tapes_bce.LT002_INSTRUMENT
WHERE REF_DATE='${date}'
  AND NOME_PERIMETRO='Individual Corporativo'
  AND AMBITO = 'PM'
  AND SEGMENTO = 'ESTR'
) b
where rwa in (99999999999, 11111111111)</t>
  </si>
  <si>
    <t>Validar formatos</t>
  </si>
  <si>
    <t>SELECT count(*), rwa 
FROM cd_loan_tapes_bce.lt002_instrument
WHERE 1=1 
  AND REF_DATE='${date}'
  AND NOME_PERIMETRO='Individual Corporativo'
  AND AMBITO = 'PM'
  AND SEGMENTO = 'ESTR'
GROUP BY 2 ORDER BY 1</t>
  </si>
  <si>
    <t>Validar se não existem valores negativos</t>
  </si>
  <si>
    <t>1 Contrato com valores negativos</t>
  </si>
  <si>
    <t>SELECT DISTINCT INSTRMNT_ID, 
                EAD,
                RWA,
                rwa_mthd,
                VAL
FROM  
(SELECT DISTINCT INSTRMNT_ID,
                EAD,
                RWA,
                rwa_mthd 
FROM cd_loan_tapes_bce.LT002_INSTRUMENT
WHERE REF_DATE='${date}'
  AND NOME_PERIMETRO='Individual Corporativo'
  AND AMBITO = 'PM'
--   AND instrmnt_id = '31000314294093096000000000000000'
  ) LT002
LEFT JOIN
(SELECT CHAVE_FR, SUM(flag_cons_cap) AS VAL FROM
(SELECT CHAVE_FR, S1EMP, CONTRA1 FROM
(SELECT DISTINCT CONCAT(CEMPRESA, CBALCAO,CNUMECTA, ZDEPOSIT) AS CHAVE_MASTER,
                 CONCAT(CEMPRESA_FR, CBALCAO_FR,CNUMECTA_FR, ZDEPOSIT_FR) AS CHAVE_FR
FROM cd_captools.KT_CHAVES_FINREP
WHERE REF_DATE='${date}') KT_FR
INNER JOIN
(SELECT DISTINCT CONCAT(CEMPRESA, CBALCAO,CNUMECTA, ZDEPOSIT) AS CHAVE_MASTER,
                 S1EMP, 
                 CONTRA1
FROM cd_captools.KT_CHAVES_BDR
WHERE REF_DATE='${date}') KT_BDR
ON KT_FR.CHAVE_MASTER=KT_BDR.CHAVE_MASTER ) KT
LEFT JOIN
(SELECT CT013.* FROM
(SELECT DISTINCT REF_DATE,
                  id_capital_perimetros,
                 s1emp,
                 contra1,
                 flag_cons_cap
FROM cd_captools.ct013_rwa_princ
WHERE REF_DATE = '${date}'
--   AND flag_cons_cap = 1
  AND flag_conc_contab = 1
  AND exercicio = "REAL" -- 30-03-2021: Adição de filtro
  AND subtipo_risco in ('1.1', '1.2', '1.3', '1.4', '1.5', '1.6', '1.7', '1.8', '1.9', '1.13')) CT013
  INNER JOIN
(SELECT DISTINCT ID_CAPITAL_PERIMETROS, REF_DATE  
FROM cd_captools.ct020_rwa_per
WHERE  REF_DATE = '${date}'
AND NOME_PERIMETRO='Individual Corporativo') CT020
on CT013.ID_CAPITAL_PERIMETROS=CT020.ID_CAPITAL_PERIMETROS) CAP
ON CAP.S1EMP=KT.S1EMP
AND CAP.CONTRA1=KT.CONTRA1
GROUP BY 1
) BASE
ON INSTRMNT_ID=CHAVE_FR
WHERE RWA &lt; 0</t>
  </si>
  <si>
    <t>Teste contra a fonte</t>
  </si>
  <si>
    <t>A fonte (CT013) tem um valor muito superior, porque existem várias chaves FR para uma chave BDR</t>
  </si>
  <si>
    <t>SELECT DISTINCT
                INSTRMNT_ID,
                S1EMP,
                CONTRA1,
                EAD,
                RWA,
                rwa_final,
                ead_final_bruta
FROM  
(SELECT DISTINCT INSTRMNT_ID,
                CCF,
                dflt_stts_instrmnt,
                DPD,
                EAD,
                LGD,
                pd_crr_incptn,
                pd_crr_rd,
                pd_crr_rd_t1,
                RWA,
                rwa_mthd,
                spcltv_lndng,
                crrltn_cffcnt
FROM cd_loan_tapes_bce.LT002_INSTRUMENT
WHERE REF_DATE='${date}'
  AND NOME_PERIMETRO='Individual Corporativo'
  AND AMBITO = 'PM'  
--   AND instrmnt_id = '31000347000690020000000000000000'
) LT002
INNER JOIN
(SELECT CHAVE_FR, KT.S1EMP, KT.CONTRA1, SUM(flag_cons_cap) AS VAL, SUM(RWA_FINAL) AS RWA_FINAL, SUM(ead_final_bruta) AS ead_final_bruta FROM
(SELECT CHAVE_FR, S1EMP, CONTRA1 FROM
(SELECT DISTINCT CONCAT(CEMPRESA, CBALCAO,CNUMECTA, ZDEPOSIT) AS CHAVE_MASTER,
                 CONCAT(CEMPRESA_FR, CBALCAO_FR,CNUMECTA_FR, ZDEPOSIT_FR) AS CHAVE_FR
FROM cd_captools.KT_CHAVES_FINREP
WHERE REF_DATE='${date}') KT_FR
INNER JOIN
(SELECT DISTINCT CONCAT(CEMPRESA, CBALCAO,CNUMECTA, ZDEPOSIT) AS CHAVE_MASTER,
                 S1EMP, 
                 CONTRA1
FROM cd_captools.KT_CHAVES_BDR
WHERE REF_DATE='${date}') KT_BDR
ON KT_FR.CHAVE_MASTER=KT_BDR.CHAVE_MASTER 
WHERE CHAVE_FR = '31005122428280011667450200000001' OR concat(S1EMP,CONTRA1) = '1814008684'
) KT
INNER JOIN
(SELECT CT013.* FROM
(SELECT          REF_DATE,
                 id_capital_perimetros,
                 s1emp,
                 contra1,
                 flag_cons_cap,
                 rwa_final,
                 ead_final_bruta
FROM cd_captools.ct013_rwa_princ
WHERE REF_DATE = '${date}'
--   AND flag_cons_cap = 1
  AND flag_conc_contab = 1
  AND exercicio = "REAL" -- 30-03-2021: Adição de filtro
  AND subtipo_risco in ('1.1', '1.2', '1.3', '1.4', '1.5', '1.6', '1.7', '1.8', '1.9', '1.13')) CT013
  INNER JOIN
(SELECT DISTINCT ID_CAPITAL_PERIMETROS, REF_DATE  
FROM cd_captools.ct020_rwa_per
WHERE  REF_DATE = '${date}'
AND NOME_PERIMETRO='Individual Corporativo') CT020
on CT013.ID_CAPITAL_PERIMETROS=CT020.ID_CAPITAL_PERIMETROS) CAP
ON CAP.S1EMP=KT.S1EMP
AND CAP.CONTRA1=KT.CONTRA1
GROUP BY 1,2,3
) X
on CHAVE_FR = INSTRMNT_ID</t>
  </si>
  <si>
    <t>Verificar saldo de capital</t>
  </si>
  <si>
    <t>SELECT LT002.instrmnt_id, RWA, EAD, CONCAT(LT001.cempresa,LT001.cbalcao,LT001.cnumecta,LT001.zdeposit) AS CHAVE_FR, NVL(SUM(LT001.msaldo_final),0) AS Saldo_Capital
FROM
(SELECT cempresa, cbalcao, cnumecta, zdeposit, ccontab_final_cargabal, msaldo_final
FROM cd_loan_tapes_bce.lt001_univ_oper
WHERE  REF_DATE = '${date}'
AND NOME_PERIMETRO='Individual Corporativo'
AND AMBITO = 'PM'
) LT001
INNER JOIN
(SELECT *
FROM cd_loan_tapes_bce.kt_chaves_lt
WHERE  REF_DATE = '${date}'
AND NOME_PERIMETRO='Individual Corporativo'
AND AMBITO = 'PM'
AND segmento = 'ESTR') KT_LT
ON CONCAT(LT001.cempresa,LT001.cbalcao,LT001.cnumecta,LT001.zdeposit) = CONCAT(KT_LT.cempresa,KT_LT.cbalcao,KT_LT.cnumecta,KT_LT.zdeposit)
INNER JOIN
(SELECT instrmnt_id, rwa, ead
FROM cd_loan_tapes_bce.lt002_instrument
WHERE  REF_DATE = '${date}'
AND NOME_PERIMETRO='Individual Corporativo'
AND AMBITO = 'PM'
AND segmento ='ESTR'
AND instrmnt_id in (
'310051224282800116674502P0080001',
'310051224282800116674502P0070001',
'310051224282800116674502P0060001',
'31005122428280011667450200000001',
'310051224282800116674502P0100001',
'310051224282800116674502P0110001',
'310051224282800116674502P0020001',
'310051224282800116674502P0010001',
'310051224282800116674502P0030001',
'310051224282800116674502P0090001'
)
) LT002
ON KT_LT.INSTRMNT_ID = LT002.INSTRMNT_ID
LEFT JOIN
(SELECT *
FROM cd_captools.fr802_pl_contas
WHERE 1=1 
    AND REF_DATE = '${date}'
    AND cod_plano = 'CARGABAL'
    AND ((tipo_conta IN ('A','P') AND carteira_contabilistica not in('provisoes para compromissos e garantias concedidas', 'outras provisoes') AND composicao_valor &lt;&gt; 'imparidade acumulada' AND bruto_imparidade &lt;&gt; 'imparidade')
OR (tipo_conta IN ('EA','EP','M')))
) FR802
ON FR802.CONTA = LT001.ccontab_final_cargabal
LEFT JOIN
(SELECT *
FROM cd_captools.ct805_matriz_cnt
WHERE 1=1 
    AND REF_DATE = '${date}'
    AND DOMINIO = 'Capital'
    AND NOME_PERIMETRO = 'Individual Corporativo'
) CT805
ON FR802.CONTA = CT805.CONTA
GROUP BY 1,2,3,4</t>
  </si>
  <si>
    <t xml:space="preserve">
SELECT ead, a.NUM_REGISTOS, a.NUM_REGISTOS/b.NUM_REGISTOS*100 as Perc
from
(SELECT ead , COUNT(*) AS NUM_REGISTOS
FROM cd_loan_tapes_bce.LT002_INSTRUMENT
WHERE REF_DATE='${date}'
  AND NOME_PERIMETRO='Individual Corporativo'
  AND AMBITO = 'PM'
  AND SEGMENTO = 'ESTR'
GROUP BY 1 
) a
join
(
SELECT COUNT(*) AS NUM_REGISTOS
FROM cd_loan_tapes_bce.LT002_INSTRUMENT
WHERE REF_DATE='${date}'
  AND NOME_PERIMETRO='Individual Corporativo'
  AND AMBITO = 'PM'
  AND SEGMENTO = 'ESTR'
) b
where ead in (99999999999, 11111111111)</t>
  </si>
  <si>
    <t>SELECT DISTINCT INSTRMNT_ID, 
                EAD,
                RWA,
                rwa_mthd,
                VAL
FROM  
(SELECT DISTINCT INSTRMNT_ID,
                EAD,
                RWA,
                rwa_mthd 
FROM cd_loan_tapes_bce.LT002_INSTRUMENT
WHERE REF_DATE='${date}'
  AND NOME_PERIMETRO='Individual Corporativo'
  AND AMBITO = 'PM'
--   AND instrmnt_id = '31000314294093096000000000000000'
  ) LT002
LEFT JOIN
(SELECT CHAVE_FR, SUM(flag_cons_cap) AS VAL FROM
(SELECT CHAVE_FR, S1EMP, CONTRA1 FROM
(SELECT DISTINCT CONCAT(CEMPRESA, CBALCAO,CNUMECTA, ZDEPOSIT) AS CHAVE_MASTER,
                 CONCAT(CEMPRESA_FR, CBALCAO_FR,CNUMECTA_FR, ZDEPOSIT_FR) AS CHAVE_FR
FROM cd_captools.KT_CHAVES_FINREP
WHERE REF_DATE='${date}') KT_FR
INNER JOIN
(SELECT DISTINCT CONCAT(CEMPRESA, CBALCAO,CNUMECTA, ZDEPOSIT) AS CHAVE_MASTER,
                 S1EMP, 
                 CONTRA1
FROM cd_captools.KT_CHAVES_BDR
WHERE REF_DATE='${date}') KT_BDR
ON KT_FR.CHAVE_MASTER=KT_BDR.CHAVE_MASTER ) KT
LEFT JOIN
(SELECT CT013.* FROM
(SELECT DISTINCT REF_DATE,
                  id_capital_perimetros,
                 s1emp,
                 contra1,
                 flag_cons_cap
FROM cd_captools.ct013_rwa_princ
WHERE REF_DATE = '${date}'
--   AND flag_cons_cap = 1
  AND flag_conc_contab = 1
  AND exercicio = "REAL" -- 30-03-2021: Adição de filtro
  AND subtipo_risco in ('1.1', '1.2', '1.3', '1.4', '1.5', '1.6', '1.7', '1.8', '1.9', '1.13')) CT013
  INNER JOIN
(SELECT DISTINCT ID_CAPITAL_PERIMETROS, REF_DATE  
FROM cd_captools.ct020_rwa_per
WHERE  REF_DATE = '${date}'
AND NOME_PERIMETRO='Individual Corporativo') CT020
on CT013.ID_CAPITAL_PERIMETROS=CT020.ID_CAPITAL_PERIMETROS) CAP
ON CAP.S1EMP=KT.S1EMP
AND CAP.CONTRA1=KT.CONTRA1
GROUP BY 1
) BASE
ON INSTRMNT_ID=CHAVE_FR
WHERE EAD &lt; 0</t>
  </si>
  <si>
    <t>PRTCTN</t>
  </si>
  <si>
    <t>Default values</t>
  </si>
  <si>
    <t>Validar que os MISS e NA estão de acordo com a especificação</t>
  </si>
  <si>
    <t>SELECT substr(prtctn_id,1,1), valor_it, count(*)
FROM 
(SELECT prtctn_id,
    valor_it,
    CASE WHEN substr(prtctn_id,1,1)&lt;&gt;'I'
         THEN 'N/A'
         WHEN cfinbem IN ('01','06','07','08') AND CL_HAB&gt;='3.40'
         THEN 'Y'
         WHEN cfinbem IN ('01','06','07','08') AND CL_HAB&lt;'3.40'
         THEN 'N'
         WHEN cfinbem='02' AND CL_COM&gt;='3.40'
         THEN 'Y' 
         WHEN cfinbem='02' AND CL_COM&lt;'3.40'
         THEN 'N' 
          WHEN cfinbem='03' AND CL_SERV&gt;='3.40'
         THEN 'Y' 
         WHEN cfinbem='03' AND CL_SERV&lt;'3.40'
         THEN 'N'
          WHEN cfinbem IN ('04','05') AND CL_IND&gt;='3.40'
         THEN 'Y'
         WHEN cfinbem IN ('04','05') AND CL_IND&lt;'3.40'
         THEN 'N'
         else 'MISS'
         END AS valor_simulado,
    cdisconf,
    cfinbem,
    CD_REPARTICAO_FIN,
    CL_COM,
    CL_HAB,
    CL_IND,
    CL_SERV
FROM 
(SELECT prtctn_id,
        prm_lctn as valor_it
FROM cd_loan_tapes_bce.lt004_protection
WHERE ref_date='${date}'
    AND nome_perimetro='Individual Corporativo'
    AND segmento='ESTR'
    AND ambito='PM') AS LT004
LEFT JOIN
(SELECT ckbalbem,
        ckctabem,
        ckrefbem,
        trim (cfinbem) as cfinbem,
        cdisconf
FROM cd_garantias.gt009_bens_imov
WHERE ref_date='${date}') AS gt009
on prtctn_id=concat('I_', CKBALBEM, '_', CKCTABEM, '_', CKREFBEM)
LEFT JOIN
(SELECT tayd91c0_celemtab,
        tayd91c0_nelemc10 AS CD_REPARTICAO_FIN
FROM cd_estruturais.tat91_tabelas 
WHERE tayd91c0_ctabela='J48'
    AND data_date_part IN (SELECT MAX(data_date_part)
    from cd_estruturais.tat91_tabelas where data_date_part &lt;= '${date}' and tayd91c0_ctabela= 'J48'
)) AS TAT_J48
ON gt009.cdisconf=TAT_J48.tayd91c0_celemtab
LEFT JOIN
(SELECT tayd91c0_celemtab,
       trim(SUBSTR(TAYD91C0_NELEMC11,5,4)) as CL_HAB,
        trim(SUBSTR(TAYD91C0_NELEMC12,5,4)) AS CL_COM,
        trim(SUBSTR(TAYD91C0_NELEMC13,5,4)) AS CL_IND,
        trim(SUBSTR(TAYD91C0_NELEMC14,5,4)) AS CL_SERV
FROM cd_estruturais.tat91_tabelas
WHERE tayd91c0_ctabela='162'
    AND data_date_part IN (SELECT MAX(data_date_part)
    from cd_estruturais.tat91_tabelas where data_date_part &lt;= '${date}' and tayd91c0_ctabela= '162'
)) AS TAT_162
ON TAT_J48.CD_REPARTICAO_FIN=TAT_162.tayd91c0_celemtab
) as base
GROUP BY 1,2</t>
  </si>
  <si>
    <t>Validar se campo está de acordo com o especificado</t>
  </si>
  <si>
    <t>SELECT count(*)
FROM 
(SELECT prtctn_id,
    valor_it,
    CASE WHEN substr(prtctn_id,1,1)&lt;&gt;'I'
         THEN 'N/A'
         WHEN cfinbem IN ('','01','06','07','08') AND CL_HAB&gt;='3.40'
         THEN 'Y'
         WHEN cfinbem IN ('','01','06','07','08') AND CL_HAB&lt;'3.40'
         THEN 'N'
         WHEN cfinbem is NULL AND CL_HAB&gt;='3.40'
         THEN 'Y'
         WHEN cfinbem is NULL AND CL_HAB &lt; '3.40'
         THEN 'N'
         WHEN cfinbem='02' AND CL_COM&gt;='3.40'
         THEN 'Y' 
         WHEN cfinbem='02' AND CL_COM&lt;'3.40'
         THEN 'N' 
          WHEN cfinbem='03' AND CL_SERV&gt;='3.40'
         THEN 'Y' 
         WHEN cfinbem='03' AND CL_SERV&lt;'3.40'
         THEN 'N'
          WHEN cfinbem IN ('04','05')
         THEN 'N'
         else 'N'
         END AS valor_simulado,
    cdisconf,
    cfinbem,
    CD_REPARTICAO_FIN,
    CL_COM,
    CL_HAB,
    CL_IND,
    CL_SERV
FROM 
(SELECT prtctn_id,
        prm_lctn as valor_it
FROM cd_loan_tapes_bce.lt004_protection
WHERE ref_date='${date}'
    AND nome_perimetro='Individual Corporativo'
    AND segmento='ESTR'
    AND ambito='PM') AS LT004
LEFT JOIN
(SELECT ckbalbem,
        ckctabem,
        ckrefbem,
        trim (cfinbem) as cfinbem,
        cdisconf
FROM cd_garantias.gt009_bens_imov
WHERE ref_date='${date}') AS gt009
on prtctn_id=concat('I_', CKBALBEM, '_', CKCTABEM, '_', CKREFBEM)
LEFT JOIN
(SELECT tayd91c0_celemtab,
        tayd91c0_nelemc10 AS CD_REPARTICAO_FIN
FROM cd_estruturais.tat91_tabelas 
WHERE tayd91c0_ctabela='J48'
    AND data_date_part='2024-05-31') AS TAT_J48
ON gt009.cdisconf=TAT_J48.tayd91c0_celemtab
LEFT JOIN
(SELECT tayd91c0_celemtab,
       trim(SUBSTR(TAYD91C0_NELEMC11,5,4)) as CL_HAB,
        trim(SUBSTR(TAYD91C0_NELEMC12,5,4)) AS CL_COM,
        trim(SUBSTR(TAYD91C0_NELEMC13,5,4)) AS CL_IND,
        trim(SUBSTR(TAYD91C0_NELEMC14,5,4)) AS CL_SERV
FROM cd_estruturais.tat91_tabelas
WHERE tayd91c0_ctabela='162'
    AND data_date_part='2024-05-31') AS TAT_162
ON TAT_J48.CD_REPARTICAO_FIN=TAT_162.tayd91c0_celemtab
) as base
WHERE 1=1 
    AND valor_it &lt;&gt; valor_simulado</t>
  </si>
  <si>
    <t>Verificar se o campo está de acordo com a Codelist</t>
  </si>
  <si>
    <t>SELECT prm_lctn,
    COUNT(*)
FROM cd_loan_tapes_bce.lt004_protection
WHERE ref_date='${date}'
    AND nome_perimetro='Individual Corporativo'
    AND segmento='ESTR'
    AND ambito='PM'
GROUP BY prm_lctn</t>
  </si>
  <si>
    <t>If "Protection type" does not equal '8 - Residential real estate collateral' nor '9 - Offices and commercial premises' nor '10 - Commercial real estate collateral' then "Prime location according to bank-internal definition  (Y/N)" must be populated with default values</t>
  </si>
  <si>
    <t>Existem 13 casos com TYP_PRTCTN a MISS. Voltar a testar quando TYP_PRTCTN estiver concluído</t>
  </si>
  <si>
    <t xml:space="preserve">
SELECT *
FROM 
(SELECT prtctn_id,
    valor_it,
    CASE WHEN substr(prtctn_id,1,1)&lt;&gt;'I'
         THEN 'N/A'
         WHEN cfinbem IN ('','01','06','07','08') AND CL_HAB&gt;='3.40'
         THEN 'Y'
         WHEN cfinbem IN ('','01','06','07','08') AND CL_HAB&lt;'3.40'
         THEN 'N'
         WHEN cfinbem is NULL AND CL_HAB&gt;='3.40'
         THEN 'Y'
         WHEN cfinbem is NULL AND CL_HAB &lt; '3.40'
         THEN 'N'
         WHEN cfinbem='02' AND CL_COM&gt;='3.40'
         THEN 'Y' 
         WHEN cfinbem='02' AND CL_COM&lt;'3.40'
         THEN 'N' 
          WHEN cfinbem='03' AND CL_SERV&gt;='3.40'
         THEN 'Y' 
         WHEN cfinbem='03' AND CL_SERV&lt;'3.40'
         THEN 'N'
          WHEN cfinbem IN ('04','05')
         THEN 'N'
         else 'N'
         END AS valor_simulado,
    TYP_PRTCTN
FROM 
(SELECT prtctn_id, TYP_PRTCTN,
        prm_lctn as valor_it
FROM cd_loan_tapes_bce.lt004_protection
WHERE ref_date='${date}'
    AND nome_perimetro='Individual Corporativo'
    AND segmento='ESTR'
    AND ambito='PM') AS LT004
LEFT JOIN
(SELECT ckbalbem,
        ckctabem,
        ckrefbem,
        trim (cfinbem) as cfinbem,
        cdisconf
FROM cd_garantias.gt009_bens_imov
WHERE ref_date='${date}') AS gt009
on prtctn_id=concat('I_', CKBALBEM, '_', CKCTABEM, '_', CKREFBEM)
LEFT JOIN
(SELECT tayd91c0_celemtab,
        tayd91c0_nelemc10 AS CD_REPARTICAO_FIN
FROM cd_estruturais.tat91_tabelas 
WHERE tayd91c0_ctabela='J48'
    AND data_date_part='2024-05-31') AS TAT_J48
ON gt009.cdisconf=TAT_J48.tayd91c0_celemtab
LEFT JOIN
(SELECT tayd91c0_celemtab,
       trim(SUBSTR(TAYD91C0_NELEMC11,5,4)) as CL_HAB,
        trim(SUBSTR(TAYD91C0_NELEMC12,5,4)) AS CL_COM,
        trim(SUBSTR(TAYD91C0_NELEMC13,5,4)) AS CL_IND,
        trim(SUBSTR(TAYD91C0_NELEMC14,5,4)) AS CL_SERV
FROM cd_estruturais.tat91_tabelas
WHERE tayd91c0_ctabela='162'
    AND data_date_part='2024-05-31') AS TAT_162
ON TAT_J48.CD_REPARTICAO_FIN=TAT_162.tayd91c0_celemtab
) as base
WHERE 1=1 
    AND typ_prtctn NOT IN ('8','9','10')
    AND VALOR_SIMULADO &lt;&gt; 'N/A'</t>
  </si>
  <si>
    <t>If "Protection type" equals '8 - Residential real estate collateral' or '9 - Offices and commercial premises' or '10 - Commercial real estate collateral' then "Prime location according to bank-internal definition  (Y/N)" cannot be 'Not applicable'</t>
  </si>
  <si>
    <t xml:space="preserve">
SELECT *
FROM 
(SELECT prtctn_id,
    valor_it,
    CASE WHEN substr(prtctn_id,1,1)&lt;&gt;'I'
         THEN 'N/A'
         WHEN cfinbem IN ('','01','06','07','08') AND CL_HAB&gt;='3.40'
         THEN 'Y'
         WHEN cfinbem IN ('','01','06','07','08') AND CL_HAB&lt;'3.40'
         THEN 'N'
         WHEN cfinbem is NULL AND CL_HAB&gt;='3.40'
         THEN 'Y'
         WHEN cfinbem is NULL AND CL_HAB &lt; '3.40'
         THEN 'N'
         WHEN cfinbem='02' AND CL_COM&gt;='3.40'
         THEN 'Y' 
         WHEN cfinbem='02' AND CL_COM&lt;'3.40'
         THEN 'N' 
          WHEN cfinbem='03' AND CL_SERV&gt;='3.40'
         THEN 'Y' 
         WHEN cfinbem='03' AND CL_SERV&lt;'3.40'
         THEN 'N'
          WHEN cfinbem IN ('04','05')
         THEN 'N'
         else 'N'
         END AS valor_simulado,
    TYP_PRTCTN
FROM 
(SELECT prtctn_id, TYP_PRTCTN,
        prm_lctn as valor_it
FROM cd_loan_tapes_bce.lt004_protection
WHERE ref_date='${date}'
    AND nome_perimetro='Individual Corporativo'
    AND segmento='ESTR'
    AND ambito='PM') AS LT004
LEFT JOIN
(SELECT ckbalbem,
        ckctabem,
        ckrefbem,
        trim (cfinbem) as cfinbem,
        cdisconf
FROM cd_garantias.gt009_bens_imov
WHERE ref_date='${date}') AS gt009
on prtctn_id=concat('I_', CKBALBEM, '_', CKCTABEM, '_', CKREFBEM)
LEFT JOIN
(SELECT tayd91c0_celemtab,
        tayd91c0_nelemc10 AS CD_REPARTICAO_FIN
FROM cd_estruturais.tat91_tabelas 
WHERE tayd91c0_ctabela='J48'
    AND data_date_part='2024-05-31') AS TAT_J48
ON gt009.cdisconf=TAT_J48.tayd91c0_celemtab
LEFT JOIN
(SELECT tayd91c0_celemtab,
       trim(SUBSTR(TAYD91C0_NELEMC11,5,4)) as CL_HAB,
        trim(SUBSTR(TAYD91C0_NELEMC12,5,4)) AS CL_COM,
        trim(SUBSTR(TAYD91C0_NELEMC13,5,4)) AS CL_IND,
        trim(SUBSTR(TAYD91C0_NELEMC14,5,4)) AS CL_SERV
FROM cd_estruturais.tat91_tabelas
WHERE tayd91c0_ctabela='162'
    AND data_date_part='2024-05-31') AS TAT_162
ON TAT_J48.CD_REPARTICAO_FIN=TAT_162.tayd91c0_celemtab
) as base
WHERE 1=1 
    AND typ_prtctn IN ('8','9','10')
    AND VALOR_SIMULADO ='N/A'</t>
  </si>
  <si>
    <t>Campo com valor 0 para os restantes contratos que não estão marcados com valores default</t>
  </si>
  <si>
    <t>SELECT off_blnc_sht_amnt_instrmnt_prvs, count(*)
FROM cd_loan_tapes_bce.lt002_instrument
WHERE 1=1 
  AND REF_DATE='${date}'
  AND NOME_PERIMETRO='Individual Corporativo'
  AND AMBITO = 'PM'
  AND SEGMENTO = 'ESTR'
  AND off_blnc_sht_amnt_instrmnt_prvs NOT IN(11111111111.00,99999999999.00)
GROUP BY 1</t>
  </si>
  <si>
    <t>SELECT count(*) FROM 
(SELECT LT004.prtctn_id, LT004.dt_lst_fll_apprsl as valor_lt, LT004.dt_orgnl_prtctn_vl, valor_simulado
FROM
(SELECT prtctn_id, dt_lst_fll_apprsl, dt_prtctn_vl, dt_orgnl_prtctn_vl
FROM cd_loan_tapes_bce.lt004_protection 
WHERE ref_date='${date}' 
    AND nome_perimetro='Individual Corporativo' 
    AND segmento='ESTR' 
    AND ambito='PM'
    AND prtctn_id LIKE 'I%') LT004
LEFT JOIN
(SELECT max(davalia) as valor_simulado, CONCAT('I_', CKBALBEM, '_', CKCTABEM, '_', CKREFBEM) AS prtctn_id
FROM cd_garantias.gt011_avalc_imov
WHERE 1=1 
AND ref_date='${date}'
AND (
(CTIPREAVL IN ('A','R') AND CORAVGP = 'G39') 
OR CORAVGP='G26')
GROUP BY 2 
) GT011
ON LT004.prtctn_id = GT011.prtctn_id
) x
WHERE 1=1
    AND valor_simulado &lt;&gt; valor_lt</t>
  </si>
  <si>
    <t>SELECT prtctn_id, dt_lst_fll_apprsl
FROM cd_loan_tapes_bce.lt004_protection 
WHERE ref_date='${date}' 
    AND nome_perimetro='Individual Corporativo' 
    AND segmento='ESTR' 
    AND ambito='PM'
    AND prtctn_id LIKE 'P%' 
    -- AND prtctn_id LIKE 'F%' 
    AND dt_lst_fll_apprsl &lt;&gt; '1111-11-11'</t>
  </si>
  <si>
    <t>Date of last full appraisal must be later than 01 January 1970</t>
  </si>
  <si>
    <t>SELECT DISTINCT dt_lst_fll_apprsl
FROM cd_loan_tapes_bce.lt004_protection 
WHERE ref_date='${date}' 
    AND nome_perimetro='Individual Corporativo' 
    AND segmento='ESTR' 
    AND ambito='PM'
    AND dt_lst_fll_apprsl &lt; '1970-01-01'</t>
  </si>
  <si>
    <t>Date of last full appraisal must have a Date format (yyyy-mm-dd)</t>
  </si>
  <si>
    <t xml:space="preserve">SELECT DISTINCT dt_lst_fll_apprsl
FROM cd_loan_tapes_bce.lt004_protection 
WHERE ref_date='${date}' 
    AND nome_perimetro='Individual Corporativo' 
    AND segmento='ESTR' 
    AND ambito='PM'
    AND length(dt_lst_fll_apprsl) &lt;&gt; 10 </t>
  </si>
  <si>
    <t>"Date of last full appraisal" cannot be later than "Reference date"</t>
  </si>
  <si>
    <t xml:space="preserve">SELECT count(*) FROM 
    (SELECT LT004.prtctn_id, LT004.dt_lst_fll_apprsl as valor_lt, LT004.dt_orgnl_prtctn_vl, valor_simulado
    FROM
        (SELECT prtctn_id, dt_lst_fll_apprsl, dt_prtctn_vl, dt_orgnl_prtctn_vl
        FROM cd_loan_tapes_bce.lt004_protection 
        WHERE ref_date='${date}' 
            AND nome_perimetro='Individual Corporativo' 
            AND segmento='ESTR' 
            AND ambito='PM'
            AND prtctn_id LIKE 'I%') LT004
    LEFT JOIN
        (SELECT max(davalia) as valor_simulado, CONCAT('I_', CKBALBEM, '_', CKCTABEM, '_', CKREFBEM) AS prtctn_id
        FROM cd_garantias.gt011_avalc_imov
        WHERE 1=1 
        AND ref_date='${date}'
        AND (
        (CTIPREAVL IN ('A','R') AND CORAVGP = 'G39') 
        OR CORAVGP='G26')
        GROUP BY 2 
        ) GT011
    ON LT004.prtctn_id = GT011.prtctn_id
) x
WHERE 1=1
    -- AND valor_simulado &lt;&gt; valor_lt
    -- AND valor_simulado &gt;= dt_orgnl_prtctn_vl
    AND valor_simulado &gt; '${date}'
-- GROUP BY 1,2,3,4
</t>
  </si>
  <si>
    <t>"Date of last full appraisal" must be greater or equal to the "Date of the appraisal previous to the most recent one available, i.e. previous to the last full appraisal (field DT_LST_FLL_APPRSL)."
If DT_LST_FLL_APPRSL and DT_APPRSL_PRVS are populated other than default values, then DT_LST_FLL_APPRSL &gt;= DT_APPRSL_PRVS</t>
  </si>
  <si>
    <t>Simular especificação</t>
  </si>
  <si>
    <t>SELECT 
CASE WHEN TYP_INSTRMNT NOT IN ('71','80','1001','1002','1004','2001') THEN '11111111111' 
     WHEN LT06.INSTRMNT_ID IS NULL THEN '11111111111' 
     WHEN LT06.INSTRMNT_ID IS NOT NULL AND imov&gt;0 THEN '1' 
     WHEN LT06.INSTRMNT_ID IS NOT NULL AND imov=0 THEN '5' 
     END AS TYP_MRTGG_Simulado
FROM
(SELECT *
FROM cd_loan_tapes_bce.lt002_instrument
WHERE ref_date = '${date}'
  AND nome_perimetro = 'Individual Corporativo'
  AND segmento='ESTR' 
  AND ambito='PM'
) LT02 
LEFT JOIN 
(SELECT instrmnt_id, prtctn_id, sum(if(substr(prtctn_id,1,1) = 'I',1,0)) as imov
FROM cd_loan_tapes_bce.lt006_instr_prot
WHERE ref_date = '${date}'
  AND nome_perimetro = 'Individual Corporativo'
  AND segmento='ESTR' 
  AND ambito='PM'
  GROUP BY 1,2 
) LT06
on LT02.instrmnt_id = LT06.instrmnt_id</t>
  </si>
  <si>
    <t>If "Type of instrument" is different from '71 - Trade receivables', '80- Finance leases', '1001 - Revolving credit other than overdrafts and credit card debt', '1002 - Credit lines other than revolving credit', '1004 - Loans other than overdrafts, convenience credit, extended credit, credit card credit, revolving credit other than credit card credit, reverse repurchase agreements, trade receivables and financial leases' or '2001 - Guarantees' then "Type of mortgage" has to be populated with default values</t>
  </si>
  <si>
    <t xml:space="preserve">1027 contratos que possuem uma garantia </t>
  </si>
  <si>
    <t>SELECT DISTINCT LT02.instrmnt_id, LT06.instrmnt_id, LT06.prtctn_id,
CASE WHEN TYP_INSTRMNT NOT IN ('71','80','1001','1002','1004','2001') THEN '11111111111' 
     WHEN LT06.INSTRMNT_ID IS NULL THEN '11111111111' 
     WHEN LT06.INSTRMNT_ID IS NOT NULL AND imov&gt;0 THEN '1' 
     WHEN LT06.INSTRMNT_ID IS NOT NULL AND imov=0 THEN '5' 
     END AS TYP_MRTGG_Simulado,
     typ_prtctn,
     TYP_INSTRMNT
FROM
(SELECT *
FROM cd_loan_tapes_bce.lt002_instrument
WHERE ref_date = '${date}'
  AND nome_perimetro = 'Individual Corporativo'
  AND segmento='ESTR' 
  AND ambito='PM'
) LT02 
LEFT JOIN 
(SELECT instrmnt_id, prtctn_id, sum(if(substr(prtctn_id,1,1) = 'I',1,0)) as imov
FROM cd_loan_tapes_bce.lt006_instr_prot
WHERE ref_date = '${date}'
  AND nome_perimetro = 'Individual Corporativo'
  AND segmento='ESTR' 
  AND ambito='PM'
  GROUP BY 1,2 
) LT06
on LT02.instrmnt_id = LT06.instrmnt_id
---- CONTROLOS
LEFT JOIN 
(SELECT prtctn_id, typ_prtctn
FROM cd_loan_tapes_bce.lt004_protection
WHERE ref_date = '${date}'
  AND nome_perimetro = 'Individual Corporativo'
  AND segmento='ESTR' 
  AND ambito='PM'
) LT04
ON LT04.prtctn_id = LT06.prtctn_id
WHERE 1=1 
    AND TYP_INSTRMNT NOT IN ('71','80','1001','1002','1004','2001')</t>
  </si>
  <si>
    <t>If "Protection type" equals '8 - Residential real estate collateral' or '9 - Offices and commercial premises' or '10 - Commercial real estate collateral', then "Type of mortgage" cannot be 'Not applicable'</t>
  </si>
  <si>
    <t>46 Contratos descobertos com proteções imóveis associadas</t>
  </si>
  <si>
    <t>SELECT DISTINCT LT02.instrmnt_id, LT06.instrmnt_id, LT06.prtctn_id,
CASE WHEN TYP_INSTRMNT NOT IN ('71','80','1001','1002','1004','2001') THEN '11111111111' 
     WHEN LT06.INSTRMNT_ID IS NULL THEN '11111111111' 
     WHEN LT06.INSTRMNT_ID IS NOT NULL AND imov&gt;0 THEN '1' 
     WHEN LT06.INSTRMNT_ID IS NOT NULL AND imov=0 THEN '5' 
     END AS TYP_MRTGG_Simulado,
     typ_prtctn,
     TYP_INSTRMNT
FROM
(SELECT *
FROM cd_loan_tapes_bce.lt002_instrument
WHERE ref_date = '${date}'
  AND nome_perimetro = 'Individual Corporativo'
  AND segmento='ESTR' 
  AND ambito='PM'
) LT02 
LEFT JOIN 
(SELECT instrmnt_id, prtctn_id, sum(if(substr(prtctn_id,1,1) = 'I',1,0)) as imov
FROM cd_loan_tapes_bce.lt006_instr_prot
WHERE ref_date = '${date}'
  AND nome_perimetro = 'Individual Corporativo'
  AND segmento='ESTR' 
  AND ambito='PM'
  GROUP BY 1,2 
) LT06
on LT02.instrmnt_id = LT06.instrmnt_id
---- CONTROLOS
LEFT JOIN 
(SELECT prtctn_id, typ_prtctn
FROM cd_loan_tapes_bce.lt004_protection
WHERE ref_date = '${date}'
  AND nome_perimetro = 'Individual Corporativo'
  AND segmento='ESTR' 
  AND ambito='PM'
) LT04
ON LT04.prtctn_id = LT06.prtctn_id
WHERE 1=1 
    AND TYP_PRTCTN IN ('8','9','10')</t>
  </si>
  <si>
    <t>Número de casos com incidência</t>
  </si>
  <si>
    <t>SELECT count(*) FROM 
(SELECT DISTINCT LT02.instrmnt_id AS instrmnt_id_LT02, LT06.instrmnt_id, LT06.prtctn_id,
CASE WHEN TYP_INSTRMNT NOT IN ('71','80','1001','1002','1004','2001') THEN '11111111111' 
     WHEN LT06.INSTRMNT_ID IS NULL THEN '11111111111' 
     WHEN LT06.INSTRMNT_ID IS NOT NULL AND imov&gt;0 THEN '1' 
     WHEN LT06.INSTRMNT_ID IS NOT NULL AND imov=0 THEN '5' 
     END AS TYP_MRTGG_Simulado,
     typ_prtctn,
     TYP_INSTRMNT
FROM
(SELECT *
FROM cd_loan_tapes_bce.lt002_instrument
WHERE ref_date = '${date}'
  AND nome_perimetro = 'Individual Corporativo'
  AND segmento='ESTR' 
  AND ambito='PM'
) LT02 
LEFT JOIN 
(SELECT instrmnt_id, prtctn_id, sum(if(substr(prtctn_id,1,1) = 'I',1,0)) as imov
FROM cd_loan_tapes_bce.lt006_instr_prot
WHERE ref_date = '${date}'
  AND nome_perimetro = 'Individual Corporativo'
  AND segmento='ESTR' 
  AND ambito='PM'
  GROUP BY 1,2 
) LT06
on LT02.instrmnt_id = LT06.instrmnt_id
---- CONTROLOS
LEFT JOIN 
(SELECT prtctn_id, typ_prtctn
FROM cd_loan_tapes_bce.lt004_protection
WHERE ref_date = '${date}'
  AND nome_perimetro = 'Individual Corporativo'
  AND segmento='ESTR' 
  AND ambito='PM'
) LT04
ON LT04.prtctn_id = LT06.prtctn_id
WHERE 1=1 
    -- AND TYP_INSTRMNT NOT IN ('71','80','1001','1002','1004','2001')
    AND TYP_PRTCTN IN ('8','9','10')
)X
WHERE 1=1  
    AND TYP_MRTGG_Simulado = '11111111111'
    AND TYP_INSTRMNT = '20'</t>
  </si>
  <si>
    <t xml:space="preserve">SELECT count(*), count(DISTINCT instrmnt_id_LT02) FROM 
(SELECT DISTINCT LT02.instrmnt_id AS instrmnt_id_LT02, LT06.instrmnt_id, LT06.prtctn_id,
CASE
-- WHEN TYP_INSTRMNT NOT IN ('71','80','1001','1002','1004','2001') THEN '11111111111' 
     WHEN LT06.INSTRMNT_ID IS NULL THEN '11111111111' 
     WHEN LT06.INSTRMNT_ID IS NOT NULL AND imov&gt;0 THEN '1' 
     WHEN LT06.INSTRMNT_ID IS NOT NULL AND imov=0 THEN '5' 
     END AS TYP_MRTGG_Simulado,
     typ_prtctn,
     TYP_INSTRMNT
FROM
(SELECT *
FROM cd_loan_tapes_bce.lt002_instrument
WHERE ref_date = '${date}'
  AND nome_perimetro = 'Individual Corporativo'
  AND segmento='ESTR' 
  AND ambito='PM'
) LT02 
LEFT JOIN 
(SELECT instrmnt_id, prtctn_id, sum(if(substr(prtctn_id,1,1) = 'I',1,0)) as imov
FROM cd_loan_tapes_bce.lt006_instr_prot
WHERE ref_date = '${date}'
  AND nome_perimetro = 'Individual Corporativo'
  AND segmento='ESTR' 
  AND ambito='PM'
  GROUP BY 1,2 
) LT06
on LT02.instrmnt_id = LT06.instrmnt_id
---- CONTROLOS
LEFT JOIN 
(SELECT prtctn_id, typ_prtctn
FROM cd_loan_tapes_bce.lt004_protection
WHERE ref_date = '${date}'
  AND nome_perimetro = 'Individual Corporativo'
  AND segmento='ESTR' 
  AND ambito='PM'
) LT04
ON LT04.prtctn_id = LT06.prtctn_id
WHERE 1=1 
    AND TYP_INSTRMNT not IN ('71','80','1001','1002','1004','2001')
    and LT06.prtctn_id is not null 
    -- AND TYP_PRTCTN IN ('8','9','10')
)X
-- ORDER BY TYP_MRTGG_Simulado DESC
-- WHERE 1=1  
--     AND TYP_MRTGG_Simulado = '11111111111'
--     AND TYP_INSTRMNT = '20'
</t>
  </si>
  <si>
    <t>"Significant increase in credit risk assessment approach" should match the information on the Codelist</t>
  </si>
  <si>
    <t>SELECT count(*), sicr_assssmnt_mthd, imprmnt_stts
FROM cd_loan_tapes_bce.lt002_instrument
WHERE ref_date='2024-05-31'  
      AND nome_perimetro='Individual Corporativo'  
      AND segmento='ESTR'  
      AND ambito='PM' 
GROUP BY 2, 3</t>
  </si>
  <si>
    <t>If "Impairment status" equals '23 - Stage1' or  '24 - Stage 2' then "Significant increase in credit risk assessment approach" cannot be 'Not applicable'</t>
  </si>
  <si>
    <t>If "Impairment status" is not equal  '23 - Stage1' nor '24 - Stage 2' then "Significant increase in credit risk assessment approach" must be 'Not applicable'</t>
  </si>
  <si>
    <t xml:space="preserve">SELECT prtctn_id,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t>
  </si>
  <si>
    <t>"Protection type" should match the information on the Codelist</t>
  </si>
  <si>
    <t xml:space="preserve">SELECT DISTINCT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t>
  </si>
  <si>
    <t>If "Type of protection received, irrespective of its eligibility for credit risk mitigation according to bank-internal classification" is informed other than default values, then "Protection type" has to be informed other than default values</t>
  </si>
  <si>
    <t>SELECT  prtctn_id, typ_prtctn_intrnl, TYP_PRTCTN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WHERE 1=1 
 AND typ_prtctn_intrnl &lt;&gt; 'N/A'
 AND TYP_PRTCTN = '11111111111'</t>
  </si>
  <si>
    <t>If "Type of protection received, irrespective of its eligibility for credit risk mitigation according to bank-internal classification" is populated with 'Not Applicable' values then "Protection type" has to be informed with default values</t>
  </si>
  <si>
    <t>Não exitem casos em que TYP_PRTCTN_INTRNL = N/A</t>
  </si>
  <si>
    <t>SELECT  prtctn_id, typ_prtctn_intrnl, TYP_PRTCTN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WHERE 1=1 
 AND typ_prtctn_intrnl = 'N/A'
 AND TYP_PRTCTN &lt;&gt; '11111111111'</t>
  </si>
  <si>
    <t>If "Type of protection value" is set as '1 - Fair value' then "Protection type" has to be set as '3 - Other physical collaterals', '7 - Other protection', '13 - Gold' or '18 - Equity and investment funds shares'</t>
  </si>
  <si>
    <t>2291 Casos</t>
  </si>
  <si>
    <t xml:space="preserve">
SELECT  count(*)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typ_prtctn_vl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WHERE 1=1 
 AND typ_prtctn_vl = '1'
 AND TYP_PRTCTN not in ('3', '7', '13', '18')</t>
  </si>
  <si>
    <t>Identificar casuistica da incidência</t>
  </si>
  <si>
    <t>2262 garantias financeiras que não são derivados de crédito, 28 securities, 1 MISS</t>
  </si>
  <si>
    <t xml:space="preserve">
SELECT  count(*), typ_prtctn_vl, TYP_PRTCTN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typ_prtctn_vl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WHERE 1=1 
 AND typ_prtctn_vl = '1'
 AND TYP_PRTCTN not in ('3', '7', '13', '18')
group by 2,3</t>
  </si>
  <si>
    <t>If "Type of protection value" is set as '2 - Long-term sustainable value' or '3 - Market value' then "Protection type" has to be set as '8 - Residential real estate collateral', '9 - Offices and commercial premises' or '10 - Commercial real estate collateral'</t>
  </si>
  <si>
    <t xml:space="preserve">
SELECT  *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typ_prtctn_vl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WHERE 1=1 
    AND typ_prtctn_vl IN ('2','3')
    AND TYP_PRTCTN NOT IN ('8','9','10')</t>
  </si>
  <si>
    <t>"Previous appraisal date" must have a Date format (yyyy-mm-dd)</t>
  </si>
  <si>
    <t>SELECT *
FROM
(SELECT  LT004.prtctn_id, 
        dt_apprsl_prvs AS valor_lt,
        CASE WHEN prtctn_id NOT LIKE 'I%' THEN '1111-11-11' 
             WHEN prtctn_id_GT011 IS NULL THEN '1111-11-11' -- garantia com apenas 1 avaliação completa
             WHEN prtctn_id_GT011 IS NOT NULL THEN davalia 
        ELSE '0000-00-00'
        END AS valor_simulado
FROM
        (SELECT prtctn_id, dt_apprsl_prvs, typ_prtctn
        FROM cd_loan_tapes_bce.lt004_protection 
        WHERE ref_date='${date}' 
            AND nome_perimetro='Individual Corporativo' 
            AND segmento='ESTR' 
            AND ambito='PM'
        )LT004
    LEFT JOIN
        (SELECT *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)GT011
    ON LT004.prtctn_id = GT011.prtctn_id_GT011
) x
WHERE 1=1 
     AND substring(valor_simulado,5,1) &lt;&gt; '-' or substring(valor_simulado,8,1) &lt;&gt; '-'
    -- AND valor_simulado = '9999-99-99'
    -- AND valor_simulado = '0001-01-01'
    -- AND length(valor_simulado) &lt;&gt; 10</t>
  </si>
  <si>
    <t>"Previous appraisal date" must be later than 01 January 1970</t>
  </si>
  <si>
    <t>2 casos com datas ambiguas (anos 1008 e 0201)</t>
  </si>
  <si>
    <t xml:space="preserve">
SELECT *
FROM
(SELECT  LT004.prtctn_id, 
        dt_apprsl_prvs AS valor_lt,
        CASE WHEN prtctn_id NOT LIKE 'I%' THEN '1111-11-11' 
             WHEN prtctn_id_GT011 IS NULL THEN '1111-11-11' -- garantia com apenas 1 avaliação completa
             WHEN prtctn_id_GT011 IS NOT NULL THEN davalia 
        ELSE '0000-00-00'
        END AS valor_simulado
FROM
        (SELECT prtctn_id, dt_apprsl_prvs, typ_prtctn
        FROM cd_loan_tapes_bce.lt004_protection 
        WHERE ref_date='${date}' 
            AND nome_perimetro='Individual Corporativo' 
            AND segmento='ESTR' 
            AND ambito='PM'
        )LT004
    LEFT JOIN
        (SELECT *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)GT011
    ON LT004.prtctn_id = GT011.prtctn_id_GT011
) x
WHERE 1=1 
     AND valor_simulado &lt; '1970-01-01'
     AND valor_simulado NOT IN ('1111-11-11', '0000-00-00')</t>
  </si>
  <si>
    <t>"Previous appraisal date" cannot be later than "Reference date"</t>
  </si>
  <si>
    <t xml:space="preserve">
SELECT *
FROM
(SELECT  LT004.prtctn_id, 
        dt_apprsl_prvs AS valor_lt,
        CASE WHEN prtctn_id NOT LIKE 'I%' THEN '1111-11-11' 
             WHEN prtctn_id_GT011 IS NULL THEN '1111-11-11' -- garantia com apenas 1 avaliação completa
             WHEN prtctn_id_GT011 IS NOT NULL THEN davalia 
        ELSE '0000-00-00'
        END AS valor_simulado
FROM
        (SELECT prtctn_id, dt_apprsl_prvs, typ_prtctn
        FROM cd_loan_tapes_bce.lt004_protection 
        WHERE ref_date='${date}' 
            AND nome_perimetro='Individual Corporativo' 
            AND segmento='ESTR' 
            AND ambito='PM'
        )LT004
    LEFT JOIN
        (SELECT *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)GT011
    ON LT004.prtctn_id = GT011.prtctn_id_GT011
) x
WHERE 1=1 
     AND valor_simulado &gt; '2024-05-31'</t>
  </si>
  <si>
    <t>"Previous appraisal date" cannot be earlier than "Date of original protection value"</t>
  </si>
  <si>
    <t>Campo DT_ORGNL_PRTCN_VL com incidência</t>
  </si>
  <si>
    <t>SELECT *
FROM
(SELECT  LT004.prtctn_id, DT_ORGNL_PRTCTN_VL,
        dt_apprsl_prvs AS valor_lt,
        CASE WHEN prtctn_id NOT LIKE 'I%' THEN '1111-11-11' 
             WHEN prtctn_id_GT011 IS NULL THEN '1111-11-11' -- garantia com apenas 1 avaliação completa
             WHEN prtctn_id_GT011 IS NOT NULL THEN davalia 
        ELSE '0000-00-00'
        END AS valor_simulado
FROM
        (SELECT prtctn_id, dt_apprsl_prvs, typ_prtctn, DT_ORGNL_PRTCTN_VL
        FROM cd_loan_tapes_bce.lt004_protection 
        WHERE ref_date='${date}' 
            AND nome_perimetro='Individual Corporativo' 
            AND segmento='ESTR' 
            AND ambito='PM'
        )LT004
    LEFT JOIN
        (SELECT *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)GT011
    ON LT004.prtctn_id = GT011.prtctn_id_GT011
) x
WHERE 1=1 
     AND valor_simulado &lt; DT_ORGNL_PRTCTN_VL
;</t>
  </si>
  <si>
    <t>"Previous appraisal date" cannot be later than "Date of protection value</t>
  </si>
  <si>
    <t xml:space="preserve">
SELECT *
FROM
(SELECT  LT004.prtctn_id, DT_PRTCTN_VL,
        dt_apprsl_prvs AS valor_lt,
        CASE WHEN prtctn_id NOT LIKE 'I%' THEN '1111-11-11' 
             WHEN prtctn_id_GT011 IS NULL THEN '1111-11-11' -- garantia com apenas 1 avaliação completa
             WHEN prtctn_id_GT011 IS NOT NULL THEN davalia 
        ELSE '0000-00-00'
        END AS valor_simulado
FROM
        (SELECT prtctn_id, dt_apprsl_prvs, typ_prtctn, DT_PRTCTN_VL
        FROM cd_loan_tapes_bce.lt004_protection 
        WHERE ref_date='${date}' 
            AND nome_perimetro='Individual Corporativo' 
            AND segmento='ESTR' 
            AND ambito='PM'
        )LT004
    LEFT JOIN
        (SELECT *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)GT011
    ON LT004.prtctn_id = GT011.prtctn_id_GT011
) x
WHERE 1=1 
     AND valor_simulado &gt; DT_PRTCTN_VL
     AND valor_simulado NOT IN ('1111-11-11','0000-00-00')</t>
  </si>
  <si>
    <t xml:space="preserve">If the protection is a "personal guarantee" then "Previous appraisal date" should be 'Not Applicable' (We consider "personal guarantee" when "Protection ID" matches the "Protection Provider ID" (Guarantor) or "Tax ID" (Protection level) is populated other than default value and the "Protection type" equals '7 - Other protection')     </t>
  </si>
  <si>
    <t xml:space="preserve">
SELECT *
FROM
(SELECT  LT004.prtctn_id, DT_PRTCTN_VL,
        dt_apprsl_prvs AS valor_lt,
        CASE WHEN prtctn_id NOT LIKE 'I%' THEN '1111-11-11' 
             WHEN prtctn_id_GT011 IS NULL THEN '1111-11-11' -- garantia com apenas 1 avaliação completa
             WHEN prtctn_id_GT011 IS NOT NULL THEN davalia 
        ELSE '0000-00-00'
        END AS valor_simulado
FROM
        (SELECT prtctn_id, dt_apprsl_prvs, typ_prtctn, DT_PRTCTN_VL
        FROM cd_loan_tapes_bce.lt004_protection 
        WHERE ref_date='${date}' 
            AND nome_perimetro='Individual Corporativo' 
            AND segmento='ESTR' 
            AND ambito='PM'
        )LT004
    LEFT JOIN
        (SELECT *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)GT011
    ON LT004.prtctn_id = GT011.prtctn_id_GT011
) x
WHERE 1=1 
     AND prtctn_id LIKE 'P%'
     AND valor_simulado &lt;&gt; '1111-11-11' </t>
  </si>
  <si>
    <t>"Impairment status" should match the information on the Codelist</t>
  </si>
  <si>
    <t>SELECT count(*), imprmnt_stts
FROM cd_loan_tapes_bce.lt002_instrument
WHERE ref_date='${date}'  AND nome_perimetro='Individual Corporativo'  AND segmento='ESTR'  AND ambito='PM'
GROUP BY 2</t>
  </si>
  <si>
    <t>"Impairment status" can only be '23 - Stage 1 (IFRS)' or '24 - Stage 2 (IFRS)' or '25 - Stage 3 (IFRS)' or default values(Since Santander Group is IFRS compliance and do not apply General Accounting Accepted Principles (GAAP) on a consolidated basis)</t>
  </si>
  <si>
    <t xml:space="preserve">if "Days past due at reference date" is between 30 and 90 days and "Subportfolio ID" is not classified as 'VRPL - FV with changes in PL' then "Impairment status" must be '24 - Stage 2 (IFRS)' or '25 - Stage 3 (IFRS)' </t>
  </si>
  <si>
    <t>5 contratos com em stage 1</t>
  </si>
  <si>
    <t>SELECT instrmnt_id, imprmnt_stts, dpd, subportfolio_id
FROM cd_loan_tapes_bce.lt002_instrument
WHERE ref_date='${date}'  AND nome_perimetro='Individual Corporativo'  AND segmento='ESTR'  AND ambito='PM'
      AND subportfolio_id &lt;&gt; 'VRPL'
      AND DPD &gt; 30
      AND DPD &lt; 90
      AND imprmnt_stts NOT IN ('24', '25')</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</si>
  <si>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</si>
  <si>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2561 casos em default marcados com stage 1 ou 2</t>
  </si>
  <si>
    <t>SELECT count(*), imprmnt_stts, dflt_stts_instrmnt
    FROM cd_loan_tapes_bce.lt002_instrument
    WHERE ref_date='${date}'  AND nome_perimetro='Individual Corporativo'  AND segmento='ESTR'  AND ambito='PM'
          AND subportfolio_id &lt;&gt; 'VRPL'
          AND dflt_stts_instrmnt IN ('18','19','20')
          AND imprmnt_stts &lt;&gt; '25'
GROUP BY 2,3 ORDER BY 1 DESC</t>
  </si>
  <si>
    <t>if "Default status of the instrument" is set as '14 - Not in default'  and "Subportfolio ID" is not classified as 'VRPL - FV with changes in PL' then "Impairment status" cannot be 25 - Stage 3 (IFRS)'</t>
  </si>
  <si>
    <t>4198 contratos que não estão em default e estaão marcados como stage 3.</t>
  </si>
  <si>
    <t>SELECT count(*), imprmnt_stts, dflt_stts_instrmnt
    FROM cd_loan_tapes_bce.lt002_instrument
    WHERE ref_date='${date}'  AND nome_perimetro='Individual Corporativo'  AND segmento='ESTR'  AND ambito='PM'
          AND subportfolio_id &lt;&gt; 'VRPL'
          AND dflt_stts_instrmnt = '14'
          AND imprmnt_stts = '25'
GROUP BY 2,3 ORDER BY 1 DESC</t>
  </si>
  <si>
    <t>if "Performing status" is '11 - Performing' and "Subportfolio ID" is not classified as 'VRPL - FV with changes in PL' then "Impairment status" cannot be '25 - Stage 3 (IFRS)'</t>
  </si>
  <si>
    <t>SELECT count(*), imprmnt_stts, prfrmng_stts
    FROM cd_loan_tapes_bce.lt002_instrument
    WHERE ref_date='${date}'  AND nome_perimetro='Individual Corporativo'  AND segmento='ESTR'  AND ambito='PM'
          AND subportfolio_id &lt;&gt; 'VRPL'
          AND prfrmng_stts = '11'
          AND imprmnt_stts = '25'
GROUP BY 2,3 ORDER BY 1 DESC</t>
  </si>
  <si>
    <t>If "Type of protection value" is set as '4 - Notional amount' then "Protection type" has to be set as '2 - Life insurance policies pledged', '4 - Credit derivatives', '5 - Financial guarantees other than credit derivatives', '12 - Securities', '15 - Currency and deposits', '16 - Loans', '17 - Trade receivables' or '7 - Other protection'</t>
  </si>
  <si>
    <t xml:space="preserve">
SELECT  *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typ_prtctn_vl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WHERE 1=1 
    AND typ_prtctn_vl = '4'
    AND TYP_PRTCTN NOT IN ('2','4','5', '12','15','16','17','7')</t>
  </si>
  <si>
    <t>If "Type of protection value" is set as '5 - Types of protection values other than notional amount, market value, fair value or long-term sustainable value' then "Protection type" cannot be 'Not applicable'</t>
  </si>
  <si>
    <t>Não existem casos em que TYP_PRTCTN = 5</t>
  </si>
  <si>
    <t xml:space="preserve">
SELECT  *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typ_prtctn_vl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WHERE 1=1 
     AND typ_prtctn_vl = '5'</t>
  </si>
  <si>
    <t>If "Type of protection value" equals 'Not applicable', then "Protection type" should equal '7 - Other protection'</t>
  </si>
  <si>
    <t xml:space="preserve">
SELECT  *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typ_prtctn_vl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WHERE 1=1 
    AND typ_prtctn_vl = '11111111111'
    AND TYP_PRTCTN &lt;&gt; '7'</t>
  </si>
  <si>
    <t>If "Previous appraisal date" is populated other than default values then "Protection type" has to be set as '8 - Residential real estate collateral', '9 - Offices and commercial premises' or '10 - Commercial real estate collateral'</t>
  </si>
  <si>
    <t xml:space="preserve">SELECT  *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typ_prtctn_vl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LEFT JOIN
(SELECT  LT004.prtctn_id, 
        dt_apprsl_prvs AS valor_lt,
        CASE WHEN prtctn_id NOT LIKE 'I%' THEN '1111-11-11' 
             WHEN prtctn_id_GT011 IS NULL THEN '1111-11-11' -- garantia com apenas 1 avaliação completa
             WHEN prtctn_id_GT011 IS NOT NULL THEN davalia 
        ELSE '0000-00-00'
        END AS valor_simulado
FROM
        (SELECT prtctn_id, dt_apprsl_prvs, typ_prtctn
        FROM cd_loan_tapes_bce.lt004_protection 
        WHERE ref_date='${date}' 
            AND nome_perimetro='Individual Corporativo' 
            AND segmento='ESTR' 
            AND ambito='PM'
        ) LT004
    LEFT JOIN
        (SELECT *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)GT011
    ON LT004.prtctn_id = GT011.prtctn_id_GT011
 ) B 
 ON A.prtctn_id = B.prtctn_id
 WHERE 1=1 
 AND valor_simulado &lt;&gt; '1111-11-11'
 AND TYP_PRTCTN NOT IN ('8','9','10')    
   </t>
  </si>
  <si>
    <t>If "Currency of annual income and expenses" is populated other than default values then "Protection type" has to be set as '10 - Commercial real estate collateral' or '9 - Offices and commercial premises'</t>
  </si>
  <si>
    <t xml:space="preserve">
SELECT  *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typ_prtctn_vl, cre_incm_crrncy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WHERE 1=1 
AND CRE_INCM_CRRNCY NOT IN ('N/A', 'MISS')
AND TYP_PRTCTN NOT IN ('9','10')
;
SELECT  *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typ_prtctn_vl, cre_incm_crrncy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WHERE 1=1 
AND CRE_INCM_CRRNCY NOT IN ('N/A', 'MISS')
AND TYP_PRTCTN NOT IN ('9','10')</t>
  </si>
  <si>
    <t>If "Provider of latest valuation (appraiser)" is populated other than default values then "Protection type" has to be set as '8 - Residential real estate collateral', '9 - Offices and commercial premises', '10 - Commercial real estate collateral'</t>
  </si>
  <si>
    <t xml:space="preserve">
SELECT  *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typ_prtctn_vl, apprsr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WHERE 1=1 
AND APPRSR NOT IN ('N/A', 'MISS')
AND TYP_PRTCTN NOT IN ('8','9','10')
</t>
  </si>
  <si>
    <t>If "Date of last full appraisal" is populated other than default values then "Protection type" has to be set as '8 - Residential real estate collateral', '9 - Offices and commercial premises' or '10 - Commercial real estate collateral'</t>
  </si>
  <si>
    <t xml:space="preserve">SELECT * FROM
(
--- GARANTIAS IMÓVEIS
SELECT prtctn_id, typ_prtctn_vl, CASE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ELSE '99999999999'
END as TYP_PRTCTN
FROM
(SELECT prtctn_id, typ_prtctn_vl
FROM cd_loan_tapes_bce.lt004_protection
WHERE 1=1 
AND ambito = 'PM'
AND segmento = 'ESTR'
AND ref_date = '${date}'
AND nome_perimetro = 'Individual Corporativo'
AND prtctn_id LIKE 'I%') LT004
LEFT JOIN
(SELECT cgarant_bem, ckbalbem, ckctabem, ckrefbem
FROM cd_garantias.gt009_bens_imov
WHERE ref_date = '${date}') GT009
ON prtctn_id = concat('I_',GT009.ckbalbem,'_',GT009.ckctabem,'_',GT009.ckrefbem)
UNION ALL
---- GARANTIAS FINANCEIRAS
SELECT prtctn_id, typ_prtctn_vl, CASE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ELSE '99999999999'
END as TYP_PRTCTN
FROM
(SELECT prtctn_id, typ_prtctn_vl
FROM cd_loan_tapes_bce.lt004_protection
WHERE 1=1 
AND ambito = 'PM'
AND segmento = 'ESTR'
AND ref_date = '${date}'
AND nome_perimetro = 'Individual Corporativo'
AND prtctn_id LIKE 'F%') LT004
LEFT JOIN
(SELECT cgarant_bem, ckbalbem, ckctabem, ckrefbem
FROM cd_garantias.gt004_bens_fin
WHERE ref_date = '${date}') GT004
ON prtctn_id = concat('F_',GT004.ckbalbem,'_',GT004.ckctabem,'_',GT004.ckrefbem)
UNION ALL
--- GARANTIAS PESSOAIS
SELECT DISTINCT prtctn_id, typ_prtctn_vl, CASE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typ_prtctn_vl
FROM cd_loan_tapes_bce.lt004_protection
WHERE 1=1 
AND ambito = 'PM'
AND segmento = 'ESTR'
AND ref_date = '${date}'
AND nome_perimetro = 'Individual Corporativo'
AND prtctn_id LIKE 'P%') LT004
LEFT JOIN
(SELECT DISTINCT cgarant_rpt, ckbalbem, ckctabem, ckrefbem
FROM cd_garantias.gt007_trz_gt_pes
WHERE ref_date = '${date}') GT007
ON prtctn_id = concat('P_',GT007.ckbalbem,'_',GT007.ckctabem,'_',GT007.ckrefbem)
) A 
SELECT  *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typ_prtctn_vl, apprsr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LEFT JOIN
(
SELECT LT004.prtctn_id, LT004.dt_lst_fll_apprsl as valor_lt, LT004.dt_orgnl_prtctn_vl, valor_simulado
FROM
(SELECT prtctn_id, dt_lst_fll_apprsl, dt_prtctn_vl, dt_orgnl_prtctn_vl
FROM cd_loan_tapes_bce.lt004_protection 
WHERE ref_date='${date}' 
    AND nome_perimetro='Individual Corporativo' 
    AND segmento='ESTR' 
    AND ambito='PM'
    AND prtctn_id LIKE 'I%') LT004
LEFT JOIN
(SELECT max(davalia) as valor_simulado, CONCAT('I_', CKBALBEM, '_', CKCTABEM, '_', CKREFBEM) AS prtctn_id
FROM cd_garantias.gt011_avalc_imov
WHERE 1=1 
AND ref_date='${date}'
AND (
(CTIPREAVL = 'A' AND CORAVGP = 'G39') 
OR CORAVGP='G26')
GROUP BY 2 
) GT011
ON LT004.prtctn_id = GT011.prtctn_id
) B
ON A.prtctn_id = B.prtctn_id
WHERE 1=1 
    AND valor_simulado &lt;&gt; '1111-11-11'
    AND TYP_PRTCTN NOT IN ('8','9','10')
</t>
  </si>
  <si>
    <t>If "Type protection value is a public guarantee scheme in response to the COVID19 situation" is equal to 'Y' then "Protection type" has to be set as '7 - Other protection'</t>
  </si>
  <si>
    <t xml:space="preserve">Foram eliminados os campos relacionados com Covid 19 </t>
  </si>
  <si>
    <t xml:space="preserve">If "Flag first home" is set as 'Y - Yes' then "Protection Type" must be '8 - Residential real estate collateral', '9- Offices and commercial premises' or '10 - Commercial real estate collateral' </t>
  </si>
  <si>
    <t>Campo novo, ainda não especificado (FLG_FRST_HM)</t>
  </si>
  <si>
    <t>If "Flag Acute Physical Risk at protection level" is set as 'Y - Yes' then "Protection Type" must be '8 - Residential real estate collateral', '9- Offices and commercial premises' or '10 - Commercial real estate collateral'</t>
  </si>
  <si>
    <t>FLG_ACT_PHYSCL_RSK campo todo a NULL</t>
  </si>
  <si>
    <t>If "Loans Collateralized Classification" is set as 'FMC2 - Real Estate. Residential' then at least one PROTECTION_ID linked to INSTRUMENT_ID "Protection Type" must be '8 - Residential real estate collateral'</t>
  </si>
  <si>
    <t>LNS_CLLTRLZD_CLSSFCTN campo todo a NULL</t>
  </si>
  <si>
    <t>If "Loans Collateralized Classification" is set as 'FMC1 - Real Estate. Commercial' then at least one PROTECTION_ID linked to INSTRUMENT_ID "Protection Type" must be '9 - Offices and commercial premises' or '10 - Commercial real estate collateral'</t>
  </si>
  <si>
    <t xml:space="preserve">If "Loans Collateralized Classification" is set as 'FMC3 - Other Real Collateral' then at least one PROTECTION_ID linked to INSTRUMENT_ID "Protection Type" must be populated with other than default values, '8 - Residential Real Estate Collateral', '9 - Offices and Commercial Premises', '10 - Commercial Real Estate Collateral' and cannot be a "personal guarantee" (We consider "personal guarantee" when "Protection ID" matches the "Protection Provider ID" (Guarantor) or "Tax ID" (Protection level) is populated other than default value and the "Protection type" equals '7 - Other protection')     </t>
  </si>
  <si>
    <t xml:space="preserve">Validar incidência </t>
  </si>
  <si>
    <t xml:space="preserve">
Select *
FROM
(SELECT prtctn_id, DT_PRTCTN_VL, CASE
    WHEN prtctn_id LIKE 'P%' THEN '1111-11-11'
    ELSE max(dtrcaval)
    END AS DT_PRTCTN_VL_SIMULADO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1,2 
) A
WHERE 1=1 
    AND DT_PRTCTN_VL_SIMULADO = '0001-01-01'</t>
  </si>
  <si>
    <t>"Date of protection value" must have a Date format (yyyy-mm-dd)</t>
  </si>
  <si>
    <t>Select *
FROM
(SELECT prtctn_id, DT_PRTCTN_VL, CASE
    WHEN prtctn_id LIKE 'P%' THEN '1111-11-11'
    ELSE max(dtrcaval)
    END AS DT_PRTCTN_VL_SIMULADO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1,2 
) A
WHERE 1=1 
    AND substring(DT_PRTCTN_VL_SIMULADO,5,1) &lt;&gt; '-' or substring(DT_PRTCTN_VL_SIMULADO,8,1) &lt;&gt; '-'
    -- AND length(DT_PRTCTN_VL_SIMULADO) &lt;&gt; 10
    -- AND DT_PRTCTN_VL_SIMULADO = '9999-99-99'</t>
  </si>
  <si>
    <t>"Date of protection value" must be later than 01 January 1970</t>
  </si>
  <si>
    <t xml:space="preserve">
Select *
FROM
(SELECT prtctn_id, DT_PRTCTN_VL, CASE
    WHEN prtctn_id LIKE 'P%' THEN '1111-11-11'
    ELSE max(dtrcaval)
    END AS DT_PRTCTN_VL_SIMULADO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1,2 
) A
WHERE 1=1 
    AND dt_prtctn_vl &lt; '1970-01-01'
    AND dt_prtctn_vl NOT IN ('1111-11-11','0000-00-00')</t>
  </si>
  <si>
    <t>In the case of protection items which are valued at their notional amount, the date of protection value is the reporting reference date.</t>
  </si>
  <si>
    <t>Com a alteração da fonte, os 2416 Casos NOK ficam OK</t>
  </si>
  <si>
    <t>Select *
FROM
(SELECT prtctn_id, TYP_PRTCTN_VL, DT_PRTCTN_VL, CASE
    WHEN prtctn_id LIKE 'P%' THEN '1111-11-11'
    ELSE max(dtrcaval)
    END AS DT_PRTCTN_VL_SIMULADO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1,2,3 
) A
WHERE 1=1 
    AND TYP_PRTCTN_VL = '4'
    AND DT_PRTCTN_VL_SIMULADO &lt;&gt; '2024-05-31'</t>
  </si>
  <si>
    <t>"Date of protection value" cannot be later than "Reference date"</t>
  </si>
  <si>
    <t xml:space="preserve">
Select *
FROM
(SELECT prtctn_id, DT_PRTCTN_VL, CASE
    WHEN prtctn_id LIKE 'P%' THEN '1111-11-11'
    ELSE max(dtrcaval)
    END AS DT_PRTCTN_VL_SIMULADO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1,2 
) A
WHERE 1=1 
        AND DT_PRTCTN_VL_SIMULADO &gt; '2024-05-31'</t>
  </si>
  <si>
    <t>"Date of protection value" must be later or equal than "Date of last full appraisal"</t>
  </si>
  <si>
    <t xml:space="preserve">
Select *
FROM
(SELECT prtctn_id, DT_PRTCTN_VL, CASE
    WHEN prtctn_id LIKE 'P%' THEN '1111-11-11'
    ELSE max(dtrcaval)
    END AS DT_PRTCTN_VL_SIMULADO
FROM
(Select *
From cd_loan_tapes_bce.lt004_protection
WHERE segmento = 'ESTR'
AND nome_perimetro ='Individual Corporativo'
AND ref_date='${date}'
AND AMBITO = 'PM') lt4
Left join
(Select *
From cd_garantias.gt018_rateio_aval
Where ref_date='${date}') gt018
ON prtctn_id = concat(substr(TIPOLOGIA,1,1),'_',ckbalbem,'_',ckctabem,'_',ckrefbem)
GROUP BY 1,2 
) A
LEFT JOIN
------------- DT_LST_FLL_APPRSL
(
SELECT LT004.prtctn_id, LT004.dt_lst_fll_apprsl as valor_lt, LT004.dt_orgnl_prtctn_vl, valor_simulado
FROM
(SELECT prtctn_id, dt_lst_fll_apprsl, dt_prtctn_vl, dt_orgnl_prtctn_vl
FROM cd_loan_tapes_bce.lt004_protection 
WHERE ref_date='${date}' 
    AND nome_perimetro='Individual Corporativo' 
    AND segmento='ESTR' 
    AND ambito='PM'
    AND prtctn_id LIKE 'I%') LT004
LEFT JOIN
(SELECT max(davalia) as valor_simulado, CONCAT('I_', CKBALBEM, '_', CKCTABEM, '_', CKREFBEM) AS prtctn_id
FROM cd_garantias.gt011_avalc_imov
WHERE 1=1 
AND ref_date='${date}'
AND (
(CTIPREAVL = 'A' AND CORAVGP = 'G39') 
OR CORAVGP='G26')
GROUP BY 2 
) GT011
ON LT004.prtctn_id = GT011.prtctn_id
) B
ON A.prtctn_id = B.prtctn_id
WHERE A.DT_PRTCTN_VL_SIMULADO &lt; valor_simulado</t>
  </si>
  <si>
    <t>If "Previous appraisal date" is other than default values, then "Date of protection value" cannot be 'Not applicable'</t>
  </si>
  <si>
    <t xml:space="preserve">
Select *
FROM
(SELECT prtctn_id, DT_PRTCTN_VL, CASE
    WHEN prtctn_id LIKE 'P%' THEN '1111-11-11'
    ELSE max(dtrcaval)
    END AS DT_PRTCTN_VL_SIMULADO
FROM
(Select *
From cd_loan_tapes_bce.lt004_protection
WHERE segmento = 'ESTR'
AND nome_perimetro ='Individual Corporativo'
AND ref_date='${date}'
AND AMBITO = 'PM') lt4
Left join
(Select *
From cd_garantias.gt018_rateio_aval
Where ref_date='${date}') gt018
ON prtctn_id = concat(substr(TIPOLOGIA,1,1),'_',ckbalbem,'_',ckctabem,'_',ckrefbem)
GROUP BY 1,2 
) A
LEFT JOIN
-------------- DT_APPRSL_PRVS -----------------------
(
SELECT  LT004.prtctn_id, 
        dt_apprsl_prvs AS valor_lt,
        CASE WHEN prtctn_id NOT LIKE 'I%' THEN '1111-11-11' 
             WHEN prtctn_id_GT011 IS NULL THEN '1111-11-11' -- garantia com apenas 1 avaliação completa
             WHEN prtctn_id_GT011 IS NOT NULL THEN davalia 
        ELSE '0000-00-00'
        END AS valor_simulado
FROM
        (SELECT prtctn_id, dt_apprsl_prvs, typ_prtctn
        FROM cd_loan_tapes_bce.lt004_protection 
        WHERE ref_date='${date}' 
            AND nome_perimetro='Individual Corporativo' 
            AND segmento='ESTR' 
            AND ambito='PM'
        ) LT004
    LEFT JOIN
        (SELECT *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)GT011
    ON LT004.prtctn_id = GT011.prtctn_id_GT011
) B
ON A.prtctn_id = B.prtctn_id
WHERE 1=1 
    AND valor_simulado &lt;&gt; '1111-11-11'
    AND DT_PRTCTN_VL_SIMULADO = '1111-11-11'</t>
  </si>
  <si>
    <t>Select *
FROM
(SELECT prtctn_id, sum(mavaliaa) as valor_simulado, prtctn_vl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prtctn_id, prtctn_vl
) A
Where valor_simulado &lt;&gt; Prtctn_vl</t>
  </si>
  <si>
    <t>"Appraised market value" should have a Format numeric (2 decimal places)</t>
  </si>
  <si>
    <t>Select *
FROM
(SELECT prtctn_id, sum(mavaliaa) as valor_simulado, prtctn_vl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prtctn_id, prtctn_vl
) A
Where cast(valor_simulado as VARCHAR) NOT LIKE '%.__'</t>
  </si>
  <si>
    <t>"Appraised market value" shall be larger or equal to 0; Negative values trigger attention</t>
  </si>
  <si>
    <t>Select *
FROM
(SELECT prtctn_id, sum(mavaliaa) as valor_simulado, prtctn_vl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prtctn_id, prtctn_vl
) A
Where valor_simulado &lt; 0</t>
  </si>
  <si>
    <t>The amount of "Appraised market value" must be greater or equal than the amount of "Protection allocated value"</t>
  </si>
  <si>
    <t>Select *
FROM
(SELECT prtctn_id, sum(mavaliaa) as valor_simulado, prtctn_vl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prtctn_id, prtctn_vl
) A
LEFT JOIN
(Select prtctn_id, prtctn_allctd_vl
From cd_loan_tapes_bce.lt006_instr_prot
WHERE segmento = 'ESTR'
AND nome_perimetro ='Individual Corporativo'
AND ref_date='${date}'
AND AMBITO = 'PM') lt006
ON A.prtctn_id=lt006.prtctn_id
Where valor_simulado &lt; prtctn_allctd_vl</t>
  </si>
  <si>
    <t>If "Date of protection value" is other than 'Not applicable', then "Appraised market value" cannot be 'Not applicable' or zero</t>
  </si>
  <si>
    <t>44 garantias em DT_PRTCTN_VL não é N/A e PRTCTN_VL é zero.</t>
  </si>
  <si>
    <t>Select *
FROM
(SELECT prtctn_id, sum(mavaliaa) as valor_simulado, prtctn_vl, DT_PRTCTN_VL, CASE
    WHEN prtctn_id LIKE 'P%' THEN '1111-11-11'
    ELSE soma_dtrcaval
    END AS DT_PRTCTN_VL_SIMULADO
FROM
(Select *
From cd_loan_tapes_bce.lt004_protection
WHERE segmento = 'ESTR'
AND nome_perimetro ='Individual Corporativo'
AND ref_date='${date}'
AND AMBITO = 'PM') lt004
Left join
(Select ckbalbem, ckctabem, ckrefbem, mavaliaa, tipologia, max(dtrcaval) as soma_dtrcaval
From cd_garantias.gt018_rateio_aval
Where ref_date='${date}'
GROUP BY 1,2,3,4,5 ) gt018
ON prtctn_id = concat(substr(TIPOLOGIA,1,1),'_',ckbalbem,'_',ckctabem,'_',ckrefbem)
GROUP BY prtctn_id, prtctn_vl, DT_PRTCTN_VL, DT_PRTCTN_VL_SIMULADO
) A
WHERE 1=1 
    AND DT_PRTCTN_VL_SIMULADO &lt;&gt; '1111-11-11'
    AND valor_simulado in (11111111111,0)</t>
  </si>
  <si>
    <t>The amount of "Appraised market value" must be greater or equal than the sum of amount of "Protection allocated value" of all the instruments that share the same protection</t>
  </si>
  <si>
    <t>Select *
FROM
(SELECT prtctn_id, sum(mavaliaa) as valor_simulado, prtctn_vl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prtctn_id, prtctn_vl
) A
LEFT JOIN
(Select prtctn_id, sum(prtctn_allctd_vl) as prtctn_allctd_vl
From cd_loan_tapes_bce.lt006_instr_prot
WHERE segmento = 'ESTR'
AND nome_perimetro ='Individual Corporativo'
AND ref_date='${date}'
AND AMBITO = 'PM'
GROUP BY 1
) lt006
ON A.prtctn_id=lt006.prtctn_id
Where valor_simulado &lt; prtctn_allctd_vl</t>
  </si>
  <si>
    <t xml:space="preserve">If the protection is a "personal guarantee" then "Appraised market value" cannot be 'Not applicable' (We consider "personal guarantee" when "Protection ID" matches the "Protection Provider ID" (Guarantor) or "Tax ID" (Protection level) is populated other than default value and the "Protection type" equals '7 - Other protection')     </t>
  </si>
  <si>
    <t>Select *
FROM
(SELECT prtctn_id, sum(mavaliaa) as valor_simulado, prtctn_vl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prtctn_id, prtctn_vl
) A
Where prtctn_id like 'P%'
And valor_simulado = 11111111111</t>
  </si>
  <si>
    <t>Incidência</t>
  </si>
  <si>
    <t>181 casos com aspas</t>
  </si>
  <si>
    <t>SELECT count(*)
FROM cd_loan_tapes_bce.lt004_protection  
WHERE 1=1 
AND ambito = 'PM' 
AND segmento = 'ESTR' 
AND ref_date = '2024-05-31'
AND nome_perimetro = 'Individual Corporativo'
AND ntnl_id LIKE '%"%'
-- AND ntnl_id LIKE '%F%'</t>
  </si>
  <si>
    <t>"Behavioural maturity" should have a Format numeric (0 decimal places)</t>
  </si>
  <si>
    <t>Select instrmnt_id,
Case when IFRS9.contract_id IS NULL Then 11111111111
Else cast(months_to_maturity as INT)
END as IFRS9_BHVRL_MTRTY_Simulado
From
(SELECT instrmnt_id
FROM cd_loan_tapes_bce.lt002_instrument
WHERE segmento = 'ESTR'
AND nome_perimetro ='Individual Corporativo'
AND ref_date='${date}'
AND AMBITO = 'PM') LT002
LEFT JOIN 
(select cempresa_fr, cbalcao_fr, cnumecta_fr, zdeposit_fr, cempresa, cbalcao, cnumecta, zdeposit 
From cd_captools.kt_chaves_finrep
Where ref_date='${date}') CHFIN
ON LT002.instrmnt_id = Concat(CHFIN.cempresa_fr, CHFIN.cbalcao_fr, CHFIN.cnumecta_fr, CHFIN.zdeposit_fr)
LEFT JOIN
(select contract_id, cempresa, cbalcao, cnumecta, zdeposit
From cd_captools.kt_chaves_ifrs9
Where ref_date='${date}') CHIFR
ON Concat(CHFIN.cempresa, CHFIN.cbalcao, CHFIN.cnumecta, CHFIN.zdeposit) = Concat(CHIFR.cempresa, CHIFR.cbalcao, CHIFR.cnumecta, CHIFR.zdeposit)
LEFT JOIN
(select contract_id, months_to_maturity
From bu_ifrs9.IFRS9_OUT_EXPECTED_LOSS_REPORTING
WHERE exec_id_part IN 
(SELECT exec_id_part FROM cd_captools.imcatf046_flag_fecho WHERE CMES = '${CMES}')
)IFRS9
ON CHIFR.contract_id=IFRS9.contract_id
Having cast(IFRS9_BHVRL_MTRTY_Simulado as VARCHAR) LIKE '%.'</t>
  </si>
  <si>
    <t>"Behavioural maturity" shall be larger or equal to 0 and less than 960; Negative values trigger attention</t>
  </si>
  <si>
    <t>Dois casos em que a Maturidade é superior a 960 meses (1000 e 2162)</t>
  </si>
  <si>
    <t>Select instrmnt_id,
Case when IFRS9.contract_id IS NULL Then 11111111111
Else cast(months_to_maturity as INT)
END as IFRS9_BHVRL_MTRTY_Simulado
From
(SELECT instrmnt_id
FROM cd_loan_tapes_bce.lt002_instrument
WHERE segmento = 'ESTR'
AND nome_perimetro ='Individual Corporativo'
AND ref_date='${date}'
AND AMBITO = 'PM') LT002
LEFT JOIN 
(select cempresa_fr, cbalcao_fr, cnumecta_fr, zdeposit_fr, cempresa, cbalcao, cnumecta, zdeposit 
From cd_captools.kt_chaves_finrep
Where ref_date='${date}') CHFIN
ON LT002.instrmnt_id = Concat(CHFIN.cempresa_fr, CHFIN.cbalcao_fr, CHFIN.cnumecta_fr, CHFIN.zdeposit_fr)
LEFT JOIN
(select contract_id, cempresa, cbalcao, cnumecta, zdeposit
From cd_captools.kt_chaves_ifrs9
Where ref_date='${date}') CHIFR
ON Concat(CHFIN.cempresa, CHFIN.cbalcao, CHFIN.cnumecta, CHFIN.zdeposit) = Concat(CHIFR.cempresa, CHIFR.cbalcao, CHIFR.cnumecta, CHIFR.zdeposit)
LEFT JOIN
(select contract_id, months_to_maturity
From bu_ifrs9.IFRS9_OUT_EXPECTED_LOSS_REPORTING
WHERE exec_id_part IN 
(SELECT exec_id_part FROM cd_captools.imcatf046_flag_fecho WHERE CMES = '${CMES}')
)IFRS9
ON CHIFR.contract_id=IFRS9.contract_id
Having (IFRS9_BHVRL_MTRTY_Simulado &gt; 960
OR IFRS9_BHVRL_MTRTY_Simulado &lt; 0)
AND IFRS9_BHVRL_MTRTY_Simulado &lt;&gt; 11111111111</t>
  </si>
  <si>
    <t>"National reference of the property" should be a Char not null</t>
  </si>
  <si>
    <t>Controlo feito em Hive</t>
  </si>
  <si>
    <t xml:space="preserve">Select*
From
(
SELECT 
Case when prtctn_id NOT LIKE 'I%' Then 'N/A'
When prtctn_id Like 'I%' Then ntnl_id_sim
Else 'MISS'
End ntnl_id_simulacao, prtctn_id, ckbalbem, ckctabem, ckrefbem, cdisconf, cartmatr, gficha, gidfracc, gfraccao, codconsv, gnum, glote, cpost
From
(
SELECT concat(
case when trim(cdisconf) = '' then  '_' else regexp_replace(REGEXP_REPLACE(cdisconf, "[^\\p{Print}\\p{Space}\\p{S}\\p{P}\\p{L}\\p{N} ]", ""),'"','') end,  
'-', 
case when trim(cpost) = '' then  '_' else regexp_replace(REGEXP_REPLACE(cpost, "[^\\p{Print}\\p{Space}\\p{S}\\p{P}\\p{L}\\p{N} ]", ""),'"','') end,  
'-',
case when trim(codconsv) = '' then  '_' else regexp_replace(REGEXP_REPLACE(codconsv, "[^\\p{Print}\\p{Space}\\p{S}\\p{P}\\p{L}\\p{N} ]", ""),'"','') end,  
'-',
case when trim(cartmatr) = '' then  '_' else regexp_replace(REGEXP_REPLACE(cartmatr, "[^\\p{Print}\\p{Space}\\p{S}\\p{P}\\p{L}\\p{N} ]", ""),'"','') end, 
'-', 
case when trim(gficha) = '' then  '_' else regexp_replace(REGEXP_REPLACE(gficha, "[^\\p{Print}\\p{Space}\\p{S}\\p{P}\\p{L}\\p{N} ]", ""),'"','') end, 
'-', 
case when trim(gnum) = '' then  '_' else regexp_replace(REGEXP_REPLACE(gnum, "[^\\p{Print}\\p{Space}\\p{S}\\p{P}\\p{L}\\p{N} ]", ""),'"','') end,
'-', 
case when trim(glote) = '' then  '_' else regexp_replace(REGEXP_REPLACE(glote, "[^\\p{Print}\\p{Space}\\p{S}\\p{P}\\p{L}\\p{N} ]", ""),'"','') end,
'-', 
case when trim(gidfracc) = '' then  '_' else regexp_replace(REGEXP_REPLACE(gidfracc, "[^\\p{Print}\\p{Space}\\p{S}\\p{P}\\p{L}\\p{N} ]", ""),'"','') end,
'-', 
case when trim(gfraccao) = '' then  '_' else regexp_replace(REGEXP_REPLACE(gfraccao, "[^\\p{Print}\\p{Space}\\p{S}\\p{P}\\p{L}\\p{N} ]", ""),'"','') end)
as ntnl_id_sim, ntnl_id, prtctn_id,
gt009.*
FROM
(SELECT ntnl_id, prtctn_id
FROM cd_loan_tapes_bce.lt004_protection
WHERE segmento = 'ESTR'
AND nome_perimetro ='Individual Corporativo'
AND ref_date='${date}'
AND AMBITO = 'PM') LT004
LEFT JOIN
(SELECT ckbalbem, ckctabem, ckrefbem, cdisconf, cartmatr, gficha, gidfracc, gfraccao, codconsv, gnum, glote, cpost
FROM cd_garantias.gt009_bens_imov
Where ref_date='${date}') GT009
ON prtctn_id= Concat('I_',ckbalbem,'_', ckctabem,'_', ckrefbem)
) A
) B
Where ntnl_id_simulacao Is NULL
</t>
  </si>
  <si>
    <t>Duplicates by "National reference of the property" in PROTECTION table</t>
  </si>
  <si>
    <t>Controlo feito em Hive: 2087 casos duplicados</t>
  </si>
  <si>
    <t>Select count(*)
From
(
Select ntnl_id_simulacao, count (*)
From
(
SELECT 
Case when prtctn_id NOT LIKE 'I%' Then 'N/A'
When prtctn_id Like 'I%' Then ntnl_id_sim
Else 'MISS'
End ntnl_id_simulacao, prtctn_id, ckbalbem, ckctabem, ckrefbem, cdisconf, cartmatr, gficha, gidfracc, gfraccao, codconsv, gnum, glote, cpost
From
(
SELECT concat(
case when trim(cdisconf) = '' then  '_' else regexp_replace(REGEXP_REPLACE(cdisconf, "[^\\p{Print}\\p{Space}\\p{S}\\p{P}\\p{L}\\p{N} ]", ""),'"','') end,  
'-', 
case when trim(cpost) = '' then  '_' else regexp_replace(REGEXP_REPLACE(cpost, "[^\\p{Print}\\p{Space}\\p{S}\\p{P}\\p{L}\\p{N} ]", ""),'"','') end,  
'-',
case when trim(codconsv) = '' then  '_' else regexp_replace(REGEXP_REPLACE(codconsv, "[^\\p{Print}\\p{Space}\\p{S}\\p{P}\\p{L}\\p{N} ]", ""),'"','') end,  
'-',
case when trim(cartmatr) = '' then  '_' else regexp_replace(REGEXP_REPLACE(cartmatr, "[^\\p{Print}\\p{Space}\\p{S}\\p{P}\\p{L}\\p{N} ]", ""),'"','') end, 
'-', 
case when trim(gficha) = '' then  '_' else regexp_replace(REGEXP_REPLACE(gficha, "[^\\p{Print}\\p{Space}\\p{S}\\p{P}\\p{L}\\p{N} ]", ""),'"','') end, 
'-', 
case when trim(gnum) = '' then  '_' else regexp_replace(REGEXP_REPLACE(gnum, "[^\\p{Print}\\p{Space}\\p{S}\\p{P}\\p{L}\\p{N} ]", ""),'"','') end,
'-', 
case when trim(glote) = '' then  '_' else regexp_replace(REGEXP_REPLACE(glote, "[^\\p{Print}\\p{Space}\\p{S}\\p{P}\\p{L}\\p{N} ]", ""),'"','') end,
'-', 
case when trim(gidfracc) = '' then  '_' else regexp_replace(REGEXP_REPLACE(gidfracc, "[^\\p{Print}\\p{Space}\\p{S}\\p{P}\\p{L}\\p{N} ]", ""),'"','') end,
'-', 
case when trim(gfraccao) = '' then  '_' else regexp_replace(REGEXP_REPLACE(gfraccao, "[^\\p{Print}\\p{Space}\\p{S}\\p{P}\\p{L}\\p{N} ]", ""),'"','') end)
as ntnl_id_sim, ntnl_id, prtctn_id,
gt009.*
FROM
(SELECT ntnl_id, prtctn_id
FROM cd_loan_tapes_bce.lt004_protection
WHERE segmento = 'ESTR'
AND nome_perimetro ='Individual Corporativo'
AND ref_date='${date}'
AND AMBITO = 'PM') LT004
LEFT JOIN
(SELECT ckbalbem, ckctabem, ckrefbem, cdisconf, cartmatr, gficha, gidfracc, gfraccao, codconsv, gnum, glote, cpost
FROM cd_garantias.gt009_bens_imov
Where ref_date='${date}') GT009
ON prtctn_id= Concat('I_',ckbalbem,'_', ckctabem,'_', ckrefbem)
) A
) B
Group by ntnl_id_simulacao
Having Count(*) &gt; 1 
) C</t>
  </si>
  <si>
    <t>"National reference of the property" should have Char format (variable length allowed between 1 and 255 characters)</t>
  </si>
  <si>
    <t>Select *
From
(
SELECT 
Case when prtctn_id NOT LIKE 'I%' Then 'N/A'
When prtctn_id Like 'I%' Then ntnl_id_sim
Else 'MISS'
End ntnl_id_simulacao, prtctn_id, ckbalbem, ckctabem, ckrefbem, cdisconf, cartmatr, gficha, gidfracc, gfraccao, cpost, codconsv, gnum, glote
From
(
SELECT concat(
case when trim(cdisconf) = '' then  '_' else regexp_replace(REGEXP_REPLACE(cdisconf, "[^\\p{Print}\\p{Space}\\p{S}\\p{P}\\p{L}\\p{N} ]", ""),'"','') end,  
'-', 
case when trim(cpost) = '' then  '_' else regexp_replace(REGEXP_REPLACE(cpost, "[^\\p{Print}\\p{Space}\\p{S}\\p{P}\\p{L}\\p{N} ]", ""),'"','') end,  
'-',
case when trim(codconsv) = '' then  '_' else regexp_replace(REGEXP_REPLACE(codconsv, "[^\\p{Print}\\p{Space}\\p{S}\\p{P}\\p{L}\\p{N} ]", ""),'"','') end,  
'-',
case when trim(cartmatr) = '' then  '_' else regexp_replace(REGEXP_REPLACE(cartmatr, "[^\\p{Print}\\p{Space}\\p{S}\\p{P}\\p{L}\\p{N} ]", ""),'"','') end, 
'-', 
case when trim(gficha) = '' then  '_' else regexp_replace(REGEXP_REPLACE(gficha, "[^\\p{Print}\\p{Space}\\p{S}\\p{P}\\p{L}\\p{N} ]", ""),'"','') end, 
'-', 
case when trim(gnum) = '' then  '_' else regexp_replace(REGEXP_REPLACE(gnum, "[^\\p{Print}\\p{Space}\\p{S}\\p{P}\\p{L}\\p{N} ]", ""),'"','') end,
'-', 
case when trim(glote) = '' then  '_' else regexp_replace(REGEXP_REPLACE(glote, "[^\\p{Print}\\p{Space}\\p{S}\\p{P}\\p{L}\\p{N} ]", ""),'"','') end,
'-', 
case when trim(gidfracc) = '' then  '_' else regexp_replace(REGEXP_REPLACE(gidfracc, "[^\\p{Print}\\p{Space}\\p{S}\\p{P}\\p{L}\\p{N} ]", ""),'"','') end,
'-', 
case when trim(gfraccao) = '' then  '_' else regexp_replace(REGEXP_REPLACE(gfraccao, "[^\\p{Print}\\p{Space}\\p{S}\\p{P}\\p{L}\\p{N} ]", ""),'"','') end)
as ntnl_id_sim, ntnl_id, prtctn_id,
gt009.*
FROM
(SELECT ntnl_id, prtctn_id
FROM cd_loan_tapes_bce.lt004_protection
WHERE segmento = 'ESTR'
AND nome_perimetro ='Individual Corporativo'
AND ref_date='${date}'
AND AMBITO = 'PM') LT004
LEFT JOIN
(SELECT ckbalbem, ckctabem, ckrefbem, cdisconf, cartmatr, gficha, gidfracc, gfraccao, cpost, codconsv, gnum, glote
FROM cd_garantias.gt009_bens_imov
Where ref_date='${date}') GT009
ON prtctn_id= Concat('I_',ckbalbem,'_', ckctabem,'_', ckrefbem)
) A
) B
Where length(ntnl_id_simulacao) &gt;=255</t>
  </si>
  <si>
    <t>If "Protection type" is equal to '8 - Residential real estate collateral', '9 - Offices and commercial premises' or '10 - Commercial real estate collateral', then "National reference of the property" must be populated other than default values.</t>
  </si>
  <si>
    <t>Select B.prtctn_id, TYP_PRTCTN, ntnl_id_simulacao
From
(
SELECT 
Case when prtctn_id NOT LIKE 'I%' Then 'N/A'
When prtctn_id Like 'I%' Then ntnl_id_sim
Else 'MISS'
End ntnl_id_simulacao, prtctn_id, ckbalbem, ckctabem, ckrefbem, cdisconf, cartmatr, gficha, gidfracc, gfraccao, cpost, codconsv, gnum, glote
From
(
SELECT concat(
case when trim(cdisconf) = '' then  '_' else regexp_replace(REGEXP_REPLACE(cdisconf, "[^\\p{Print}\\p{Space}\\p{S}\\p{P}\\p{L}\\p{N} ]", ""),'"','') end,  
'-', 
case when trim(cpost) = '' then  '_' else regexp_replace(REGEXP_REPLACE(cpost, "[^\\p{Print}\\p{Space}\\p{S}\\p{P}\\p{L}\\p{N} ]", ""),'"','') end,  
'-',
case when trim(codconsv) = '' then  '_' else regexp_replace(REGEXP_REPLACE(codconsv, "[^\\p{Print}\\p{Space}\\p{S}\\p{P}\\p{L}\\p{N} ]", ""),'"','') end,  
'-',
case when trim(cartmatr) = '' then  '_' else regexp_replace(REGEXP_REPLACE(cartmatr, "[^\\p{Print}\\p{Space}\\p{S}\\p{P}\\p{L}\\p{N} ]", ""),'"','') end, 
'-', 
case when trim(gficha) = '' then  '_' else regexp_replace(REGEXP_REPLACE(gficha, "[^\\p{Print}\\p{Space}\\p{S}\\p{P}\\p{L}\\p{N} ]", ""),'"','') end, 
'-', 
case when trim(gnum) = '' then  '_' else regexp_replace(REGEXP_REPLACE(gnum, "[^\\p{Print}\\p{Space}\\p{S}\\p{P}\\p{L}\\p{N} ]", ""),'"','') end,
'-', 
case when trim(glote) = '' then  '_' else regexp_replace(REGEXP_REPLACE(glote, "[^\\p{Print}\\p{Space}\\p{S}\\p{P}\\p{L}\\p{N} ]", ""),'"','') end,
'-', 
case when trim(gidfracc) = '' then  '_' else regexp_replace(REGEXP_REPLACE(gidfracc, "[^\\p{Print}\\p{Space}\\p{S}\\p{P}\\p{L}\\p{N} ]", ""),'"','') end,
'-', 
case when trim(gfraccao) = '' then  '_' else regexp_replace(REGEXP_REPLACE(gfraccao, "[^\\p{Print}\\p{Space}\\p{S}\\p{P}\\p{L}\\p{N} ]", ""),'"','') end)
as ntnl_id_sim, ntnl_id, prtctn_id,
gt009.*
FROM
(SELECT ntnl_id, prtctn_id
FROM cd_loan_tapes_bce.lt004_protection
WHERE segmento = 'ESTR'
AND nome_perimetro ='Individual Corporativo'
AND ref_date='${date}'
AND AMBITO = 'PM') LT004
LEFT JOIN
(SELECT ckbalbem, ckctabem, ckrefbem, cdisconf, cartmatr, gficha, gidfracc, gfraccao, cpost, codconsv, gnum, glote
FROM cd_garantias.gt009_bens_imov
Where ref_date='${date}') GT009
ON prtctn_id= Concat('I_',ckbalbem,'_', ckctabem,'_', ckrefbem)
) A
) B
LEFT JOIN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C
ON B.prtctn_id = C.prtctn_id
Where TYP_PRTCTN IN ('8','9','10')
AND ntnl_id_simulacao = 'N/A'</t>
  </si>
  <si>
    <t>If "Protection type" is not equal to '8 - Residential real estate collateral', '9 - Offices and commercial premises' or '10 - Commercial real estate collateral', then "National reference of the property" must be populated with default values.</t>
  </si>
  <si>
    <t xml:space="preserve">Select B.prtctn_id, TYP_PRTCTN, ntnl_id_simulacao
From
(
SELECT 
Case when prtctn_id NOT LIKE 'I%' Then 'N/A'
When prtctn_id Like 'I%' Then ntnl_id_sim
Else 'MISS'
End ntnl_id_simulacao, prtctn_id, ckbalbem, ckctabem, ckrefbem, cdisconf, cartmatr, gficha, gidfracc, gfraccao, codconsv, glote, gnum, cpost
From
(
SELECT concat(
case when trim(cdisconf) = '' then  '_' else regexp_replace(REGEXP_REPLACE(cdisconf, "[^\\p{Print}\\p{Space}\\p{S}\\p{P}\\p{L}\\p{N} ]", ""),'"','') end,  
'-', 
case when trim(cpost) = '' then  '_' else regexp_replace(REGEXP_REPLACE(cpost, "[^\\p{Print}\\p{Space}\\p{S}\\p{P}\\p{L}\\p{N} ]", ""),'"','') end,  
'-',
case when trim(codconsv) = '' then  '_' else regexp_replace(REGEXP_REPLACE(codconsv, "[^\\p{Print}\\p{Space}\\p{S}\\p{P}\\p{L}\\p{N} ]", ""),'"','') end,  
'-',
case when trim(cartmatr) = '' then  '_' else regexp_replace(REGEXP_REPLACE(cartmatr, "[^\\p{Print}\\p{Space}\\p{S}\\p{P}\\p{L}\\p{N} ]", ""),'"','') end, 
'-', 
case when trim(gficha) = '' then  '_' else regexp_replace(REGEXP_REPLACE(gficha, "[^\\p{Print}\\p{Space}\\p{S}\\p{P}\\p{L}\\p{N} ]", ""),'"','') end, 
'-', 
case when trim(gnum) = '' then  '_' else regexp_replace(REGEXP_REPLACE(gnum, "[^\\p{Print}\\p{Space}\\p{S}\\p{P}\\p{L}\\p{N} ]", ""),'"','') end,
'-', 
case when trim(glote) = '' then  '_' else regexp_replace(REGEXP_REPLACE(glote, "[^\\p{Print}\\p{Space}\\p{S}\\p{P}\\p{L}\\p{N} ]", ""),'"','') end,
'-', 
case when trim(gidfracc) = '' then  '_' else regexp_replace(REGEXP_REPLACE(gidfracc, "[^\\p{Print}\\p{Space}\\p{S}\\p{P}\\p{L}\\p{N} ]", ""),'"','') end,
'-', 
case when trim(gfraccao) = '' then  '_' else regexp_replace(REGEXP_REPLACE(gfraccao, "[^\\p{Print}\\p{Space}\\p{S}\\p{P}\\p{L}\\p{N} ]", ""),'"','') end)
as ntnl_id_sim, ntnl_id, prtctn_id,
gt009.*
FROM
(SELECT ntnl_id, prtctn_id
FROM cd_loan_tapes_bce.lt004_protection
WHERE segmento = 'ESTR'
AND nome_perimetro ='Individual Corporativo'
AND ref_date='${date}'
AND AMBITO = 'PM') LT004
LEFT JOIN
(SELECT ckbalbem, ckctabem, ckrefbem, cdisconf, cartmatr, gficha, gidfracc, gfraccao, codconsv, glote, gnum, cpost
FROM cd_garantias.gt009_bens_imov
Where ref_date='${date}') GT009
ON prtctn_id= Concat('I_',ckbalbem,'_', ckctabem,'_', ckrefbem)
) A
) B
LEFT JOIN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C
ON B.prtctn_id = C.prtctn_id
Where TYP_PRTCTN NOT IN ('8','9','10')
AND ntnl_id_simulacao &lt;&gt; 'N/A'
</t>
  </si>
  <si>
    <t>"Construction status" should match the information on the Codelist</t>
  </si>
  <si>
    <t>SELECT Count (*), CNSTRCTN_STTS_simulacao
FROM 
(
SELECT 
prtctn_id,
CASE WHEN ref_date &lt; '2024-05-31' THEN CNSTRCTN_STTS_simulacao_pre
WHEN ref_date &gt;= '2024-05-31' THEN CNSTRTCN_STTS_simulacao_pos
Else '99999999999'
END AS CNSTRCTN_STTS_simulacao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FROM
(SELECT prtctn_id, ref_date
FROM cd_loan_tapes_bce.lt004_protection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Group by 2
;</t>
  </si>
  <si>
    <t>If "Protection type" is set as  '8 - Residential real estate collateral', '9 - Offices and commercial premises' or '10 - Commercial real estate collateral', then "Construction status" must be populated other than default values</t>
  </si>
  <si>
    <t>SELECT *
FROM
(
SELECT 
T.prtctn_id, T.TYP_PRTCTN,
CASE WHEN ref_date &lt; '2024-05-31' THEN CNSTRCTN_STTS_simulacao_pre
WHEN ref_date &gt;= '2024-05-31' THEN CNSTRTCN_STTS_simulacao_pos
Else '99999999999'
END AS CNSTRCTN_STTS_simulacao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FROM
(SELECT prtctn_id, ref_date
FROM cd_loan_tapes_bce.lt004_protection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LT004.prtctn_id = concat('I%','_',GT009.ckbalbem,'_',GT009.ckctabem,'_',GT009.ckrefbem)
) A
LEFT JOIN
(SELECT prtctn_id,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FROM cd_loan_tapes_bce.lt004_protection
WHERE 1=1 
AND ambito = 'PM'
AND segmento = 'ESTR'
AND ref_date = '${date}'
AND nome_perimetro = 'Individual Corporativo'
) LT004typ
LEFT JOIN
(SELECT ckbalbem, ckctabem, ckrefbem, cgarant_bem, cgarant_rpt, tipologia
FROM cd_garantias.gt018_rateio_aval
WHERE ref_date = '${date}') GT018typ
ON LT004typ.prtctn_id = CONCAT(SUBSTR(TIPOLOGIA,1,1),'_',CKBALBEM, '_', CKCTABEM, '_', CKREFBEM) 
) T
ON T.prtctn_id = A.prtctn_id
) B
Where TYP_PRTCTN IN ('8','9','10')
AND CNSTRCTN_STTS_simulacao = '11111111111'
;</t>
  </si>
  <si>
    <t>If "Development status" is '4 - Constructed and fully operational', then "Construction status" must equal '1 - Built'</t>
  </si>
  <si>
    <t>SELECT *
FROM
(
SELECT prtctn_id, CNSTRCTN_STTS_simulacao,
CASE WHEN prtctn_id NOT LIKE 'I%' THEN '11111111111'
WHEN CNSTRCTN_STTS_simulacao = '1' THEN '4'
WHEN CNSTRCTN_STTS_simulacao = '2' THEN '2'
WHEN CNSTRCTN_STTS_simulacao = '3' THEN '1'
WHEN CNSTRCTN_STTS_simulacao = '4' THEN '1'
ELSE '99999999999'
END AS DVLPMNT_STTS_simulacao
FROM
(
SELECT 
prtctn_id,
CASE WHEN ref_date &lt; '2024-05-31' THEN CNSTRCTN_STTS_simulacao_pre
WHEN ref_date &gt;= '2024-05-31' THEN CNSTRTCN_STTS_simulacao_pos
Else '99999999999'
END AS CNSTRCTN_STTS_simulacao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FROM
(SELECT prtctn_id, ref_date
FROM cd_loan_tapes_bce.lt004_protection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DVLPMNT_STTS_simulacao = '4'
AND CNSTRCTN_STTS_simulacao &lt;&gt; '1'</t>
  </si>
  <si>
    <t>If "Development status" is '2 - In construction and not operational' or '3 - In construction and partially operational', then "Construction status" must equal '2 - In construction'</t>
  </si>
  <si>
    <t>SELECT *
FROM
(
SELECT prtctn_id, CNSTRCTN_STTS_simulacao,
CASE WHEN prtctn_id NOT LIKE 'I%' THEN '11111111111'
WHEN CNSTRCTN_STTS_simulacao = '1' THEN '4'
WHEN CNSTRCTN_STTS_simulacao = '2' THEN '2'
WHEN CNSTRCTN_STTS_simulacao = '3' THEN '1'
WHEN CNSTRCTN_STTS_simulacao = '4' THEN '1'
ELSE '99999999999'
END AS DVLPMNT_STTS_simulacao
FROM
(
SELECT 
prtctn_id,
CASE WHEN ref_date &lt; '2024-05-31' THEN CNSTRCTN_STTS_simulacao_pre
WHEN ref_date &gt;= '2024-05-31' THEN CNSTRTCN_STTS_simulacao_pos
Else '99999999999'
END AS CNSTRCTN_STTS_simulacao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FROM
(SELECT prtctn_id, ref_date
FROM cd_loan_tapes_bce.lt004_protection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DVLPMNT_STTS_simulacao in('2', '3')
AND CNSTRCTN_STTS_simulacao &lt;&gt; '2'</t>
  </si>
  <si>
    <t>If "Development status" is '1 - Not in construction', then "Construction status" must equal '3 - Land bank without zoning permit' or '4 - Land bank building permit'</t>
  </si>
  <si>
    <t>SELECT *
FROM
(
SELECT prtctn_id, CNSTRCTN_STTS_simulacao,
CASE WHEN prtctn_id NOT LIKE 'I%' THEN '11111111111'
WHEN CNSTRCTN_STTS_simulacao = '1' THEN '4'
WHEN CNSTRCTN_STTS_simulacao = '2' THEN '2'
WHEN CNSTRCTN_STTS_simulacao = '3' THEN '1'
WHEN CNSTRCTN_STTS_simulacao = '4' THEN '1'
ELSE '99999999999'
END AS DVLPMNT_STTS_simulacao
FROM
(
SELECT 
prtctn_id,
CASE WHEN ref_date &lt; '2024-05-31' THEN CNSTRCTN_STTS_simulacao_pre
WHEN ref_date &gt;= '2024-05-31' THEN CNSTRTCN_STTS_simulacao_pos
Else '99999999999'
END AS CNSTRCTN_STTS_simulacao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FROM
(SELECT prtctn_id, ref_date
FROM cd_loan_tapes_bce.lt004_protection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DVLPMNT_STTS_simulacao = '1'
AND CNSTRCTN_STTS_simulacao NOT IN('3', '4')</t>
  </si>
  <si>
    <t>If "Development status" is 'Not applicable', then "Construction status" must be a default value</t>
  </si>
  <si>
    <t>SELECT *
FROM
(
SELECT prtctn_id, CNSTRCTN_STTS_simulacao,
CASE WHEN prtctn_id NOT LIKE 'I%' THEN '11111111111'
WHEN CNSTRCTN_STTS_simulacao = '1' THEN '4'
WHEN CNSTRCTN_STTS_simulacao = '2' THEN '2'
WHEN CNSTRCTN_STTS_simulacao = '3' THEN '1'
WHEN CNSTRCTN_STTS_simulacao = '4' THEN '1'
ELSE '99999999999'
END AS DVLPMNT_STTS_simulacao
FROM
(
SELECT 
prtctn_id,
CASE WHEN ref_date &lt; '2024-05-31' THEN CNSTRCTN_STTS_simulacao_pre
WHEN ref_date &gt;= '2024-05-31' THEN CNSTRTCN_STTS_simulacao_pos
Else '99999999999'
END AS CNSTRCTN_STTS_simulacao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FROM
(SELECT prtctn_id, ref_date
FROM cd_loan_tapes_bce.lt004_protection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DVLPMNT_STTS_simulacao = '11111111111'
AND CNSTRCTN_STTS_simulacao &lt;&gt; '11111111111'</t>
  </si>
  <si>
    <t>If "Date of first usage of the building" is later than "Reference date", then "Construction status" should be set as '2 - In construction' or '4 - Land bank building permit'</t>
  </si>
  <si>
    <t>Não existem date of first usage superiores a maio</t>
  </si>
  <si>
    <t>SELECT prtctn_id, CNSTRCTN_STTS_simulacao, dt_frst_usg, ref_date
FROM
(
SELECT 
prtctn_id, dt_frst_usg, ref_date,
CASE WHEN ref_date &lt; '2024-05-31' THEN CNSTRCTN_STTS_simulacao_pre
WHEN ref_date &gt;= '2024-05-31' THEN CNSTRTCN_STTS_simulacao_pos
Else '99999999999'
END AS CNSTRCTN_STTS_simulacao
FROM
(
SELECT prtctn_id, ref_date, dt_frst_usg,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FROM
(SELECT prtctn_id, ref_date, dt_frst_usg
FROM cd_loan_tapes_bce.lt004_protection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Where dt_frst_usg &gt; ref_date
AND dt_frst_usg &lt;&gt; '1111-11-11'
AND dt_frst_usg &lt;&gt; '0000-00-00'
AND CNSTRCTN_STTS_simulacao NOT IN ('2','4')</t>
  </si>
  <si>
    <t>If "Date of first usage of the building" is earlier than "Reference date", then "Construction status" should be set as '1 - Built'</t>
  </si>
  <si>
    <t>SELECT prtctn_id, CNSTRCTN_STTS_simulacao, dt_frst_usg, ref_date
FROM
(
SELECT 
prtctn_id, dt_frst_usg, ref_date,
CASE WHEN ref_date &lt; '2024-05-31' THEN CNSTRCTN_STTS_simulacao_pre
WHEN ref_date &gt;= '2024-05-31' THEN CNSTRTCN_STTS_simulacao_pos
Else '99999999999'
END AS CNSTRCTN_STTS_simulacao
FROM
(
SELECT prtctn_id, ref_date, dt_frst_usg,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FROM
(SELECT prtctn_id, ref_date, dt_frst_usg
FROM cd_loan_tapes_bce.lt004_protection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Where dt_frst_usg &lt; ref_date
AND dt_frst_usg not in('1111-11-11','0000-00-00')
AND CNSTRCTN_STTS_simulacao &lt;&gt; '1'</t>
  </si>
  <si>
    <t>If "Flag first home" is set as 'Y - Yes' then "Construction status" cannot be 'Not Applicable'</t>
  </si>
  <si>
    <t>Campo FLG_FRST_HM ainda não implementado na LT</t>
  </si>
  <si>
    <t>"Development status" should match the information on the Codelist</t>
  </si>
  <si>
    <t>SELECT Distinct
CASE WHEN prtctn_id NOT LIKE 'I%' THEN '11111111111'
WHEN CNSTRCTN_STTS_simulacao = '1' THEN '4'
WHEN CNSTRCTN_STTS_simulacao = '2' THEN '2'
WHEN CNSTRCTN_STTS_simulacao = '3' THEN '1'
WHEN CNSTRCTN_STTS_simulacao = '4' THEN '1'
ELSE '99999999999'
END AS DVLPMNT_STTS
FROM
(
SELECT 
prtctn_id,
CASE WHEN ref_date &lt; '2024-05-31' THEN CNSTRCTN_STTS_simulacao_pre
WHEN ref_date &gt;= '2024-05-31' THEN CNSTRTCN_STTS_simulacao_pos
Else '99999999999'
END AS CNSTRCTN_STTS_simulacao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FROM
(SELECT prtctn_id, ref_date
FROM cd_loan_tapes_bce.lt004_protection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t>
  </si>
  <si>
    <t>If "Protection type" equals '8 - Residential real estate collateral' or '9 - Offices and commercial premises' or '10 - Commercial real estate collateral' then, "Development status" cannot be 'Not applicable'</t>
  </si>
  <si>
    <t>SELECT *
FROM
(
SELECT B.prtctn_id, B.TYP_PRTCTN,
CASE WHEN prtctn_id NOT LIKE 'I%' THEN '11111111111'
WHEN CNSTRCTN_STTS_simulacao = '1' THEN '4'
WHEN CNSTRCTN_STTS_simulacao = '2' THEN '2'
WHEN CNSTRCTN_STTS_simulacao = '3' THEN '1'
WHEN CNSTRCTN_STTS_simulacao = '4' THEN '1'
ELSE '99999999999'
END AS DVLPMNT_STTS_simulacao
FROM
(
SELECT 
T.prtctn_id, T.TYP_PRTCTN,
CASE WHEN ref_date &lt; '2024-05-31' THEN CNSTRCTN_STTS_simulacao_pre
WHEN ref_date &gt;= '2024-05-31' THEN CNSTRTCN_STTS_simulacao_pos
Else '99999999999'
END AS CNSTRCTN_STTS_simulacao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FROM
(SELECT prtctn_id, ref_date
FROM cd_loan_tapes_bce.lt004_protection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LT004.prtctn_id = concat('I%','_',GT009.ckbalbem,'_',GT009.ckctabem,'_',GT009.ckrefbem)
) A
LEFT JOIN
(SELECT prtctn_id,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FROM cd_loan_tapes_bce.lt004_protection
WHERE 1=1 
AND ambito = 'PM'
AND segmento = 'ESTR'
AND ref_date = '${date}'
AND nome_perimetro = 'Individual Corporativo'
) LT004typ
LEFT JOIN
(SELECT ckbalbem, ckctabem, ckrefbem, cgarant_bem, cgarant_rpt, tipologia
FROM cd_garantias.gt018_rateio_aval
WHERE ref_date = '${date}') GT018typ
ON LT004typ.prtctn_id = CONCAT(SUBSTR(TIPOLOGIA,1,1),'_',CKBALBEM, '_', CKCTABEM, '_', CKREFBEM) 
) T
ON T.prtctn_id = A.prtctn_id
) B
) C
Where C.TYP_PRTCTN IN ('8','9','10')
AND DVLPMNT_STTS_simulacao = '11111111111'
;</t>
  </si>
  <si>
    <t>If "Protection type" is not  '8 - Residential real estate collateral' or '9 - Offices and commercial premises' or '10 - Commercial real estate collateral',  then "Development status" must be default value</t>
  </si>
  <si>
    <t>SELECT *
FROM
(
SELECT B.prtctn_id, B.TYP_PRTCTN,
CASE WHEN prtctn_id NOT LIKE 'I%' THEN '11111111111'
WHEN CNSTRCTN_STTS_simulacao = '1' THEN '4'
WHEN CNSTRCTN_STTS_simulacao = '2' THEN '2'
WHEN CNSTRCTN_STTS_simulacao = '3' THEN '1'
WHEN CNSTRCTN_STTS_simulacao = '4' THEN '1'
ELSE '99999999999'
END AS DVLPMNT_STTS_simulacao
FROM
(
SELECT 
T.prtctn_id, T.TYP_PRTCTN,
CASE WHEN ref_date &lt; '2024-05-31' THEN CNSTRCTN_STTS_simulacao_pre
WHEN ref_date &gt;= '2024-05-31' THEN CNSTRTCN_STTS_simulacao_pos
Else '99999999999'
END AS CNSTRCTN_STTS_simulacao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FROM
(SELECT prtctn_id, ref_date
FROM cd_loan_tapes_bce.lt004_protection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LT004.prtctn_id = concat('I%','_',GT009.ckbalbem,'_',GT009.ckctabem,'_',GT009.ckrefbem)
) A
LEFT JOIN
(SELECT prtctn_id,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FROM cd_loan_tapes_bce.lt004_protection
WHERE 1=1 
AND ambito = 'PM'
AND segmento = 'ESTR'
AND ref_date = '${date}'
AND nome_perimetro = 'Individual Corporativo'
) LT004typ
LEFT JOIN
(SELECT ckbalbem, ckctabem, ckrefbem, cgarant_bem, cgarant_rpt, tipologia
FROM cd_garantias.gt018_rateio_aval
WHERE ref_date = '${date}') GT018typ
ON LT004typ.prtctn_id = CONCAT(SUBSTR(TIPOLOGIA,1,1),'_',CKBALBEM, '_', CKCTABEM, '_', CKREFBEM) 
) T
ON T.prtctn_id = A.prtctn_id
) B
) C
Where C.TYP_PRTCTN NOT IN ('8','9','10')
AND DVLPMNT_STTS_simulacao &lt;&gt; '11111111111'
;</t>
  </si>
  <si>
    <t>"Date of original protection value" must have a Date format (yyyy-mm-dd)</t>
  </si>
  <si>
    <t>SELECT *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ref_date='2024-07-31')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ref_date='2024-07-31') GT001
LEFT JOIN
    (SELECT cempresa,ckbalcao, cknumcta, comp_id_gar, ckbalbem as ckbalbem_GT003, ckctabem as ckctabem_GT003, ckrefbem as ckrefbem_GT003, dini_rel as dini_rel_GT003
    FROM cd_garantias.gt003_trz_gt_fin
    Where ref_date='2024-07-31')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ref_date='2024-07-31')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Where 1=1
AND substring(DT_ORGNL_PRTCTN_VL_SIMULADO,5,1) &lt;&gt; '-' or substring(DT_ORGNL_PRTCTN_VL_SIMULADO,8,1) &lt;&gt; '-'
-- AND DT_ORGNL_PRTCTN_VL_SIMULADO = '1111-11-11'
-- AND DT_ORGNL_PRTCTN_VL_SIMULADO = '0000-00-00'
-- AND length(DT_ORGNL_PRTCTN_VL_SIMULADO) &lt;&gt; 10"</t>
  </si>
  <si>
    <t>"Date of original protection value" must be later than 01 January 1970</t>
  </si>
  <si>
    <t>SELECT *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ref_date='2024-07-31')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ref_date='2024-07-31') GT001
LEFT JOIN
    (SELECT cempresa,ckbalcao, cknumcta, comp_id_gar, ckbalbem as ckbalbem_GT003, ckctabem as ckctabem_GT003, ckrefbem as ckrefbem_GT003, dini_rel as dini_rel_GT003
    FROM cd_garantias.gt003_trz_gt_fin
    Where ref_date='2024-07-31')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ref_date='2024-07-31')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Where 1=1
AND DT_ORGNL_PRTCTN_VL_SIMULADO &lt; '1970-01-01'
AND DT_ORGNL_PRTCTN_VL_SIMULADO NOT IN ('1111-11-11','0000-00-00')</t>
  </si>
  <si>
    <t>"Date of original protection value" must be lower or equal to "Date of protection value"</t>
  </si>
  <si>
    <t>Controlo feito com simulação do DT_PRTCTN_VL</t>
  </si>
  <si>
    <t>SELECT *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ref_date='2024-07-31')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ref_date='2024-07-31') GT001
LEFT JOIN
    (SELECT cempresa,ckbalcao, cknumcta, comp_id_gar, ckbalbem as ckbalbem_GT003, ckctabem as ckctabem_GT003, ckrefbem as ckrefbem_GT003, dini_rel as dini_rel_GT003
    FROM cd_garantias.gt003_trz_gt_fin
    Where ref_date='2024-07-31')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ref_date='2024-07-31')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LEFT JOIN
        (SELECT prtctn_id_lt004, 
        CASE
        WHEN prtctn_id_lt004 LIKE 'P%' THEN '1111-11-11'
        ELSE max(dtrcaval)
        END AS valor_simulado
        FROM
        (Select prtctn_id as prtctn_id_lt004
        From cd_loan_tapes_bce.lt004_protection
        WHERE segmento = 'ESTR'
        AND nome_perimetro ='Individual Corporativo'
        AND ref_date='${date}'
        AND AMBITO = 'PM') lt004
   LEFT JOIN
        (Select dtrcaval, tipologia, ckbalbem, ckctabem, ckrefbem
        From cd_garantias.gt018_rateio_aval
        Where ref_date='${date}') gt018
        ON prtctn_id_lt004 = concat(substr(TIPOLOGIA,1,1),'_',ckbalbem,'_',ckctabem,'_',ckrefbem)
        GROUP BY 1) SIM
ON D.prtctn_id = SIM.prtctn_id_lt004
Where 1=1
AND DT_ORGNL_PRTCTN_VL_SIMULADO &gt; valor_simulado</t>
  </si>
  <si>
    <t>"Date of original protection value" cannot be later than "Reference date"</t>
  </si>
  <si>
    <t>SELECT *
FROM 
(
SELECT prtctn_id,
instrmnt_id,
dini_rel_MAX,
dtvaliai_resp_bem, 
mavaliai_resp_bem,
ref_date,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ref_date,
RANK() OVER ( PARTITION BY A.ckbalbem, A.ckctabem, A.ckrefbem ORDER BY dini_rel_MAX ASC) AS RANKRELACAO
FROM
(
SELECT *
FROM
(
SELECT instrmnt_id, A.cempresp, A.ckbalres, A.ckctares, A.ckrefresp, A.ckbalbem, A.ckctabem, A.ckrefbem, A.dtvaliai_resp_bem, A.mavaliai_resp_bem, prtctn_id, ref_date,
RANK() OVER ( PARTITION BY A.ckbalbem, A.ckctabem, A.ckrefbem ORDER BY dtvaliai_resp_bem ASC) AS RANKAVALIA
FROM
    (   
    SELECT DISTINCT instrmnt_id, cempresp, ckbalres, ckctares, ckrefresp, ckbalbem, ckctabem, ckrefbem, prtctn_id, dtvaliai_resp_bem, mavaliai_resp_bem, ref_date
    FROM 
        (SELECT instrmnt_id, prtctn_id, ref_date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ref_date='2024-07-31')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ref_date='2024-07-31') GT001
LEFT JOIN
    (SELECT cempresa,ckbalcao, cknumcta, comp_id_gar, ckbalbem as ckbalbem_GT003, ckctabem as ckctabem_GT003, ckrefbem as ckrefbem_GT003, dini_rel as dini_rel_GT003
    FROM cd_garantias.gt003_trz_gt_fin
    Where ref_date='2024-07-31')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ref_date='2024-07-31')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1,2,3,4,5,6
) D
Where 1=1
AND DT_ORGNL_PRTCTN_VL_SIMULADO &gt; ref_date</t>
  </si>
  <si>
    <t xml:space="preserve">If the protection is a "personal guarantee" then "Date of original protection value" should be 'Not Applicable' (We consider "personal guarantee" when "Protection ID" matches the "Protection Provider ID" (Guarantor) or "Tax ID" (Protection level) is populated other than default value and the "Protection type" equals '7 - Other protection')     </t>
  </si>
  <si>
    <t>SELECT *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ref_date='2024-08-31')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ref_date='2024-08-31') GT001
LEFT JOIN
    (SELECT cempresa,ckbalcao, cknumcta, comp_id_gar, ckbalbem as ckbalbem_GT003, ckctabem as ckctabem_GT003, ckrefbem as ckrefbem_GT003, dini_rel as dini_rel_GT003
    FROM cd_garantias.gt003_trz_gt_fin
    Where ref_date='2024-08-31')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ref_date='2024-08-31')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Where 1=1
AND prtctn_id like 'P%'
AND DT_ORGNL_PRTCTN_VL_SIMULADO &lt;&gt; '1111-11-11'</t>
  </si>
  <si>
    <t xml:space="preserve">If the protection is a "personal guarantee" then "Date of protection value" should be 'Not Applicable' (We consider "personal guarantee" when "Protection ID" matches the "Protection Provider ID" (Guarantor) or "Tax ID" (Protection level) is populated other than default value and the "Protection type" equals '7 - Other protection')     </t>
  </si>
  <si>
    <t>Select count(*)
FROM
(SELECT prtctn_id, DT_PRTCTN_VL, CASE
    WHEN prtctn_id LIKE 'P%' THEN '1111-11-11'
    ELSE max(dtrcaval)
    END AS DT_PRTCTN_VL_SIMULADO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1,2 
) A
WHERE 1=1 
AND prtctn_id like 'P%'  
AND DT_PRTCTN_VL_SIMULADO &lt;&gt; '1111-11-11'</t>
  </si>
  <si>
    <t>"Original protection value (at inception)" should have a Format numeric (2 decimal places)</t>
  </si>
  <si>
    <t>SELECT *
FROM
(
SELECT prtctn_id,
instrmnt_id,
dini_rel_MAX,
dtvaliai_resp_bem, 
mavaliai_resp_bem,
CASE WHEN prtctn_id like 'P%' THEN '1111-11-11'
WHEN prtctn_id not like 'P%' THEN MIN(dtvaliai_resp_bem) 
     ELSE '0000-00-00'
     END as DT_ORGNL_PRTCTN_VL_SIMULACAO,
CASE WHEN prtctn_id like 'P%' THEN 11111111111
WHEN dtvaliai_resp_bem = MIN(dtvaliai_resp_bem) THEN SUM(mavaliai_resp_bem) OVER (PARTITION BY prtctn_id)
     ELSE 99999999999
     END as ORGNL_PRTCTN_VL_SIMULACAO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ref_date='2024-07-31')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ref_date='2024-07-31') GT001
LEFT JOIN
    (SELECT cempresa,ckbalcao, cknumcta, comp_id_gar, ckbalbem as ckbalbem_GT003, ckctabem as ckctabem_GT003, ckrefbem as ckrefbem_GT003, dini_rel as dini_rel_GT003
    FROM cd_garantias.gt003_trz_gt_fin
    Where ref_date='2024-07-31')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ref_date='2024-07-31')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Where 1=1
AND cast(ORGNL_PRTCTN_VL_SIMULACAO as VARCHAR) NOT LIKE '%.__'</t>
  </si>
  <si>
    <t>"Original protection value (at inception)" shall be larger or equal to 0; Negative values trigger attention</t>
  </si>
  <si>
    <t>SELECT *
FROM
(
SELECT prtctn_id,
instrmnt_id,
dini_rel_MAX,
dtvaliai_resp_bem, 
mavaliai_resp_bem,
CASE WHEN prtctn_id like 'P%' THEN '1111-11-11'
WHEN prtctn_id not like 'P%' THEN MIN(dtvaliai_resp_bem) 
     ELSE '0000-00-00'
     END as DT_ORGNL_PRTCTN_VL_SIMULACAO,
CASE WHEN prtctn_id like 'P%' THEN 11111111111
WHEN dtvaliai_resp_bem = MIN(dtvaliai_resp_bem) THEN SUM(mavaliai_resp_bem) OVER (PARTITION BY prtctn_id)
     ELSE 99999999999
     END as ORGNL_PRTCTN_VL_SIMULACAO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ref_date='2024-07-31')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ref_date='2024-07-31') GT001
LEFT JOIN
    (SELECT cempresa,ckbalcao, cknumcta, comp_id_gar, ckbalbem as ckbalbem_GT003, ckctabem as ckctabem_GT003, ckrefbem as ckrefbem_GT003, dini_rel as dini_rel_GT003
    FROM cd_garantias.gt003_trz_gt_fin
    Where ref_date='2024-07-31')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ref_date='2024-07-31')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Where 1=1
AND ORGNL_PRTCTN_VL_SIMULACAO &lt; 0</t>
  </si>
  <si>
    <t>If "Date of original protection value" is other than default values, then "Original protection value (at inception)" cannot be 'Not applicable' or zero</t>
  </si>
  <si>
    <t>SELECT *
FROM
(
SELECT prtctn_id,
instrmnt_id,
dini_rel_MAX,
dtvaliai_resp_bem, 
mavaliai_resp_bem,
CASE WHEN prtctn_id like 'P%' THEN '1111-11-11'
WHEN prtctn_id not like 'P%' THEN MIN(dtvaliai_resp_bem) 
     ELSE '0000-00-00'
     END as DT_ORGNL_PRTCTN_VL_SIMULACAO,
CASE WHEN prtctn_id like 'P%' THEN 11111111111
WHEN dtvaliai_resp_bem = MIN(dtvaliai_resp_bem) THEN SUM(mavaliai_resp_bem) OVER (PARTITION BY prtctn_id)
     ELSE 99999999999
     END as ORGNL_PRTCTN_VL_SIMULACAO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ref_date='2024-07-31')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ref_date='2024-07-31') GT001
LEFT JOIN
    (SELECT cempresa,ckbalcao, cknumcta, comp_id_gar, ckbalbem as ckbalbem_GT003, ckctabem as ckctabem_GT003, ckrefbem as ckrefbem_GT003, dini_rel as dini_rel_GT003
    FROM cd_garantias.gt003_trz_gt_fin
    Where ref_date='2024-07-31')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ref_date='2024-07-31')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Where 1=1
AND DT_ORGNL_PRTCTN_VL_SIMULACAO &lt;&gt; '1111-11-11'
AND ORGNL_PRTCTN_VL_SIMULACAO in (11111111111,0)</t>
  </si>
  <si>
    <t>If "Date of original protection value" equals 'Not applicable', then "Original protection value (at inception)" must be a default value</t>
  </si>
  <si>
    <t>SELECT *
FROM
(
SELECT prtctn_id,
instrmnt_id,
dini_rel_MAX,
dtvaliai_resp_bem, 
mavaliai_resp_bem,
CASE WHEN prtctn_id like 'P%' THEN '1111-11-11'
WHEN prtctn_id not like 'P%' THEN MIN(dtvaliai_resp_bem) 
     ELSE '0000-00-00'
     END as DT_ORGNL_PRTCTN_VL_SIMULACAO,
CASE WHEN prtctn_id like 'P%' THEN 11111111111
WHEN dtvaliai_resp_bem = MIN(dtvaliai_resp_bem) THEN SUM(mavaliai_resp_bem) OVER (PARTITION BY prtctn_id)
     ELSE 99999999999
     END as ORGNL_PRTCTN_VL_SIMULACAO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ref_date='2024-07-31')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ref_date='2024-07-31') GT001
LEFT JOIN
    (SELECT cempresa,ckbalcao, cknumcta, comp_id_gar, ckbalbem as ckbalbem_GT003, ckctabem as ckctabem_GT003, ckrefbem as ckrefbem_GT003, dini_rel as dini_rel_GT003
    FROM cd_garantias.gt003_trz_gt_fin
    Where ref_date='2024-07-31')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ref_date='2024-07-31')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Where 1=1
AND DT_ORGNL_PRTCTN_VL_SIMULACAO = '1111-11-11'
AND ORGNL_PRTCTN_VL_SIMULACAO &lt;&gt; 11111111111</t>
  </si>
  <si>
    <t xml:space="preserve">If the protection is a "personal guarantee" then "Original protection value (at inception)" must be 'Not applicable'' (We consider "personal guarantee" when "Protection ID" matches the "Protection Provider ID" (Guarantor) or "Tax ID" (Protection level) is populated other than default value and the "Protection type" equals '7 - Other protection')   </t>
  </si>
  <si>
    <t>SELECT *
FROM
(
SELECT prtctn_id,
instrmnt_id,
dini_rel_MAX,
dtvaliai_resp_bem, 
mavaliai_resp_bem,
CASE WHEN prtctn_id like 'P%' THEN '1111-11-11'
WHEN prtctn_id not like 'P%' THEN MIN(dtvaliai_resp_bem) 
     ELSE '0000-00-00'
     END as DT_ORGNL_PRTCTN_VL_SIMULACAO,
CASE WHEN prtctn_id like 'P%' THEN 11111111111
WHEN dtvaliai_resp_bem = MIN(dtvaliai_resp_bem) THEN SUM(mavaliai_resp_bem) OVER (PARTITION BY prtctn_id)
     ELSE 99999999999
     END as ORGNL_PRTCTN_VL_SIMULACAO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ref_date='2024-07-31')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ref_date='2024-07-31') GT001
LEFT JOIN
    (SELECT cempresa,ckbalcao, cknumcta, comp_id_gar, ckbalbem as ckbalbem_GT003, ckctabem as ckctabem_GT003, ckrefbem as ckrefbem_GT003, dini_rel as dini_rel_GT003
    FROM cd_garantias.gt003_trz_gt_fin
    Where ref_date='2024-07-31')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ref_date='2024-07-31')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Where 1=1
AND prtctn_id LIKE 'P%'
AND ORGNL_PRTCTN_VL_SIMULACAO &lt;&gt; 11111111111</t>
  </si>
  <si>
    <t>Verificar se o campo está de acordo com a Especificação</t>
  </si>
  <si>
    <t>Select prtctn_id, typ_prtctn, TYP_PRTCTN_simulacao
FROM
(
SELECT prtctn_id,typ_prtctn,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typ_prtctn &lt;&gt; TYP_PRTCTN_simulacao</t>
  </si>
  <si>
    <t>Select DISTINCT typ_prtctn
FROM
(
SELECT prtctn_id,typ_prtctn,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 Where typ_prtctn &lt;&gt; TYP_PRTCTN_simulacao</t>
  </si>
  <si>
    <t>Select typ_prtctn, typ_prtctn_intrnl
FROM
(
SELECT prtctn_id,typ_prtctn, typ_prtctn_intrnl,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typ_prtctn_intrnl &lt;&gt; 'N/A'
AND typ_prtctn = '11111111111'</t>
  </si>
  <si>
    <t>Select typ_prtctn, typ_prtctn_intrnl
FROM
(
SELECT prtctn_id,typ_prtctn, typ_prtctn_intrnl,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typ_prtctn_intrnl = 'N/A'
AND typ_prtctn &lt;&gt; '11111111111'</t>
  </si>
  <si>
    <t>Casos em que o typ_prtctn é 5 ou 12 que estão justificados troca de emails com a corporação</t>
  </si>
  <si>
    <t>Select DISTINCT typ_prtctn, typ_prtctn_vl
FROM
(
SELECT prtctn_id,typ_prtctn, typ_prtctn_vl,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typ_prtctn_vl ='1'
AND typ_prtctn not in ('3', '7', '13', '18')</t>
  </si>
  <si>
    <t>Select prtctn_id, typ_prtctn, typ_prtctn_vl
FROM
(
SELECT prtctn_id,typ_prtctn, typ_prtctn_vl,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1=1 
 AND typ_prtctn_vl IN ('2','3')
 AND TYP_PRTCTN NOT IN ('8','9','10')</t>
  </si>
  <si>
    <t>Select prtctn_id, typ_prtctn, typ_prtctn_vl
FROM
(
SELECT prtctn_id,typ_prtctn, typ_prtctn_vl,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1=1 
 AND typ_prtctn_vl = '4'
 AND TYP_PRTCTN NOT IN ('2','4','5','12','15','16','17','7')</t>
  </si>
  <si>
    <t>Select prtctn_id, typ_prtctn, typ_prtctn_vl
FROM
(
SELECT prtctn_id,typ_prtctn, typ_prtctn_vl,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1=1 
 AND typ_prtctn_vl = '5'
--  AND TYP_PRTCTN  ='11111111111'</t>
  </si>
  <si>
    <t>Select prtctn_id, typ_prtctn, typ_prtctn_vl
FROM
(
SELECT prtctn_id,typ_prtctn, typ_prtctn_vl,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1=1 
 AND typ_prtctn_vl = '11111111111'
 AND TYP_PRTCTN &lt;&gt; '7'</t>
  </si>
  <si>
    <t>Select prtctn_id, typ_prtctn, typ_prtctn_vl, DT_APPRSL_PRVS
FROM
(
SELECT prtctn_id,typ_prtctn, typ_prtctn_vl, DT_APPRSL_PRVS,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typ_prtctn,DT_APPRSL_PRVS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1=1 
 AND DT_APPRSL_PRVS &lt;&gt; '1111-11-11'
 AND TYP_PRTCTN NOT IN('8','9','10')</t>
  </si>
  <si>
    <t>Select prtctn_id, typ_prtctn, typ_prtctn_vl, CRE_INCM_CRRNCY
FROM
(
SELECT prtctn_id,typ_prtctn, typ_prtctn_vl, CRE_INCM_CRRNCY,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typ_prtctn,CRE_INCM_CRRNCY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1=1 
 AND CRE_INCM_CRRNCY NOT IN ('MISS', 'N/A')
 AND TYP_PRTCTN NOT IN('9','10')</t>
  </si>
  <si>
    <t>Justificado: 2 Garantias que aparecem na LT004 mas não na GT018 - IT vai alterar o Universo da LT para a GT018 em vez das tabelas do modelo base</t>
  </si>
  <si>
    <t>Select prtctn_id, typ_prtctn, typ_prtctn_vl, APPRSR
FROM
(
SELECT prtctn_id,typ_prtctn, typ_prtctn_vl, APPRSR,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1=1 
AND APPRSR NOT IN ('N/A', 'MISS')
AND TYP_PRTCTN NOT IN ('8','9','10')</t>
  </si>
  <si>
    <t>Justificado: 1 Garantia que aparecem na LT004 mas não na GT018 - IT vai alterar o Universo da LT para a GT018 em vez das tabelas do modelo base</t>
  </si>
  <si>
    <t>Select prtctn_id, typ_prtctn, typ_prtctn_vl, APPRSR, DT_LST_FLL_APPRSL
FROM
(
SELECT prtctn_id,typ_prtctn, typ_prtctn_vl, APPRSR, DT_LST_FLL_APPRSL,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typ_prtctn,DT_LST_FLL_APPRSL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1=1 
AND DT_LST_FLL_APPRSL &lt;&gt;'1111-11-11'
AND TYP_PRTCTN NOT IN ('8','9','10')</t>
  </si>
  <si>
    <t>If "Forced sale value" is populated other than default values, then "Protection type" has to be set as '8 - Residential real estate collateral', '9 - Offices and commercial premises', '3 - Other physical collaterals' or '10 - Commercial real estate collateral'</t>
  </si>
  <si>
    <t>Justificado: 3 Garantias que aparecem na LT004 mas não na GT018 - IT vai alterar o Universo da LT para a GT018 em vez das tabelas do modelo base</t>
  </si>
  <si>
    <t>Select prtctn_id, typ_prtctn, typ_prtctn_vl, PRTCTN_FRCD_SL_VL
FROM
(
SELECT prtctn_id,typ_prtctn, typ_prtctn_vl, APPRSR, PRTCTN_FRCD_SL_VL,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typ_prtctn,PRTCTN_FRCD_SL_VL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1=1 
AND PRTCTN_FRCD_SL_VL &lt;&gt; 11111111111
AND TYP_PRTCTN NOT IN ('8','9', '3','10')</t>
  </si>
  <si>
    <t>LNS_CLLTRLZD_CLSSFCTN não está especificado</t>
  </si>
  <si>
    <t>Select prtctn_id, ntnl_id_simulacao, ntnl_id
From
(
SELECT 
CASE WHEN PRTCTN_ID NOT LIKE 'I%' THEN 'N/A'
	WHEN PRTCTN_ID LIKE 'I%' AND NTNL_ID_SIM = '' THEN 'MISS'
	ELSE ntnl_id_sim End ntnl_id_simulacao, prtctn_id, ckbalbem, ckctabem, ckrefbem, cdisconf, codconsv, cartmatr, gficha, gidfracc, gfraccao, gnum, glote, cpost, ntnl_id
From
(
SELECT CONCAT(
		CASE WHEN TRIM(GT009.CDISCONF) = '' THEN  '_' ELSE regexp_replace(REGEXP_REPLACE(GT009.CDISCONF, "[^[:print:]\\p{S}\\p{P}\\p{L}\\p{N} ]", ""),'"','') END,  
		'-',          
		CASE WHEN TRIM(GT009.CPOST) = '' THEN  '_' ELSE regexp_replace(REGEXP_REPLACE(GT009.CPOST, "[^[:print:]\\p{S}\\p{P}\\p{L}\\p{N} ]", ""),'"','') END,  
		'-',          
		CASE WHEN TRIM(GT009.CODCONSV) = '' THEN  '_' ELSE regexp_replace(REGEXP_REPLACE(GT009.CODCONSV, "[^[:print:]\\p{S}\\p{P}\\p{L}\\p{N} ]", ""),'"','') END,  
		'-',          
		CASE WHEN TRIM(GT009.CARTMATR) = '' THEN  '_' ELSE regexp_replace(REGEXP_REPLACE(GT009.CARTMATR, "[^[:print:]\\p{S}\\p{P}\\p{L}\\p{N} ]", ""),'"','') END, 
		'-',          
		CASE WHEN TRIM(GT009.GFICHA) = '' THEN  '_' ELSE regexp_replace(REGEXP_REPLACE(GT009.GFICHA, "[^[:print:]\\p{S}\\p{P}\\p{L}\\p{N} ]", ""),'"','') END, 
		'-',         
		CASE WHEN TRIM(GT009.GNUM) = '' THEN  '_' ELSE regexp_replace(REGEXP_REPLACE(GT009.GNUM, "[^[:print:]\\p{S}\\p{P}\\p{L}\\p{N} ]", ""),'"','') END,
		'-',          
		CASE WHEN TRIM(GT009.GLOTE) = '' THEN  '_' ELSE regexp_replace(REGEXP_REPLACE(GT009.GLOTE, "[^[:print:]\\p{S}\\p{P}\\p{L}\\p{N} ]", ""),'"','') END,
		'-',          
		CASE WHEN TRIM(GT009.GIDFRACC) = '' THEN  '_' ELSE regexp_replace(REGEXP_REPLACE(GT009.GIDFRACC, "[^[:print:]\\p{S}\\p{P}\\p{L}\\p{N} ]", ""),'"','') END,
		'-',           
		CASE WHEN TRIM(GT009.GFRACCAO) = '' THEN  '_' ELSE regexp_replace(REGEXP_REPLACE(GT009.GFRACCAO, "[^[:print:]\\p{S}\\p{P}\\p{L}\\p{N} ]", ""),'"','') END
		) as ntnl_id_sim, ntnl_id, prtctn_id,
gt009.*
FROM
(SELECT ntnl_id, prtctn_id
FROM bu_loantape_work.lt004_protection
WHERE segmento = 'ESTR'
AND nome_perimetro ='Individual Corporativo'
AND ref_date='${date}'
AND AMBITO = 'PM') LT004
LEFT JOIN
(SELECT coalesce(cdisconf, '') as cdisconf,
                    coalesce(cpost, '') as cpost,
                    coalesce(codconsv, '') as codconsv,
                    coalesce(cartmatr, '') as cartmatr,
                    coalesce(gficha, '') as gficha,
                    coalesce(gnum, '') as gnum,
                    coalesce(glote, '') as glote,
                    coalesce(gidfracc, '') as gidfracc,
                    coalesce(gfraccao, '') as gfraccao,
                    ckbalbem,
                    ckctabem,
                    ckrefbem
FROM cd_garantias.gt009_bens_imov
Where ref_date='${date}') GT009
ON prtctn_id= Concat('I_',ckbalbem,'_', ckctabem,'_', ckrefbem)
) A
) B
WHERE ntnl_id &lt;&gt; ntnl_id_simulacao</t>
  </si>
  <si>
    <t>0 casos com aspas</t>
  </si>
  <si>
    <t>SELECT count(*)
FROM bu_loantape_work.lt004_protection  
WHERE 1=1 
AND ambito = 'PM' 
AND segmento = 'ESTR' 
AND ref_date = '2024-09-30'
AND nome_perimetro = 'Individual Corporativo'
AND ntnl_id LIKE '%"%'
-- AND ntnl_id LIKE '%F%'</t>
  </si>
  <si>
    <t>Select prtctn_id, ntnl_id_simulacao, ntnl_id
From
(
SELECT 
CASE WHEN PRTCTN_ID NOT LIKE 'I%' THEN 'N/A'
	WHEN PRTCTN_ID LIKE 'I%' AND NTNL_ID_SIM = '' THEN 'MISS'
	ELSE ntnl_id_sim
End ntnl_id_simulacao, prtctn_id, ckbalbem, ckctabem, ckrefbem, cdisconf, codconsv, cartmatr, gficha, gidfracc, gfraccao, gnum, glote, cpost, ntnl_id
From
(
SELECT CONCAT(
		CASE WHEN TRIM(GT009.CDISCONF) = '' THEN  '_' ELSE regexp_replace(REGEXP_REPLACE(GT009.CDISCONF, "[^[:print:]\\p{S}\\p{P}\\p{L}\\p{N} ]", ""),'"','') END,  
		'-',          
		CASE WHEN TRIM(GT009.CPOST) = '' THEN  '_' ELSE regexp_replace(REGEXP_REPLACE(GT009.CPOST, "[^[:print:]\\p{S}\\p{P}\\p{L}\\p{N} ]", ""),'"','') END,  
		'-',          
		CASE WHEN TRIM(GT009.CODCONSV) = '' THEN  '_' ELSE regexp_replace(REGEXP_REPLACE(GT009.CODCONSV, "[^[:print:]\\p{S}\\p{P}\\p{L}\\p{N} ]", ""),'"','') END,  
		'-',          
		CASE WHEN TRIM(GT009.CARTMATR) = '' THEN  '_' ELSE regexp_replace(REGEXP_REPLACE(GT009.CARTMATR, "[^[:print:]\\p{S}\\p{P}\\p{L}\\p{N} ]", ""),'"','') END, 
		'-',          
		CASE WHEN TRIM(GT009.GFICHA) = '' THEN  '_' ELSE regexp_replace(REGEXP_REPLACE(GT009.GFICHA, "[^[:print:]\\p{S}\\p{P}\\p{L}\\p{N} ]", ""),'"','') END, 
		'-',         
		CASE WHEN TRIM(GT009.GNUM) = '' THEN  '_' ELSE regexp_replace(REGEXP_REPLACE(GT009.GNUM, "[^[:print:]\\p{S}\\p{P}\\p{L}\\p{N} ]", ""),'"','') END,
		'-',          
		CASE WHEN TRIM(GT009.GLOTE) = '' THEN  '_' ELSE regexp_replace(REGEXP_REPLACE(GT009.GLOTE, "[^[:print:]\\p{S}\\p{P}\\p{L}\\p{N} ]", ""),'"','') END,
		'-',          
		CASE WHEN TRIM(GT009.GIDFRACC) = '' THEN  '_' ELSE regexp_replace(REGEXP_REPLACE(GT009.GIDFRACC, "[^[:print:]\\p{S}\\p{P}\\p{L}\\p{N} ]", ""),'"','') END,
		'-',           
		CASE WHEN TRIM(GT009.GFRACCAO) = '' THEN  '_' ELSE regexp_replace(REGEXP_REPLACE(GT009.GFRACCAO, "[^[:print:]\\p{S}\\p{P}\\p{L}\\p{N} ]", ""),'"','') END
		) as ntnl_id_sim, ntnl_id, prtctn_id,
gt009.*
FROM
(SELECT ntnl_id, prtctn_id
FROM bu_loantape_work.lt004_protection
WHERE segmento = 'ESTR'
AND nome_perimetro ='Individual Corporativo'
AND ref_date='${date}'
AND AMBITO = 'PM') LT004
LEFT JOIN
(SELECT coalesce(cdisconf, '') as cdisconf,
                    coalesce(cpost, '') as cpost,
                    coalesce(codconsv, '') as codconsv,
                    coalesce(cartmatr, '') as cartmatr,
                    coalesce(gficha, '') as gficha,
                    coalesce(gnum, '') as gnum,
                    coalesce(glote, '') as glote,
                    coalesce(gidfracc, '') as gidfracc,
                    coalesce(gfraccao, '') as gfraccao,
                    ckbalbem,
                    ckctabem,
                    ckrefbem
FROM cd_garantias.gt009_bens_imov
Where ref_date='${date}') GT009
ON prtctn_id= Concat('I_',ckbalbem,'_', ckctabem,'_', ckrefbem)
) A
) B
Where ntnl_id Is NULL</t>
  </si>
  <si>
    <t>795 casos duplicados que são justificados pela falta de informação dos campos que forma a concatenação</t>
  </si>
  <si>
    <t>SELECT COUNT (*)
FROM
(
Select ntnl_id, count(*)
From
(
SELECT 
CASE WHEN PRTCTN_ID NOT LIKE 'I%' THEN 'N/A'
	WHEN PRTCTN_ID LIKE 'I%' AND NTNL_ID_SIM = '' THEN 'MISS'
	ELSE ntnl_id_sim
End ntnl_id_simulacao, prtctn_id, ckbalbem, ckctabem, ckrefbem, cdisconf, codconsv, cartmatr, gficha, gidfracc, gfraccao, gnum, glote, cpost, ntnl_id
From
(
SELECT CONCAT(
		CASE WHEN TRIM(GT009.CDISCONF) = '' THEN  '_' ELSE regexp_replace(REGEXP_REPLACE(GT009.CDISCONF, "[^[:print:]\\p{S}\\p{P}\\p{L}\\p{N} ]", ""),'"','') END,  
		'-',          
		CASE WHEN TRIM(GT009.CPOST) = '' THEN  '_' ELSE regexp_replace(REGEXP_REPLACE(GT009.CPOST, "[^[:print:]\\p{S}\\p{P}\\p{L}\\p{N} ]", ""),'"','') END,  
		'-',          
		CASE WHEN TRIM(GT009.CODCONSV) = '' THEN  '_' ELSE regexp_replace(REGEXP_REPLACE(GT009.CODCONSV, "[^[:print:]\\p{S}\\p{P}\\p{L}\\p{N} ]", ""),'"','') END,  
		'-',          
		CASE WHEN TRIM(GT009.CARTMATR) = '' THEN  '_' ELSE regexp_replace(REGEXP_REPLACE(GT009.CARTMATR, "[^[:print:]\\p{S}\\p{P}\\p{L}\\p{N} ]", ""),'"','') END, 
		'-',          
		CASE WHEN TRIM(GT009.GFICHA) = '' THEN  '_' ELSE regexp_replace(REGEXP_REPLACE(GT009.GFICHA, "[^[:print:]\\p{S}\\p{P}\\p{L}\\p{N} ]", ""),'"','') END, 
		'-',         
		CASE WHEN TRIM(GT009.GNUM) = '' THEN  '_' ELSE regexp_replace(REGEXP_REPLACE(GT009.GNUM, "[^[:print:]\\p{S}\\p{P}\\p{L}\\p{N} ]", ""),'"','') END,
		'-',          
		CASE WHEN TRIM(GT009.GLOTE) = '' THEN  '_' ELSE regexp_replace(REGEXP_REPLACE(GT009.GLOTE, "[^[:print:]\\p{S}\\p{P}\\p{L}\\p{N} ]", ""),'"','') END,
		'-',          
		CASE WHEN TRIM(GT009.GIDFRACC) = '' THEN  '_' ELSE regexp_replace(REGEXP_REPLACE(GT009.GIDFRACC, "[^[:print:]\\p{S}\\p{P}\\p{L}\\p{N} ]", ""),'"','') END,
		'-',           
		CASE WHEN TRIM(GT009.GFRACCAO) = '' THEN  '_' ELSE regexp_replace(REGEXP_REPLACE(GT009.GFRACCAO, "[^[:print:]\\p{S}\\p{P}\\p{L}\\p{N} ]", ""),'"','') END
		) as ntnl_id_sim, ntnl_id, prtctn_id,
gt009.*
FROM
(SELECT ntnl_id, prtctn_id
FROM bu_loantape_work.lt004_protection
WHERE segmento = 'ESTR'
AND nome_perimetro ='Individual Corporativo'
AND ref_date='${date}'
AND AMBITO = 'PM') LT004
LEFT JOIN
(SELECT coalesce(cdisconf, '') as cdisconf,
                    coalesce(cpost, '') as cpost,
                    coalesce(codconsv, '') as codconsv,
                    coalesce(cartmatr, '') as cartmatr,
                    coalesce(gficha, '') as gficha,
                    coalesce(gnum, '') as gnum,
                    coalesce(glote, '') as glote,
                    coalesce(gidfracc, '') as gidfracc,
                    coalesce(gfraccao, '') as gfraccao,
                    ckbalbem,
                    ckctabem,
                    ckrefbem
FROM cd_garantias.gt009_bens_imov
Where ref_date='${date}') GT009
ON prtctn_id= Concat('I_',ckbalbem,'_', ckctabem,'_', ckrefbem)
) A
) B
Group by ntnl_id
Having Count(*) &gt; 1 
) C</t>
  </si>
  <si>
    <t>Select prtctn_id, ntnl_id_simulacao, ntnl_id
From
(
SELECT 
CASE WHEN PRTCTN_ID NOT LIKE 'I%' THEN 'N/A'
	WHEN PRTCTN_ID LIKE 'I%' AND NTNL_ID_SIM = '' THEN 'MISS'
	ELSE ntnl_id_sim
End ntnl_id_simulacao, prtctn_id, ckbalbem, ckctabem, ckrefbem, cdisconf, codconsv, cartmatr, gficha, gidfracc, gfraccao, gnum, glote, cpost, ntnl_id
From
(
SELECT CONCAT(
		CASE WHEN TRIM(GT009.CDISCONF) = '' THEN  '_' ELSE regexp_replace(REGEXP_REPLACE(GT009.CDISCONF, "[^[:print:]\\p{S}\\p{P}\\p{L}\\p{N} ]", ""),'"','') END,  
		'-',          
		CASE WHEN TRIM(GT009.CPOST) = '' THEN  '_' ELSE regexp_replace(REGEXP_REPLACE(GT009.CPOST, "[^[:print:]\\p{S}\\p{P}\\p{L}\\p{N} ]", ""),'"','') END,  
		'-',          
		CASE WHEN TRIM(GT009.CODCONSV) = '' THEN  '_' ELSE regexp_replace(REGEXP_REPLACE(GT009.CODCONSV, "[^[:print:]\\p{S}\\p{P}\\p{L}\\p{N} ]", ""),'"','') END,  
		'-',          
		CASE WHEN TRIM(GT009.CARTMATR) = '' THEN  '_' ELSE regexp_replace(REGEXP_REPLACE(GT009.CARTMATR, "[^[:print:]\\p{S}\\p{P}\\p{L}\\p{N} ]", ""),'"','') END, 
		'-',          
		CASE WHEN TRIM(GT009.GFICHA) = '' THEN  '_' ELSE regexp_replace(REGEXP_REPLACE(GT009.GFICHA, "[^[:print:]\\p{S}\\p{P}\\p{L}\\p{N} ]", ""),'"','') END, 
		'-',         
		CASE WHEN TRIM(GT009.GNUM) = '' THEN  '_' ELSE regexp_replace(REGEXP_REPLACE(GT009.GNUM, "[^[:print:]\\p{S}\\p{P}\\p{L}\\p{N} ]", ""),'"','') END,
		'-',          
		CASE WHEN TRIM(GT009.GLOTE) = '' THEN  '_' ELSE regexp_replace(REGEXP_REPLACE(GT009.GLOTE, "[^[:print:]\\p{S}\\p{P}\\p{L}\\p{N} ]", ""),'"','') END,
		'-',          
		CASE WHEN TRIM(GT009.GIDFRACC) = '' THEN  '_' ELSE regexp_replace(REGEXP_REPLACE(GT009.GIDFRACC, "[^[:print:]\\p{S}\\p{P}\\p{L}\\p{N} ]", ""),'"','') END,
		'-',           
		CASE WHEN TRIM(GT009.GFRACCAO) = '' THEN  '_' ELSE regexp_replace(REGEXP_REPLACE(GT009.GFRACCAO, "[^[:print:]\\p{S}\\p{P}\\p{L}\\p{N} ]", ""),'"','') END
		) as ntnl_id_sim, ntnl_id, prtctn_id,
gt009.*
FROM
(SELECT ntnl_id, prtctn_id
FROM bu_loantape_work.lt004_protection
WHERE segmento = 'ESTR'
AND nome_perimetro ='Individual Corporativo'
AND ref_date='${date}'
AND AMBITO = 'PM') LT004
LEFT JOIN
(SELECT coalesce(cdisconf, '') as cdisconf,
                    coalesce(cpost, '') as cpost,
                    coalesce(codconsv, '') as codconsv,
                    coalesce(cartmatr, '') as cartmatr,
                    coalesce(gficha, '') as gficha,
                    coalesce(gnum, '') as gnum,
                    coalesce(glote, '') as glote,
                    coalesce(gidfracc, '') as gidfracc,
                    coalesce(gfraccao, '') as gfraccao,
                    ckbalbem,
                    ckctabem,
                    ckrefbem
FROM cd_garantias.gt009_bens_imov
Where ref_date='${date}') GT009
ON prtctn_id= Concat('I_',ckbalbem,'_', ckctabem,'_', ckrefbem)
) A
) B
Where length(ntnl_id_simulacao) &gt;=255</t>
  </si>
  <si>
    <t>Select prtctn_id, ntnl_id_simulacao, ntnl_id, typ_prtctn
From
(
SELECT 
CASE WHEN PRTCTN_ID NOT LIKE 'I%' THEN 'N/A'
	WHEN PRTCTN_ID LIKE 'I%' AND NTNL_ID_SIM = '' THEN 'MISS'
	ELSE ntnl_id_sim
End ntnl_id_simulacao, prtctn_id, ckbalbem, ckctabem, ckrefbem, cdisconf, codconsv, cartmatr, gficha, gidfracc, gfraccao, gnum, glote, cpost, ntnl_id, typ_prtctn
From
(
SELECT CONCAT(
		CASE WHEN TRIM(GT009.CDISCONF) = '' THEN  '_' ELSE regexp_replace(REGEXP_REPLACE(GT009.CDISCONF, "[^[:print:]\\p{S}\\p{P}\\p{L}\\p{N} ]", ""),'"','') END,  
		'-',          
		CASE WHEN TRIM(GT009.CPOST) = '' THEN  '_' ELSE regexp_replace(REGEXP_REPLACE(GT009.CPOST, "[^[:print:]\\p{S}\\p{P}\\p{L}\\p{N} ]", ""),'"','') END,  
		'-',          
		CASE WHEN TRIM(GT009.CODCONSV) = '' THEN  '_' ELSE regexp_replace(REGEXP_REPLACE(GT009.CODCONSV, "[^[:print:]\\p{S}\\p{P}\\p{L}\\p{N} ]", ""),'"','') END,  
		'-',          
		CASE WHEN TRIM(GT009.CARTMATR) = '' THEN  '_' ELSE regexp_replace(REGEXP_REPLACE(GT009.CARTMATR, "[^[:print:]\\p{S}\\p{P}\\p{L}\\p{N} ]", ""),'"','') END, 
		'-',          
		CASE WHEN TRIM(GT009.GFICHA) = '' THEN  '_' ELSE regexp_replace(REGEXP_REPLACE(GT009.GFICHA, "[^[:print:]\\p{S}\\p{P}\\p{L}\\p{N} ]", ""),'"','') END, 
		'-',         
		CASE WHEN TRIM(GT009.GNUM) = '' THEN  '_' ELSE regexp_replace(REGEXP_REPLACE(GT009.GNUM, "[^[:print:]\\p{S}\\p{P}\\p{L}\\p{N} ]", ""),'"','') END,
		'-',          
		CASE WHEN TRIM(GT009.GLOTE) = '' THEN  '_' ELSE regexp_replace(REGEXP_REPLACE(GT009.GLOTE, "[^[:print:]\\p{S}\\p{P}\\p{L}\\p{N} ]", ""),'"','') END,
		'-',          
		CASE WHEN TRIM(GT009.GIDFRACC) = '' THEN  '_' ELSE regexp_replace(REGEXP_REPLACE(GT009.GIDFRACC, "[^[:print:]\\p{S}\\p{P}\\p{L}\\p{N} ]", ""),'"','') END,
		'-',           
		CASE WHEN TRIM(GT009.GFRACCAO) = '' THEN  '_' ELSE regexp_replace(REGEXP_REPLACE(GT009.GFRACCAO, "[^[:print:]\\p{S}\\p{P}\\p{L}\\p{N} ]", ""),'"','') END
		) as ntnl_id_sim, ntnl_id, prtctn_id, typ_prtctn,
gt009.*
FROM
(SELECT ntnl_id, prtctn_id, typ_prtctn
FROM bu_loantape_work.lt004_protection
WHERE segmento = 'ESTR'
AND nome_perimetro ='Individual Corporativo'
AND ref_date='${date}'
AND AMBITO = 'PM') LT004
LEFT JOIN
(SELECT coalesce(cdisconf, '') as cdisconf,
                    coalesce(cpost, '') as cpost,
                    coalesce(codconsv, '') as codconsv,
                    coalesce(cartmatr, '') as cartmatr,
                    coalesce(gficha, '') as gficha,
                    coalesce(gnum, '') as gnum,
                    coalesce(glote, '') as glote,
                    coalesce(gidfracc, '') as gidfracc,
                    coalesce(gfraccao, '') as gfraccao,
                    ckbalbem,
                    ckctabem,
                    ckrefbem
FROM cd_garantias.gt009_bens_imov
Where ref_date='${date}') GT009
ON prtctn_id= Concat('I_',ckbalbem,'_', ckctabem,'_', ckrefbem)
) A
) B
Where TYP_PRTCTN IN ('8','9','10')
AND ntnl_id_simulacao = 'N/A'</t>
  </si>
  <si>
    <t>Justificado 3 Garantias que aparecem na LT004 mas não na GT018 - IT vai alterar o Universo da LT para a GT018 em vez das tabelas do modelo base</t>
  </si>
  <si>
    <t>Select prtctn_id, ntnl_id_simulacao, ntnl_id, typ_prtctn
From
(
SELECT 
Case when prtctn_id NOT LIKE 'I%' Then 'N/A'
When prtctn_id Like 'I%' Then ntnl_id_sim
Else 'MISS'
End ntnl_id_simulacao, prtctn_id, ckbalbem, ckctabem, ckrefbem, cdisconf, codconsv, cartmatr, gficha, gidfracc, gfraccao, gnum, glote, cpost, ntnl_id, typ_prtctn
From
(
SELECT CONCAT(
		CASE WHEN TRIM(GT009.CDISCONF) = '' THEN  '_' ELSE regexp_replace(REGEXP_REPLACE(GT009.CDISCONF, "[^[:print:]\\p{S}\\p{P}\\p{L}\\p{N} ]", ""),'"','') END,  
		'-',          
		CASE WHEN TRIM(GT009.CPOST) = '' THEN  '_' ELSE regexp_replace(REGEXP_REPLACE(GT009.CPOST, "[^[:print:]\\p{S}\\p{P}\\p{L}\\p{N} ]", ""),'"','') END,  
		'-',          
		CASE WHEN TRIM(GT009.CODCONSV) = '' THEN  '_' ELSE regexp_replace(REGEXP_REPLACE(GT009.CODCONSV, "[^[:print:]\\p{S}\\p{P}\\p{L}\\p{N} ]", ""),'"','') END,  
		'-',          
		CASE WHEN TRIM(GT009.CARTMATR) = '' THEN  '_' ELSE regexp_replace(REGEXP_REPLACE(GT009.CARTMATR, "[^[:print:]\\p{S}\\p{P}\\p{L}\\p{N} ]", ""),'"','') END, 
		'-',          
		CASE WHEN TRIM(GT009.GFICHA) = '' THEN  '_' ELSE regexp_replace(REGEXP_REPLACE(GT009.GFICHA, "[^[:print:]\\p{S}\\p{P}\\p{L}\\p{N} ]", ""),'"','') END, 
		'-',         
		CASE WHEN TRIM(GT009.GNUM) = '' THEN  '_' ELSE regexp_replace(REGEXP_REPLACE(GT009.GNUM, "[^[:print:]\\p{S}\\p{P}\\p{L}\\p{N} ]", ""),'"','') END,
		'-',          
		CASE WHEN TRIM(GT009.GLOTE) = '' THEN  '_' ELSE regexp_replace(REGEXP_REPLACE(GT009.GLOTE, "[^[:print:]\\p{S}\\p{P}\\p{L}\\p{N} ]", ""),'"','') END,
		'-',          
		CASE WHEN TRIM(GT009.GIDFRACC) = '' THEN  '_' ELSE regexp_replace(REGEXP_REPLACE(GT009.GIDFRACC, "[^[:print:]\\p{S}\\p{P}\\p{L}\\p{N} ]", ""),'"','') END,
		'-',           
		CASE WHEN TRIM(GT009.GFRACCAO) = '' THEN  '_' ELSE regexp_replace(REGEXP_REPLACE(GT009.GFRACCAO, "[^[:print:]\\p{S}\\p{P}\\p{L}\\p{N} ]", ""),'"','') END
		) as ntnl_id_sim, ntnl_id, prtctn_id, typ_prtctn,
gt009.*
FROM
(SELECT ntnl_id, prtctn_id, typ_prtctn
FROM bu_loantape_work.lt004_protection
WHERE segmento = 'ESTR'
AND nome_perimetro ='Individual Corporativo'
AND ref_date='${date}'
AND AMBITO = 'PM') LT004
LEFT JOIN
(SELECT coalesce(cdisconf, '') as cdisconf,
                    coalesce(cpost, '') as cpost,
                    coalesce(codconsv, '') as codconsv,
                    coalesce(cartmatr, '') as cartmatr,
                    coalesce(gficha, '') as gficha,
                    coalesce(gnum, '') as gnum,
                    coalesce(glote, '') as glote,
                    coalesce(gidfracc, '') as gidfracc,
                    coalesce(gfraccao, '') as gfraccao,
                    ckbalbem,
                    ckctabem,
                    ckrefbem
FROM cd_garantias.gt009_bens_imov
Where ref_date='${date}') GT009
ON prtctn_id= Concat('I_',ckbalbem,'_', ckctabem,'_', ckrefbem)
) A
) B
Where TYP_PRTCTN NOT IN ('8','9','10')
AND ntnl_id_simulacao &lt;&gt; 'N/A'</t>
  </si>
  <si>
    <t>SELECT prtctn_id, DT_ORGNL_PRTCTN_VL, DT_ORGNL_PRTCTN_VL_SIMULADO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LEFT JOIN
        (Select prtctn_id as prtctn_id_lt004, DT_ORGNL_PRTCTN_VL
        From bu_loantape_work.lt004_protection
        WHERE segmento = 'ESTR'
        AND nome_perimetro ='Individual Corporativo'
        AND ref_date='${date}'
        AND AMBITO = 'PM') lt004
ON D.prtctn_id = prtctn_id_lt004
Where DT_ORGNL_PRTCTN_VL &lt;&gt; DT_ORGNL_PRTCTN_VL_SIMULADO</t>
  </si>
  <si>
    <t>SELECT prtctn_id, DT_ORGNL_PRTCTN_VL, DT_ORGNL_PRTCTN_VL_SIMULADO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LEFT JOIN
        (Select prtctn_id as prtctn_id_lt004, DT_ORGNL_PRTCTN_VL
        From bu_loantape_work.lt004_protection
        WHERE segmento = 'ESTR'
        AND nome_perimetro ='Individual Corporativo'
        AND ref_date='${date}'
        AND AMBITO = 'PM') lt004
ON D.prtctn_id = prtctn_id_lt004
WHERE 1=1
AND substring(DT_ORGNL_PRTCTN_VL_SIMULADO,5,1) &lt;&gt; '-' or substring(DT_ORGNL_PRTCTN_VL_SIMULADO,8,1) &lt;&gt; '-'</t>
  </si>
  <si>
    <t>Justificado: 43 garantias com datas '0001-01-01' - Erro de Data Quality de Leasings que está a ser endereçado pelo Alexandre Esteves e estará resolvido em Janeiro de 2025</t>
  </si>
  <si>
    <t>SELECT prtctn_id, DT_ORGNL_PRTCTN_VL, DT_ORGNL_PRTCTN_VL_SIMULADO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LEFT JOIN
        (Select prtctn_id as prtctn_id_lt004, DT_ORGNL_PRTCTN_VL
        From bu_loantape_work.lt004_protection
        WHERE segmento = 'ESTR'
        AND nome_perimetro ='Individual Corporativo'
        AND ref_date='${date}'
        AND AMBITO = 'PM') lt004
ON D.prtctn_id = prtctn_id_lt004
WHERE 1=1
AND DT_ORGNL_PRTCTN_VL_SIMULADO &lt; '1970-01-01'
AND DT_ORGNL_PRTCTN_VL_SIMULADO NOT IN ('1111-11-11','0000-00-00')</t>
  </si>
  <si>
    <t>Justificado: 3 Garantias que o DT_PRTCTN_VL é '0001-01-01'  - Erro de Data Quality de Leasings que está a ser endereçado pelo Alexandre Esteves e estará resolvido em Janeiro de 2025</t>
  </si>
  <si>
    <t>SELECT prtctn_id, DT_ORGNL_PRTCTN_VL, DT_ORGNL_PRTCTN_VL_SIMULADO, dt_prtctn_vl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LEFT JOIN
        (Select prtctn_id as prtctn_id_lt004, DT_ORGNL_PRTCTN_VL, dt_prtctn_vl
        From bu_loantape_work.lt004_protection
        WHERE segmento = 'ESTR'
        AND nome_perimetro ='Individual Corporativo'
        AND ref_date='${date}'
        AND AMBITO = 'PM') lt004
ON D.prtctn_id = prtctn_id_lt004
WHERE 1=1
AND DT_ORGNL_PRTCTN_VL &gt; dt_prtctn_vl</t>
  </si>
  <si>
    <t>SELECT prtctn_id, DT_ORGNL_PRTCTN_VL, DT_ORGNL_PRTCTN_VL_SIMULADO, ref_date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LEFT JOIN
        (Select prtctn_id as prtctn_id_lt004, DT_ORGNL_PRTCTN_VL, ref_date
        From bu_loantape_work.lt004_protection
        WHERE segmento = 'ESTR'
        AND nome_perimetro ='Individual Corporativo'
        AND ref_date='${date}'
        AND AMBITO = 'PM') lt004
ON D.prtctn_id = prtctn_id_lt004
WHERE 1=1
AND DT_ORGNL_PRTCTN_VL &gt; ref_date</t>
  </si>
  <si>
    <t>SELECT prtctn_id, DT_ORGNL_PRTCTN_VL, DT_ORGNL_PRTCTN_VL_SIMULADO, ref_date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LEFT JOIN
        (Select prtctn_id as prtctn_id_lt004, DT_ORGNL_PRTCTN_VL, ref_date
        From bu_loantape_work.lt004_protection
        WHERE segmento = 'ESTR'
        AND nome_perimetro ='Individual Corporativo'
        AND ref_date='${date}'
        AND AMBITO = 'PM') lt004
ON D.prtctn_id = prtctn_id_lt004
Where 1=1
AND prtctn_id like 'P%'
AND DT_ORGNL_PRTCTN_VL_SIMULADO &lt;&gt; '1111-11-11'</t>
  </si>
  <si>
    <t>SELECT prtctn_id, DT_ORGNL_PRTCTN_VL, DT_ORGNL_PRTCTN_VL_SIMULADO, dt_prtctn_vl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LEFT JOIN
        (Select prtctn_id as prtctn_id_lt004, DT_ORGNL_PRTCTN_VL, dt_prtctn_vl
        From bu_loantape_work.lt004_protection
        WHERE segmento = 'ESTR'
        AND nome_perimetro ='Individual Corporativo'
        AND ref_date='${date}'
        AND AMBITO = 'PM') lt004
ON D.prtctn_id = prtctn_id_lt004
Where 1=1
AND prtctn_id like 'P%'
AND dt_prtctn_vl &lt;&gt; '1111-11-11'</t>
  </si>
  <si>
    <t>Select *
FROM
(SELECT prtctn_id, DT_PRTCTN_VL, CASE
    WHEN prtctn_id LIKE 'P%' THEN '1111-11-11'
    ELSE NVL(max(dtrcaval),'0000-00-00')
    END AS DT_PRTCTN_VL_SIMULADO
FROM
(Select *
From bu_loantape_work.lt004_protection
WHERE segmento = 'ESTR'
AND nome_perimetro ='Individual Corporativo'
AND ref_date='${date}'
AND AMBITO = 'PM') lt004
Left join
(Select *
From cd_garantias.gt018_rateio_aval
Where ref_date='${date}') gt018
ON prtctn_id = concat(substr(TIPOLOGIA,1,1),'_',ckbalbem,'_',ckctabem,'_',ckrefbem)
GROUP BY 1,2 
) A
WHERE 1=1 
    -- AND prtctn_id NOT LIKE 'P%'
    AND DT_PRTCTN_VL &lt;&gt; DT_PRTCTN_VL_SIMULADO</t>
  </si>
  <si>
    <t>Select *
FROM
(SELECT prtctn_id, DT_PRTCTN_VL, CASE
    WHEN prtctn_id LIKE 'P%' THEN '1111-11-11'
    ELSE NVL(max(dtrcaval),'0000-00-00')
    END AS DT_PRTCTN_VL_SIMULADO
FROM
(Select *
From bu_loantape_work.lt004_protection
WHERE segmento = 'ESTR'
AND nome_perimetro ='Individual Corporativo'
AND ref_date='${date}'
AND AMBITO = 'PM') lt004
Left join
(Select *
From cd_garantias.gt018_rateio_aval
Where ref_date='${date}') gt018
ON prtctn_id = concat(substr(TIPOLOGIA,1,1),'_',ckbalbem,'_',ckctabem,'_',ckrefbem)
GROUP BY 1,2 
) A
WHERE 1=1 
-- AND substring(DT_PRTCTN_VL_SIMULADO,5,1) &lt;&gt; '-' or substring(DT_PRTCTN_VL_SIMULADO,8,1) &lt;&gt; '-'
-- AND length(DT_PRTCTN_VL_SIMULADO) &lt;&gt; 10
-- AND DT_PRTCTN_VL_SIMULADO = '9999-99-99'</t>
  </si>
  <si>
    <t>Justificado: 47 casos 
4 relacionados com universos diferentes -  IT vai alterar o Universo da LT para a GT018 em vez das tabelas do modelo base
Restantes são os temas dos leasings com '0001-01-01' - Erro de Data Quality de Leasings que está a ser endereçado pelo Alexandre Esteves e estará resolvido em Janeiro de 2025</t>
  </si>
  <si>
    <t>Select *
FROM
(SELECT prtctn_id, DT_PRTCTN_VL, CASE
    WHEN prtctn_id LIKE 'P%' THEN '1111-11-11'
    ELSE NVL(max(dtrcaval),'0000-00-00')
    END AS DT_PRTCTN_VL_SIMULADO
FROM
(Select *
From bu_loantape_work.lt004_protection
WHERE segmento = 'ESTR'
AND nome_perimetro ='Individual Corporativo'
AND ref_date='${date}'
AND AMBITO = 'PM') lt004
Left join
(Select *
From cd_garantias.gt018_rateio_aval
Where ref_date='${date}') gt018
ON prtctn_id = concat(substr(TIPOLOGIA,1,1),'_',ckbalbem,'_',ckctabem,'_',ckrefbem)
GROUP BY 1,2 
) A
WHERE 1=1 
AND DT_PRTCTN_VL &lt; '1970-01-01'
AND DT_PRTCTN_VL &lt;&gt; '1111-11-11'
Order by DT_PRTCTN_VL asc</t>
  </si>
  <si>
    <t>Select *
FROM
(SELECT prtctn_id, DT_PRTCTN_VL, CASE
    WHEN prtctn_id LIKE 'P%' THEN '1111-11-11'
    ELSE NVL(max(dtrcaval),'0000-00-00')
    END AS DT_PRTCTN_VL_SIMULADO, typ_prtctn_vl
FROM
(Select *
From bu_loantape_work.lt004_protection
WHERE segmento = 'ESTR'
AND nome_perimetro ='Individual Corporativo'
AND ref_date='${date}'
AND AMBITO = 'PM') lt004
Left join
(Select *
From cd_garantias.gt018_rateio_aval
Where ref_date='${date}') gt018
ON prtctn_id = concat(substr(TIPOLOGIA,1,1),'_',ckbalbem,'_',ckctabem,'_',ckrefbem)
GROUP BY 1,2,4
) A
WHERE 1=1 
AND TYP_PRTCTN_VL = '4'
AND DT_PRTCTN_VL &lt;&gt; '2024-09-30'</t>
  </si>
  <si>
    <t>Select *
FROM
(SELECT prtctn_id, DT_PRTCTN_VL, CASE
    WHEN prtctn_id LIKE 'P%' THEN '1111-11-11'
    ELSE NVL(max(dtrcaval),'0000-00-00')
    END AS DT_PRTCTN_VL_SIMULADO, typ_prtctn_vl
FROM
(Select *
From bu_loantape_work.lt004_protection
WHERE segmento = 'ESTR'
AND nome_perimetro ='Individual Corporativo'
AND ref_date='${date}'
AND AMBITO = 'PM') lt004
Left join
(Select *
From cd_garantias.gt018_rateio_aval
Where ref_date='${date}') gt018
ON prtctn_id = concat(substr(TIPOLOGIA,1,1),'_',ckbalbem,'_',ckctabem,'_',ckrefbem)
GROUP BY 1,2,4
) A
WHERE 1=1 
AND DT_PRTCTN_VL &gt; '2024-09-30'</t>
  </si>
  <si>
    <t>Select *
FROM
(SELECT prtctn_id, DT_PRTCTN_VL, CASE
    WHEN prtctn_id LIKE 'P%' THEN '1111-11-11'
    ELSE NVL(max(dtrcaval),'0000-00-00')
    END AS DT_PRTCTN_VL_SIMULADO, dt_lst_fll_apprsl
FROM
(Select *
From bu_loantape_work.lt004_protection
WHERE segmento = 'ESTR'
AND nome_perimetro ='Individual Corporativo'
AND ref_date='${date}'
AND AMBITO = 'PM') lt004
Left join
(Select *
From cd_garantias.gt018_rateio_aval
Where ref_date='${date}') gt018
ON prtctn_id = concat(substr(TIPOLOGIA,1,1),'_',ckbalbem,'_',ckctabem,'_',ckrefbem)
GROUP BY 1,2,4
) A
WHERE 1=1 
        AND DT_PRTCTN_VL &gt; dt_lst_fll_apprsl
        AND dt_lst_fll_apprsl &lt;&gt; '1111-11-11'</t>
  </si>
  <si>
    <t>Select *
FROM
(SELECT prtctn_id, DT_PRTCTN_VL, CASE
    WHEN prtctn_id LIKE 'P%' THEN '1111-11-11'
    ELSE NVL(max(dtrcaval),'0000-00-00')
    END AS DT_PRTCTN_VL_SIMULADO, DT_APPRSL_PRVS
FROM
(Select *
From bu_loantape_work.lt004_protection
WHERE segmento = 'ESTR'
AND nome_perimetro ='Individual Corporativo'
AND ref_date='${date}'
AND AMBITO = 'PM') lt004
Left join
(Select *
From cd_garantias.gt018_rateio_aval
Where ref_date='${date}') gt018
ON prtctn_id = concat(substr(TIPOLOGIA,1,1),'_',ckbalbem,'_',ckctabem,'_',ckrefbem)
GROUP BY 1,2,4
) A
WHERE 1=1 
        AND DT_APPRSL_PRVS &lt;&gt; '1111-11-11'
        AND DT_PRTCTN_VL = '1111-11-11'</t>
  </si>
  <si>
    <t>SELECT prtctn_id, CNSTRCTN_STTS_simulacao, cnstrctn_stts, cgarant_bem
FROM
(
SELECT 
prtctn_id, ref_date, cnstrctn_stts,
CASE WHEN ref_date &lt; '2024-05-31' THEN CNSTRCTN_STTS_simulacao_pre
WHEN ref_date &gt;= '2024-05-31' THEN CNSTRTCN_STTS_simulacao_pos
Else '99999999999'
END AS CNSTRCTN_STTS_simulacao, cgarant_bem
FROM
(
SELECT prtctn_id, ref_date, cnstrctn_stts,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cgarant_bem
FROM
(SELECT prtctn_id, ref_date, cnstrctn_stts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WHERE CNSTRCTN_STTS_simulacao &lt;&gt; cnstrctn_stts;</t>
  </si>
  <si>
    <t>SELECT COUNT(*), CNSTRCTN_STTS
FROM 
(
SELECT prtctn_id, CNSTRCTN_STTS_simulacao, cnstrctn_stts, cgarant_bem
FROM
(
SELECT 
prtctn_id, ref_date, cnstrctn_stts,
CASE WHEN ref_date &lt; '2024-05-31' THEN CNSTRCTN_STTS_simulacao_pre
WHEN ref_date &gt;= '2024-05-31' THEN CNSTRTCN_STTS_simulacao_pos
Else '99999999999'
END AS CNSTRCTN_STTS_simulacao, cgarant_bem
FROM
(
SELECT prtctn_id, ref_date, cnstrctn_stts,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cgarant_bem
FROM
(SELECT prtctn_id, ref_date, cnstrctn_stts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Group by 2</t>
  </si>
  <si>
    <t>SELECT prtctn_id, cnstrctn_stts, dvlpmnt_stts
FROM
(
SELECT prtctn_id, CNSTRCTN_STTS_simulacao,
CASE WHEN prtctn_id NOT LIKE 'I%' THEN '11111111111'
WHEN CNSTRCTN_STTS_simulacao = '1' THEN '4'
WHEN CNSTRCTN_STTS_simulacao = '2' THEN '2'
WHEN CNSTRCTN_STTS_simulacao = '3' THEN '1'
WHEN CNSTRCTN_STTS_simulacao = '4' THEN '1'
ELSE '99999999999'
END AS DVLPMNT_STTS_simulacao, cnstrctn_stts, dvlpmnt_stts
FROM
(
SELECT 
prtctn_id,
CASE WHEN ref_date &lt; '2024-05-31' THEN CNSTRCTN_STTS_simulacao_pre
WHEN ref_date &gt;= '2024-05-31' THEN CNSTRTCN_STTS_simulacao_pos
Else '99999999999'
END AS CNSTRCTN_STTS_simulacao, cnstrctn_stts, dvlpmnt_stts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cnstrctn_stts, dvlpmnt_stts
FROM
(SELECT prtctn_id, ref_date, cnstrctn_stts, dvlpmnt_stts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DVLPMNT_STTS = '4'
AND CNSTRCTN_STTS &lt;&gt; '1'</t>
  </si>
  <si>
    <t>SELECT prtctn_id, cnstrctn_stts, dvlpmnt_stts
FROM
(
SELECT prtctn_id, CNSTRCTN_STTS_simulacao,
CASE WHEN prtctn_id NOT LIKE 'I%' THEN '11111111111'
WHEN CNSTRCTN_STTS_simulacao = '1' THEN '4'
WHEN CNSTRCTN_STTS_simulacao = '2' THEN '2'
WHEN CNSTRCTN_STTS_simulacao = '3' THEN '1'
WHEN CNSTRCTN_STTS_simulacao = '4' THEN '1'
ELSE '99999999999'
END AS DVLPMNT_STTS_simulacao, cnstrctn_stts, dvlpmnt_stts
FROM
(
SELECT 
prtctn_id,
CASE WHEN ref_date &lt; '2024-05-31' THEN CNSTRCTN_STTS_simulacao_pre
WHEN ref_date &gt;= '2024-05-31' THEN CNSTRTCN_STTS_simulacao_pos
Else '99999999999'
END AS CNSTRCTN_STTS_simulacao, cnstrctn_stts, dvlpmnt_stts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cnstrctn_stts, dvlpmnt_stts
FROM
(SELECT prtctn_id, ref_date, cnstrctn_stts, dvlpmnt_stts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DVLPMNT_STTS in('2', '3')
AND CNSTRCTN_STTS &lt;&gt; '2'</t>
  </si>
  <si>
    <t>SELECT prtctn_id, cnstrctn_stts, dvlpmnt_stts
FROM
(
SELECT prtctn_id, CNSTRCTN_STTS_simulacao,
CASE WHEN prtctn_id NOT LIKE 'I%' THEN '11111111111'
WHEN CNSTRCTN_STTS_simulacao = '1' THEN '4'
WHEN CNSTRCTN_STTS_simulacao = '2' THEN '2'
WHEN CNSTRCTN_STTS_simulacao = '3' THEN '1'
WHEN CNSTRCTN_STTS_simulacao = '4' THEN '1'
ELSE '99999999999'
END AS DVLPMNT_STTS_simulacao, cnstrctn_stts, dvlpmnt_stts
FROM
(
SELECT 
prtctn_id,
CASE WHEN ref_date &lt; '2024-05-31' THEN CNSTRCTN_STTS_simulacao_pre
WHEN ref_date &gt;= '2024-05-31' THEN CNSTRTCN_STTS_simulacao_pos
Else '99999999999'
END AS CNSTRCTN_STTS_simulacao, cnstrctn_stts, dvlpmnt_stts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cnstrctn_stts, dvlpmnt_stts
FROM
(SELECT prtctn_id, ref_date, cnstrctn_stts, dvlpmnt_stts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DVLPMNT_STTS = '1'
AND CNSTRCTN_STTS NOT IN('3', '4')</t>
  </si>
  <si>
    <t>SELECT prtctn_id, cnstrctn_stts, dvlpmnt_stts
FROM
(
SELECT prtctn_id, CNSTRCTN_STTS_simulacao,
CASE WHEN prtctn_id NOT LIKE 'I%' THEN '11111111111'
WHEN CNSTRCTN_STTS_simulacao = '1' THEN '4'
WHEN CNSTRCTN_STTS_simulacao = '2' THEN '2'
WHEN CNSTRCTN_STTS_simulacao = '3' THEN '1'
WHEN CNSTRCTN_STTS_simulacao = '4' THEN '1'
ELSE '99999999999'
END AS DVLPMNT_STTS_simulacao, cnstrctn_stts, dvlpmnt_stts
FROM
(
SELECT 
prtctn_id,
CASE WHEN ref_date &lt; '2024-05-31' THEN CNSTRCTN_STTS_simulacao_pre
WHEN ref_date &gt;= '2024-05-31' THEN CNSTRTCN_STTS_simulacao_pos
Else '99999999999'
END AS CNSTRCTN_STTS_simulacao, cnstrctn_stts, dvlpmnt_stts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cnstrctn_stts, dvlpmnt_stts
FROM
(SELECT prtctn_id, ref_date, cnstrctn_stts, dvlpmnt_stts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DVLPMNT_STTS = '11111111111'
AND CNSTRCTN_STTS &lt;&gt; '11111111111'</t>
  </si>
  <si>
    <t>SELECT prtctn_id, cnstrctn_stts, dvlpmnt_stts, ref_date, dt_frst_usg
FROM
(
SELECT prtctn_id, CNSTRCTN_STTS_simulacao,
CASE WHEN prtctn_id NOT LIKE 'I%' THEN '11111111111'
WHEN CNSTRCTN_STTS_simulacao = '1' THEN '4'
WHEN CNSTRCTN_STTS_simulacao = '2' THEN '2'
WHEN CNSTRCTN_STTS_simulacao = '3' THEN '1'
WHEN CNSTRCTN_STTS_simulacao = '4' THEN '1'
ELSE '99999999999'
END AS DVLPMNT_STTS_simulacao, cnstrctn_stts, dvlpmnt_stts, ref_date, dt_frst_usg
FROM
(
SELECT 
prtctn_id,
CASE WHEN ref_date &lt; '2024-05-31' THEN CNSTRCTN_STTS_simulacao_pre
WHEN ref_date &gt;= '2024-05-31' THEN CNSTRTCN_STTS_simulacao_pos
Else '99999999999'
END AS CNSTRCTN_STTS_simulacao, cnstrctn_stts, dvlpmnt_stts, ref_date, dt_frst_usg
FROM
(
SELECT prtctn_id, ref_date, dt_frst_usg,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cnstrctn_stts, dvlpmnt_stts
FROM
(SELECT prtctn_id, ref_date, cnstrctn_stts, dvlpmnt_stts, dt_frst_usg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dt_frst_usg &gt; ref_date
AND dt_frst_usg &lt;&gt; '1111-11-11'
AND dt_frst_usg &lt;&gt; '0000-00-00'
AND CNSTRCTN_STTS NOT IN ('2','4')</t>
  </si>
  <si>
    <t>SELECT prtctn_id, cnstrctn_stts, dvlpmnt_stts, ref_date, dt_frst_usg
FROM
(
SELECT prtctn_id, CNSTRCTN_STTS_simulacao,
CASE WHEN prtctn_id NOT LIKE 'I%' THEN '11111111111'
WHEN CNSTRCTN_STTS_simulacao = '1' THEN '4'
WHEN CNSTRCTN_STTS_simulacao = '2' THEN '2'
WHEN CNSTRCTN_STTS_simulacao = '3' THEN '1'
WHEN CNSTRCTN_STTS_simulacao = '4' THEN '1'
ELSE '99999999999'
END AS DVLPMNT_STTS_simulacao, cnstrctn_stts, dvlpmnt_stts, ref_date, dt_frst_usg
FROM
(
SELECT 
prtctn_id,
CASE WHEN ref_date &lt; '2024-05-31' THEN CNSTRCTN_STTS_simulacao_pre
WHEN ref_date &gt;= '2024-05-31' THEN CNSTRTCN_STTS_simulacao_pos
Else '99999999999'
END AS CNSTRCTN_STTS_simulacao, cnstrctn_stts, dvlpmnt_stts, ref_date, dt_frst_usg
FROM
(
SELECT prtctn_id, ref_date, dt_frst_usg,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cnstrctn_stts, dvlpmnt_stts
FROM
(SELECT prtctn_id, ref_date, cnstrctn_stts, dvlpmnt_stts, dt_frst_usg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dt_frst_usg &lt; ref_date
AND dt_frst_usg not in('1111-11-11','0000-00-00')
AND CNSTRCTN_STTS &lt;&gt; '1'</t>
  </si>
  <si>
    <t>SELECT prtctn_id, dvlpmnt_stts, DVLPMNT_STTS_simulacao, cgarant_bem 
FROM
(
SELECT prtctn_id, CNSTRCTN_STTS_simulacao, dvlpmnt_stts,
CASE WHEN prtctn_id NOT LIKE 'I%' THEN '11111111111'
WHEN CNSTRCTN_STTS_simulacao = '1' THEN '4'
WHEN CNSTRCTN_STTS_simulacao = '2' THEN '2'
WHEN CNSTRCTN_STTS_simulacao = '3' THEN '1'
WHEN CNSTRCTN_STTS_simulacao = '4' THEN '1'
ELSE '99999999999'
END AS DVLPMNT_STTS_simulacao,cgarant_bem
FROM
(
SELECT 
prtctn_id, dvlpmnt_stts,
CASE WHEN ref_date &lt; '2024-05-31' THEN CNSTRCTN_STTS_simulacao_pre
WHEN ref_date &gt;= '2024-05-31' THEN CNSTRTCN_STTS_simulacao_pos
Else '99999999999'
END AS CNSTRCTN_STTS_simulacao, cgarant_bem
FROM
(
SELECT prtctn_id, ref_date, DVLPMNT_STTS,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cgarant_bem
FROM
(SELECT prtctn_id, ref_date, dvlpmnt_stts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DVLPMNT_STTS_simulacao &lt;&gt; dvlpmnt_stts</t>
  </si>
  <si>
    <t>SELECT count (*), dvlpmnt_stts
FROM
(
SELECT prtctn_id, CNSTRCTN_STTS_simulacao, dvlpmnt_stts,
CASE WHEN prtctn_id NOT LIKE 'I%' THEN '11111111111'
WHEN CNSTRCTN_STTS_simulacao = '1' THEN '4'
WHEN CNSTRCTN_STTS_simulacao = '2' THEN '2'
WHEN CNSTRCTN_STTS_simulacao = '3' THEN '1'
WHEN CNSTRCTN_STTS_simulacao = '4' THEN '1'
ELSE '99999999999'
END AS DVLPMNT_STTS_simulacao,cgarant_bem, typ_prtctn
FROM
(
SELECT 
prtctn_id, dvlpmnt_stts,
CASE WHEN ref_date &lt; '2024-05-31' THEN CNSTRCTN_STTS_simulacao_pre
WHEN ref_date &gt;= '2024-05-31' THEN CNSTRTCN_STTS_simulacao_pos
Else '99999999999'
END AS CNSTRCTN_STTS_simulacao, cgarant_bem, typ_prtctn
FROM
(
SELECT prtctn_id, ref_date, DVLPMNT_STTS,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cgarant_bem, typ_prtctn
FROM
(SELECT prtctn_id, ref_date, dvlpmnt_stts, typ_prtctn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group by 2</t>
  </si>
  <si>
    <t>SELECT prtctn_id, dvlpmnt_stts, DVLPMNT_STTS_simulacao, cgarant_bem, typ_prtctn
FROM
(
SELECT prtctn_id, CNSTRCTN_STTS_simulacao, dvlpmnt_stts,
CASE WHEN prtctn_id NOT LIKE 'I%' THEN '11111111111'
WHEN CNSTRCTN_STTS_simulacao = '1' THEN '4'
WHEN CNSTRCTN_STTS_simulacao = '2' THEN '2'
WHEN CNSTRCTN_STTS_simulacao = '3' THEN '1'
WHEN CNSTRCTN_STTS_simulacao = '4' THEN '1'
ELSE '99999999999'
END AS DVLPMNT_STTS_simulacao,cgarant_bem, typ_prtctn
FROM
(
SELECT 
prtctn_id, dvlpmnt_stts,
CASE WHEN ref_date &lt; '2024-05-31' THEN CNSTRCTN_STTS_simulacao_pre
WHEN ref_date &gt;= '2024-05-31' THEN CNSTRTCN_STTS_simulacao_pos
Else '99999999999'
END AS CNSTRCTN_STTS_simulacao, cgarant_bem, typ_prtctn
FROM
(
SELECT prtctn_id, ref_date, DVLPMNT_STTS,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cgarant_bem, typ_prtctn
FROM
(SELECT prtctn_id, ref_date, dvlpmnt_stts, typ_prtctn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TYP_PRTCTN IN ('8','9','10')
AND DVLPMNT_STTS_simulacao = '11111111111'
;</t>
  </si>
  <si>
    <t>SELECT prtctn_id, dvlpmnt_stts, DVLPMNT_STTS_simulacao, cgarant_bem, typ_prtctn
FROM
(
SELECT prtctn_id, CNSTRCTN_STTS_simulacao, dvlpmnt_stts,
CASE WHEN prtctn_id NOT LIKE 'I%' THEN '11111111111'
WHEN CNSTRCTN_STTS_simulacao = '1' THEN '4'
WHEN CNSTRCTN_STTS_simulacao = '2' THEN '2'
WHEN CNSTRCTN_STTS_simulacao = '3' THEN '1'
WHEN CNSTRCTN_STTS_simulacao = '4' THEN '1'
ELSE '99999999999'
END AS DVLPMNT_STTS_simulacao,cgarant_bem, typ_prtctn
FROM
(
SELECT 
prtctn_id, dvlpmnt_stts,
CASE WHEN ref_date &lt; '2024-05-31' THEN CNSTRCTN_STTS_simulacao_pre
WHEN ref_date &gt;= '2024-05-31' THEN CNSTRTCN_STTS_simulacao_pos
Else '99999999999'
END AS CNSTRCTN_STTS_simulacao, cgarant_bem, typ_prtctn
FROM
(
SELECT prtctn_id, ref_date, DVLPMNT_STTS,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cgarant_bem, typ_prtctn
FROM
(SELECT prtctn_id, ref_date, dvlpmnt_stts, typ_prtctn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TYP_PRTCTN NOT IN ('8','9','10')
AND DVLPMNT_STTS_simulacao &lt;&gt; '11111111111'
;</t>
  </si>
  <si>
    <t>SELECT *
FROM 
(SELECT prtctn_id,
    valor_it,
    CASE WHEN substr(prtctn_id,1,1)&lt;&gt;'I'
         THEN 'N/A'
         WHEN cfinbem IN ('','01','06','07','08') AND CL_HAB&gt;='3.40'
         THEN 'Y'
         WHEN cfinbem IN ('','01','06','07','08') AND CL_HAB&lt;'3.40'
         THEN 'N'
         WHEN cfinbem is NULL AND CL_HAB&gt;='3.40'
         THEN 'Y'
         WHEN cfinbem is NULL AND CL_HAB &lt; '3.40'
         THEN 'N'
         WHEN cfinbem='02' AND CL_COM&gt;='3.40'
         THEN 'Y' 
         WHEN cfinbem='02' AND CL_COM&lt;'3.40'
         THEN 'N' 
          WHEN cfinbem='03' AND CL_SERV&gt;='3.40'
         THEN 'Y' 
         WHEN cfinbem='03' AND CL_SERV&lt;'3.40'
         THEN 'N'
          WHEN cfinbem IN ('04','05')
         THEN 'N'
         else 'N'
         END AS valor_simulado,
    cdisconf,
    cfinbem,
    CD_REPARTICAO_FIN,
    CL_COM,
    CL_HAB,
    CL_IND,
    CL_SERV
FROM 
(SELECT prtctn_id,
        prm_lctn as valor_it
FROM bu_loantape_work.lt004_protection
WHERE ref_date='${ref_date}'
    AND nome_perimetro='Individual Corporativo'
    AND segmento='ESTR'
    AND ambito='PM') AS LT004
LEFT JOIN
(SELECT ckbalbem,
        ckctabem,
        ckrefbem,
        trim (cfinbem) as cfinbem,
        cdisconf
FROM cd_garantias.gt009_bens_imov
WHERE ref_date='${ref_date}') AS gt009
on prtctn_id=concat('I_', CKBALBEM, '_', CKCTABEM, '_', CKREFBEM)
LEFT JOIN
(SELECT TAYD91C0_CELEMTAB,
			TAYD91C0_NELEMC10 AS CD_REPARTICAO_FIN
	FROM CD_ESTRUTURAIS.TAT91_TABELAS 
	WHERE TAYD91C0_CTABELA='J48'
		AND DATA_DATE_PART IN ( SELECT MAX(DATA_DATE_PART) FROM  CD_ESTRUTURAIS.TAT91_TABELAS  WHERE TAYD91C0_CTABELA='J48' AND DATA_DATE_PART &lt;='${ref_date}') -- PERMITE DEVOLVER REGISTOS PARA A ULTIMA DATA UTIL ANTERIOR À DATA DE REFERENCIA
	) AS TAT_J48
	ON GT009.CDISCONF=TAT_J48.TAYD91C0_CELEMTAB
LEFT JOIN
	(SELECT TAYD91C0_CELEMTAB,
		   trim(SUBSTR(TAYD91C0_NELEMC11,5,4)) as CL_HAB,
			trim(SUBSTR(TAYD91C0_NELEMC12,5,4)) AS CL_COM,
			trim(SUBSTR(TAYD91C0_NELEMC13,5,4)) AS CL_IND,
			trim(SUBSTR(TAYD91C0_NELEMC14,5,4)) AS CL_SERV
	FROM CD_ESTRUTURAIS.TAT91_TABELAS
	WHERE TAYD91C0_CTABELA='162'
		AND DATA_DATE_PART IN ( SELECT MAX(DATA_DATE_PART) FROM  CD_ESTRUTURAIS.tat91_tabelas  WHERE TAYD91C0_CTABELA='162' AND DATA_DATE_PART &lt;='${ref_date}')
	) AS TAT_162
	ON TAT_J48.CD_REPARTICAO_FIN=TAT_162.TAYD91C0_CELEMTAB
) as base
WHERE 1=1 
    AND valor_it &lt;&gt; valor_simulado 
    ;</t>
  </si>
  <si>
    <t>SELECT substr(prtctn_id,1,1), valor_it, count(*)
FROM 
(SELECT prtctn_id,
    valor_it,
    CASE WHEN substr(prtctn_id,1,1)&lt;&gt;'I'
         THEN 'N/A'
         WHEN cfinbem IN ('01','06','07','08') AND CL_HAB&gt;='3.40'
         THEN 'Y'
         WHEN cfinbem IN ('01','06','07','08') AND CL_HAB&lt;'3.40'
         THEN 'N'
         WHEN cfinbem='02' AND CL_COM&gt;='3.40'
         THEN 'Y' 
         WHEN cfinbem='02' AND CL_COM&lt;'3.40'
         THEN 'N' 
          WHEN cfinbem='03' AND CL_SERV&gt;='3.40'
         THEN 'Y' 
         WHEN cfinbem='03' AND CL_SERV&lt;'3.40'
         THEN 'N'
          WHEN cfinbem IN ('04','05') AND CL_IND&gt;='3.40'
         THEN 'Y'
         WHEN cfinbem IN ('04','05') AND CL_IND&lt;'3.40'
         THEN 'N'
         else 'MISS'
         END AS valor_simulado,
    cdisconf,
    cfinbem,
    CD_REPARTICAO_FIN,
    CL_COM,
    CL_HAB,
    CL_IND,
    CL_SERV
FROM 
(SELECT prtctn_id,
        prm_lctn as valor_it
FROM bu_loantape_work.lt004_protection
WHERE ref_date='${date}'
    AND nome_perimetro='Individual Corporativo'
    AND segmento='ESTR'
    AND ambito='PM') AS LT004
LEFT JOIN
(SELECT ckbalbem,
        ckctabem,
        ckrefbem,
        trim (cfinbem) as cfinbem,
        cdisconf
FROM cd_garantias.gt009_bens_imov
WHERE ref_date='${date}') AS gt009
on prtctn_id=concat('I_', CKBALBEM, '_', CKCTABEM, '_', CKREFBEM)
LEFT JOIN
(SELECT tayd91c0_celemtab,
        tayd91c0_nelemc10 AS CD_REPARTICAO_FIN
FROM cd_estruturais.tat91_tabelas 
WHERE tayd91c0_ctabela='J48'
    AND data_date_part IN (SELECT MAX(data_date_part)
    from cd_estruturais.tat91_tabelas where data_date_part &lt;= '${date}' and tayd91c0_ctabela= 'J48'
)) AS TAT_J48
ON gt009.cdisconf=TAT_J48.tayd91c0_celemtab
LEFT JOIN
(SELECT tayd91c0_celemtab,
       trim(SUBSTR(TAYD91C0_NELEMC11,5,4)) as CL_HAB,
        trim(SUBSTR(TAYD91C0_NELEMC12,5,4)) AS CL_COM,
        trim(SUBSTR(TAYD91C0_NELEMC13,5,4)) AS CL_IND,
        trim(SUBSTR(TAYD91C0_NELEMC14,5,4)) AS CL_SERV
FROM cd_estruturais.tat91_tabelas
WHERE tayd91c0_ctabela='162'
    AND data_date_part IN (SELECT MAX(data_date_part)
    from cd_estruturais.tat91_tabelas where data_date_part &lt;= '${date}' and tayd91c0_ctabela= '162'
)) AS TAT_162
ON TAT_J48.CD_REPARTICAO_FIN=TAT_162.tayd91c0_celemtab
) as base
GROUP BY 1,2</t>
  </si>
  <si>
    <t>"Prime location according to bank-internal definition  (Y/N)" should match the information on the Codelist</t>
  </si>
  <si>
    <t>SELECT prm_lctn,
    COUNT(*)
FROM bu_loantape_work.lt004_protection
WHERE ref_date='${date}'
    AND nome_perimetro='Individual Corporativo'
    AND segmento='ESTR'
    AND ambito='PM'
GROUP BY prm_lctn</t>
  </si>
  <si>
    <t>3 casos que não cruzam com GT018 - IT vai alterar o Universo da LT para a GT018 em vez das tabelas do modelo base</t>
  </si>
  <si>
    <t>SELECT *
FROM 
(SELECT prtctn_id,
    valor_it,
    CASE WHEN substr(prtctn_id,1,1)&lt;&gt;'I'
         THEN 'N/A'
         WHEN cfinbem IN ('','01','06','07','08') AND CL_HAB&gt;='3.40'
         THEN 'Y'
         WHEN cfinbem IN ('','01','06','07','08') AND CL_HAB&lt;'3.40'
         THEN 'N'
         WHEN cfinbem is NULL AND CL_HAB&gt;='3.40'
         THEN 'Y'
         WHEN cfinbem is NULL AND CL_HAB &lt; '3.40'
         THEN 'N'
         WHEN cfinbem='02' AND CL_COM&gt;='3.40'
         THEN 'Y' 
         WHEN cfinbem='02' AND CL_COM&lt;'3.40'
         THEN 'N' 
          WHEN cfinbem='03' AND CL_SERV&gt;='3.40'
         THEN 'Y' 
         WHEN cfinbem='03' AND CL_SERV&lt;'3.40'
         THEN 'N'
          WHEN cfinbem IN ('04','05')
         THEN 'N'
         else 'N'
         END AS valor_simulado,
    cdisconf,
    cfinbem,
    CD_REPARTICAO_FIN,
    CL_COM,
    CL_HAB,
    CL_IND,
    CL_SERV, typ_prtctn
FROM 
(SELECT prtctn_id,
        prm_lctn as valor_it, typ_prtctn
FROM bu_loantape_work.lt004_protection
WHERE ref_date='${ref_date}'
    AND nome_perimetro='Individual Corporativo'
    AND segmento='ESTR'
    AND ambito='PM') AS LT004
LEFT JOIN
(SELECT ckbalbem,
        ckctabem,
        ckrefbem,
        trim (cfinbem) as cfinbem,
        cdisconf
FROM cd_garantias.gt009_bens_imov
WHERE ref_date='${ref_date}') AS gt009
on prtctn_id=concat('I_', CKBALBEM, '_', CKCTABEM, '_', CKREFBEM)
LEFT JOIN
(SELECT TAYD91C0_CELEMTAB,
			TAYD91C0_NELEMC10 AS CD_REPARTICAO_FIN
	FROM CD_ESTRUTURAIS.TAT91_TABELAS 
	WHERE TAYD91C0_CTABELA='J48'
		AND DATA_DATE_PART IN ( SELECT MAX(DATA_DATE_PART) FROM  CD_ESTRUTURAIS.TAT91_TABELAS  WHERE TAYD91C0_CTABELA='J48' AND DATA_DATE_PART &lt;='${ref_date}') -- PERMITE DEVOLVER REGISTOS PARA A ULTIMA DATA UTIL ANTERIOR À DATA DE REFERENCIA
	) AS TAT_J48
	ON GT009.CDISCONF=TAT_J48.TAYD91C0_CELEMTAB
LEFT JOIN
	(SELECT TAYD91C0_CELEMTAB,
		   trim(SUBSTR(TAYD91C0_NELEMC11,5,4)) as CL_HAB,
			trim(SUBSTR(TAYD91C0_NELEMC12,5,4)) AS CL_COM,
			trim(SUBSTR(TAYD91C0_NELEMC13,5,4)) AS CL_IND,
			trim(SUBSTR(TAYD91C0_NELEMC14,5,4)) AS CL_SERV
	FROM CD_ESTRUTURAIS.TAT91_TABELAS
	WHERE TAYD91C0_CTABELA='162'
		AND DATA_DATE_PART IN ( SELECT MAX(DATA_DATE_PART) FROM  CD_ESTRUTURAIS.tat91_tabelas  WHERE TAYD91C0_CTABELA='162' AND DATA_DATE_PART &lt;='${ref_date}')
	) AS TAT_162
	ON TAT_J48.CD_REPARTICAO_FIN=TAT_162.TAYD91C0_CELEMTAB
) as base
WHERE 1=1 
       AND typ_prtctn NOT IN ('8','9','10')
    AND VALOR_SIMULADO &lt;&gt; 'N/A'</t>
  </si>
  <si>
    <t>SELECT *
FROM 
(SELECT prtctn_id,
    valor_it,
    CASE WHEN substr(prtctn_id,1,1)&lt;&gt;'I'
         THEN 'N/A'
         WHEN cfinbem IN ('','01','06','07','08') AND CL_HAB&gt;='3.40'
         THEN 'Y'
         WHEN cfinbem IN ('','01','06','07','08') AND CL_HAB&lt;'3.40'
         THEN 'N'
         WHEN cfinbem is NULL AND CL_HAB&gt;='3.40'
         THEN 'Y'
         WHEN cfinbem is NULL AND CL_HAB &lt; '3.40'
         THEN 'N'
         WHEN cfinbem='02' AND CL_COM&gt;='3.40'
         THEN 'Y' 
         WHEN cfinbem='02' AND CL_COM&lt;'3.40'
         THEN 'N' 
          WHEN cfinbem='03' AND CL_SERV&gt;='3.40'
         THEN 'Y' 
         WHEN cfinbem='03' AND CL_SERV&lt;'3.40'
         THEN 'N'
          WHEN cfinbem IN ('04','05')
         THEN 'N'
         else 'N'
         END AS valor_simulado,
    cdisconf,
    cfinbem,
    CD_REPARTICAO_FIN,
    CL_COM,
    CL_HAB,
    CL_IND,
    CL_SERV, typ_prtctn
FROM 
(SELECT prtctn_id,
        prm_lctn as valor_it, typ_prtctn
FROM bu_loantape_work.lt004_protection
WHERE ref_date='${ref_date}'
    AND nome_perimetro='Individual Corporativo'
    AND segmento='ESTR'
    AND ambito='PM') AS LT004
LEFT JOIN
(SELECT ckbalbem,
        ckctabem,
        ckrefbem,
        trim (cfinbem) as cfinbem,
        cdisconf
FROM cd_garantias.gt009_bens_imov
WHERE ref_date='${ref_date}') AS gt009
on prtctn_id=concat('I_', CKBALBEM, '_', CKCTABEM, '_', CKREFBEM)
LEFT JOIN
(SELECT TAYD91C0_CELEMTAB,
			TAYD91C0_NELEMC10 AS CD_REPARTICAO_FIN
	FROM CD_ESTRUTURAIS.TAT91_TABELAS 
	WHERE TAYD91C0_CTABELA='J48'
		AND DATA_DATE_PART IN ( SELECT MAX(DATA_DATE_PART) FROM  CD_ESTRUTURAIS.TAT91_TABELAS  WHERE TAYD91C0_CTABELA='J48' AND DATA_DATE_PART &lt;='${ref_date}') -- PERMITE DEVOLVER REGISTOS PARA A ULTIMA DATA UTIL ANTERIOR À DATA DE REFERENCIA
	) AS TAT_J48
	ON GT009.CDISCONF=TAT_J48.TAYD91C0_CELEMTAB
LEFT JOIN
	(SELECT TAYD91C0_CELEMTAB,
		   trim(SUBSTR(TAYD91C0_NELEMC11,5,4)) as CL_HAB,
			trim(SUBSTR(TAYD91C0_NELEMC12,5,4)) AS CL_COM,
			trim(SUBSTR(TAYD91C0_NELEMC13,5,4)) AS CL_IND,
			trim(SUBSTR(TAYD91C0_NELEMC14,5,4)) AS CL_SERV
	FROM CD_ESTRUTURAIS.TAT91_TABELAS
	WHERE TAYD91C0_CTABELA='162'
		AND DATA_DATE_PART IN ( SELECT MAX(DATA_DATE_PART) FROM  CD_ESTRUTURAIS.tat91_tabelas  WHERE TAYD91C0_CTABELA='162' AND DATA_DATE_PART &lt;='${ref_date}')
	) AS TAT_162
	ON TAT_J48.CD_REPARTICAO_FIN=TAT_162.TAYD91C0_CELEMTAB
) as base
WHERE 1=1 
       AND typ_prtctn IN ('8','9','10')
    AND VALOR_SIMULADO = 'N/A'</t>
  </si>
  <si>
    <t>Select prtctn_id, dt_lst_fll_apprsl, dt_lst_fll_apprsl_simulado, dt_orgnl_prtctn_vl
FROM
(
SELECT LT004.prtctn_id, 
        LT004.dt_lst_fll_apprsl, 
        CASE WHEN LT004.prtctn_id LIKE 'F%' OR LT004.prtctn_id LIKE 'P%' THEN '1111-11-11'
            WHEN LT004.prtctn_id LIKE 'I%'THEN dt_lst_fll_apprsl_simulado
            ELSE '0000-00-00'
            END as dt_lst_fll_apprsl_simulado,
        dt_orgnl_prtctn_vl
FROM
(SELECT prtctn_id, dt_lst_fll_apprsl, dt_prtctn_vl, dt_orgnl_prtctn_vl
FROM bu_loantape_work.lt004_protection 
WHERE ref_date='${date}' 
    AND nome_perimetro='Individual Corporativo' 
    AND segmento='ESTR' 
    AND ambito='PM') LT004
LEFT JOIN
(SELECT max(davalia) as dt_lst_fll_apprsl_simulado, CONCAT('I_', CKBALBEM, '_', CKCTABEM, '_', CKREFBEM) AS prtctn_id
FROM cd_garantias.gt011_avalc_imov
WHERE 1=1 
AND ref_date='${date}'
AND (
(CTIPREAVL = 'A' AND CORAVGP = 'G39') 
OR CORAVGP='G26')
-- AND CONCAT('I_', CKBALBEM, '_', CKCTABEM, '_', CKREFBEM)='I_0840_14748130000_000000000000000'
GROUP BY 2
) GT011
ON LT004.prtctn_id = GT011.prtctn_id
) X
Where dt_lst_fll_apprsl_simulado &gt;= dt_orgnl_prtctn_vl
AND dt_lst_fll_apprsl &lt;&gt; dt_lst_fll_apprsl_simulado</t>
  </si>
  <si>
    <t>"Date of last full appraisal" must have a Date format (yyyy-mm-dd)</t>
  </si>
  <si>
    <t xml:space="preserve">Select prtctn_id, dt_lst_fll_apprsl, dt_lst_fll_apprsl_simulado, dt_orgnl_prtctn_vl
FROM
(
SELECT LT004.prtctn_id, 
        LT004.dt_lst_fll_apprsl, 
        CASE WHEN LT004.prtctn_id LIKE 'F%' OR LT004.prtctn_id LIKE 'P%' THEN '1111-11-11'
            WHEN LT004.prtctn_id LIKE 'I%'THEN dt_lst_fll_apprsl_simulado
            ELSE '0000-00-00'
            END as dt_lst_fll_apprsl_simulado,
        dt_orgnl_prtctn_vl
FROM
(SELECT prtctn_id, dt_lst_fll_apprsl, dt_prtctn_vl, dt_orgnl_prtctn_vl
FROM bu_loantape_work.lt004_protection 
WHERE ref_date='${date}' 
    AND nome_perimetro='Individual Corporativo' 
    AND segmento='ESTR' 
    AND ambito='PM') LT004
LEFT JOIN
(SELECT max(davalia) as dt_lst_fll_apprsl_simulado, CONCAT('I_', CKBALBEM, '_', CKCTABEM, '_', CKREFBEM) AS prtctn_id
FROM cd_garantias.gt011_avalc_imov
WHERE 1=1 
AND ref_date='${date}'
AND (
(CTIPREAVL = 'A' AND CORAVGP = 'G39') 
OR CORAVGP='G26')
-- AND CONCAT('I_', CKBALBEM, '_', CKCTABEM, '_', CKREFBEM)='I_0840_14748130000_000000000000000'
GROUP BY 2
) GT011
ON LT004.prtctn_id = GT011.prtctn_id
) X
Where dt_lst_fll_apprsl &gt;= dt_orgnl_prtctn_vl
AND substring(dt_lst_fll_apprsl,5,1) &lt;&gt; '-' or substring(dt_lst_fll_apprsl,8,1) &lt;&gt; '-'
AND length(dt_lst_fll_apprsl) &lt;&gt; 10
;
</t>
  </si>
  <si>
    <t>"Date of last full appraisal" must be later than 01 January 1970</t>
  </si>
  <si>
    <t>41 casos em que  a dt aparece 0001-01-01  - Erro de Data Quality de Leasings que está a ser endereçado pelo Alexandre Esteves e estará resolvido em Janeiro de 2025</t>
  </si>
  <si>
    <t xml:space="preserve">Select prtctn_id, dt_lst_fll_apprsl, dt_lst_fll_apprsl_simulado, dt_orgnl_prtctn_vl
FROM
(
SELECT LT004.prtctn_id, 
        LT004.dt_lst_fll_apprsl, 
        CASE WHEN LT004.prtctn_id LIKE 'F%' OR LT004.prtctn_id LIKE 'P%' THEN '1111-11-11'
            WHEN LT004.prtctn_id LIKE 'I%'THEN dt_lst_fll_apprsl_simulado
            ELSE '0000-00-00'
            END as dt_lst_fll_apprsl_simulado,
        dt_orgnl_prtctn_vl
FROM
(SELECT prtctn_id, dt_lst_fll_apprsl, dt_prtctn_vl, dt_orgnl_prtctn_vl
FROM bu_loantape_work.lt004_protection 
WHERE ref_date='${date}' 
    AND nome_perimetro='Individual Corporativo' 
    AND segmento='ESTR' 
    AND ambito='PM') LT004
LEFT JOIN
(SELECT max(davalia) as dt_lst_fll_apprsl_simulado, CONCAT('I_', CKBALBEM, '_', CKCTABEM, '_', CKREFBEM) AS prtctn_id
FROM cd_garantias.gt011_avalc_imov
WHERE 1=1 
AND ref_date='${date}'
AND (
(CTIPREAVL = 'A' AND CORAVGP = 'G39') 
OR CORAVGP='G26')
-- AND CONCAT('I_', CKBALBEM, '_', CKCTABEM, '_', CKREFBEM)='I_0840_14748130000_000000000000000'
GROUP BY 2
) GT011
ON LT004.prtctn_id = GT011.prtctn_id
) X
Where dt_lst_fll_apprsl &gt;= dt_orgnl_prtctn_vl
AND dt_lst_fll_apprsl &lt; '1970-01-01'
AND dt_lst_fll_apprsl &lt;&gt;'1111-11-11'
;
</t>
  </si>
  <si>
    <t>"Date of last full appraisal" must be greater or equal to the "Date of the appraisal previous to the most recent one available, i.e. previous to the last full appraisal (field DT_LST_FLL_APPRSL)."</t>
  </si>
  <si>
    <t xml:space="preserve">Select prtctn_id, dt_lst_fll_apprsl, dt_lst_fll_apprsl_simulado, dt_orgnl_prtctn_vl, DT_APPRSL_PRVS
FROM
(
SELECT LT004.prtctn_id, 
        LT004.dt_lst_fll_apprsl, 
        CASE WHEN LT004.prtctn_id LIKE 'F%' OR LT004.prtctn_id LIKE 'P%' THEN '1111-11-11'
            WHEN LT004.prtctn_id LIKE 'I%'THEN dt_lst_fll_apprsl_simulado
            ELSE '0000-00-00'
            END as dt_lst_fll_apprsl_simulado, 
        dt_orgnl_prtctn_vl, DT_APPRSL_PRVS
FROM
(SELECT prtctn_id, dt_lst_fll_apprsl, dt_prtctn_vl, dt_orgnl_prtctn_vl, DT_APPRSL_PRVS
FROM bu_loantape_work.lt004_protection 
WHERE ref_date='${date}' 
    AND nome_perimetro='Individual Corporativo' 
    AND segmento='ESTR' 
    AND ambito='PM') LT004
LEFT JOIN
(SELECT max(davalia) as dt_lst_fll_apprsl_simulado, CONCAT('I_', CKBALBEM, '_', CKCTABEM, '_', CKREFBEM) AS prtctn_id
FROM cd_garantias.gt011_avalc_imov
WHERE 1=1 
AND ref_date='${date}'
AND (
(CTIPREAVL = 'A' AND CORAVGP = 'G39') 
OR CORAVGP='G26')
-- AND CONCAT('I_', CKBALBEM, '_', CKCTABEM, '_', CKREFBEM)='I_0840_14748130000_000000000000000'
GROUP BY 2
) GT011
ON LT004.prtctn_id = GT011.prtctn_id
) X
Where dt_lst_fll_apprsl &gt;= dt_orgnl_prtctn_vl
AND dt_lst_fll_apprsl &lt; DT_APPRSL_PRVS
;
</t>
  </si>
  <si>
    <t>Select prtctn_id, dt_lst_fll_apprsl, dt_lst_fll_apprsl_simulado, dt_orgnl_prtctn_vl, REF_DATE
FROM
(
SELECT LT004.prtctn_id, 
        LT004.dt_lst_fll_apprsl, 
        CASE WHEN LT004.prtctn_id LIKE 'F%' OR LT004.prtctn_id LIKE 'P%' THEN '1111-11-11'
            WHEN LT004.prtctn_id LIKE 'I%'THEN dt_lst_fll_apprsl_simulado
            ELSE '0000-00-00'
            END as dt_lst_fll_apprsl_simulado, 
        dt_orgnl_prtctn_vl, REF_DATE
FROM
(SELECT prtctn_id, dt_lst_fll_apprsl, dt_prtctn_vl, dt_orgnl_prtctn_vl, REF_DATE
FROM bu_loantape_work.lt004_protection 
WHERE ref_date='${date}' 
    AND nome_perimetro='Individual Corporativo' 
    AND segmento='ESTR' 
    AND ambito='PM') LT004
LEFT JOIN
(SELECT max(davalia) as dt_lst_fll_apprsl_simulado, CONCAT('I_', CKBALBEM, '_', CKCTABEM, '_', CKREFBEM) AS prtctn_id
FROM cd_garantias.gt011_avalc_imov
WHERE 1=1 
AND ref_date='${date}'
AND (
(CTIPREAVL = 'A' AND CORAVGP = 'G39') 
OR CORAVGP='G26')
-- AND CONCAT('I_', CKBALBEM, '_', CKCTABEM, '_', CKREFBEM)='I_0840_14748130000_000000000000000'
GROUP BY 2
) GT011
ON LT004.prtctn_id = GT011.prtctn_id
) X
Where dt_lst_fll_apprsl &gt;= dt_orgnl_prtctn_vl
AND dt_lst_fll_apprsl &gt; REF_DATE
;</t>
  </si>
  <si>
    <t>SELECT prtctn_id, dt_apprsl_prvs, dt_apprsl_prvs_simulacao, dt_orgnl_prtctn_vl, davalia
FROM
(
SELECT  LT004.prtctn_id, 
        dt_apprsl_prvs, 
        CASE WHEN prtctn_id NOT LIKE 'I%' THEN '1111-11-11' 
             WHEN prtctn_id_GT011 IS NULL THEN '1111-11-11' -- garantia com apenas 1 avaliação completa
             WHEN prtctn_id_GT011 IS NOT NULL THEN davalia 
        ELSE '0000-00-00'
        END AS dt_apprsl_prvs_simulacao, dt_orgnl_prtctn_vl, davalia
FROM
        (SELECT prtctn_id, dt_apprsl_prvs, typ_prtctn, dt_orgnl_prtctn_vl
        FROM bu_loantape_work.lt004_protection 
        WHERE ref_date='${date}' 
            AND nome_perimetro='Individual Corporativo' 
            AND segmento='ESTR' 
            AND ambito='PM'
        ) LT004
    LEFT JOIN
        (SELECT prtctn_id_GT011, davalia, ranking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   AND prtctn_id_GT011 ='I_0080_13019640000_000000000000000'
        )GT011
    ON LT004.prtctn_id = GT011.prtctn_id_GT011
   )X 
   Where 1=1
  AND davalia &gt;= dt_orgnl_prtctn_vl 
  AND dt_apprsl_prvs &lt;&gt; dt_apprsl_prvs_simulacao</t>
  </si>
  <si>
    <t>SELECT prtctn_id, dt_apprsl_prvs, dt_apprsl_prvs_simulacao, dt_orgnl_prtctn_vl, davalia
FROM
(
SELECT  LT004.prtctn_id, 
        dt_apprsl_prvs, 
        CASE WHEN prtctn_id NOT LIKE 'I%' THEN '1111-11-11' 
             WHEN prtctn_id_GT011 IS NULL THEN '1111-11-11' -- garantia com apenas 1 avaliação completa
             WHEN prtctn_id_GT011 IS NOT NULL THEN davalia 
        ELSE '0000-00-00'
        END AS dt_apprsl_prvs_simulacao, dt_orgnl_prtctn_vl, davalia
FROM
        (SELECT prtctn_id, dt_apprsl_prvs, typ_prtctn, dt_orgnl_prtctn_vl
        FROM bu_loantape_work.lt004_protection 
        WHERE ref_date='${date}' 
            AND nome_perimetro='Individual Corporativo' 
            AND segmento='ESTR' 
            AND ambito='PM'
        ) LT004
    LEFT JOIN
        (SELECT prtctn_id_GT011, davalia, ranking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   AND prtctn_id_GT011 ='I_0080_13019640000_000000000000000'
        )GT011
    ON LT004.prtctn_id = GT011.prtctn_id_GT011
   )X 
   Where 1=1
  AND davalia &gt;= dt_orgnl_prtctn_vl 
  AND substring(dt_apprsl_prvs,5,1) &lt;&gt; '-' or substring(dt_apprsl_prvs,8,1) &lt;&gt; '-'
  AND length(dt_apprsl_prvs) &lt;&gt; 10</t>
  </si>
  <si>
    <t>SELECT prtctn_id, dt_apprsl_prvs, dt_apprsl_prvs_simulacao, dt_orgnl_prtctn_vl, davalia
FROM
(
SELECT  LT004.prtctn_id, 
        dt_apprsl_prvs, 
        CASE WHEN prtctn_id NOT LIKE 'I%' THEN '1111-11-11' 
             WHEN prtctn_id_GT011 IS NULL THEN '1111-11-11' -- garantia com apenas 1 avaliação completa
             WHEN prtctn_id_GT011 IS NOT NULL THEN davalia 
        ELSE '0000-00-00'
        END AS dt_apprsl_prvs_simulacao, dt_orgnl_prtctn_vl, davalia
FROM
        (SELECT prtctn_id, dt_apprsl_prvs, typ_prtctn, dt_orgnl_prtctn_vl
        FROM bu_loantape_work.lt004_protection 
        WHERE ref_date='${date}' 
            AND nome_perimetro='Individual Corporativo' 
            AND segmento='ESTR' 
            AND ambito='PM'
        ) LT004
    LEFT JOIN
        (SELECT prtctn_id_GT011, davalia, ranking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   AND prtctn_id_GT011 ='I_0080_13019640000_000000000000000'
        )GT011
    ON LT004.prtctn_id = GT011.prtctn_id_GT011
   )X 
   Where 1=1
  AND davalia &gt;= dt_orgnl_prtctn_vl 
  AND dt_apprsl_prvs &lt; '1970-01-01'</t>
  </si>
  <si>
    <t>SELECT prtctn_id, dt_apprsl_prvs, dt_apprsl_prvs_simulacao, dt_orgnl_prtctn_vl, davalia,REF_DATE
FROM
(
SELECT  LT004.prtctn_id, 
        dt_apprsl_prvs, 
        CASE WHEN prtctn_id NOT LIKE 'I%' THEN '1111-11-11' 
             WHEN prtctn_id_GT011 IS NULL THEN '1111-11-11' -- garantia com apenas 1 avaliação completa
             WHEN prtctn_id_GT011 IS NOT NULL THEN davalia 
        ELSE '0000-00-00'
        END AS dt_apprsl_prvs_simulacao, dt_orgnl_prtctn_vl, davalia,REF_DATE
FROM
        (SELECT prtctn_id, dt_apprsl_prvs, typ_prtctn, dt_orgnl_prtctn_vl,REF_DATE
        FROM bu_loantape_work.lt004_protection 
        WHERE ref_date='${date}' 
            AND nome_perimetro='Individual Corporativo' 
            AND segmento='ESTR' 
            AND ambito='PM'
        ) LT004
    LEFT JOIN
        (SELECT prtctn_id_GT011, davalia, ranking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   AND prtctn_id_GT011 ='I_0080_13019640000_000000000000000'
        )GT011
    ON LT004.prtctn_id = GT011.prtctn_id_GT011
   )X 
   Where 1=1
  AND davalia &gt;= dt_orgnl_prtctn_vl 
  AND dt_apprsl_prvs &gt; REF_DATE</t>
  </si>
  <si>
    <t>SELECT prtctn_id, dt_apprsl_prvs, dt_apprsl_prvs_simulacao, dt_orgnl_prtctn_vl, davalia,REF_DATE
FROM
(
SELECT  LT004.prtctn_id, 
        dt_apprsl_prvs, 
        CASE WHEN prtctn_id NOT LIKE 'I%' THEN '1111-11-11' 
             WHEN prtctn_id_GT011 IS NULL THEN '1111-11-11' -- garantia com apenas 1 avaliação completa
             WHEN prtctn_id_GT011 IS NOT NULL THEN davalia 
        ELSE '0000-00-00'
        END AS dt_apprsl_prvs_simulacao, dt_orgnl_prtctn_vl, davalia,REF_DATE
FROM
        (SELECT prtctn_id, dt_apprsl_prvs, typ_prtctn, dt_orgnl_prtctn_vl,REF_DATE
        FROM bu_loantape_work.lt004_protection 
        WHERE ref_date='${date}' 
            AND nome_perimetro='Individual Corporativo' 
            AND segmento='ESTR' 
            AND ambito='PM'
        ) LT004
    LEFT JOIN
        (SELECT prtctn_id_GT011, davalia, ranking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   AND prtctn_id_GT011 ='I_0080_13019640000_000000000000000'
        )GT011
    ON LT004.prtctn_id = GT011.prtctn_id_GT011
   )X 
   Where 1=1
  AND davalia &gt;= dt_orgnl_prtctn_vl 
  AND dt_apprsl_prvs &lt; dt_orgnl_prtctn_vl</t>
  </si>
  <si>
    <t>SELECT prtctn_id, dt_apprsl_prvs, dt_apprsl_prvs_simulacao, dt_orgnl_prtctn_vl, davalia, REF_DATE, dt_prtctn_vl
FROM
(
SELECT  LT004.prtctn_id, 
        dt_apprsl_prvs, 
        CASE WHEN prtctn_id NOT LIKE 'I%' THEN '1111-11-11' 
             WHEN prtctn_id_GT011 IS NULL THEN '1111-11-11' -- garantia com apenas 1 avaliação completa
             WHEN prtctn_id_GT011 IS NOT NULL THEN davalia 
        ELSE '0000-00-00'
        END AS dt_apprsl_prvs_simulacao, dt_orgnl_prtctn_vl, davalia,REF_DATE, dt_prtctn_vl
FROM
        (SELECT prtctn_id, dt_apprsl_prvs, typ_prtctn, dt_orgnl_prtctn_vl,REF_DATE, dt_prtctn_vl
        FROM bu_loantape_work.lt004_protection 
        WHERE ref_date='${date}' 
            AND nome_perimetro='Individual Corporativo' 
            AND segmento='ESTR' 
            AND ambito='PM'
        ) LT004
    LEFT JOIN
        (SELECT prtctn_id_GT011, davalia, ranking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   AND prtctn_id_GT011 ='I_0080_13019640000_000000000000000'
        )GT011
    ON LT004.prtctn_id = GT011.prtctn_id_GT011
   )X 
   Where 1=1
  AND davalia &gt;= dt_orgnl_prtctn_vl 
  AND dt_apprsl_prvs &gt; dt_prtctn_vl</t>
  </si>
  <si>
    <t xml:space="preserve">SELECT prtctn_id, dt_apprsl_prvs, dt_apprsl_prvs_simulacao, dt_orgnl_prtctn_vl, davalia, REF_DATE, dt_prtctn_vl
FROM
(
SELECT  LT004.prtctn_id, 
        dt_apprsl_prvs, 
        CASE WHEN prtctn_id NOT LIKE 'I%' THEN '1111-11-11' 
             WHEN prtctn_id_GT011 IS NULL THEN '1111-11-11' -- garantia com apenas 1 avaliação completa
             WHEN prtctn_id_GT011 IS NOT NULL THEN davalia 
        ELSE '0000-00-00'
        END AS dt_apprsl_prvs_simulacao, dt_orgnl_prtctn_vl, davalia,REF_DATE, dt_prtctn_vl
FROM
        (SELECT prtctn_id, dt_apprsl_prvs, typ_prtctn, dt_orgnl_prtctn_vl,REF_DATE, dt_prtctn_vl
        FROM bu_loantape_work.lt004_protection 
        WHERE ref_date='${date}' 
            AND nome_perimetro='Individual Corporativo' 
            AND segmento='ESTR' 
            AND ambito='PM'
        ) LT004
    LEFT JOIN
        (SELECT prtctn_id_GT011, davalia, ranking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   AND prtctn_id_GT011 ='I_0080_13019640000_000000000000000'
        )GT011
    ON LT004.prtctn_id = GT011.prtctn_id_GT011
   )X 
   Where 1=1
  AND davalia &gt;= dt_orgnl_prtctn_vl 
      AND prtctn_id LIKE 'P%'
     AND dt_apprsl_prvs &lt;&gt; '1111-11-11' </t>
  </si>
  <si>
    <t>SELECT prtctn_id, DT_ORGNL_PRTCTN_VL, ORGNL_PRTCTN_VL, DT_ORGNL_PRTCTN_VL_SIMULADO, ORGNL_PRTCTN_VL_SIMULADO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 AND CONCAT('I_',ckbalbem,'_', ckctabem, '_', ckrefbem)= 'I_0030_00430610001_000000000000000'
        ) GT018
    ON substring(prtctn_id,3)= CONCAT(ckbalbem,'_', ckctabem, '_', ckrefbem)
    AND CONCAT(cempresp, ckbalres, ckctares, ckrefresp) = Concat(CHMASTER.cempresa, CHMASTER.cbalcao, CHMASTER.cnumecta, CHMASTER.zdeposit)
) A
) A
WHERE RANKAVALIA = 1
AND CASE WHEN mavaliai_resp_bem IS NULL THEN RANKAVALIA = 0 ELSE RANKAVALIA = 1 END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LEFT JOIN
        (Select prtctn_id as prtctn_id_lt004, DT_ORGNL_PRTCTN_VL,ORGNL_PRTCTN_VL
        From bu_loantape_work.lt004_protection
        WHERE segmento = 'ESTR'
        AND nome_perimetro ='Individual Corporativo'
        AND ref_date='${date}'
        AND AMBITO = 'PM'
        ) lt004
ON D.prtctn_id = prtctn_id_lt004
Where 1=1 
AND ORGNL_PRTCTN_VL &lt;&gt; ORGNL_PRTCTN_VL_SIMULADO</t>
  </si>
  <si>
    <t>SELECT prtctn_id, DT_ORGNL_PRTCTN_VL, ORGNL_PRTCTN_VL, DT_ORGNL_PRTCTN_VL_SIMULADO, ORGNL_PRTCTN_VL_SIMULADO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 AND CONCAT('I_',ckbalbem,'_', ckctabem, '_', ckrefbem)= 'I_0030_00430610001_000000000000000'
        ) GT018
    ON substring(prtctn_id,3)= CONCAT(ckbalbem,'_', ckctabem, '_', ckrefbem)
    AND CONCAT(cempresp, ckbalres, ckctares, ckrefresp) = Concat(CHMASTER.cempresa, CHMASTER.cbalcao, CHMASTER.cnumecta, CHMASTER.zdeposit)
) A
) A
WHERE RANKAVALIA = 1
AND CASE WHEN mavaliai_resp_bem IS NULL THEN RANKAVALIA = 0 ELSE RANKAVALIA = 1 END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Where PRTCTN_ID = 'I_0030_00430610001_000000000000000'
) C
WHERE RANKRELACAO = 1
GROUP BY 1,2,3,4,5
) D
LEFT JOIN
        (Select prtctn_id as prtctn_id_lt004, DT_ORGNL_PRTCTN_VL,ORGNL_PRTCTN_VL
        From bu_loantape_work.lt004_protection
        WHERE segmento = 'ESTR'
        AND nome_perimetro ='Individual Corporativo'
        AND ref_date='${date}'
        AND AMBITO = 'PM'
        ) lt004
ON D.prtctn_id = prtctn_id_lt004
Where 1=1 
AND cast(ORGNL_PRTCTN_VL as VARCHAR) NOT LIKE '%.__'</t>
  </si>
  <si>
    <t>SELECT prtctn_id, DT_ORGNL_PRTCTN_VL, ORGNL_PRTCTN_VL, DT_ORGNL_PRTCTN_VL_SIMULADO, ORGNL_PRTCTN_VL_SIMULADO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 AND CONCAT('I_',ckbalbem,'_', ckctabem, '_', ckrefbem)= 'I_0030_00430610001_000000000000000'
        ) GT018
    ON substring(prtctn_id,3)= CONCAT(ckbalbem,'_', ckctabem, '_', ckrefbem)
    AND CONCAT(cempresp, ckbalres, ckctares, ckrefresp) = Concat(CHMASTER.cempresa, CHMASTER.cbalcao, CHMASTER.cnumecta, CHMASTER.zdeposit)
) A
) A
WHERE RANKAVALIA = 1
AND CASE WHEN mavaliai_resp_bem IS NULL THEN RANKAVALIA = 0 ELSE RANKAVALIA = 1 END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Where PRTCTN_ID = 'I_0030_00430610001_000000000000000'
) C
WHERE RANKRELACAO = 1
GROUP BY 1,2,3,4,5
) D
LEFT JOIN
        (Select prtctn_id as prtctn_id_lt004, DT_ORGNL_PRTCTN_VL,ORGNL_PRTCTN_VL
        From bu_loantape_work.lt004_protection
        WHERE segmento = 'ESTR'
        AND nome_perimetro ='Individual Corporativo'
        AND ref_date='${date}'
        AND AMBITO = 'PM'
        ) lt004
ON D.prtctn_id = prtctn_id_lt004
Where 1=1 
AND ORGNL_PRTCTN_VL &lt; 0</t>
  </si>
  <si>
    <t>15 casos com valor original da proteção a zero</t>
  </si>
  <si>
    <t>SELECT prtctn_id, DT_ORGNL_PRTCTN_VL, ORGNL_PRTCTN_VL, DT_ORGNL_PRTCTN_VL_SIMULADO, ORGNL_PRTCTN_VL_SIMULADO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 AND CONCAT('I_',ckbalbem,'_', ckctabem, '_', ckrefbem)= 'I_0030_00430610001_000000000000000'
        ) GT018
    ON substring(prtctn_id,3)= CONCAT(ckbalbem,'_', ckctabem, '_', ckrefbem)
    AND CONCAT(cempresp, ckbalres, ckctares, ckrefresp) = Concat(CHMASTER.cempresa, CHMASTER.cbalcao, CHMASTER.cnumecta, CHMASTER.zdeposit)
) A
) A
WHERE RANKAVALIA = 1
AND CASE WHEN mavaliai_resp_bem IS NULL THEN RANKAVALIA = 0 ELSE RANKAVALIA = 1 END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Where PRTCTN_ID = 'I_0030_00430610001_000000000000000'
) C
WHERE RANKRELACAO = 1
GROUP BY 1,2,3,4,5
) D
LEFT JOIN
        (Select prtctn_id as prtctn_id_lt004, DT_ORGNL_PRTCTN_VL,ORGNL_PRTCTN_VL
        From bu_loantape_work.lt004_protection
        WHERE segmento = 'ESTR'
        AND nome_perimetro ='Individual Corporativo'
        AND ref_date='${date}'
        AND AMBITO = 'PM'
        ) lt004
ON D.prtctn_id = prtctn_id_lt004
Where 1=1 
AND DT_ORGNL_PRTCTN_VL &lt;&gt; '1111-11-11'
AND ORGNL_PRTCTN_VL in (11111111111,0)</t>
  </si>
  <si>
    <t>SELECT prtctn_id, DT_ORGNL_PRTCTN_VL, ORGNL_PRTCTN_VL, DT_ORGNL_PRTCTN_VL_SIMULADO, ORGNL_PRTCTN_VL_SIMULADO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 AND CONCAT('I_',ckbalbem,'_', ckctabem, '_', ckrefbem)= 'I_0030_00430610001_000000000000000'
        ) GT018
    ON substring(prtctn_id,3)= CONCAT(ckbalbem,'_', ckctabem, '_', ckrefbem)
    AND CONCAT(cempresp, ckbalres, ckctares, ckrefresp) = Concat(CHMASTER.cempresa, CHMASTER.cbalcao, CHMASTER.cnumecta, CHMASTER.zdeposit)
) A
) A
WHERE RANKAVALIA = 1
AND CASE WHEN mavaliai_resp_bem IS NULL THEN RANKAVALIA = 0 ELSE RANKAVALIA = 1 END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Where PRTCTN_ID = 'I_0030_00430610001_000000000000000'
) C
WHERE RANKRELACAO = 1
GROUP BY 1,2,3,4,5
) D
LEFT JOIN
        (Select prtctn_id as prtctn_id_lt004, DT_ORGNL_PRTCTN_VL,ORGNL_PRTCTN_VL
        From bu_loantape_work.lt004_protection
        WHERE segmento = 'ESTR'
        AND nome_perimetro ='Individual Corporativo'
        AND ref_date='${date}'
        AND AMBITO = 'PM'
        ) lt004
ON D.prtctn_id = prtctn_id_lt004
Where 1=1 
AND DT_ORGNL_PRTCTN_VL = '1111-11-11'
AND ORGNL_PRTCTN_VL &lt;&gt; 11111111111</t>
  </si>
  <si>
    <t>SELECT prtctn_id, DT_ORGNL_PRTCTN_VL, ORGNL_PRTCTN_VL, DT_ORGNL_PRTCTN_VL_SIMULADO, ORGNL_PRTCTN_VL_SIMULADO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 AND CONCAT('I_',ckbalbem,'_', ckctabem, '_', ckrefbem)= 'I_0030_00430610001_000000000000000'
        ) GT018
    ON substring(prtctn_id,3)= CONCAT(ckbalbem,'_', ckctabem, '_', ckrefbem)
    AND CONCAT(cempresp, ckbalres, ckctares, ckrefresp) = Concat(CHMASTER.cempresa, CHMASTER.cbalcao, CHMASTER.cnumecta, CHMASTER.zdeposit)
) A
) A
WHERE RANKAVALIA = 1
AND CASE WHEN mavaliai_resp_bem IS NULL THEN RANKAVALIA = 0 ELSE RANKAVALIA = 1 END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Where PRTCTN_ID = 'I_0030_00430610001_000000000000000'
) C
WHERE RANKRELACAO = 1
GROUP BY 1,2,3,4,5
) D
LEFT JOIN
        (Select prtctn_id as prtctn_id_lt004, DT_ORGNL_PRTCTN_VL,ORGNL_PRTCTN_VL
        From bu_loantape_work.lt004_protection
        WHERE segmento = 'ESTR'
        AND nome_perimetro ='Individual Corporativo'
        AND ref_date='${date}'
        AND AMBITO = 'PM'
        ) lt004
ON D.prtctn_id = prtctn_id_lt004
Where 1=1 
AND prtctn_id LIKE 'P%'
AND ORGNL_PRTCTN_VL &lt;&gt; 11111111111</t>
  </si>
  <si>
    <t>SELECT * 
-- DISTINCT  off_blnc_sht_amnt_instrmnt_prvs, off_blnc_sht_amnt_instrmnt_prvs_simulacao
FROM
  (SELECT instrmnt_id,
          off_blnc_sht_amnt_instrmnt_prvs,
          DT_INCPTN &lt;= SUBSTR(cast(add_months(ref_date, -12) AS string), 1, 10) as val,
          SUM(-1*VALOR_BRUTO_OFF_PRVS) as cal,
          ROUND(nvl(CASE
                  WHEN instrmnt_id LIKE 'SNC%' THEN 11111111111
                  WHEN DT_INCPTN &gt; SUBSTR(cast(add_months(ref_date, -12) AS string), 1, 10) THEN 11111111111
                  WHEN DT_INCPTN &lt;= SUBSTR(cast(add_months(ref_date, -12) AS string), 1, 10) THEN SUM(-1*VALOR_BRUTO_OFF_PRVS)
              END, 99999999999),2) AS off_blnc_sht_amnt_instrmnt_prvs_simulacao,          dt_incptn,
          ref_date
   FROM
     (SELECT instrmnt_id,
             off_blnc_sht_amnt_instrmnt_prvs,
             dt_incptn,
             ref_date
      FROM bu_loantape_work.lt002_instrument
      WHERE segmento = 'ESTR'
        AND nome_perimetro ='Individual Corporativo'
        AND ref_date='${date}'
        AND AMBITO = 'PM'
        -- and instrmnt_id =   '82000020210000346001520240463187'
        ) LT002
   LEFT JOIN
     (SELECT CEMPRESA,
             CBALCAO,
             CNUMECTA,
             ZDEPOSIT,
             sum(valor_bruto_off_prvs) valor_bruto_off_prvs
      FROM bu_loantape_work.lt001_univ_oper
      WHERE segmento = 'ESTR'
        AND nome_perimetro ='Individual Corporativo'
        AND ref_date='${date}'
        AND AMBITO = 'PM'
        -- and CONCAT(CEMPRESA, CBALCAO, CNUMECTA, ZDEPOSIT) = '82000020210000346001520240463187'
      GROUP BY CEMPRESA,
               CBALCAO,
               CNUMECTA,
               ZDEPOSIT) LT001 ON INSTRMNT_ID = CONCAT(CEMPRESA, CBALCAO, CNUMECTA, ZDEPOSIT)
   GROUP BY dt_incptn,
            ref_date,
            DT_INCPTN &lt;= SUBSTR(cast(add_months(ref_date, -12) AS string), 1, 10),
            instrmnt_id,
            off_blnc_sht_amnt_instrmnt_prvs) X
WHERE round(off_blnc_sht_amnt_instrmnt_prvs,2) &lt;&gt; round(off_blnc_sht_amnt_instrmnt_prvs_simulacao,2) ;</t>
  </si>
  <si>
    <t>"Previous off-balance amount" should have a Format numeric (2 decimal places)</t>
  </si>
  <si>
    <t>SELECT * 
-- DISTINCT  off_blnc_sht_amnt_instrmnt_prvs, off_blnc_sht_amnt_instrmnt_prvs_simulacao
FROM
  (SELECT instrmnt_id,
          off_blnc_sht_amnt_instrmnt_prvs,
          DT_INCPTN &lt;= SUBSTR(cast(add_months(ref_date, -12) AS string), 1, 10) as val,
          SUM(-1*VALOR_BRUTO_OFF_PRVS) as cal,
          ROUND(nvl(CASE
                  WHEN instrmnt_id LIKE 'SNC%' THEN 11111111111
                  WHEN DT_INCPTN &gt; SUBSTR(cast(add_months(ref_date, -12) AS string), 1, 10) THEN 11111111111
                  WHEN DT_INCPTN &lt;= SUBSTR(cast(add_months(ref_date, -12) AS string), 1, 10) THEN SUM(-1*VALOR_BRUTO_OFF_PRVS)
              END, 99999999999),2) AS off_blnc_sht_amnt_instrmnt_prvs_simulacao,
          dt_incptn,
          ref_date
   FROM
     (SELECT instrmnt_id,
             off_blnc_sht_amnt_instrmnt_prvs,
             dt_incptn,
             ref_date
      FROM bu_loantape_work.lt002_instrument
      WHERE segmento = 'ESTR'
        AND nome_perimetro ='Individual Corporativo'
        AND ref_date='${date}'
        AND AMBITO = 'PM'
        -- and instrmnt_id =   '82000020210000346001520240463187'
        ) LT002
   LEFT JOIN
     (SELECT CEMPRESA,
             CBALCAO,
             CNUMECTA,
             ZDEPOSIT,
             sum(valor_bruto_off_prvs) valor_bruto_off_prvs
      FROM bu_loantape_work.lt001_univ_oper
      WHERE segmento = 'ESTR'
        AND nome_perimetro ='Individual Corporativo'
        AND ref_date='${date}'
        AND AMBITO = 'PM'
        -- and CONCAT(CEMPRESA, CBALCAO, CNUMECTA, ZDEPOSIT) = '82000020210000346001520240463187'
      GROUP BY CEMPRESA,
               CBALCAO,
               CNUMECTA,
               ZDEPOSIT) LT001 ON INSTRMNT_ID = CONCAT(CEMPRESA, CBALCAO, CNUMECTA, ZDEPOSIT)
   GROUP BY dt_incptn,
            ref_date,
            DT_INCPTN &lt;= SUBSTR(cast(add_months(ref_date, -12) AS string), 1, 10),
            instrmnt_id,
            off_blnc_sht_amnt_instrmnt_prvs) X
Where 1=1 
AND cast(off_blnc_sht_amnt_instrmnt_prvs as VARCHAR) LIKE '%.__'</t>
  </si>
  <si>
    <t>"Previous off-balance amount" shall be larger or equal to 0; Negative values trigger attention</t>
  </si>
  <si>
    <t>SELECT * 
-- DISTINCT  off_blnc_sht_amnt_instrmnt_prvs, off_blnc_sht_amnt_instrmnt_prvs_simulacao
FROM
  (SELECT instrmnt_id,
          off_blnc_sht_amnt_instrmnt_prvs,
          DT_INCPTN &lt;= SUBSTR(cast(add_months(ref_date, -12) AS string), 1, 10) as val,
          SUM(-1*VALOR_BRUTO_OFF_PRVS) as cal,
          ROUND(nvl(CASE
                  WHEN instrmnt_id LIKE 'SNC%' THEN 11111111111
                  WHEN DT_INCPTN &gt; SUBSTR(cast(add_months(ref_date, -12) AS string), 1, 10) THEN 11111111111
                  WHEN DT_INCPTN &lt;= SUBSTR(cast(add_months(ref_date, -12) AS string), 1, 10) THEN SUM(-1*VALOR_BRUTO_OFF_PRVS)
              END, 99999999999),2) AS off_blnc_sht_amnt_instrmnt_prvs_simulacao,
          dt_incptn,
          ref_date
   FROM
     (SELECT instrmnt_id,
             off_blnc_sht_amnt_instrmnt_prvs,
             dt_incptn,
             ref_date
      FROM bu_loantape_work.lt002_instrument
      WHERE segmento = 'ESTR'
        AND nome_perimetro ='Individual Corporativo'
        AND ref_date='${date}'
        AND AMBITO = 'PM'
        -- and instrmnt_id =   '82000020210000346001520240463187'
        ) LT002
   LEFT JOIN
     (SELECT CEMPRESA,
             CBALCAO,
             CNUMECTA,
             ZDEPOSIT,
             sum(valor_bruto_off_prvs) valor_bruto_off_prvs
      FROM bu_loantape_work.lt001_univ_oper
      WHERE segmento = 'ESTR'
        AND nome_perimetro ='Individual Corporativo'
        AND ref_date='${date}'
        AND AMBITO = 'PM'
        -- and CONCAT(CEMPRESA, CBALCAO, CNUMECTA, ZDEPOSIT) = '82000020210000346001520240463187'
      GROUP BY CEMPRESA,
               CBALCAO,
               CNUMECTA,
               ZDEPOSIT) LT001 ON INSTRMNT_ID = CONCAT(CEMPRESA, CBALCAO, CNUMECTA, ZDEPOSIT)
   GROUP BY dt_incptn,
            ref_date,
            DT_INCPTN &lt;= SUBSTR(cast(add_months(ref_date, -12) AS string), 1, 10),
            instrmnt_id,
            off_blnc_sht_amnt_instrmnt_prvs) X
Where 1=1 
AND off_blnc_sht_amnt_instrmnt_prvs &lt; 0</t>
  </si>
  <si>
    <t>If "Date of inception" is less than one year in the past (compared to "Reference date") and product type is other than uncommited overdraft, then "Previous off-balance amount" should be populated with default values.</t>
  </si>
  <si>
    <t xml:space="preserve">SELECT * 
-- DISTINCT  off_blnc_sht_amnt_instrmnt_prvs, off_blnc_sht_amnt_instrmnt_prvs_simulacao
FROM
  (SELECT instrmnt_id,
          off_blnc_sht_amnt_instrmnt_prvs,
          DT_INCPTN &lt;= SUBSTR(cast(add_months(ref_date, -12) AS string), 1, 10) as val,
          SUM(-1*VALOR_BRUTO_OFF_PRVS) as cal,
          ROUND(nvl(CASE
                  WHEN instrmnt_id LIKE 'SNC%' THEN 11111111111
                  WHEN DT_INCPTN &gt; SUBSTR(cast(add_months(ref_date, -12) AS string), 1, 10) THEN 11111111111
                  WHEN DT_INCPTN &lt;= SUBSTR(cast(add_months(ref_date, -12) AS string), 1, 10) THEN SUM(-1*VALOR_BRUTO_OFF_PRVS)
              END, 99999999999),2) AS off_blnc_sht_amnt_instrmnt_prvs_simulacao,
          dt_incptn,
          ref_date
   FROM
     (SELECT instrmnt_id,
             off_blnc_sht_amnt_instrmnt_prvs,
             dt_incptn,
             ref_date
      FROM bu_loantape_work.lt002_instrument
      WHERE segmento = 'ESTR'
        AND nome_perimetro ='Individual Corporativo'
        AND ref_date='${date}'
        AND AMBITO = 'PM'
        -- and instrmnt_id =   '82000020210000346001520240463187'
        ) LT002
   LEFT JOIN
     (SELECT CEMPRESA,
             CBALCAO,
             CNUMECTA,
             ZDEPOSIT,
             sum(valor_bruto_off_prvs) valor_bruto_off_prvs
      FROM bu_loantape_work.lt001_univ_oper
      WHERE segmento = 'ESTR'
        AND nome_perimetro ='Individual Corporativo'
        AND ref_date='${date}'
        AND AMBITO = 'PM'
        -- and CONCAT(CEMPRESA, CBALCAO, CNUMECTA, ZDEPOSIT) = '82000020210000346001520240463187'
      GROUP BY CEMPRESA,
               CBALCAO,
               CNUMECTA,
               ZDEPOSIT) LT001 ON INSTRMNT_ID = CONCAT(CEMPRESA, CBALCAO, CNUMECTA, ZDEPOSIT)
   GROUP BY dt_incptn,
            ref_date,
            DT_INCPTN &lt;= SUBSTR(cast(add_months(ref_date, -12) AS string), 1, 10),
            instrmnt_id,
            off_blnc_sht_amnt_instrmnt_prvs) X
Where 1=1 
AND SUBSTR(cast(add_months(ref_date, -12) AS string), 1, 10) &lt; DT_INCPTN
AND off_blnc_sht_amnt_instrmnt_prvs &lt;&gt; 11111111111
;
SELECT distinct prdct
      FROM bu_loantape_work.lt002_instrument
      WHERE segmento = 'ESTR'
        AND nome_perimetro ='Individual Corporativo'
        AND ref_date='${date}'
        AND AMBITO = 'PM'
        AND prdct like '%Descoberto%'
        </t>
  </si>
  <si>
    <t>If "Date of inception" is more than one year in the past (compared to "Reference date") and "Off-balance sheet amount" is populated other than default values, then "Previous off-balance amount" should be populated with values other than default.</t>
  </si>
  <si>
    <t>Justificado. São ajustes que não vão ser executados nos controlos da corporação. O Campo OFF_BLNC_SHT_INSTRMNT_PRVS será sempre N/A para ajustes, segundo o Guia da Corporação - Capítulo 11</t>
  </si>
  <si>
    <t xml:space="preserve">SELECT * 
-- DISTINCT  off_blnc_sht_amnt_instrmnt_prvs, off_blnc_sht_amnt_instrmnt_prvs_simulacao
FROM
  (SELECT instrmnt_id,
          off_blnc_sht_amnt_instrmnt_prvs,
          DT_INCPTN &lt;= SUBSTR(cast(add_months(ref_date, -12) AS string), 1, 10) as val,
          SUM(-1*VALOR_BRUTO_OFF_PRVS) as cal,
          ROUND(nvl(CASE
                  WHEN instrmnt_id LIKE 'SNC%' THEN 11111111111
                  WHEN DT_INCPTN &gt; SUBSTR(cast(add_months(ref_date, -12) AS string), 1, 10) THEN 11111111111
                  WHEN DT_INCPTN &lt;= SUBSTR(cast(add_months(ref_date, -12) AS string), 1, 10) THEN SUM(-1*VALOR_BRUTO_OFF_PRVS)
              END, 99999999999),2) AS off_blnc_sht_amnt_instrmnt_prvs_simulacao,
          dt_incptn,
          ref_date, off_blnc_sht_amnt_instrmnt
   FROM
     (SELECT instrmnt_id,
             off_blnc_sht_amnt_instrmnt_prvs,
             dt_incptn,
             ref_date, off_blnc_sht_amnt_instrmnt
      FROM bu_loantape_work.lt002_instrument
      WHERE segmento = 'ESTR'
        AND nome_perimetro ='Individual Corporativo'
        AND ref_date='${date}'
        AND AMBITO = 'PM'
        -- and instrmnt_id =   '82000020210000346001520240463187'
        ) LT002
   LEFT JOIN
     (SELECT CEMPRESA,
             CBALCAO,
             CNUMECTA,
             ZDEPOSIT,
             sum(valor_bruto_off_prvs) valor_bruto_off_prvs
      FROM bu_loantape_work.lt001_univ_oper
      WHERE segmento = 'ESTR'
        AND nome_perimetro ='Individual Corporativo'
        AND ref_date='${date}'
        AND AMBITO = 'PM'
        -- and CONCAT(CEMPRESA, CBALCAO, CNUMECTA, ZDEPOSIT) = '82000020210000346001520240463187'
      GROUP BY CEMPRESA,
               CBALCAO,
               CNUMECTA,
               ZDEPOSIT) LT001 ON INSTRMNT_ID = CONCAT(CEMPRESA, CBALCAO, CNUMECTA, ZDEPOSIT)
   GROUP BY dt_incptn,
            ref_date,
            DT_INCPTN &lt;= SUBSTR(cast(add_months(ref_date, -12) AS string), 1, 10),
            instrmnt_id,
            off_blnc_sht_amnt_instrmnt_prvs,
            off_blnc_sht_amnt_instrmnt) X
Where 1=1 
AND SUBSTR(cast(add_months(ref_date, -12) AS string), 1, 10) &gt; DT_INCPTN
AND off_blnc_sht_amnt_instrmnt &lt;&gt; 11111111111
AND off_blnc_sht_amnt_instrmnt_prvs = 11111111111
;
       </t>
  </si>
  <si>
    <t>SELECT *
FROM
    (
    Select instrmnt_id, 
    IFRS9.contract_id, 
    months_to_maturity,
    ifrs9_bhvrl_mtrty,
    Case when IFRS9.contract_id IS NULL Then 11111111111
    Else cast(months_to_maturity as INT)
    END as IFRS9_BHVRL_MTRTY_Simulado
    From
        (SELECT instrmnt_id, ifrs9_bhvrl_mtrty
        FROM bu_loantape_work.lt002_instrument
        WHERE segmento = 'ESTR'
        AND nome_perimetro ='Individual Corporativo'
        AND ref_date='${date}'
        AND AMBITO = 'PM') LT002
    LEFT JOIN
        (SELECT DISTINCT cempresa_fr, cbalcao_fr, cnumecta_fr, zdeposit_fr, contract_id from 
            (select cempresa_fr, cbalcao_fr, cnumecta_fr, zdeposit_fr, cempresa, cbalcao, cnumecta, zdeposit 
            From cd_captools.kt_chaves_finrep
            Where ref_date='${date}') CHFIN
        LEFT JOIN
            (select contract_id, cempresa, cbalcao, cnumecta, zdeposit
            From cd_captools.kt_chaves_ifrs9
            Where ref_date='${date}') CHIFR
        ON Concat(CHFIN.cempresa, CHFIN.cbalcao, CHFIN.cnumecta, CHFIN.zdeposit) = Concat(CHIFR.cempresa, CHIFR.cbalcao, CHIFR.cnumecta, CHIFR.zdeposit)
        where contract_id is not null
        ) trad
        ON LT002.instrmnt_id = Concat(trad.cempresa_fr, trad.cbalcao_fr, trad.cnumecta_fr, trad.zdeposit_fr)
    LEFT JOIN
        (select contract_id, months_to_maturity
        From bu_ifrs9.ifrs9_out_expected_loss_8_7
        WHERE exec_id_part IN 
        (SELECT exec_id_part FROM cd_captools.imcatf046_flag_fecho WHERE CMES = '${CMES}') -- (yyyymm)
        )IFRS9
    ON trad.contract_id=IFRS9.contract_id
) A
WHERE 1=1
-- AND contract_id IS NOT NULL
-- and instrmnt_id = '31000344213809020000000000000000'
AND ifrs9_bhvrl_mtrty &lt;&gt; IFRS9_BHVRL_MTRTY_Simulado</t>
  </si>
  <si>
    <t>SELECT *
FROM
    (
    Select instrmnt_id, 
    IFRS9.contract_id, 
    months_to_maturity,
    ifrs9_bhvrl_mtrty,
    Case when IFRS9.contract_id IS NULL Then 11111111111
    Else cast(months_to_maturity as INT)
    END as IFRS9_BHVRL_MTRTY_Simulado
    From
        (SELECT instrmnt_id, ifrs9_bhvrl_mtrty
        FROM bu_loantape_work.lt002_instrument
        WHERE segmento = 'ESTR'
        AND nome_perimetro ='Individual Corporativo'
        AND ref_date='${date}'
        AND AMBITO = 'PM') LT002
    LEFT JOIN
        (SELECT DISTINCT cempresa_fr, cbalcao_fr, cnumecta_fr, zdeposit_fr, contract_id from 
            (select cempresa_fr, cbalcao_fr, cnumecta_fr, zdeposit_fr, cempresa, cbalcao, cnumecta, zdeposit 
            From cd_captools.kt_chaves_finrep
            Where ref_date='${date}') CHFIN
        LEFT JOIN
            (select contract_id, cempresa, cbalcao, cnumecta, zdeposit
            From cd_captools.kt_chaves_ifrs9
            Where ref_date='${date}') CHIFR
        ON Concat(CHFIN.cempresa, CHFIN.cbalcao, CHFIN.cnumecta, CHFIN.zdeposit) = Concat(CHIFR.cempresa, CHIFR.cbalcao, CHIFR.cnumecta, CHIFR.zdeposit)
        where contract_id is not null
        ) trad
        ON LT002.instrmnt_id = Concat(trad.cempresa_fr, trad.cbalcao_fr, trad.cnumecta_fr, trad.zdeposit_fr)
    LEFT JOIN
        (select contract_id, months_to_maturity
        From bu_ifrs9.ifrs9_out_expected_loss_8_7
        WHERE exec_id_part IN 
        (SELECT exec_id_part FROM cd_captools.imcatf046_flag_fecho WHERE CMES = '${CMES}') -- (yyyymm)
        )IFRS9
    ON trad.contract_id=IFRS9.contract_id
) A
WHERE 1=1
Having cast(IFRS9_BHVRL_MTRTY as VARCHAR) LIKE '%.'</t>
  </si>
  <si>
    <t>SELECT *
FROM
    (
    Select instrmnt_id, 
    IFRS9.contract_id, 
    months_to_maturity,
    ifrs9_bhvrl_mtrty,
    Case when IFRS9.contract_id IS NULL Then 11111111111
    Else cast(months_to_maturity as INT)
    END as IFRS9_BHVRL_MTRTY_Simulado
    From
        (SELECT instrmnt_id, ifrs9_bhvrl_mtrty
        FROM bu_loantape_work.lt002_instrument
        WHERE segmento = 'ESTR'
        AND nome_perimetro ='Individual Corporativo'
        AND ref_date='${date}'
        AND AMBITO = 'PM') LT002
    LEFT JOIN
        (SELECT DISTINCT cempresa_fr, cbalcao_fr, cnumecta_fr, zdeposit_fr, contract_id from 
            (select cempresa_fr, cbalcao_fr, cnumecta_fr, zdeposit_fr, cempresa, cbalcao, cnumecta, zdeposit 
            From cd_captools.kt_chaves_finrep
            Where ref_date='${date}') CHFIN
        LEFT JOIN
            (select contract_id, cempresa, cbalcao, cnumecta, zdeposit
            From cd_captools.kt_chaves_ifrs9
            Where ref_date='${date}') CHIFR
        ON Concat(CHFIN.cempresa, CHFIN.cbalcao, CHFIN.cnumecta, CHFIN.zdeposit) = Concat(CHIFR.cempresa, CHIFR.cbalcao, CHIFR.cnumecta, CHIFR.zdeposit)
        where contract_id is not null
        ) trad
        ON LT002.instrmnt_id = Concat(trad.cempresa_fr, trad.cbalcao_fr, trad.cnumecta_fr, trad.zdeposit_fr)
    LEFT JOIN
        (select contract_id, months_to_maturity
        From bu_ifrs9.ifrs9_out_expected_loss_8_7
        WHERE exec_id_part IN 
        (SELECT exec_id_part FROM cd_captools.imcatf046_flag_fecho WHERE CMES = '${CMES}') -- (yyyymm)
        )IFRS9
    ON trad.contract_id=IFRS9.contract_id
) A
WHERE 1=1
Having (IFRS9_BHVRL_MTRTY &gt; 960
OR IFRS9_BHVRL_MTRTY &lt; 0)
AND IFRS9_BHVRL_MTRTY &lt;&gt; 11111111111</t>
  </si>
  <si>
    <t xml:space="preserve">SELECT *
FROM
(
SELECT instrmnt_id, mn_entty_id, entty_id, zcliente,
CASE WHEN ENTTY_ID=ZCLIENTE THEN 'Y' ELSE 'N' END as mn_entty_id_simulado
FROM
(SELECT instrmnt_id, mn_entty_id, entty_id
FROM bu_loantape_work.lt005_instr_ent_srb
WHERE 1=1 
AND ambito = 'PM'
AND segmento = 'ESTR'
AND ref_date = '${date}'
AND nome_perimetro = 'Individual Corporativo'
AND instrmnt_id not like 'SNCN%'
AND instrmnt_id not like 'SS%') LT005
LEFT JOIN 
(SELECT cempresa, cbalcao, cnumecta, zdeposit, zcliente
FROM bu_loantape_work.lt001_univ_oper
WHERE 1=1 
AND ambito = 'PM'
AND segmento = 'ESTR'
AND ref_date = '${date}'
AND nome_perimetro = 'Individual Corporativo') LT001
ON LT005.INSTRMNT_ID=CONCAT(LT001.CEMPRESA,LT001.CBALCAO,LT001.CNUMECTA,LT001.ZDEPOSIT)
) A
WHERE mn_entty_id &lt;&gt; mn_entty_id_simulado
</t>
  </si>
  <si>
    <t>Incidência onde os registos estão como 0.00 e  99999999999</t>
  </si>
  <si>
    <t>SELECT 
DISTINCT  off_blnc_sht_amnt_instrmnt_prvs, off_blnc_sht_amnt_instrmnt_prvs_simulacao
FROM
  (SELECT instrmnt_id,
          off_blnc_sht_amnt_instrmnt_prvs,
          DT_INCPTN &lt;= SUBSTR(cast(add_months(ref_date, -12) AS string), 1, 10) as val,
          SUM(-1*VALOR_BRUTO_OFF_PRVS) as cal,
          ROUND(nvl(CASE
                  WHEN instrmnt_id LIKE 'SNC%' THEN 11111111111
                  WHEN instrmnt_id LIKE 'SS%' THEN 11111111111
                  WHEN DT_INCPTN &gt; SUBSTR(cast(add_months(ref_date, -12) AS string), 1, 10) THEN 11111111111
                  WHEN DT_INCPTN &lt;= SUBSTR(cast(add_months(ref_date, -12) AS string), 1, 10) THEN SUM(-1*VALOR_BRUTO_OFF_PRVS)
              END, 99999999999),2) AS off_blnc_sht_amnt_instrmnt_prvs_simulacao,          dt_incptn,
          ref_date
   FROM
     (SELECT instrmnt_id,
             off_blnc_sht_amnt_instrmnt_prvs,
             dt_incptn,
             ref_date
      FROM bu_loantape_work.lt002_instrument_srb
      WHERE segmento = 'ESTR'
        AND nome_perimetro ='Individual Corporativo'
        AND ref_date='${date}'
        AND AMBITO = 'PM'
        -- and instrmnt_id =   '82000020210000346001520240463187'
        ) LT002
   LEFT JOIN
     (SELECT CEMPRESA,
             CBALCAO,
             CNUMECTA,
             ZDEPOSIT,
             sum(valor_bruto_off_prvs) as valor_bruto_off_prvs
      FROM bu_loantape_work.lt001_univ_oper
      WHERE segmento = 'ESTR'
        AND nome_perimetro ='Individual Corporativo'
        AND ref_date='${date}'
        AND AMBITO = 'PM'
        -- and CONCAT(CEMPRESA, CBALCAO, CNUMECTA, ZDEPOSIT) = '82000020110004228001520240649446'
      GROUP BY CEMPRESA,
               CBALCAO,
               CNUMECTA,
               ZDEPOSIT) LT001 ON INSTRMNT_ID = CONCAT(CEMPRESA, CBALCAO, CNUMECTA, ZDEPOSIT)
   GROUP BY dt_incptn,
            ref_date,
            DT_INCPTN &lt;= SUBSTR(cast(add_months(ref_date, -12) AS string), 1, 10),
            instrmnt_id,
            off_blnc_sht_amnt_instrmnt_prvs) X
WHERE round(off_blnc_sht_amnt_instrmnt_prvs,2) &lt;&gt; round(off_blnc_sht_amnt_instrmnt_prvs_simulacao,2) 
;</t>
  </si>
  <si>
    <t>SELECT instrmnt_id, ifrs9_bhvrl_mtrty, IFRS9_BHVRL_MTRTY_Simulado
FROM
    (
    Select instrmnt_id, 
    IFRS9.contract_id, 
    months_to_maturity,
    ifrs9_bhvrl_mtrty,
    Case when IFRS9.contract_id IS NULL Then 11111111111
    Else cast(months_to_maturity as INT)
    END as IFRS9_BHVRL_MTRTY_Simulado
    From
        (SELECT instrmnt_id, ifrs9_bhvrl_mtrty
        FROM bu_loantape_work.lt002_instrument_srb
        WHERE segmento = 'ESTR'
        AND nome_perimetro ='Individual Corporativo'
        AND ref_date='${date}'
        AND AMBITO = 'PM') LT002
    LEFT JOIN
        (SELECT DISTINCT cempresa_fr, cbalcao_fr, cnumecta_fr, zdeposit_fr, contract_id from 
            (select cempresa_fr, cbalcao_fr, cnumecta_fr, zdeposit_fr, cempresa, cbalcao, cnumecta, zdeposit 
            From cd_captools.kt_chaves_finrep
            Where ref_date='${date}') CHFIN
        LEFT JOIN
            (select contract_id, cempresa, cbalcao, cnumecta, zdeposit
            From cd_captools.kt_chaves_ifrs9
            Where ref_date='${date}') CHIFR
        ON Concat(CHFIN.cempresa, CHFIN.cbalcao, CHFIN.cnumecta, CHFIN.zdeposit) = Concat(CHIFR.cempresa, CHIFR.cbalcao, CHIFR.cnumecta, CHIFR.zdeposit)
        where contract_id is not null
        ) trad
        ON LT002.instrmnt_id = Concat(trad.cempresa_fr, trad.cbalcao_fr, trad.cnumecta_fr, trad.zdeposit_fr)
    LEFT JOIN
        (select contract_id, months_to_maturity
        From bu_ifrs9.ifrs9_out_expected_loss_8_7
        WHERE exec_id_part IN 
        (SELECT exec_id_part FROM cd_captools.imcatf046_flag_fecho WHERE CMES = '${CMES}') -- (yyyymm)
        )IFRS9
    ON trad.contract_id=IFRS9.contract_id
) A
WHERE 1=1
-- AND contract_id IS NOT NULL
-- and instrmnt_id = '31000344213809020000000000000000'
AND ifrs9_bhvrl_mtrty &lt;&gt; IFRS9_BHVRL_MTRTY_Simulado</t>
  </si>
  <si>
    <t>SELECT prtctn_id, DT_ORGNL_PRTCTN_VL, ORGNL_PRTCTN_VL, DT_ORGNL_PRTCTN_VL_SIMULADO, ORGNL_PRTCTN_VL_SIMULADO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 AND CONCAT('I_',ckbalbem,'_', ckctabem, '_', ckrefbem)= 'I_0030_00430610001_000000000000000'
        ) GT018
    ON substring(prtctn_id,3)= CONCAT(ckbalbem,'_', ckctabem, '_', ckrefbem)
    AND CONCAT(cempresp, ckbalres, ckctares, ckrefresp) = Concat(CHMASTER.cempresa, CHMASTER.cbalcao, CHMASTER.cnumecta, CHMASTER.zdeposit)
) A
) A
WHERE RANKAVALIA = 1
AND CASE WHEN mavaliai_resp_bem IS NULL THEN RANKAVALIA = 0 ELSE RANKAVALIA = 1 END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LEFT JOIN
        (Select prtctn_id as prtctn_id_lt004, DT_ORGNL_PRTCTN_VL,ORGNL_PRTCTN_VL
        From bu_loantape_work.lt004_protection_srb
        WHERE segmento = 'ESTR'
        AND nome_perimetro ='Individual Corporativo'
        AND ref_date='${date}'
        AND AMBITO = 'PM'
        ) lt004
ON D.prtctn_id = prtctn_id_lt004
Where 1=1 
AND ORGNL_PRTCTN_VL &lt;&gt; ORGNL_PRTCTN_VL_SIMULADO</t>
  </si>
  <si>
    <t>SELECT *
FROM
(
SELECT instrmnt_id, mn_entty_id, entty_id, zcliente,
CASE WHEN ENTTY_ID=ZCLIENTE THEN 'Y' ELSE 'N' END as mn_entty_id_simulado
FROM
(SELECT instrmnt_id, mn_entty_id, entty_id
FROM cd_loan_tapes_bce.lt005_instr_ent
WHERE 1=1 
AND ambito = 'PM'
AND segmento = 'ESTR'
AND ref_date = '${date}'
AND nome_perimetro = 'Individual Corporativo'
AND instrmnt_id not like 'SNCN%'
AND instrmnt_id not like 'SS%') LT005
LEFT JOIN 
(SELECT cempresa, cbalcao, cnumecta, zdeposit, zcliente
FROM cd_loan_tapes_bce.lt001_univ_oper
WHERE 1=1 
AND ambito = 'PM'
AND segmento = 'ESTR'
AND ref_date = '${date}'
AND nome_perimetro = 'Individual Corporativo') LT001
ON LT005.INSTRMNT_ID=CONCAT(LT001.CEMPRESA,LT001.CBALCAO,LT001.CNUMECTA,LT001.ZDEPOSIT)
) A
WHERE mn_entty_id &lt;&gt; mn_entty_id_simulado</t>
  </si>
  <si>
    <t>"Main Entity ID" should be a Char not null (default values not allowed)</t>
  </si>
  <si>
    <t>SELECT DISTINCT mn_entty_id
FROM cd_loan_tapes_bce.lt005_instr_ent
WHERE 1=1 
AND ambito = 'PM'
AND segmento = 'ESTR'
AND ref_date = '${date}'
AND nome_perimetro = 'Individual Corporativo'</t>
  </si>
  <si>
    <t>"Main Entity ID" should match the information on the Codelist</t>
  </si>
  <si>
    <t>SELECT *
FROM
    (
    Select instrmnt_id, 
    IFRS9.contract_id, 
    months_to_maturity,
    ifrs9_bhvrl_mtrty,
    Case when IFRS9.contract_id IS NULL Then 11111111111
    Else cast(months_to_maturity as INT)
    END as IFRS9_BHVRL_MTRTY_Simulado
    From
        (SELECT instrmnt_id, ifrs9_bhvrl_mtrty
        FROM cd_loan_tapes_bce.lt002_instrument
        WHERE segmento = 'ESTR'
        AND nome_perimetro ='Individual Corporativo'
        AND ref_date='${date}'
        AND AMBITO = 'PM') LT002
    LEFT JOIN
        (SELECT DISTINCT cempresa_fr, cbalcao_fr, cnumecta_fr, zdeposit_fr, contract_id from 
            (select cempresa_fr, cbalcao_fr, cnumecta_fr, zdeposit_fr, cempresa, cbalcao, cnumecta, zdeposit 
            From cd_captools.kt_chaves_finrep
            Where ref_date='${date}') CHFIN
        LEFT JOIN
            (select contract_id, cempresa, cbalcao, cnumecta, zdeposit
            From cd_captools.kt_chaves_ifrs9
            Where ref_date='${date}') CHIFR
        ON Concat(CHFIN.cempresa, CHFIN.cbalcao, CHFIN.cnumecta, CHFIN.zdeposit) = Concat(CHIFR.cempresa, CHIFR.cbalcao, CHIFR.cnumecta, CHIFR.zdeposit)
        where contract_id is not null
        ) trad
        ON LT002.instrmnt_id = Concat(trad.cempresa_fr, trad.cbalcao_fr, trad.cnumecta_fr, trad.zdeposit_fr)
    LEFT JOIN
        (select contract_id, months_to_maturity
        From bu_ifrs9.ifrs9_out_expected_loss_8_7
        WHERE exec_id_part IN 
        (SELECT exec_id_part FROM cd_captools.imcatf046_flag_fecho WHERE CMES = '${CMES}') -- (yyyymm)
        )IFRS9
    ON trad.contract_id=IFRS9.contract_id
) A
WHERE 1=1
AND ifrs9_bhvrl_mtrty &lt;&gt; IFRS9_BHVRL_MTRTY_Simulado</t>
  </si>
  <si>
    <t xml:space="preserve">SELECT instrmnt_id, ifrs9_bhvrl_mtrty
        FROM cd_loan_tapes_bce.lt002_instrument
        WHERE segmento = 'ESTR'
        AND nome_perimetro ='Individual Corporativo'
        AND ref_date='${date}'
        AND AMBITO = 'PM'
        AND cast(IFRS9_BHVRL_MTRTY as VARCHAR) LIKE '%.'
   </t>
  </si>
  <si>
    <t xml:space="preserve">SELECT instrmnt_id, ifrs9_bhvrl_mtrty
        FROM cd_loan_tapes_bce.lt002_instrument
        WHERE segmento = 'ESTR'
        AND nome_perimetro ='Individual Corporativo'
        AND ref_date='${date}'
        AND AMBITO = 'PM'
        AND (IFRS9_BHVRL_MTRTY &gt; 960 OR IFRS9_BHVRL_MTRTY &lt; 0)
        AND IFRS9_BHVRL_MTRTY &lt;&gt; 11111111111
   </t>
  </si>
  <si>
    <t>SELECT prtctn_id, DT_ORGNL_PRTCTN_VL, ORGNL_PRTCTN_VL, DT_ORGNL_PRTCTN_VL_SIMULADO, ORGNL_PRTCTN_VL_SIMULADO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 AND CONCAT('I_',ckbalbem,'_', ckctabem, '_', ckrefbem)= 'I_0030_00430610001_000000000000000'
        ) GT018
    ON substring(prtctn_id,3)= CONCAT(ckbalbem,'_', ckctabem, '_', ckrefbem)
    AND CONCAT(cempresp, ckbalres, ckctares, ckrefresp) = Concat(CHMASTER.cempresa, CHMASTER.cbalcao, CHMASTER.cnumecta, CHMASTER.zdeposit)
) A
) A
WHERE RANKAVALIA = 1
AND CASE WHEN mavaliai_resp_bem IS NULL THEN RANKAVALIA = 0 ELSE RANKAVALIA = 1 END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LEFT JOIN
        (Select prtctn_id as prtctn_id_lt004, DT_ORGNL_PRTCTN_VL,ORGNL_PRTCTN_VL
        From cd_loan_tapes_bce.lt004_protection
        WHERE segmento = 'ESTR'
        AND nome_perimetro ='Individual Corporativo'
        AND ref_date='${date}'
        AND AMBITO = 'PM'
        ) lt004
ON D.prtctn_id = prtctn_id_lt004
Where 1=1 
AND ORGNL_PRTCTN_VL &lt;&gt; ORGNL_PRTCTN_VL_SIMULADO
;</t>
  </si>
  <si>
    <t>Campo aparece com 6 casas decimais em vez de duas</t>
  </si>
  <si>
    <t>Select prtctn_id as prtctn_id_lt004, DT_ORGNL_PRTCTN_VL,ORGNL_PRTCTN_VL
        From cd_loan_tapes_bce.lt004_protection
        WHERE segmento = 'ESTR'
        AND nome_perimetro ='Individual Corporativo'
        AND ref_date='${date}'
        AND AMBITO = 'PM'
        AND cast(ORGNL_PRTCTN_VL as VARCHAR) NOT LIKE '%.__'</t>
  </si>
  <si>
    <t>Select prtctn_id, DT_ORGNL_PRTCTN_VL,ORGNL_PRTCTN_VL
        From cd_loan_tapes_bce.lt004_protection
        WHERE segmento = 'ESTR'
        AND nome_perimetro ='Individual Corporativo'
        AND ref_date='${date}'
        AND AMBITO = 'PM'
        AND orgnl_prtctn_vl &lt; 0</t>
  </si>
  <si>
    <t>133 casos com valor original da proteção a zero</t>
  </si>
  <si>
    <t>Select prtctn_id, DT_ORGNL_PRTCTN_VL, ORGNL_PRTCTN_VL
        From cd_loan_tapes_bce.lt004_protection
        WHERE segmento = 'ESTR'
        AND nome_perimetro ='Individual Corporativo'
        AND ref_date='${date}'
        AND AMBITO = 'PM'
        AND DT_ORGNL_PRTCTN_VL &lt;&gt; '1111-11-11'
        AND ORGNL_PRTCTN_VL in (11111111111,0)</t>
  </si>
  <si>
    <t>Select prtctn_id, DT_ORGNL_PRTCTN_VL, ORGNL_PRTCTN_VL
        From cd_loan_tapes_bce.lt004_protection
        WHERE segmento = 'ESTR'
        AND nome_perimetro ='Individual Corporativo'
        AND ref_date='${date}'
        AND AMBITO = 'PM'
        AND DT_ORGNL_PRTCTN_VL = '1111-11-11'
        AND ORGNL_PRTCTN_VL &lt;&gt; 11111111111</t>
  </si>
  <si>
    <t>Select prtctn_id, DT_ORGNL_PRTCTN_VL, ORGNL_PRTCTN_VL
        From cd_loan_tapes_bce.lt004_protection
        WHERE segmento = 'ESTR'
        AND nome_perimetro ='Individual Corporativo'
        AND ref_date='${date}'
        AND AMBITO = 'PM'
        AND prtctn_id LIKE 'P%'
        AND ORGNL_PRTCTN_VL &lt;&gt; 11111111111</t>
  </si>
  <si>
    <t>SELECT *
FROM
  (SELECT instrmnt_id,
          off_blnc_sht_amnt_instrmnt_prvs,
          DT_INCPTN &lt;= SUBSTR(cast(add_months(ref_date, -12) AS string), 1, 10) AS val,
          SUM(-1*VALOR_BRUTO_OFF_PRVS) AS cal,
          ROUND(nvl(CASE
                        WHEN instrmnt_id LIKE 'SNC%' THEN 11111111111
                        WHEN instrmnt_id LIKE 'SS%' THEN 11111111111
                        WHEN DT_INCPTN &gt; SUBSTR(cast(add_months(ref_date, -12) AS string), 1, 10) THEN 11111111111
                        WHEN DT_INCPTN &lt;= SUBSTR(cast(add_months(ref_date, -12) AS string), 1, 10) THEN SUM(-1*VALOR_BRUTO_OFF_PRVS)
                    END, 0.00),2) AS off_blnc_sht_amnt_instrmnt_prvs_simulacao,
          dt_incptn,
          ref_date
   FROM
     (SELECT instrmnt_id,
             off_blnc_sht_amnt_instrmnt_prvs,
             dt_incptn,
             ref_date
      FROM cd_loan_tapes_bce.lt002_instrument
      WHERE segmento = 'ESTR'
        AND nome_perimetro ='Individual Corporativo'
        AND ref_date='${date}'
        AND AMBITO = 'PM' ) LT002
   LEFT JOIN
     (SELECT CEMPRESA,
             CBALCAO,
             CNUMECTA,
             ZDEPOSIT,
             sum(valor_bruto_off_prvs) valor_bruto_off_prvs
      FROM cd_loan_tapes_bce.lt001_univ_oper
      WHERE segmento = 'ESTR'
        AND nome_perimetro ='Individual Corporativo'
        AND ref_date='${date}'
        AND AMBITO = 'PM' -- and CONCAT(CEMPRESA, CBALCAO, CNUMECTA, ZDEPOSIT) = '31000805765200020000000000000000'
      GROUP BY CEMPRESA,
               CBALCAO,
               CNUMECTA,
               ZDEPOSIT) LT001 ON INSTRMNT_ID = CONCAT(CEMPRESA, CBALCAO, CNUMECTA, ZDEPOSIT)
   GROUP BY dt_incptn,
            ref_date,
            DT_INCPTN &lt;= SUBSTR(cast(add_months(ref_date, -12) AS string), 1, 10),
            instrmnt_id,
            off_blnc_sht_amnt_instrmnt_prvs) X
WHERE round(off_blnc_sht_amnt_instrmnt_prvs,2) &lt;&gt; round(off_blnc_sht_amnt_instrmnt_prvs_simulacao,2) ;</t>
  </si>
  <si>
    <t>SELECT instrmnt_id,
             off_blnc_sht_amnt_instrmnt_prvs
      FROM cd_loan_tapes_bce.lt002_instrument
      WHERE segmento = 'ESTR'
        AND nome_perimetro ='Individual Corporativo'
        AND ref_date='${date}'
        AND AMBITO = 'PM'
        AND cast(off_blnc_sht_amnt_instrmnt_prvs as VARCHAR) NOT LIKE '%.__'</t>
  </si>
  <si>
    <t>SELECT instrmnt_id,
             off_blnc_sht_amnt_instrmnt_prvs
      FROM cd_loan_tapes_bce.lt002_instrument
      WHERE segmento = 'ESTR'
        AND nome_perimetro ='Individual Corporativo'
        AND ref_date='${date}'
        AND AMBITO = 'PM'
        AND off_blnc_sht_amnt_instrmnt_prvs &lt; 0</t>
  </si>
  <si>
    <t xml:space="preserve">SELECT instrmnt_id,
             off_blnc_sht_amnt_instrmnt_prvs,
             dt_incptn,
             ref_date
      FROM cd_loan_tapes_bce.lt002_instrument
      WHERE segmento = 'ESTR'
        AND nome_perimetro ='Individual Corporativo'
        AND ref_date='${date}'
        AND AMBITO = 'PM'
        AND SUBSTR(cast(add_months(ref_date, -12) AS string), 1, 10) &lt; DT_INCPTN
        AND off_blnc_sht_amnt_instrmnt_prvs &lt;&gt; 11111111111
</t>
  </si>
  <si>
    <t xml:space="preserve">SELECT instrmnt_id,
             off_blnc_sht_amnt_instrmnt_prvs,
             dt_incptn,
             ref_date
      FROM cd_loan_tapes_bce.lt002_instrument
      WHERE segmento = 'ESTR'
        AND nome_perimetro ='Individual Corporativo'
        AND ref_date='${date}'
        AND AMBITO = 'PM'
        AND SUBSTR(cast(add_months(ref_date, -12) AS string), 1, 10) &gt; DT_INCPTN
        AND off_blnc_sht_amnt_instrmnt &lt;&gt; 11111111111
        AND off_blnc_sht_amnt_instrmnt_prvs = 11111111111
</t>
  </si>
  <si>
    <t>Tabela Origem</t>
  </si>
  <si>
    <t>Campo Origem</t>
  </si>
  <si>
    <t>Imparidade</t>
  </si>
  <si>
    <t>Contabilidade</t>
  </si>
  <si>
    <t>Owner</t>
  </si>
  <si>
    <t>Validador</t>
  </si>
  <si>
    <t>Impairment status (stage 1, 2 e 3)</t>
  </si>
  <si>
    <t>FR004_CTO</t>
  </si>
  <si>
    <t>STAGE_ATUAL</t>
  </si>
  <si>
    <t>Contabilidade a partir de Dez.22</t>
  </si>
  <si>
    <t>Imparidade &amp; Contabilidade</t>
  </si>
  <si>
    <t>Performing status</t>
  </si>
  <si>
    <t>Previous performing status</t>
  </si>
  <si>
    <t>Purchased credit-impaired financial asset (POCI)</t>
  </si>
  <si>
    <t>BU_IFRS9.IFRS9_INPUT_MOTOR_8_7</t>
  </si>
  <si>
    <t xml:space="preserve">PURCHASED_CREDIT_IMPAIRED_FINANCIAL_ASSETS_FLAG </t>
  </si>
  <si>
    <t>Highest number of days past due in the 12 months prior to the most recent change of performing status</t>
  </si>
  <si>
    <t>FR004_CTO
MOYR1060
MOYR1061
CT622_MOYR_IFIC</t>
  </si>
  <si>
    <t>STAGE_ATUAL
DT_INCUMP
MOYR1N60_DINICONT
MOYR1N60_DINICONT</t>
  </si>
  <si>
    <t>Highest number of days past due in the 24 months before most recent change of performing status</t>
  </si>
  <si>
    <t>Days past due at the time of the most recent change of the performing status</t>
  </si>
  <si>
    <t>Date of impairment status</t>
  </si>
  <si>
    <t>Date of previous impairment status</t>
  </si>
  <si>
    <t>Date of performing status</t>
  </si>
  <si>
    <t>Date of previous performing status</t>
  </si>
  <si>
    <t>BU_IFRS9.IFRS9_OUT_EXPECTED_LOSS_REPORTING</t>
  </si>
  <si>
    <t>IER_FINAL</t>
  </si>
  <si>
    <t>BU_IFRS9.IFRS9_OUT_EXPECTED_LOSS_REPORTING
BU_IFRS.9.IFRS9_INPUT_MOTOR_8_7</t>
  </si>
  <si>
    <t>IER_FINAL
INTERST_EFFECTIVE_RATE_ORIG
INITIAL_RECOGNITION_DATE</t>
  </si>
  <si>
    <t>K2</t>
  </si>
  <si>
    <t>BU_IFRS9.IFRS9_OUT_STAGING_REPORTING</t>
  </si>
  <si>
    <t>EAD_FINAL</t>
  </si>
  <si>
    <t>LGD_IFRS9</t>
  </si>
  <si>
    <t>LT803_CODIGOS_LT</t>
  </si>
  <si>
    <t>VALOR_LT</t>
  </si>
  <si>
    <t>FR004_CTO
CT003_UNIV_CLI
IMCATF002_PROCESSO_AI_HIST
TABELA_PARAMETRIZACAO_IMPRMNT_CLCLTN_MTHD</t>
  </si>
  <si>
    <t>VALOR_LT
TIPO_ANALISE_ATUAL
CCLI_GRUPO
CTIPO_RECUPERACAO</t>
  </si>
  <si>
    <t>IFRS9_OUT_EXPECTED_LOSS_REPORTING
IMCATF046_FLAG_FECHO</t>
  </si>
  <si>
    <t>ID_PORTFOLIO_IFRS9</t>
  </si>
  <si>
    <t>Low credit risk exemption for SICR assessment</t>
  </si>
  <si>
    <t>FIXO</t>
  </si>
  <si>
    <t>'N'</t>
  </si>
  <si>
    <t>TBD - Necessita de desenvolvimentos</t>
  </si>
  <si>
    <t>PD_1Y_IFRS9</t>
  </si>
  <si>
    <t>BU_IFRS9.IFRS9_OUT_EXPECTED_LOSS_REPORTING
LT002_INSTRUMENT</t>
  </si>
  <si>
    <t>PD12M_IFRS9
IMPRMNT_STTS_INSTRMNT</t>
  </si>
  <si>
    <t>BU_IFRS9.IFRS9_OUT_EXPECTED_LOSS_REPORTING
FR004_CTO</t>
  </si>
  <si>
    <t>PD12M_IFRS9 (DATA DE REFERENCIA DE ANO ANTERIOR)
STAGE_ANTERIOR (DATA DE REFERENCIA DE ANO ANTERIOR)</t>
  </si>
  <si>
    <t>BU_IFRS9.IFRS9_OUT_EXPECTED_LOSS_REPORTING
IMCATF046_FLAG_FECHO
IFRS9_INPUT_MOTOR_8_7</t>
  </si>
  <si>
    <t>PD_LT_IFRS9
CMES
INITIAL_RECOGNITION_DATE</t>
  </si>
  <si>
    <t>PD_LTR_ORIGINAL</t>
  </si>
  <si>
    <t>PD_LT_IFRS9
IMPRMNT_STTS_INSTRMNT</t>
  </si>
  <si>
    <t>'2'</t>
  </si>
  <si>
    <t>ENTTY</t>
  </si>
  <si>
    <t>LT002_INSTRUMENT</t>
  </si>
  <si>
    <t>PD_IFRS9_12M_RD
IFRS9_EAD</t>
  </si>
  <si>
    <t>LT002_INSTRUMENT
BU_IFRS9.IFRS9_OUT_STAGING_REPORTING</t>
  </si>
  <si>
    <t>PD_IFRS9_12M_RD_T1
EAD_FINAL</t>
  </si>
  <si>
    <t>GT003_TRZ_GT_FIN
LT002_INSTRUMENT
LT814_HRCT_MV</t>
  </si>
  <si>
    <t>CTRATCTA
IMPRMNT_ASSSSMNT_MTHD
HRCT_MV</t>
  </si>
  <si>
    <t>Accumulated changes in fair value due to credit risk</t>
  </si>
  <si>
    <t>'0'</t>
  </si>
  <si>
    <t>Contabilidade a partir de [data a definir]</t>
  </si>
  <si>
    <t>Sum of LLPs and other allowances</t>
  </si>
  <si>
    <t>FR001_UNIV_SALDO</t>
  </si>
  <si>
    <t>MSALDO_FINAL (saldo obtido por parametrizações sobre as contas contabilisticas)</t>
  </si>
  <si>
    <t>Previous sum of LLPs and other allowances</t>
  </si>
  <si>
    <t>Accumulated write-offs</t>
  </si>
  <si>
    <t>Accounting portfolio</t>
  </si>
  <si>
    <t>Accrued interest balance as recognized on the balance sheet</t>
  </si>
  <si>
    <t>Total exposure in arrears</t>
  </si>
  <si>
    <t>MOYR1060
MOYR1061
CT622_MOYR_IFIC</t>
  </si>
  <si>
    <t>MOYR1N60_MSLDIRR
MOYR1N60_MSLDIRR 
VENCIDO_CTRVLR</t>
  </si>
  <si>
    <t>Highest total exposure in arrears in the last 12 months before the reference date</t>
  </si>
  <si>
    <t xml:space="preserve">Currency denomination </t>
  </si>
  <si>
    <t>CMOEDA1</t>
  </si>
  <si>
    <t>Carrying amount</t>
  </si>
  <si>
    <t>Highest number of days past due in the last 12 months</t>
  </si>
  <si>
    <t>CT622_MOYR_IFIC
MOYR1061
MOYR1060</t>
  </si>
  <si>
    <t>DT_INCUMP
MOYR1N60_DINICONT
MOYR1N60_DINICONT</t>
  </si>
  <si>
    <t>Highest number of days past due in the 12 months prior to the most recent change of the forbearance status</t>
  </si>
  <si>
    <t>DT_INCUMP
MOYR1N60_DINICONT
MOYR1N60_DINICONT
(com base na data de reestruturação)</t>
  </si>
  <si>
    <t>Highest number of days past due in the 24 months prior to the most recent change of the forbearance status</t>
  </si>
  <si>
    <t>Days past due at the date of the most recent change of the forbearance status</t>
  </si>
  <si>
    <t>Date past due</t>
  </si>
  <si>
    <t>MOYR1N60_DINICONT
DT_INCUMP</t>
  </si>
  <si>
    <t>Start date of principal grace period</t>
  </si>
  <si>
    <t>EPT02_ADMCTA
DADOS_GERAIS_EMP</t>
  </si>
  <si>
    <t>DINICARE
EPRY8510_DFORMALI</t>
  </si>
  <si>
    <t>Start date of the interest-only period</t>
  </si>
  <si>
    <t>Gross carrying amount</t>
  </si>
  <si>
    <t>LT001_UNIV_OPER</t>
  </si>
  <si>
    <t>VALOR_BRUTO_ON</t>
  </si>
  <si>
    <t>Internal code for segment/portfolio</t>
  </si>
  <si>
    <t>CONTRAPARTE</t>
  </si>
  <si>
    <t>Loan to value (LTV) at reference date</t>
  </si>
  <si>
    <t>FR011_CAPS_LTV</t>
  </si>
  <si>
    <t>VALOR_LTV</t>
  </si>
  <si>
    <t>Loan to value (LTV) at inception</t>
  </si>
  <si>
    <t>VALOR_LTV_ORIG</t>
  </si>
  <si>
    <t>Loan to value (LTV) at the date when the instrument was classified as non-performing</t>
  </si>
  <si>
    <t>FR011_CAPS_LTV
BCE_LT_SPRT_PRFM</t>
  </si>
  <si>
    <t>VALOR_LTV
REF_DATE</t>
  </si>
  <si>
    <t>Off-balance sheet amount</t>
  </si>
  <si>
    <t>Outstanding gross nominal amount</t>
  </si>
  <si>
    <t>Previous outstanding gross nominal amount</t>
  </si>
  <si>
    <t>Provisions associated with off-balance sheet exposures</t>
  </si>
  <si>
    <t>Type of EBA-compliant moratoria</t>
  </si>
  <si>
    <t>CT902_EBA_REPORT_CONTAB</t>
  </si>
  <si>
    <t>CREGIME</t>
  </si>
  <si>
    <t>Internal name of EBA compliant moratoria as registered by the bank</t>
  </si>
  <si>
    <t xml:space="preserve"> 'Compliant Moratoriums'</t>
  </si>
  <si>
    <t>Date of EBA compliant moratoria status</t>
  </si>
  <si>
    <t>DTESTADO 
DINIPED</t>
  </si>
  <si>
    <t>Initial date of first EBA compliant moratoria status</t>
  </si>
  <si>
    <t>End date of principal grace period for COVID19 related measures</t>
  </si>
  <si>
    <t>DFIMCAR</t>
  </si>
  <si>
    <t>End date of the interest-only period for COVID19 related measures</t>
  </si>
  <si>
    <t>EBA compliant moratoria status</t>
  </si>
  <si>
    <t>CT902_EBA_REPORT_CONTAB
LT806_MRT_ST_C19</t>
  </si>
  <si>
    <t>CESTADO
F_EXPIRED
CREGIME
EBA_CMPLNT_MRTR_ST_C19</t>
  </si>
  <si>
    <t>Grace period on capital and interest</t>
  </si>
  <si>
    <t>CTIPCAR</t>
  </si>
  <si>
    <t>Maturity of latest EBA compliant moratoria</t>
  </si>
  <si>
    <t>BLOCO 2</t>
  </si>
  <si>
    <t>Data Inicio</t>
  </si>
  <si>
    <t>Data Fim</t>
  </si>
  <si>
    <t>Versão</t>
  </si>
  <si>
    <t>Trabalho</t>
  </si>
  <si>
    <t>Pilar 3</t>
  </si>
  <si>
    <t>VDS</t>
  </si>
  <si>
    <t>GD</t>
  </si>
  <si>
    <t>BLOCO 1</t>
  </si>
  <si>
    <t>Produção</t>
  </si>
  <si>
    <t>Tipo de Alteração</t>
  </si>
  <si>
    <t>Teste de Consistência</t>
  </si>
  <si>
    <t xml:space="preserve">Controlos Corporativos </t>
  </si>
  <si>
    <t>Nova Especificação</t>
  </si>
  <si>
    <t>FLD_SYNDCTN, RTNTN_SHR, STTS_UNDRWRTTN_TRNSCTN, SYNDCT_RL, SYNDCTD_AGNT, SYNDCTD_CNTRCT_ID, SYNDCTD_LNDRS, SYNDCTD_SHR, SYNDCTN_TYP e TRNCH</t>
  </si>
  <si>
    <t>COUNTERPARTY_COUNTRY, ADDRESS_STREET, ADDRESS_CITY_TOWN_VILLAGE e ADDRESS_COUNTY_ADM_DIV</t>
  </si>
  <si>
    <t>typ_ep_scr, sstnbl_ctgry, rsk_mtgtd_ccp, nace_esg, mthd_usd_instrmnt_scp_3, mthd_usd_instrmnt_scp_2, mthd_usd_instrmnt_scp_1, PRMRY_ENRGY_DMND_NN_RNWBL, DT_RGSTRTN, RL_ESTT_CRTFCTN, FLG_FRST_HM, DT_MTRTY_INSRNC, AMNT_CVRD_INSRNC, TYP_HZRDS_INSRD, INSRNC_ID, VHCL_EMSSNS_SCR, flg_chrnc_physcl_rsk, VHCL_EMSSNS_LBL, flg_act_physcl_rsk, TYP_EMSSNS_LBL, esg_sbsctr, prtctn_allctd_vl, enblng_trnvr_ce, enblng_capex_ce, enblng_trnvr_w, enblng_capex_w, pure_trnvr_ce, pure_capex_ce, pure_trnvr_w, pure_capex_w, pure_trnvr_b, pure_capex_b, pure_trnvr_p, pure_capex_p, txnmy_elgbl_trnvr_ce, txnmy_elgbl_capex_ce, txnmy_elgbl_trnvr_b, txnmy_elgbl_capex_b, txnmy_elgbl_trnvr_p, txnmy_elgbl_capex_p, txnmy_elgbl_trnvr_w, txnmy_elgbl_capex_w, entty_nm, FLG_MNMM_SFGRDS, INTRNL_SGMNT_CATGSUB, INTRNL_SGMNT_CAT_MSTA, EIR_INCPTN, EIR, LTV_INCPTN, LTV, RWA, EAD, DT_ORGNL_MTRTY, INTRNL_SGMNT, FRBRNC_STTS_INSTRMNT, DNSH_DTL, FLG_DNSH_CMPLNC, ep_scr, INSTRMNT_ID, DT_RFRNC, COD_SOC</t>
  </si>
  <si>
    <t>dt_prfrmng_stts_prvs, dt_prfrmng_stts, dpd_12m_prfrmng_stts, dt_imprmnt_stts_prvs, dt_imprmnt_stts, off_blnc_sht_amnt_instrmnt_prvs, prfrmng_stts_prvs, dpd_prfrmng_stts, dpd_24m_prfrmng_stts, prfrmng_stts, orgnl_prtctn_vl, imprmnt_stts, ifrs9_bhvrl_mtrty, mn_entty_id, imprmnt_stts_prvs</t>
  </si>
  <si>
    <t xml:space="preserve">DROP TABLE BU_CAPTOOLS_WORK.TESTE_ISSR_ID ;
CREATE TABLE BU_CAPTOOLS_WORK.TESTE_ISSR_ID AS 
SELECT 
instrmnt_id,
CASE WHEN flag_inst_div = '0' THEN 'N/A' ELSE 
CASE WHEN TRIM(CLEI) NOT IN ('', '#') THEN CLEI
          WHEN TRIM(CLEI) IN ('','#') AND TRIM(CCLI_GRUPO) &lt;&gt; '' AND MAX_CLEI IS NOT NULL THEN MAX_CLEI 
          WHEN TRIM(CLEI) IN ('','#') AND TRIM(CCLI_GRUPO) &lt;&gt; '' AND MAX_CLEI IS NULL AND TAX_ID  &lt;&gt; 'MISS' THEN TAX_ID 
          ELSE ZCLIENTE END END AS ISSR_ID
FROM
(
SELECT 
LT002.instrmnt_id,
CASE WHEN LENGTH(CAST(CAST(CT003.CNUM_DOC_IDENTIF2 AS INT) AS STRING)) = 9 AND TAT91.TAYD91C0_CELEMTAB IS NOT NULL THEN CAST (CAST(CT003.CNUM_DOC_IDENTIF2 AS INT) AS STRING) ELSE 'MISS' END AS TAX_ID,
MAX(CT003.CLEI) as MAX_CLEI,
CCLI_GRUPO,
ZCLIENTE,
CLEI,
flag_inst_div
FROM
(SELECT instrmnt_id
FROM bu_loantape_work.lt002_instrument
WHERE 1=1 
AND ambito = 'PM'
AND segmento = 'ESTR'
AND ref_date = '${date}'
AND nome_perimetro = 'Individual Corporativo') LT002
LEFT JOIN
(SELECT instrmnt_id, entty_id
FROM bu_loantape_work.lt005_instr_ent
WHERE 1=1 
AND ambito = 'PM'
AND segmento = 'ESTR'
AND ref_date = '${date}'
AND nome_perimetro = 'Individual Corporativo') LT005
ON LT005.INSTRMNT_ID = LT002.INSTRMNT_ID
LEFT JOIN
(SELECT zcliente, clei, ccli_grupo, cnum_doc_identif2, CTIPO_DOC_IDENTIF2
FROM cd_captools.ct003_univ_cli
Where ref_date = '${date}'
AND CLEI &lt;&gt; '#') CT003
ON CT003.zcliente = LT005.entty_id
LEFT JOIN
(SELECT TAYD91C0_CELEMTAB
FROM cd_estruturais.tat91_tabelas
WHERE data_date_part = '${date}'
AND TAT91_TABELAS.TAYD91C0_CTABELA = '151' 
AND (TAT91_TABELAS.TAYD91C0_GELEMTAB LIKE 'CONTRIBUINTE%' OR TAT91_TABELAS.TAYD91C0_GELEMTAB LIKE 'NUMERO DE CONTRIBUINTE%' OR TAT91_TABELAS.TAYD91C0_GELEMTAB LIKE 'ESTADO E EQUIPARADOS') ) TAT91
ON TAT91.TAYD91C0_CELEMTAB = CT003.CTIPO_DOC_IDENTIF2
LEFT JOIN
(SELECT *
FROM cd_loan_tapes_bce.kt_chaves_lt
Where ambito = 'PM'
AND segmento = 'ESTR'
AND ref_date = '${date}'
AND nome_perimetro = 'Individual Corporativo') KT_CHAVES
ON LT002.instrmnt_id = KT_CHAVES.instrmnt_id
LEFT JOIN 
(SELECT cempresa, cbalcao, cnumecta, zdeposit, flag_inst_div
FROM bu_loantape_work.lt001_univ_oper
WHERE 1=1 
AND ambito = 'PM'
AND segmento = 'ESTR'
AND ref_date = '${date}'
AND nome_perimetro = 'Individual Corporativo') LT001
ON CONCAT(KT_CHAVES.CEMPRESA,KT_CHAVES.CBALCAO, KT_CHAVES.CNUMECTA, KT_CHAVES.ZDEPOSIT) = CONCAT(LT001.CEMPRESA,LT001.CBALCAO, LT001.CNUMECTA, LT001.ZDEPOSIT) 
GROUP BY 
LT002.instrmnt_id,
CASE WHEN LENGTH(CAST(CAST(CT003.CNUM_DOC_IDENTIF2 AS INT) AS STRING)) = 9 AND TAT91.TAYD91C0_CELEMTAB IS NOT NULL THEN CAST (CAST(CT003.CNUM_DOC_IDENTIF2 AS INT) AS STRING) ELSE 'MISS' END,
CCLI_GRUPO,
ZCLIENTE,
CLEI,
flag_inst_div
) X
;
SELECT LT002.instrmnt_id, LT002.issr_id, ISSR_ID.ISSR_ID as ISSR_ID_SIM
FROM
(SELECT instrmnt_id, issr_id
FROM bu_loantape_work.lt002_instrument
WHERE 1=1 
AND ambito = 'PM'
AND segmento = 'ESTR'
AND ref_date = '${date}'
AND nome_perimetro = 'Individual Corporativo') LT002
LEFT JOIN
(SELECT *
FROM BU_CAPTOOLS_WORK.TESTE_ISSR_ID) ISSR_ID
ON LT002.instrmnt_id = ISSR_ID.instrmnt_id
Where ISSR_ID.issr_id &lt;&gt; LT002.issr_id
;
</t>
  </si>
  <si>
    <t>DROP TABLE BU_CAPTOOLS_WORK.TESTE_ISSR_ID ;
CREATE TABLE BU_CAPTOOLS_WORK.TESTE_ISSR_ID AS 
SELECT 
instrmnt_id,
CASE WHEN flag_inst_div = '0' THEN 'N/A' ELSE 
CASE WHEN TRIM(CLEI) NOT IN ('', '#') THEN CLEI
          WHEN TRIM(CLEI) IN ('','#') AND TRIM(CCLI_GRUPO) &lt;&gt; '' AND MAX_CLEI IS NOT NULL THEN MAX_CLEI 
          WHEN TRIM(CLEI) IN ('','#') AND TRIM(CCLI_GRUPO) &lt;&gt; '' AND MAX_CLEI IS NULL AND TAX_ID  &lt;&gt; 'MISS' THEN TAX_ID 
          ELSE ZCLIENTE END END AS ISSR_ID
FROM
(
SELECT 
LT002.instrmnt_id,
CASE WHEN LENGTH(CAST(CAST(CT003.CNUM_DOC_IDENTIF2 AS INT) AS STRING)) = 9 AND TAT91.TAYD91C0_CELEMTAB IS NOT NULL THEN CAST (CAST(CT003.CNUM_DOC_IDENTIF2 AS INT) AS STRING) ELSE 'MISS' END AS TAX_ID,
MAX(CT003.CLEI) as MAX_CLEI,
CCLI_GRUPO,
ZCLIENTE,
CLEI,
flag_inst_div
FROM
(SELECT instrmnt_id
FROM bu_loantape_work.lt002_instrument
WHERE 1=1 
AND ambito = 'PM'
AND segmento = 'ESTR'
AND ref_date = '${date}'
AND nome_perimetro = 'Individual Corporativo') LT002
LEFT JOIN
(SELECT instrmnt_id, entty_id
FROM bu_loantape_work.lt005_instr_ent
WHERE 1=1 
AND ambito = 'PM'
AND segmento = 'ESTR'
AND ref_date = '${date}'
AND nome_perimetro = 'Individual Corporativo') LT005
ON LT005.INSTRMNT_ID = LT002.INSTRMNT_ID
LEFT JOIN
(SELECT zcliente, clei, ccli_grupo, cnum_doc_identif2, CTIPO_DOC_IDENTIF2
FROM cd_captools.ct003_univ_cli
Where ref_date = '${date}'
AND CLEI &lt;&gt; '#') CT003
ON CT003.zcliente = LT005.entty_id
LEFT JOIN
(SELECT TAYD91C0_CELEMTAB
FROM cd_estruturais.tat91_tabelas
WHERE data_date_part = '${date}'
AND TAT91_TABELAS.TAYD91C0_CTABELA = '151' 
AND (TAT91_TABELAS.TAYD91C0_GELEMTAB LIKE 'CONTRIBUINTE%' OR TAT91_TABELAS.TAYD91C0_GELEMTAB LIKE 'NUMERO DE CONTRIBUINTE%' OR TAT91_TABELAS.TAYD91C0_GELEMTAB LIKE 'ESTADO E EQUIPARADOS') ) TAT91
ON TAT91.TAYD91C0_CELEMTAB = CT003.CTIPO_DOC_IDENTIF2
LEFT JOIN
(SELECT *
FROM cd_loan_tapes_bce.kt_chaves_lt
Where ambito = 'PM'
AND segmento = 'ESTR'
AND ref_date = '${date}'
AND nome_perimetro = 'Individual Corporativo') KT_CHAVES
ON LT002.instrmnt_id = KT_CHAVES.instrmnt_id
LEFT JOIN 
(SELECT cempresa, cbalcao, cnumecta, zdeposit, flag_inst_div
FROM bu_loantape_work.lt001_univ_oper
WHERE 1=1 
AND ambito = 'PM'
AND segmento = 'ESTR'
AND ref_date = '${date}'
AND nome_perimetro = 'Individual Corporativo') LT001
ON CONCAT(KT_CHAVES.CEMPRESA,KT_CHAVES.CBALCAO, KT_CHAVES.CNUMECTA, KT_CHAVES.ZDEPOSIT) = CONCAT(LT001.CEMPRESA,LT001.CBALCAO, LT001.CNUMECTA, LT001.ZDEPOSIT) 
GROUP BY 
LT002.instrmnt_id,
CASE WHEN LENGTH(CAST(CAST(CT003.CNUM_DOC_IDENTIF2 AS INT) AS STRING)) = 9 AND TAT91.TAYD91C0_CELEMTAB IS NOT NULL THEN CAST (CAST(CT003.CNUM_DOC_IDENTIF2 AS INT) AS STRING) ELSE 'MISS' END,
CCLI_GRUPO,
ZCLIENTE,
CLEI,
flag_inst_div
) X
;
SELECT LT002.instrmnt_id, LT002.issr_id, ISSR_ID.ISSR_ID as ISSR_ID_SIM
FROM
(SELECT instrmnt_id, issr_id
FROM bu_loantape_work.lt002_instrument
WHERE 1=1 
AND ambito = 'PM'
AND segmento = 'ESTR'
AND ref_date = '${date}'
AND nome_perimetro = 'Individual Corporativo') LT002
LEFT JOIN
(SELECT *
FROM BU_CAPTOOLS_WORK.TESTE_ISSR_ID) ISSR_ID
ON LT002.instrmnt_id = ISSR_ID.instrmnt_id
Where length(LT002.ISSR_ID) &gt;=255</t>
  </si>
  <si>
    <t>ID of the issuer should have Char format (variable length allowed between 1 and 255 characters)</t>
  </si>
  <si>
    <t xml:space="preserve">DROP TABLE BU_CAPTOOLS_WORK.TESTE_ISSR_ID ;
CREATE TABLE BU_CAPTOOLS_WORK.TESTE_ISSR_ID AS 
SELECT instrmnt_id, ISSR_ID, 
CASE WHEN flag_inst_div = '0' THEN 'N/A' ELSE 
CASE WHEN ISSR_ID = CLEI OR ISSR_ID = MAX_CLEI THEN 'LEI'
WHEN ISSR_ID = TAX_ID THEN 'TAX'
WHEN ISSR_ID = ZCLIENTE THEN 'OTHER' END END AS ISSR_ID_TYP
FROM
( 
SELECT 
instrmnt_id,
CASE WHEN flag_inst_div = '0' THEN 'N/A' ELSE 
CASE WHEN TRIM(CLEI) NOT IN ('', '#') THEN CLEI
          WHEN TRIM(CLEI) IN ('','#') AND TRIM(CCLI_GRUPO) &lt;&gt; '' AND MAX_CLEI IS NOT NULL THEN MAX_CLEI 
          WHEN TRIM(CLEI) IN ('','#') AND TRIM(CCLI_GRUPO) &lt;&gt; '' AND MAX_CLEI IS NULL AND TAX_ID  &lt;&gt; 'MISS' THEN TAX_ID 
          ELSE ZCLIENTE END END AS ISSR_ID, CLEI, MAX_CLEI, ZCLIENTE, TAX_ID, flag_inst_div
FROM
(
SELECT 
LT002.instrmnt_id,
CASE WHEN LENGTH(CAST(CAST(CT003.CNUM_DOC_IDENTIF2 AS INT) AS STRING)) = 9 AND TAT91.TAYD91C0_CELEMTAB IS NOT NULL THEN CAST (CAST(CT003.CNUM_DOC_IDENTIF2 AS INT) AS STRING) ELSE 'MISS' END AS TAX_ID,
MAX(CT003.CLEI) as MAX_CLEI,
CCLI_GRUPO,
ZCLIENTE,
CLEI,
flag_inst_div
FROM
(SELECT instrmnt_id
FROM bu_loantape_work.lt002_instrument
WHERE 1=1 
AND ambito = 'PM'
AND segmento = 'ESTR'
AND ref_date = '${date}'
AND nome_perimetro = 'Individual Corporativo') LT002
LEFT JOIN
(SELECT instrmnt_id, entty_id
FROM bu_loantape_work.lt005_instr_ent
WHERE 1=1 
AND ambito = 'PM'
AND segmento = 'ESTR'
AND ref_date = '${date}'
AND nome_perimetro = 'Individual Corporativo') LT005
ON LT005.INSTRMNT_ID = LT002.INSTRMNT_ID
LEFT JOIN
(SELECT zcliente, clei, ccli_grupo, cnum_doc_identif2, CTIPO_DOC_IDENTIF2
FROM cd_captools.ct003_univ_cli
Where ref_date = '${date}'
AND CLEI &lt;&gt; '#') CT003
ON CT003.zcliente = LT005.entty_id
LEFT JOIN
(SELECT TAYD91C0_CELEMTAB
FROM cd_estruturais.tat91_tabelas
WHERE data_date_part = '${date}'
AND TAT91_TABELAS.TAYD91C0_CTABELA = '151' 
AND (TAT91_TABELAS.TAYD91C0_GELEMTAB LIKE 'CONTRIBUINTE%' OR TAT91_TABELAS.TAYD91C0_GELEMTAB LIKE 'NUMERO DE CONTRIBUINTE%' OR TAT91_TABELAS.TAYD91C0_GELEMTAB LIKE 'ESTADO E EQUIPARADOS') ) TAT91
ON TAT91.TAYD91C0_CELEMTAB = CT003.CTIPO_DOC_IDENTIF2
LEFT JOIN
(SELECT *
FROM cd_loan_tapes_bce.kt_chaves_lt
Where ambito = 'PM'
AND segmento = 'ESTR'
AND ref_date = '${date}'
AND nome_perimetro = 'Individual Corporativo') KT_CHAVES
ON LT002.instrmnt_id = KT_CHAVES.instrmnt_id
LEFT JOIN 
(SELECT cempresa, cbalcao, cnumecta, zdeposit, flag_inst_div
FROM bu_loantape_work.lt001_univ_oper
WHERE 1=1 
AND ambito = 'PM'
AND segmento = 'ESTR'
AND ref_date = '${date}'
AND nome_perimetro = 'Individual Corporativo') LT001
ON CONCAT(KT_CHAVES.CEMPRESA,KT_CHAVES.CBALCAO, KT_CHAVES.CNUMECTA, KT_CHAVES.ZDEPOSIT) = CONCAT(LT001.CEMPRESA,LT001.CBALCAO, LT001.CNUMECTA, LT001.ZDEPOSIT) 
GROUP BY 
LT002.instrmnt_id,
CASE WHEN LENGTH(CAST(CAST(CT003.CNUM_DOC_IDENTIF2 AS INT) AS STRING)) = 9 AND TAT91.TAYD91C0_CELEMTAB IS NOT NULL THEN CAST (CAST(CT003.CNUM_DOC_IDENTIF2 AS INT) AS STRING) ELSE 'MISS' END,
CCLI_GRUPO,
ZCLIENTE,
CLEI,
flag_inst_div
) X
) Y
;
SELECT LT002.instrmnt_id, LT002.issr_id, ISSR_ID.ISSR_ID as ISSR_ID_SIM, LT002.ISSR_ID_TYP, ISSR_ID.ISSR_ID_TYP as ISSR_ID_TYP_SIM
FROM
(SELECT instrmnt_id, issr_id, issr_id_typ
FROM bu_loantape_work.lt002_instrument
WHERE 1=1 
AND ambito = 'PM'
AND segmento = 'ESTR'
AND ref_date = '${date}'
AND nome_perimetro = 'Individual Corporativo') LT002
LEFT JOIN
(SELECT *
FROM BU_CAPTOOLS_WORK.TESTE_ISSR_ID) ISSR_ID
ON LT002.instrmnt_id = ISSR_ID.instrmnt_id
Where LT002.issr_id_typ &lt;&gt; ISSR_ID.ISSR_ID_TYP
</t>
  </si>
  <si>
    <t>"Type of ID of the issuer" should match the information on the Codelist</t>
  </si>
  <si>
    <t>DROP TABLE BU_CAPTOOLS_WORK.TESTE_ISSR_ID ;
CREATE TABLE BU_CAPTOOLS_WORK.TESTE_ISSR_ID AS 
SELECT instrmnt_id, ISSR_ID, 
CASE WHEN flag_inst_div = '0' THEN 'N/A' ELSE 
CASE WHEN ISSR_ID = CLEI OR ISSR_ID = MAX_CLEI THEN 'LEI'
WHEN ISSR_ID = TAX_ID THEN 'TAX'
WHEN ISSR_ID = ZCLIENTE THEN 'OTHER' END END AS ISSR_ID_TYP
FROM
( 
SELECT 
instrmnt_id,
CASE WHEN flag_inst_div = '0' THEN 'N/A' ELSE 
CASE WHEN TRIM(CLEI) NOT IN ('', '#') THEN CLEI
          WHEN TRIM(CLEI) IN ('','#') AND TRIM(CCLI_GRUPO) &lt;&gt; '' AND MAX_CLEI IS NOT NULL THEN MAX_CLEI 
          WHEN TRIM(CLEI) IN ('','#') AND TRIM(CCLI_GRUPO) &lt;&gt; '' AND MAX_CLEI IS NULL AND TAX_ID  &lt;&gt; 'MISS' THEN TAX_ID 
          ELSE ZCLIENTE END END AS ISSR_ID, CLEI, MAX_CLEI, ZCLIENTE, TAX_ID, flag_inst_div
FROM
(
SELECT 
LT002.instrmnt_id,
CASE WHEN LENGTH(CAST(CAST(CT003.CNUM_DOC_IDENTIF2 AS INT) AS STRING)) = 9 AND TAT91.TAYD91C0_CELEMTAB IS NOT NULL THEN CAST (CAST(CT003.CNUM_DOC_IDENTIF2 AS INT) AS STRING) ELSE 'MISS' END AS TAX_ID,
MAX(CT003.CLEI) as MAX_CLEI,
CCLI_GRUPO,
ZCLIENTE,
CLEI,
flag_inst_div
FROM
(SELECT instrmnt_id
FROM bu_loantape_work.lt002_instrument
WHERE 1=1 
AND ambito = 'PM'
AND segmento = 'ESTR'
AND ref_date = '${date}'
AND nome_perimetro = 'Individual Corporativo') LT002
LEFT JOIN
(SELECT instrmnt_id, entty_id
FROM bu_loantape_work.lt005_instr_ent
WHERE 1=1 
AND ambito = 'PM'
AND segmento = 'ESTR'
AND ref_date = '${date}'
AND nome_perimetro = 'Individual Corporativo') LT005
ON LT005.INSTRMNT_ID = LT002.INSTRMNT_ID
LEFT JOIN
(SELECT zcliente, clei, ccli_grupo, cnum_doc_identif2, CTIPO_DOC_IDENTIF2
FROM cd_captools.ct003_univ_cli
Where ref_date = '${date}'
AND CLEI &lt;&gt; '#') CT003
ON CT003.zcliente = LT005.entty_id
LEFT JOIN
(SELECT TAYD91C0_CELEMTAB
FROM cd_estruturais.tat91_tabelas
WHERE data_date_part = '${date}'
AND TAT91_TABELAS.TAYD91C0_CTABELA = '151' 
AND (TAT91_TABELAS.TAYD91C0_GELEMTAB LIKE 'CONTRIBUINTE%' OR TAT91_TABELAS.TAYD91C0_GELEMTAB LIKE 'NUMERO DE CONTRIBUINTE%' OR TAT91_TABELAS.TAYD91C0_GELEMTAB LIKE 'ESTADO E EQUIPARADOS') ) TAT91
ON TAT91.TAYD91C0_CELEMTAB = CT003.CTIPO_DOC_IDENTIF2
LEFT JOIN
(SELECT *
FROM cd_loan_tapes_bce.kt_chaves_lt
Where ambito = 'PM'
AND segmento = 'ESTR'
AND ref_date = '${date}'
AND nome_perimetro = 'Individual Corporativo') KT_CHAVES
ON LT002.instrmnt_id = KT_CHAVES.instrmnt_id
LEFT JOIN 
(SELECT cempresa, cbalcao, cnumecta, zdeposit, flag_inst_div
FROM bu_loantape_work.lt001_univ_oper
WHERE 1=1 
AND ambito = 'PM'
AND segmento = 'ESTR'
AND ref_date = '${date}'
AND nome_perimetro = 'Individual Corporativo') LT001
ON CONCAT(KT_CHAVES.CEMPRESA,KT_CHAVES.CBALCAO, KT_CHAVES.CNUMECTA, KT_CHAVES.ZDEPOSIT) = CONCAT(LT001.CEMPRESA,LT001.CBALCAO, LT001.CNUMECTA, LT001.ZDEPOSIT) 
GROUP BY 
LT002.instrmnt_id,
CASE WHEN LENGTH(CAST(CAST(CT003.CNUM_DOC_IDENTIF2 AS INT) AS STRING)) = 9 AND TAT91.TAYD91C0_CELEMTAB IS NOT NULL THEN CAST (CAST(CT003.CNUM_DOC_IDENTIF2 AS INT) AS STRING) ELSE 'MISS' END,
CCLI_GRUPO,
ZCLIENTE,
CLEI,
flag_inst_div
) X
) Y
;
SELECT DISTINCT LT002.ISSR_ID_TYP, ISSR_ID.ISSR_ID_TYP as ISSR_ID_TYP_SIM
FROM
(SELECT instrmnt_id, issr_id, issr_id_typ
FROM bu_loantape_work.lt002_instrument
WHERE 1=1 
AND ambito = 'PM'
AND segmento = 'ESTR'
AND ref_date = '${date}'
AND nome_perimetro = 'Individual Corporativo') LT002
LEFT JOIN
(SELECT *
FROM BU_CAPTOOLS_WORK.TESTE_ISSR_ID) ISSR_ID
ON LT002.instrmnt_id = ISSR_ID.instrmnt_id</t>
  </si>
  <si>
    <t xml:space="preserve">SELECT instrmnt_id, accmltd_chngs_fv_cr_instrmnt, accmltd_chngs_fv_cr_instrmnt_sim ,prfrmng_stts, accntng_clssfctn
FROM
(SELECT instrmnt_id, accmltd_chngs_fv_cr_instrmnt, prfrmng_stts, accntng_clssfctn,
CASE WHEN prfrmng_stts &lt;&gt; '1' OR accntng_clssfctn not in ('4','41') THEN 11111111111.00 ELSE 0 END AS accmltd_chngs_fv_cr_instrmnt_sim 
FROM bu_loantape_work.lt002_instrument
WHERE 1=1 
AND ambito = 'PM'
AND segmento = 'ESTR'
AND ref_date = '${date}'
AND nome_perimetro = 'Individual Corporativo') LT002
Where accmltd_chngs_fv_cr_instrmnt &lt;&gt; accmltd_chngs_fv_cr_instrmnt_sim
 </t>
  </si>
  <si>
    <t>"Accumulated changes in fair value due to credit risk" should have a Format numeric (2 decimal places)</t>
  </si>
  <si>
    <t>"Accumulated changes in fair value due to credit risk" shall be larger or equal to 0; Negative values trigger attention</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</si>
  <si>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</si>
  <si>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If "Subportfolio ID" is classified as 'VRPL - Fair value through profit and loss' and 'P - Performing', then "Accumulated changes in fair value due to credit risk" should be 'Not Applicable' or zero</t>
  </si>
  <si>
    <t>If "Balance sheet recognition" is set as 'REC01 - Entirely recognised' or 'REC02 - Recognised to the extent of the institution's continuing involvement' and Subportfolio ID is classified as 'VRPL - FV with changes in PL' then "Accumulated changes in fair value due to credit risk" cannot be 'Not Applicable'</t>
  </si>
  <si>
    <t>If "Performing status" is set as '11 - Performing' and "Forbearance status" is populated as '3 - Forborne: Refinanced debt', '4 - Forborne: instruments with other modified terms and conditions' or '5 - Forborne: instruments with modified interest rate below market conditions', then "Accumulated changes in fair value due to credit risk" should be 'Not Applicable'</t>
  </si>
  <si>
    <t xml:space="preserve">SELECT instrmnt_id, accmltd_chngs_fv_cr_instrmnt, accmltd_chngs_fv_cr_instrmnt_sim ,prfrmng_stts, accntng_clssfctn
FROM
(SELECT instrmnt_id, accmltd_chngs_fv_cr_instrmnt, prfrmng_stts, accntng_clssfctn,
CASE WHEN prfrmng_stts &lt;&gt; '1' OR accntng_clssfctn not in ('4','41') THEN 11111111111.00 ELSE 0 END AS accmltd_chngs_fv_cr_instrmnt_sim 
FROM bu_loantape_work.lt002_instrument
WHERE 1=1 
AND ambito = 'PM'
AND segmento = 'ESTR'
AND ref_date = '${date}'
AND nome_perimetro = 'Individual Corporativo') LT002
Where cast(accmltd_chngs_fv_cr_instrmnt as VARCHAR) NOT LIKE '%.__'
 </t>
  </si>
  <si>
    <t xml:space="preserve">SELECT instrmnt_id, accmltd_chngs_fv_cr_instrmnt, accmltd_chngs_fv_cr_instrmnt_sim ,prfrmng_stts, accntng_clssfctn
FROM
(SELECT instrmnt_id, accmltd_chngs_fv_cr_instrmnt, prfrmng_stts, accntng_clssfctn,
CASE WHEN prfrmng_stts &lt;&gt; '1' OR accntng_clssfctn not in ('4','41') THEN 11111111111.00 ELSE 0 END AS accmltd_chngs_fv_cr_instrmnt_sim 
FROM bu_loantape_work.lt002_instrument
WHERE 1=1 
AND ambito = 'PM'
AND segmento = 'ESTR'
AND ref_date = '${date}'
AND nome_perimetro = 'Individual Corporativo') LT002
Where accmltd_chngs_fv_cr_instrmnt &lt; 0 
 </t>
  </si>
  <si>
    <t xml:space="preserve">SELECT instrmnt_id, accmltd_chngs_fv_cr_instrmnt, accmltd_chngs_fv_cr_instrmnt_sim ,prfrmng_stts, accntng_clssfctn
FROM
(SELECT instrmnt_id, accmltd_chngs_fv_cr_instrmnt, prfrmng_stts, accntng_clssfctn,
CASE WHEN prfrmng_stts &lt;&gt; '1' OR accntng_clssfctn not in ('4','41') THEN 11111111111.00 ELSE 0 END AS accmltd_chngs_fv_cr_instrmnt_sim 
FROM bu_loantape_work.lt002_instrument
WHERE 1=1 
AND ambito = 'PM'
AND segmento = 'ESTR'
AND ref_date = '${date}'
AND nome_perimetro = 'Individual Corporativo') LT002
Where accntng_clssfctn IN ('6','14','8')
AND accmltd_chngs_fv_cr_instrmnt &lt;&gt; 11111111111
 </t>
  </si>
  <si>
    <t>Campo não existe</t>
  </si>
  <si>
    <t xml:space="preserve">SELECT instrmnt_id, accmltd_chngs_fv_cr_instrmnt, accmltd_chngs_fv_cr_instrmnt_sim ,prfrmng_stts, accntng_clssfctn
FROM
(SELECT
instrmnt_id, accmltd_chngs_fv_cr_instrmnt, prfrmng_stts, accntng_clssfctn, frbrnc_stts_instrmnt,
CASE WHEN prfrmng_stts &lt;&gt; '1' OR accntng_clssfctn not in ('4','41') THEN 11111111111.00 ELSE 0 END AS accmltd_chngs_fv_cr_instrmnt_sim 
FROM bu_loantape_work.lt002_instrument
WHERE 1=1 
AND ambito = 'PM'
AND segmento = 'ESTR'
AND ref_date = '${date}'
AND nome_perimetro = 'Individual Corporativo') LT002
Where prfrmng_stts IN ('11')
AND frbrnc_stts_instrmnt IN ('3','4','5')
AND accmltd_chngs_fv_cr_instrmnt &lt;&gt; 11111111111
 </t>
  </si>
  <si>
    <t>Re-especificar o campo utilizando o código da OSI (código é uma proxy com base no tipo de amortização e na frequência de pagamentos)</t>
  </si>
  <si>
    <t>Observações</t>
  </si>
  <si>
    <t>Data</t>
  </si>
  <si>
    <t>Total de Campos da Wallet</t>
  </si>
  <si>
    <t>Estado Campos em Produção</t>
  </si>
  <si>
    <t>REF_DATE</t>
  </si>
  <si>
    <t>1 Controlo NOK - Proteções a zero</t>
  </si>
  <si>
    <t>BLOCO 3</t>
  </si>
  <si>
    <t>Next Steps</t>
  </si>
  <si>
    <t>Estado do campo</t>
  </si>
  <si>
    <t>LT_VALIDATION_LABEL</t>
  </si>
  <si>
    <t>LT_VALIDATION_DESCRIPTION</t>
  </si>
  <si>
    <t>LT_VALIDAT_TABLE</t>
  </si>
  <si>
    <t>LT_VALIDAT_FIELD</t>
  </si>
  <si>
    <t>LT_VALIDATION_TYPE</t>
  </si>
  <si>
    <t>LT_PROC_STEP_ID</t>
  </si>
  <si>
    <t>LT_PROC_VAL_NEW_STATUS</t>
  </si>
  <si>
    <t>LT_VAL_EXECUTED</t>
  </si>
  <si>
    <t>LT_VAL_INCIDENTS</t>
  </si>
  <si>
    <t>VL_PERCENT</t>
  </si>
  <si>
    <t>RELACION_NUM_DF</t>
  </si>
  <si>
    <t>LT_O_IN</t>
  </si>
  <si>
    <t>LT_R_IN_097_01</t>
  </si>
  <si>
    <t>If "Date of performing status" is not equal to "Date of Inception" and "Date of performing status" occured during a period of 24 month preceding the reference date, then "Highest number of days past due in the 12 months prior to the most recent change of performing status" cannot be 'Not applicable'</t>
  </si>
  <si>
    <t>INTRA_REL_P_IN</t>
  </si>
  <si>
    <t>REL_CAMPOS</t>
  </si>
  <si>
    <t>LT_R_IN</t>
  </si>
  <si>
    <t>KO</t>
  </si>
  <si>
    <t>LT_O_IN_102_01</t>
  </si>
  <si>
    <t>"Date of impairment status" must be later than 01 January 1970</t>
  </si>
  <si>
    <t>RELACION_FECHA</t>
  </si>
  <si>
    <t>LT_O_IN_103_01</t>
  </si>
  <si>
    <t>"Date of previous impairment status" must be later than 01 January 1970</t>
  </si>
  <si>
    <t>LT_O_IN_027_01</t>
  </si>
  <si>
    <t>"Date of performing status" must be later than 01 January 1970</t>
  </si>
  <si>
    <t>INTER_REL_P_X2</t>
  </si>
  <si>
    <t>LT_O_IN_028_01</t>
  </si>
  <si>
    <t>"Date of previous performing status" must be later than 01 January 1970</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</si>
  <si>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</si>
  <si>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</si>
  <si>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</si>
  <si>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</si>
  <si>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LT_R_IN_034_09</t>
  </si>
  <si>
    <t>If "Debtor on watch-list (Y/N)" (Main Entity level) is set as 'Y' and "Subportfolio ID" is not classified as 'VRPL - FV with changes in PL' then "Impairment status" has to be set as '24 - Stage 2 (IFRS)' or '25 - Stage 3 (IFRS)'</t>
  </si>
  <si>
    <t>INTER_REL_P_X1</t>
  </si>
  <si>
    <t>LT_R_IN_034_12</t>
  </si>
  <si>
    <t>If "Subportfolio ID" is classified as 'S1 - Stage 1', then "Impairment status" must equal '23 - Stage 1 (IFRS)'</t>
  </si>
  <si>
    <t>LT_R_IN_035_01</t>
  </si>
  <si>
    <t>If "Accounting portfolio" equals '2 - IFRS: Financial assets held for trading', '4 - IFRS: Financial assets designated at fair value through profit or loss' or '41 - IFRS: Non-trading financial assets mandatorily at fair value through profit or loss', then "Previous impairment status" must equal default values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</si>
  <si>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</si>
  <si>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</si>
  <si>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LT_R_IN_044_07</t>
  </si>
  <si>
    <t>If "Protection called" is set as 'Y' then "Performing status" (instrument level) has to be set as '1 - Non-performing'</t>
  </si>
  <si>
    <t>INTER_REL_P_X3</t>
  </si>
  <si>
    <t>LT_R_IN_044_12</t>
  </si>
  <si>
    <t>If "Performing status" (Main Entity level) is set as '1 - Non Performing' then "Performing status" at instrument level should be '1 - Non Performing'</t>
  </si>
  <si>
    <t>LT_R_IN_044_08</t>
  </si>
  <si>
    <t>If "Subportfolio ID" is classified as 'P - Performing', then "Performing status" (instrument level) has to be set as '11 - Performing'</t>
  </si>
  <si>
    <t>Campo com alteração de especificação devido a atualização do Guia Corporativo (Relacionado com o PRFRMNG_STTS_PRVS)</t>
  </si>
  <si>
    <t>1 Controlo NOK - Inconsistências entre conceitos DFLT e STAGE 
1 Controlo ligado a um campo com Incidências (PRTCTN_CLLD)
1 Controlo enviado pela Luísa à corporação (será retirado)</t>
  </si>
  <si>
    <t xml:space="preserve">- Alteração do Universo da LT004 para a GT018 (15/01/2025)
- Alteração de especificação de campos dependentes da tabela CT063 para a tabela Business (02/04/2025)
- Retirar traçabilidade dos ajustes com as demais tabelas (04/04/2025)
- Alteração de especificação dos campo do Universo PRVS (04/04/2025)
</t>
  </si>
  <si>
    <t>Alterar Especificação</t>
  </si>
  <si>
    <t>dstntn_fnds, excldd_lf, flln_angl_extndd_dfntn, flln_angl_nrrw_dfntn, grp_rorac, rorac, rorac, rwa_mtgtn, rwa_prmtgtn, scan, ttl_lvrg_rt_incptn, ttl_prmssbl_dbt_blnc, typ_cl, typ_dl, typ_fclty, typ_off_blnc_prdct, us_prcds, pd_ec_incptn, pd_ec_rd, ttl_lvrg_rt_incptn_hlt, dt_mdfctn, grp_spprt, fld_syndctn, rtntn_shr, stts_undrwrttn_trnsctn, syndct_rl, syndctd_agnt, syndctd_cntrct_id, syndctd_lndrs, syndctd_shr, syndctn_typ, trnch, dt_extrnl_rtng, dt_frbrnc_stts, ec_grp_id, ec_grp_nm, extrnl_rtng, extrnl_rtng_nm, extrnl_rtng_prvs, frbrnc_stts_instrmnt, cntry, ecnmc_actvty, rtng_scl, typ_instrmnt, prfrmng_stts_prvs, flg_lbo,mn_entty_id</t>
  </si>
  <si>
    <t>Campos entregues por IT para testagem do GD, as entregas referentes aos campos listados foram efetuadas em 4 fases:
AVRG_BLNC ,NW_BSNSS ,GRSS_INTRST_INCM ,GRSS_CMMSSN_INCM ,INTRNL_TRNSFR_RT ,NT_LN_LSS_PRVSN ,BSNSS_AREA ,MNGMNT_PRDCT ,GRSS_CMMSSN_EXPNS ,GNS_FNNCL_TRNSCTN_EXCHNG_DFFRNCS ,FLG_INTRBSNSS ,INTRBSNSS_ADJ_COD ,COD_SOC_DSTNTN ,BSNSS_AREA_DSTNTN ,AVRG_BLNC_OFF_BLNC ,INTRNL_TRNSFR_RT_OFF_BLNC ,GRSS_CMMSSN_INCM_OFF_BLNC ,GRSS_CMMSSN_EXPNS_OFF_BLNC ,RWA_OFF_BLNC ,GRSS_INTRST_EXPNS ,NT_LN_LSS_PRVSN_OFF_BLNC ,GRSS_INTRST_INCM_CCRR ,GRSS_INTRST_EXPNS_CCRR ,GRSS_CMMSSN_INCM_CCRR ,GRSS_CMMSSN_EXPNS_CCRR ,GNS_FNNCL_TRNSCTN_EXCHNG_CCRR ,BSNSS_AREA_CCRR ,GRSS_CMMSSN_INCM_OFF_BLNC_CCRR ,GRSS_CMMSSN_EXPNS_OFF_BLNC_CCRR ,CCF ,COD_SOC ,SUBPORTFOLIO_ID ,DT_RFRNC ,DFLT_STTS_INSTRMNT ,IMPRMNT_STTS ,PRFRMNG_STTS ,TYP_INSTRMNT ,GRSS_CRRYNG_AMNT_INSTRMNT ,PRVSNS_OFF_BLNC_SHT ,COD_SOC_INTRGRP ,LCL_INSTMRNT_ID ,CNCLLD_INSTRMNT_STTS ,INSTRMNT_ID ,COD_SOC ,DT_RFRNC ,PRTCTN_ID ,TYP_PRTCTN ,PRTCTN_VL ,TYP_VHCL ,COD_SOC ,DT_RFRNC ,INSTRMNT_ID ,PRTCTN_ID ,TYP_RLTN ,PRCNTG_ACTVTY ,SSTNBL_INDCTR ,SSTNBL_CTGRY ,COD_SOC ,DT_RFRNC ,INSTRMNT_ID</t>
  </si>
  <si>
    <t>BLOCO 4</t>
  </si>
  <si>
    <t>Passagem a Produção</t>
  </si>
  <si>
    <t>SELECT *
FROM
  (SELECT instrmnt_id,
          off_blnc_sht_amnt_instrmnt_prvs,
          DT_INCPTN &lt;= SUBSTR(cast(add_months(ref_date, -12) AS string), 1, 10) AS val,
          SUM(-1*VALOR_BRUTO_OFF_PRVS) AS cal,
          ROUND(nvl(CASE
                        WHEN instrmnt_id LIKE 'SNC%' THEN 11111111111
                        WHEN instrmnt_id LIKE 'SS%' THEN 11111111111
                        WHEN DT_INCPTN &gt; SUBSTR(cast(add_months(ref_date, -12) AS string), 1, 10) THEN 11111111111
                        WHEN DT_INCPTN &lt;= SUBSTR(cast(add_months(ref_date, -12) AS string), 1, 10) THEN SUM(-1*VALOR_BRUTO_OFF_PRVS)
                    END, 0.00),2) AS off_blnc_sht_amnt_instrmnt_prvs_simulacao,
          dt_incptn,
          ref_date
   FROM
     (SELECT instrmnt_id,
             off_blnc_sht_amnt_instrmnt_prvs,
             dt_incptn,
             ref_date
      FROM bu_loantape_work.lt002_instrument
      WHERE segmento = 'ESTR'
        AND nome_perimetro ='Individual Corporativo'
        AND ref_date='${date}'
        AND AMBITO = 'PM' 
        AND cod_visao = 1) LT002
   LEFT JOIN
     (SELECT CEMPRESA,
             CBALCAO,
             CNUMECTA,
             ZDEPOSIT,
             valor_bruto_off_prvs
      FROM bu_loantape_work.lt001_univ_oper
      WHERE segmento = 'ESTR'
        AND nome_perimetro ='Individual Corporativo'
        AND ref_date='${date}'
        AND AMBITO = 'PM'
        AND cod_visao = 1) LT001 ON INSTRMNT_ID = CONCAT(CEMPRESA, CBALCAO, CNUMECTA, ZDEPOSIT)
   GROUP BY dt_incptn,
            ref_date,
            DT_INCPTN &lt;= SUBSTR(cast(add_months(ref_date, -12) AS string), 1, 10),
            instrmnt_id,
            off_blnc_sht_amnt_instrmnt_prvs) X
WHERE round(off_blnc_sht_amnt_instrmnt_prvs,2) &lt;&gt; round(off_blnc_sht_amnt_instrmnt_prvs_simulacao,2) ;</t>
  </si>
  <si>
    <t>SELECT *
FROM
  (SELECT instrmnt_id,
          off_blnc_sht_amnt_instrmnt_prvs,
          dt_incptn,
          ref_date
   FROM bu_loantape_work.lt002_instrument
   WHERE segmento = 'ESTR'
     AND nome_perimetro ='Individual Corporativo'
     AND ref_date='${date}'
     AND AMBITO = 'PM'
     AND cod_visao = 1) LT002
WHERE cast(off_blnc_sht_amnt_instrmnt_prvs AS VARCHAR) NOT LIKE '%.__'</t>
  </si>
  <si>
    <t>SELECT *
FROM
  (SELECT instrmnt_id,
          off_blnc_sht_amnt_instrmnt_prvs,
          dt_incptn,
          ref_date
   FROM bu_loantape_work.lt002_instrument
   WHERE segmento = 'ESTR'
     AND nome_perimetro ='Individual Corporativo'
     AND ref_date='${date}'
     AND AMBITO = 'PM'
     AND cod_visao = 1) LT002
WHERE off_blnc_sht_amnt_instrmnt_prvs &lt; 0</t>
  </si>
  <si>
    <t xml:space="preserve">SELECT *
FROM
  (SELECT instrmnt_id,
          off_blnc_sht_amnt_instrmnt_prvs,
          dt_incptn,
          ref_date
   FROM bu_loantape_work.lt002_instrument
   WHERE segmento = 'ESTR'
     AND nome_perimetro ='Individual Corporativo'
     AND ref_date='${date}'
     AND AMBITO = 'PM'
     AND cod_visao = 1) LT002
WHERE SUBSTR(cast(add_months(ref_date, -12) AS string), 1, 10) &lt; DT_INCPTN
        AND off_blnc_sht_amnt_instrmnt_prvs &lt;&gt; 11111111111
</t>
  </si>
  <si>
    <t>SELECT *
FROM
  (SELECT instrmnt_id,
          off_blnc_sht_amnt_instrmnt_prvs,
          off_blnc_sht_amnt_instrmnt,
          dt_incptn,
          ref_date
   FROM bu_loantape_work.lt002_instrument
   WHERE segmento = 'ESTR'
     AND nome_perimetro ='Individual Corporativo'
     AND ref_date='2025-03-31'
     AND AMBITO = 'PM'
     AND cod_visao = 1
     AND instrmnt_id NOT LIKE 'SS%'
     AND instrmnt_id NOT LIKE 'SNCN%') LT002
WHERE SUBSTR(cast(add_months(ref_date, -12) AS string), 1, 10) &gt; DT_INCPTN
  AND off_blnc_sht_amnt_instrmnt &lt;&gt; 11111111111
  AND off_blnc_sht_amnt_instrmnt_prvs = 11111111111</t>
  </si>
  <si>
    <t>Alteração tabela fonte CT063 para a tabela Business</t>
  </si>
  <si>
    <t>Campo pode sofrer alterações com o tratamento dos NULL já entregue para testagem</t>
  </si>
  <si>
    <t>UNVERSO</t>
  </si>
  <si>
    <t>FLAG_PME</t>
  </si>
  <si>
    <t>COD_EMPR_PME</t>
  </si>
  <si>
    <t>SELECT LT001.zcliente,cod_empr_pme, cod_empr_pme_sim, flag_pme,FLAG_PME_SIM
FROM
(SELECT zcliente, cod_empr_pme, flag_pme
FROM bu_loantape_work.lt001_univ_oper
WHERE ref_date = '2025-06-30'
  AND ambito = 'PM'
  AND segmento = 'ESTR'
  AND nome_perimetro = 'Individual IDComb') LT001
LEFT JOIN
(SELECT zcliente, cast(cod_empr_pme as STRING) as cod_empr_pme_sim,
Case when cast(cod_empr_pme as STRING) in ('1','2','3') THEN '1' ELSE '0' END as FLAG_PME_SIM
FROM business_sme2003361.out_sme_2003_361
Where 1=1 
AND ref_date = '${date}') BUSSME
ON LT001.zcliente = BUSSME.zcliente
WHERE 1=1 
AND cod_empr_pme &lt;&gt; cod_empr_pme_sim
-- AND flag_pme &lt;&gt; FLAG_PME_SIM</t>
  </si>
  <si>
    <t>SELECT LT001.zcliente,cod_empr_pme, cod_empr_pme_sim, flag_pme,FLAG_PME_SIM
FROM
(SELECT zcliente, cod_empr_pme, flag_pme
FROM bu_loantape_work.lt001_univ_oper
WHERE ref_date = '2025-06-30'
  AND ambito = 'PM'
  AND segmento = 'ESTR'
  AND nome_perimetro = 'Individual IDComb') LT001
LEFT JOIN
(SELECT zcliente, cast(cod_empr_pme as STRING) as cod_empr_pme_sim,
Case when cast(cod_empr_pme as STRING) in ('1','2','3') THEN '1' ELSE '0' END as FLAG_PME_SIM
FROM business_sme2003361.out_sme_2003_361
Where 1=1 
AND ref_date = '${date}') BUSSME
ON LT001.zcliente = BUSSME.zcliente
WHERE 1=1 
-- AND cod_empr_pme &lt;&gt;cod_empr_pme_sim
AND flag_pme &lt;&gt; FLAG_PME_SIM</t>
  </si>
  <si>
    <t>ENTRPRZ_SZ_LE</t>
  </si>
  <si>
    <t>SELECT 
entty_id, contraparte,
entrprs_sz_le, entrprs_sz_le_simulado
FROM
(
SELECT entty_id,entrprs_sz_le, contraparte,
CASE WHEN contraparte in ('outras empresas nao financeiras') THEN entrprs_sz_le_simulado ELSE '11111111111' END AS entrprs_sz_le_simulado
FROM
(
SELECT entty_id, entrprs_sz_le, contraparte,
CASE WHEN cod_empr_pme = 0 THEN '1'
WHEN cod_empr_pme = 3 THEN '2'
WHEN cod_empr_pme = 2 THEN '3'
WHEN cod_empr_pme = 1 THEN '4'
ELSE '99999999999' END AS entrprs_sz_le_simulado
FROM 
(SELECT entty_id, entrprs_sz_le
FROM bu_loantape_work.lt003_entity
WHERE 1=1 
AND ambito = 'PM'
AND segmento = 'ESTR'
AND ref_date = '${date}'
AND nome_perimetro = 'Individual IDComb'
AND cod_visao = 1) LT003
LEFT JOIN
(SELECT zcliente, contraparte
FROM cd_captools.ct003_univ_cli
WHERE 1=1 
AND ref_date = '${date}') CT003
ON CT003.zcliente = LT003.entty_id
LEFT JOIN
(SELECT zcliente, cod_empr_pme
FROM business_sme2003361.out_sme_2003_361
Where 1=1 
AND ref_date = '${date}') BUSSME
ON LT003.entty_id = BUSSME.zcliente
) A
) B
Where 1=1
AND entrprs_sz_le &lt;&gt; entrprs_sz_le_simulado</t>
  </si>
  <si>
    <t>SELECT LT002.instrmnt_id, cre_fnrp18, CRE_FNRP18_sim
FROM 
(SELECT instrmnt_id, cre_fnrp18
FROM bu_loantape_work.lt002_instrument
WHERE 1=1 
AND ambito = 'PM'
AND segmento = 'ESTR'
AND ref_date = '${date}'
AND nome_perimetro = 'Individual IDComb'
AND cod_visao = 1) LT002
LEFT JOIN
(SELECT *
FROM cd_loan_tapes_bce.kt_chaves_lt
Where ref_date ='${date}') kt_chaves
ON LT002.instrmnt_id = kt_chaves.instrmnt_id
LEFT JOIN 
(SELECT *, CASE
    WHEN CASE
             WHEN LOWER(REGEXP_REPLACE(carteira_contabilistica, ' ','')) IN ('garantiasecompromissosconcedidos')
                  AND LOWER(REGEXP_REPLACE(contraparte, ' ','')) IN ('outrasempresasnaofinanceiras')
                  AND LOWER(REGEXP_REPLACE(tipo_conta, ' ','')) IN ('ea')
                  AND LOWER(REGEXP_REPLACE(colateral, ' ','')) IN ('garhipcomercial') THEN 'CRE_FNRP18'
             WHEN LOWER(REGEXP_REPLACE(carteira_contabilistica, ' ','')) IN ('provisoesparacompromissosegarantiasconcedidas')
                  AND LOWER(REGEXP_REPLACE(contraparte, ' ','')) IN ('outrasempresasnaofinanceiras')
                  AND LOWER(REGEXP_REPLACE(colateral, ' ','')) IN ('garhipcomercial') THEN 'CRE_FNRP18'
             WHEN LOWER(REGEXP_REPLACE(carteira_contabilistica, ' ','')) IN ('ativosfinanceirosaocustoamortizado',
                                                                             'ativosfinanceirosmandatoriamenteaojustovaloratravesderesultados',
                                                                             'ativosfinanceirosaojustovaloratravesdeoutrorendimentointegral')
                  AND LOWER(REGEXP_REPLACE(instrumento_financeiro, ' ','')) IN ('creditoconcedidoeoutrosativosfinanceiros')
                  AND LOWER(REGEXP_REPLACE(contraparte, ' ','')) IN ('outrasempresasnaofinanceiras')
                  AND LOWER(REGEXP_REPLACE(tipo_conta, ' ','')) IN ('a')
                  AND LOWER(REGEXP_REPLACE(bruto_imparidade, ' ','')) IN ('imparidade')
                  AND LOWER(REGEXP_REPLACE(colateral, ' ','')) IN ('garhipcomercial') THEN 'CRE_FNRP18'
             WHEN LOWER(REGEXP_REPLACE(carteira_contabilistica, ' ','')) IN ('ativosfinanceirosaocustoamortizado',
                                                                             'ativosfinanceirosmandatoriamenteaojustovaloratravesderesultados',
                                                                             'ativosfinanceirosaojustovaloratravesdeoutrorendimentointegral')
                  AND LOWER(REGEXP_REPLACE(instrumento_financeiro, ' ','')) IN ('creditoconcedidoeoutrosativosfinanceiros')
                  AND LOWER(REGEXP_REPLACE(contraparte, ' ','')) IN ('outrasempresasnaofinanceiras')
                  AND LOWER(REGEXP_REPLACE(tipo_conta, ' ','')) IN ('a')
                  AND LOWER(REGEXP_REPLACE(bruto_imparidade, ' ','')) NOT IN ('imparidade')
                  AND LOWER(REGEXP_REPLACE(colateral, ' ','')) IN ('garhipcomercial') THEN 'CRE_FNRP18'
             WHEN LOWER(REGEXP_REPLACE(carteira_contabilistica, ' ','')) IN ('garantiasecompromissosconcedidos')
                  AND LOWER(REGEXP_REPLACE(contraparte, ' ','')) IN ('')
                  AND LOWER(REGEXP_REPLACE(contraparte_i, ' ','')) IN ('outrasempresasnaofinanceiras')
                  AND LOWER(REGEXP_REPLACE(tipo_conta, ' ','')) IN ('ea')
                  AND LOWER(REGEXP_REPLACE(colateral, ' ','')) IN ('garhipcomercial') THEN 'CRE_FNRP18'
             WHEN LOWER(REGEXP_REPLACE(carteira_contabilistica, ' ','')) IN ('provisoesparacompromissosegarantiasconcedidas')
                  AND LOWER(REGEXP_REPLACE(contraparte, ' ','')) IN ('')
                  AND LOWER(REGEXP_REPLACE(contraparte_i, ' ','')) IN ('outrasempresasnaofinanceiras')
                  AND LOWER(REGEXP_REPLACE(colateral, ' ','')) IN ('garhipcomercial') THEN 'CRE_FNRP18'
             WHEN LOWER(REGEXP_REPLACE(carteira_contabilistica, ' ','')) IN ('ativosfinanceirosaocustoamortizado',
                                                                             'ativosfinanceirosmandatoriamenteaojustovaloratravesderesultados',
                                                                             'ativosfinanceirosaojustovaloratravesdeoutrorendimentointegral')
                  AND LOWER(REGEXP_REPLACE(instrumento_financeiro, ' ','')) IN ('creditoconcedidoeoutrosativosfinanceiros')
                  AND LOWER(REGEXP_REPLACE(contraparte, ' ','')) IN ('')
                  AND LOWER(REGEXP_REPLACE(contraparte_i, ' ','')) IN ('outrasempresasnaofinanceiras')
                  AND LOWER(REGEXP_REPLACE(tipo_conta, ' ','')) IN ('a')
                  AND LOWER(REGEXP_REPLACE(bruto_imparidade, ' ','')) IN ('imparidade')
                  AND LOWER(REGEXP_REPLACE(colateral, ' ','')) IN ('garhipcomercial') THEN 'CRE_FNRP18'
             WHEN LOWER(REGEXP_REPLACE(carteira_contabilistica, ' ','')) IN ('ativosfinanceirosaocustoamortizado',
                                                                             'ativosfinanceirosmandatoriamenteaojustovaloratravesderesultados',
                                                                             'ativosfinanceirosaojustovaloratravesdeoutrorendimentointegral')
                  AND LOWER(REGEXP_REPLACE(instrumento_financeiro, ' ','')) IN ('creditoconcedidoeoutrosativosfinanceiros')
                  AND LOWER(REGEXP_REPLACE(contraparte, ' ','')) IN ('')
                  AND LOWER(REGEXP_REPLACE(contraparte_i, ' ','')) IN ('outrasempresasnaofinanceiras')
                  AND LOWER(REGEXP_REPLACE(tipo_conta, ' ','')) IN ('a')
                  AND LOWER(REGEXP_REPLACE(bruto_imparidade, ' ','')) NOT IN ('imparidade')
                  AND LOWER(REGEXP_REPLACE(colateral, ' ','')) IN ('garhipcomercial') THEN 'CRE_FNRP18'
         END = 'CRE_FNRP18' THEN 'Y'
    ELSE 'N'
END AS CRE_FNRP18_sim
FROM bu_loantape_work.lt001_univ_oper
WHERE 1=1 
AND ambito = 'PM'
AND segmento = 'ESTR'
AND ref_date = '${date}'
AND nome_perimetro = 'Individual IDComb'
AND cod_visao = 1) LT001
ON CONCAT(kt_chaves.cempresa,kt_chaves.cbalcao, kt_chaves.cnumecta, kt_chaves.zdeposit) = CONCAT(LT001.cempresa,LT001.cbalcao, LT001.cnumecta, LT001.zdeposit)
Where cre_fnrp18 &lt;&gt; CRE_FNRP18_sim</t>
  </si>
  <si>
    <t>SELECT LT002.instrmnt_id,
       rre_fnrp18,
       RRE_FNRP18_sim
FROM
  (SELECT instrmnt_id,
          rre_fnrp18
   FROM bu_loantape_work.lt002_instrument
   WHERE 1=1
     AND ambito = 'PM'
     AND segmento = 'ESTR'
     AND ref_date = '${date}'
     AND nome_perimetro = 'Individual IDComb'
     AND cod_visao = 1) LT002
LEFT JOIN
  (SELECT *
   FROM cd_loan_tapes_bce.kt_chaves_lt
   WHERE ref_date ='${date}') kt_chaves ON LT002.instrmnt_id = kt_chaves.instrmnt_id
LEFT JOIN
  (SELECT *,
          CASE
              WHEN CASE
                       WHEN LOWER(REGEXP_REPLACE(carteira_contabilistica, ' ','')) IN ('garantiasecompromissosconcedidos')
                            AND LOWER(REGEXP_REPLACE(contraparte, ' ','')) IN ('particulares')
                            AND LOWER(REGEXP_REPLACE(tipo_conta, ' ','')) IN ('ea')
                            AND LOWER(REGEXP_REPLACE(colateral, ' ','')) IN ('garhipresidencial') THEN 'RRE_FNRP18'
                       WHEN LOWER(REGEXP_REPLACE(carteira_contabilistica, ' ','')) IN ('provisoesparacompromissosegarantiasconcedidas')
                            AND LOWER(REGEXP_REPLACE(contraparte, ' ','')) IN ('particulares')
                            AND LOWER(REGEXP_REPLACE(colateral, ' ','')) IN ('garhipresidencial') THEN 'RRE_FNRP18'
                       WHEN LOWER(REGEXP_REPLACE(carteira_contabilistica, ' ','')) IN ('ativosfinanceirosaocustoamortizado',
                                                                                       'ativosfinanceirosmandatoriamenteaojustovaloratravesderesultados',
                                                                                       'ativosfinanceirosaojustovaloratravesdeoutrorendimentointegral')
                            AND LOWER(REGEXP_REPLACE(instrumento_financeiro, ' ','')) IN ('creditoconcedidoeoutrosativosfinanceiros')
                            AND LOWER(REGEXP_REPLACE(contraparte, ' ','')) IN ('particulares')
                            AND LOWER(REGEXP_REPLACE(tipo_conta, ' ','')) IN ('a')
                            AND LOWER(REGEXP_REPLACE(bruto_imparidade, ' ','')) IN ('imparidade')
                            AND LOWER(REGEXP_REPLACE(colateral, ' ','')) IN ('garhipresidencial') THEN 'RRE_FNRP18'
                       WHEN LOWER(REGEXP_REPLACE(carteira_contabilistica, ' ','')) IN ('ativosfinanceirosaocustoamortizado',
                                                                                       'ativosfinanceirosmandatoriamenteaojustovaloratravesderesultados',
                                                                                       'ativosfinanceirosaojustovaloratravesdeoutrorendimentointegral')
                            AND LOWER(REGEXP_REPLACE(instrumento_financeiro, ' ','')) IN ('creditoconcedidoeoutrosativosfinanceiros')
                            AND LOWER(REGEXP_REPLACE(contraparte, ' ','')) IN ('particulares')
                            AND LOWER(REGEXP_REPLACE(tipo_conta, ' ','')) IN ('a')
                            AND LOWER(REGEXP_REPLACE(bruto_imparidade, ' ','')) NOT IN ('imparidade')
                            AND LOWER(REGEXP_REPLACE(colateral, ' ','')) IN ('garhipresidencial') THEN 'RRE_FNRP18'
                       WHEN LOWER(REGEXP_REPLACE(carteira_contabilistica, ' ','')) IN ('garantiasecompromissosconcedidos')
                            AND LOWER(REGEXP_REPLACE(contraparte, ' ','')) IN ('')
                            AND LOWER(REGEXP_REPLACE(contraparte_i, ' ','')) IN ('particulares')
                            AND LOWER(REGEXP_REPLACE(tipo_conta, ' ','')) IN ('ea')
                            AND LOWER(REGEXP_REPLACE(colateral, ' ','')) IN ('garhipresidencial') THEN 'RRE_FNRP18'
                       WHEN LOWER(REGEXP_REPLACE(carteira_contabilistica, ' ','')) IN ('provisoesparacompromissosegarantiasconcedidas')
                            AND LOWER(REGEXP_REPLACE(contraparte, ' ','')) IN ('')
                            AND LOWER(REGEXP_REPLACE(contraparte_i, ' ','')) IN ('particulares')
                            AND LOWER(REGEXP_REPLACE(colateral, ' ','')) IN ('garhipresidencial') THEN 'RRE_FNRP18'
                       WHEN LOWER(REGEXP_REPLACE(carteira_contabilistica, ' ','')) IN ('ativosfinanceirosaocustoamortizado',
                                                                                       'ativosfinanceirosmandatoriamenteaojustovaloratravesderesultados',
                                                                                       'ativosfinanceirosaojustovaloratravesdeoutrorendimentointegral')
                            AND LOWER(REGEXP_REPLACE(instrumento_financeiro, ' ','')) IN ('creditoconcedidoeoutrosativosfinanceiros')
                            AND LOWER(REGEXP_REPLACE(contraparte, ' ','')) IN ('')
                            AND LOWER(REGEXP_REPLACE(contraparte_i, ' ','')) IN ('particulares')
                            AND LOWER(REGEXP_REPLACE(tipo_conta, ' ','')) IN ('a')
                            AND LOWER(REGEXP_REPLACE(bruto_imparidade, ' ','')) IN ('imparidade')
                            AND LOWER(REGEXP_REPLACE(colateral, ' ','')) IN ('garhipresidencial') THEN 'RRE_FNRP18'
                       WHEN LOWER(REGEXP_REPLACE(carteira_contabilistica, ' ','')) IN ('ativosfinanceirosaocustoamortizado',
                                                                                       'ativosfinanceirosmandatoriamenteaojustovaloratravesderesultados',
                                                                                       'ativosfinanceirosaojustovaloratravesdeoutrorendimentointegral')
                            AND LOWER(REGEXP_REPLACE(instrumento_financeiro, ' ','')) IN ('creditoconcedidoeoutrosativosfinanceiros')
                            AND LOWER(REGEXP_REPLACE(contraparte, ' ','')) IN ('')
                            AND LOWER(REGEXP_REPLACE(contraparte_i, ' ','')) IN ('particulares')
                            AND LOWER(REGEXP_REPLACE(tipo_conta, ' ','')) IN ('a')
                            AND LOWER(REGEXP_REPLACE(bruto_imparidade, ' ','')) NOT IN ('imparidade')
                            AND LOWER(REGEXP_REPLACE(colateral, ' ','')) IN ('garhipresidencial') THEN 'RRE_FNRP18'
                   END = 'RRE_FNRP18' THEN 'Y'
              ELSE 'N'
          END AS RRE_FNRP18_sim
   FROM bu_loantape_work.lt001_univ_oper
   WHERE 1=1
     AND ambito = 'PM'
     AND segmento = 'ESTR'
     AND ref_date = '${date}'
     AND nome_perimetro = 'Individual IDComb'
     AND cod_visao = 1) LT001 ON CONCAT(kt_chaves.cempresa,kt_chaves.cbalcao, kt_chaves.cnumecta, kt_chaves.zdeposit) = CONCAT(LT001.cempresa,LT001.cbalcao, LT001.cnumecta, LT001.zdeposit)
WHERE RRE_fnrp18 &lt;&gt; RRE_FNRP18_sim</t>
  </si>
  <si>
    <t>"Flag of CREs" should be a Char not null (default values for not applicable fields not allowed)</t>
  </si>
  <si>
    <t>"Flag of CREs" should match the information on the Codelist</t>
  </si>
  <si>
    <t>If "Flag of CREs" is set to 'N', then "Debt yield" must be defaulted</t>
  </si>
  <si>
    <t>If "Flag of CREs" is set as 'Y - Yes' then "Loans collateralized classification" should be 'FMC1 - Real Estate. Commercial'</t>
  </si>
  <si>
    <t>If "Flag of CREs" is set to 'Y' in INSTRUMENT table then at least one record in PROTECTION table must have informed "Protection type" as '9 - Offices and commercial premises' or '10 - Commercial real estate collateral'</t>
  </si>
  <si>
    <t xml:space="preserve">1 contrato </t>
  </si>
  <si>
    <t>SELECT *
FROM
(
SELECT instrmnt_id, cre_fnrp18, max(VALIDACAO) as validacao
FROM
(
SELECT LT002.instrmnt_id, cre_fnrp18
, CASE WHEN typ_PRTCTN = '9' OR typ_PRTCTN = '10' Then 'SIM' ELSE 'NAO' END AS VALIDACAO
FROM
     (SELECT instrmnt_id,
             cre_fnrp18
      FROM bu_loantape_work.lt002_instrument
      WHERE 1=1
        AND ambito = 'PM'
        AND segmento = 'ESTR'
        AND ref_date = '${date}'
        AND nome_perimetro = 'Individual IDComb'
        AND cod_visao = 1
        AND instrmnt_id NOT LIKE 'SNCN%'
        AND instrmnt_id NOT LIKE 'SS%') LT002
LEFT JOIN
(SELECT *
      FROM bu_loantape_work.lt006_instr_prot
      WHERE 1=1
        AND ambito = 'PM'
        AND segmento = 'ESTR'
        AND ref_date = '${date}'
        AND nome_perimetro = 'Individual IDComb'
        AND cod_visao = 1) LT006
ON LT002.instrmnt_id = LT006.instrmnt_id  
LEFT JOIN 
(SELECT *
      FROM bu_loantape_work.lt004_protection
      WHERE 1=1
        AND ambito = 'PM'
        AND segmento = 'ESTR'
        AND ref_date = '${date}'
        AND nome_perimetro = 'Individual IDComb'
        AND cod_visao = 1) LT004
ON LT004.prtctn_id = LT006.prtctn_id  
) X 
Group by instrmnt_id, cre_fnrp18
) Y
Where validacao = 'NAO'
AND CRE_FNRP18 = 'Y'</t>
  </si>
  <si>
    <t>SELECT DISTINCT cre_fnrp18
      FROM bu_loantape_work.lt002_instrument
      WHERE 1=1
        AND ambito = 'PM'
        AND segmento = 'ESTR'
        AND ref_date = '${date}'
        AND nome_perimetro = 'Individual IDComb'
        AND cod_visao = 1
        AND instrmnt_id NOT LIKE 'SNCN%'
        AND instrmnt_id NOT LIKE 'SS%'</t>
  </si>
  <si>
    <t xml:space="preserve">SELECT instrmnt_id, cre_fnrp18, dbt_yld
      FROM bu_loantape_work.lt002_instrument
      WHERE 1=1
        AND ambito = 'PM'
        AND segmento = 'ESTR'
        AND ref_date = '${date}'
        AND nome_perimetro = 'Individual IDComb'
        AND cod_visao = 1
        AND instrmnt_id NOT LIKE 'SNCN%'
        AND instrmnt_id NOT LIKE 'SS%'
        AND cre_fnrp18 = 'N' 
        AND dbt_yld not in (11111111111,99999999999)
 </t>
  </si>
  <si>
    <t xml:space="preserve">SELECT DISTINCT lns_clltrlzd_clssfctn
      FROM bu_loantape_work.lt002_instrument
      WHERE 1=1
        AND ambito = 'PM'
        AND segmento = 'ESTR'
        AND ref_date = '${date}'
        AND nome_perimetro = 'Individual IDComb'
        AND cod_visao = 1
        AND instrmnt_id NOT LIKE 'SNCN%'
        AND instrmnt_id NOT LIKE 'SS%'
        AND cre_fnrp18 = 'Y' 
        AND lns_clltrlzd_clssfctn </t>
  </si>
  <si>
    <t>Na Especificação falta condição de N/A?!</t>
  </si>
  <si>
    <t>"Enterprise size Counterparty (LE)" should match the information on the Codelist</t>
  </si>
  <si>
    <t>If "Flag of SMEs" equals 'N', then "Enterprise size Counterparty (LE)" (Main Entity level) cannot equal '2 - Medium enterprise' nor '3 - Small enterprise' nor '4 - Micro enterprise'</t>
  </si>
  <si>
    <t>If "Flag of SMEs" equals 'Y', then "Enterprise size Counterparty (LE)" (Main Entity level) cannot equal '1 - Large enterprise'</t>
  </si>
  <si>
    <t>If "Type of person" is 'N - Natural person' then "Enterprise size Counterparty (LE)" must be a default value</t>
  </si>
  <si>
    <t>If "Date of enterprise size" is populated with other than default values then "Enterprise size" cannot be 'Not applicable'</t>
  </si>
  <si>
    <t>FLAG_PME (LT001)</t>
  </si>
  <si>
    <t>COD_EMPR_PME (LT001)</t>
  </si>
  <si>
    <t>Alteração do nome do campo SUBTIPO_GARANTIA da LT001 para COLATERAL cuja fonte é o COLATERAL da FR011</t>
  </si>
  <si>
    <t xml:space="preserve">SELECT DISTINCT entrprs_sz_le
FROM bu_loantape_work.lt003_entity
WHERE 1=1 
AND ambito = 'PM'
AND segmento = 'ESTR'
AND ref_date = '${date}'
AND nome_perimetro = 'Individual IDComb'
AND cod_visao = 1
</t>
  </si>
  <si>
    <t>SELECT Lt003.entty_id, entrprs_sz_le, Lt002.instrmnt_id, sme_fnrp18
FROM
(SELECT entty_id, entrprs_sz_le
FROM bu_loantape_work.lt003_entity
WHERE 1=1 
AND ambito = 'PM'
AND segmento = 'ESTR'
AND ref_date = '${date}'
AND nome_perimetro = 'Individual IDComb'
AND cod_visao = 1) LT003
LEFT JOIN 
     (SELECT *
      FROM bu_loantape_work.lt005_instr_ent
      WHERE 1=1
        AND ambito = 'PM'
        AND segmento = 'ESTR'
        AND ref_date = '${date}'
        AND nome_perimetro = 'Individual IDComb'
        AND cod_visao = 1) LT005
ON LT003.entty_id = LT005.entty_id
LEFT JOIN 
     (SELECT instrmnt_id,
             sme_fnrp18
      FROM bu_loantape_work.lt002_instrument
      WHERE 1=1
        AND ambito = 'PM'
        AND segmento = 'ESTR'
        AND ref_date = '${date}'
        AND nome_perimetro = 'Individual IDComb'
        AND cod_visao = 1) LT002
ON LT002.instrmnt_id = LT005.instrmnt_id
Where sme_fnrp18 ='Y' 
AND entrprs_sz_le in ('1')</t>
  </si>
  <si>
    <t>SELECT entty_id, entrprs_sz_le, prsn_typ
FROM bu_loantape_work.lt003_entity
WHERE 1=1 
AND ambito = 'PM'
AND segmento = 'ESTR'
AND ref_date = '${date}'
AND nome_perimetro = 'Individual IDComb'
AND cod_visao = 1
AND prsn_typ = 'N'
AND entrprs_sz_le &lt;&gt; '11111111111'</t>
  </si>
  <si>
    <t>Este campo não está especificado</t>
  </si>
  <si>
    <t>"Flag of RREs" should be a Char not null (default values for not applicable fields not allowed)</t>
  </si>
  <si>
    <t>"Flag of RREs" should match the information on the Codelist</t>
  </si>
  <si>
    <t>If "Flag of RREs" is set as 'Y - Yes' then "Loans collateralized classification" should be 'FMC2 - Real Estate. Residential'</t>
  </si>
  <si>
    <t>If "Flag of RREs" is set to 'Y' in INSTRUMENT table then at least one record in PROTECTION table must have informed "Protection type" as '8 - Residential real estate collateral'</t>
  </si>
  <si>
    <t>SELECT DISTINCT rre_fnrp18
   FROM bu_loantape_work.lt002_instrument
   WHERE 1=1
     AND ambito = 'PM'
     AND segmento = 'ESTR'
     AND ref_date = '${date}'
     AND nome_perimetro = 'Individual IDComb'
     AND cod_visao = 1</t>
  </si>
  <si>
    <t>SELECT LT004.prtctn_id, typ_prtctn, lt002.instrmnt_id, rre_fnrp18
FROM
     (SELECT instrmnt_id,
             rre_fnrp18
      FROM bu_loantape_work.lt002_instrument
      WHERE 1=1
        AND ambito = 'PM'
        AND segmento = 'ESTR'
        AND ref_date = '${date}'
        AND nome_perimetro = 'Individual IDComb'
        AND cod_visao = 1) LT002
LEFT JOIN
(SELECT *
      FROM bu_loantape_work.lt006_instr_prot
      WHERE 1=1
        AND ambito = 'PM'
        AND segmento = 'ESTR'
        AND ref_date = '${date}'
        AND nome_perimetro = 'Individual IDComb'
        AND cod_visao = 1) LT006
ON LT002.instrmnt_id = LT006.instrmnt_id  
LEFT JOIN 
(SELECT *
      FROM bu_loantape_work.lt004_protection
      WHERE 1=1
        AND ambito = 'PM'
        AND segmento = 'ESTR'
        AND ref_date = '${date}'
        AND nome_perimetro = 'Individual IDComb'
        AND cod_visao = 1) LT004
ON LT004.prtctn_id = LT006.prtctn_id  
Where LT002.instrmnt_id in (SELECT instrmnt_id
FROM
(
SELECT instrmnt_id, rre_fnrp18, max(VALIDACAO) as validacao
FROM
(
SELECT LT002.instrmnt_id, rre_fnrp18
, CASE WHEN typ_PRTCTN = '8' Then 'SIM' ELSE 'NAO' END AS VALIDACAO
FROM
     (SELECT instrmnt_id,
             rre_fnrp18
      FROM bu_loantape_work.lt002_instrument
      WHERE 1=1
        AND ambito = 'PM'
        AND segmento = 'ESTR'
        AND ref_date = '${date}'
        AND nome_perimetro = 'Individual IDComb'
        AND cod_visao = 1
        AND instrmnt_id NOT LIKE 'SNCN%'
        AND instrmnt_id NOT LIKE 'SS%') LT002
LEFT JOIN
(SELECT *
      FROM bu_loantape_work.lt006_instr_prot
      WHERE 1=1
        AND ambito = 'PM'
        AND segmento = 'ESTR'
        AND ref_date = '${date}'
        AND nome_perimetro = 'Individual IDComb'
        AND cod_visao = 1) LT006
ON LT002.instrmnt_id = LT006.instrmnt_id  
LEFT JOIN 
(SELECT *
      FROM bu_loantape_work.lt004_protection
      WHERE 1=1
        AND ambito = 'PM'
        AND segmento = 'ESTR'
        AND ref_date = '${date}'
        AND nome_perimetro = 'Individual IDComb'
        AND cod_visao = 1) LT004
ON LT004.prtctn_id = LT006.prtctn_id  
) X 
Group by instrmnt_id, rre_fnrp18
) Y
WHERE rre_fnrp18 = 'Y'
AND validacao = 'NAO')
;
SELECT *
FROM
(
SELECT instrmnt_id, rre_fnrp18, max(VALIDACAO) as validacao
FROM
(
SELECT LT002.instrmnt_id, rre_fnrp18
, CASE WHEN typ_PRTCTN = '8' Then 'SIM' ELSE 'NAO' END AS VALIDACAO
FROM
     (SELECT instrmnt_id,
             rre_fnrp18
      FROM bu_loantape_work.lt002_instrument
      WHERE 1=1
        AND ambito = 'PM'
        AND segmento = 'ESTR'
        AND ref_date = '${date}'
        AND nome_perimetro = 'Individual IDComb'
        AND cod_visao = 1
        AND instrmnt_id NOT LIKE 'SNCN%'
        AND instrmnt_id NOT LIKE 'SS%') LT002
LEFT JOIN
(SELECT *
      FROM bu_loantape_work.lt006_instr_prot
      WHERE 1=1
        AND ambito = 'PM'
        AND segmento = 'ESTR'
        AND ref_date = '${date}'
        AND nome_perimetro = 'Individual IDComb'
        AND cod_visao = 1) LT006
ON LT002.instrmnt_id = LT006.instrmnt_id  
LEFT JOIN 
(SELECT *
      FROM bu_loantape_work.lt004_protection
      WHERE 1=1
        AND ambito = 'PM'
        AND segmento = 'ESTR'
        AND ref_date = '${date}'
        AND nome_perimetro = 'Individual IDComb'
        AND cod_visao = 1) LT004
ON LT004.prtctn_id = LT006.prtctn_id  
) X 
Group by instrmnt_id, rre_fnrp18
) Y
WHERE rre_fnrp18 = 'Y'
AND validacao = 'NAO'</t>
  </si>
  <si>
    <t>Reapontamento para campos PRVS do Universo</t>
  </si>
  <si>
    <t>Reapontar para o MN_ENTTY_ID</t>
  </si>
  <si>
    <t>Justificado: Um contrato que tem uma garantias leasing imobiliario na FR003, mas que não está na LT 
Atualmente ainda existe um processo supletivo ao MUG para acautelar leasings imobiliarios e mobiliarios. Como a LT apenas reporta o que está no MUG esta garantias não existe no LT.Existe um projeto em curso onde até final de outubro este processo deixa de existir e toda a informação venha exclusivamente do MUG</t>
  </si>
  <si>
    <t>JUSTIFICADO CONTROLO NOK: Existem um contrato que está marcado como CRE = Y, mas no LT apenas estão duas garantias pessoais associadas
Este contrato que tem uma garantias leasing imobiliario na FR003. Atualmente ainda existe um processo supletivo ao MUG para acautelar leasings imobiliarios e mobiliarios. Como a LT apenas reporta o que está no MUG esta garantias não existe no LT.Existe um projeto em curso onde até final de outubro este processo deixa de existir e toda a informação vem exclusivamente do MUG</t>
  </si>
  <si>
    <t>Análise de controlos</t>
  </si>
  <si>
    <t>Análise de consistência</t>
  </si>
  <si>
    <t>Em desenvolvimento com Nuno Alves e equipa do HA</t>
  </si>
  <si>
    <t>ID</t>
  </si>
  <si>
    <t>1.Email enviado ao Nuno e Rafael para proceder alteração do campo de forma a corrigir controlo If "Flag of SMEs" equals 'N', then "Enterprise size Counterparty (LE)" (Main Entity level) cannot equal '2 - Medium enterprise' nor '3 - Small enterprise' nor '4 - Micro enterprise'
2. Rever controlo com Luísa que relaciona a FLAG com o ENTTY</t>
  </si>
  <si>
    <t>Rever sinal dos campo juros_corridos e juros_corridos_prvs</t>
  </si>
  <si>
    <t>OK - Justificado</t>
  </si>
  <si>
    <t>Estado dos Campos</t>
  </si>
  <si>
    <t>Especificar campo</t>
  </si>
  <si>
    <t>Individual IDComb</t>
  </si>
  <si>
    <t>NOME_PERIMETRO</t>
  </si>
  <si>
    <t>Enviar email para riscos ou Nuno Pinheiro</t>
  </si>
  <si>
    <t xml:space="preserve">SELECT *
FROM
  (SELECT LT002.instrmnt_id,
          sme_fnrp18,
MAX(CASE
    WHEN CASE
             WHEN LOWER(REGEXP_REPLACE(carteira_contabilistica, ' ','')) IN ('provisoesparacompromissosegarantiasconcedidas')
                  AND LOWER(REGEXP_REPLACE(contraparte, ' ','')) IN ('')
                  AND LOWER(REGEXP_REPLACE(contraparte_i, ' ','')) IN ('outrasempresasnaofinanceiras')
                  AND LOWER(REGEXP_REPLACE(cod_empr_pme, ' ','')) IN ('1',
                                                                      '2',
                                                                      '3') THEN 'SME_FNRP18'
             WHEN LOWER(REGEXP_REPLACE(carteira_contabilistica, ' ','')) IN ('garantiasecompromissosconcedidos')
                  AND LOWER(REGEXP_REPLACE(contraparte, ' ','')) IN ('')
                  AND LOWER(REGEXP_REPLACE(contraparte_i, ' ','')) IN ('outrasempresasnaofinanceiras')
                  AND LOWER(REGEXP_REPLACE(tipo_conta, ' ','')) IN ('ea')
                  AND LOWER(REGEXP_REPLACE(cod_empr_pme, ' ','')) IN ('1',
                                                                      '2',
                                                                      '3') THEN 'SME_FNRP18'
             WHEN LOWER(REGEXP_REPLACE(carteira_contabilistica, ' ','')) IN ('ativosfinanceirosaocustoamortizado',
                                                                             'ativosfinanceirosmandatoriamenteaojustovaloratravesderesultados',
                                                                             'ativosfinanceirosaojustovaloratravesdeoutrorendimentointegral')
                  AND LOWER(REGEXP_REPLACE(instrumento_financeiro, ' ','')) IN ('creditoconcedidoeoutrosativosfinanceiros')
                  AND LOWER(REGEXP_REPLACE(contraparte, ' ','')) IN ('outrasempresasnaofinanceiras')
                  AND LOWER(REGEXP_REPLACE(tipo_conta, ' ','')) IN ('a')
                  AND LOWER(REGEXP_REPLACE(bruto_imparidade, ' ','')) NOT IN ('imparidade')
                  AND LOWER(REGEXP_REPLACE(cod_empr_pme, ' ','')) IN ('1',
                                                                      '2',
                                                                      '3') THEN 'SME_FNRP18'
             WHEN LOWER(REGEXP_REPLACE(carteira_contabilistica, ' ','')) IN ('ativosfinanceirosaocustoamortizado',
                                                                             'ativosfinanceirosmandatoriamenteaojustovaloratravesderesultados',
                                                                             'ativosfinanceirosaojustovaloratravesdeoutrorendimentointegral')
                  AND LOWER(REGEXP_REPLACE(instrumento_financeiro, ' ','')) IN ('creditoconcedidoeoutrosativosfinanceiros')
                  AND LOWER(REGEXP_REPLACE(contraparte, ' ','')) IN ('outrasempresasnaofinanceiras')
                  AND LOWER(REGEXP_REPLACE(tipo_conta, ' ','')) IN ('a')
                  AND LOWER(REGEXP_REPLACE(bruto_imparidade, ' ','')) IN ('imparidade')
                  AND LOWER(REGEXP_REPLACE(cod_empr_pme, ' ','')) IN ('1',
                                                                      '2',
                                                                      '3') THEN 'SME_FNRP18'
             WHEN LOWER(REGEXP_REPLACE(carteira_contabilistica, ' ','')) IN ('ativosfinanceirosaocustoamortizado',
                                                                             'ativosfinanceirosmandatoriamenteaojustovaloratravesderesultados',
                                                                             'ativosfinanceirosaojustovaloratravesdeoutrorendimentointegral')
                  AND LOWER(REGEXP_REPLACE(instrumento_financeiro, ' ','')) IN ('creditoconcedidoeoutrosativosfinanceiros')
                  AND LOWER(REGEXP_REPLACE(contraparte, ' ','')) IN ('')
                  AND LOWER(REGEXP_REPLACE(contraparte_i, ' ','')) IN ('outrasempresasnaofinanceiras')
                  AND LOWER(REGEXP_REPLACE(tipo_conta, ' ','')) IN ('a')
                  AND LOWER(REGEXP_REPLACE(bruto_imparidade, ' ','')) NOT IN ('imparidade')
                  AND LOWER(REGEXP_REPLACE(cod_empr_pme, ' ','')) IN ('1',
                                                                      '2',
                                                                      '3') THEN 'SME_FNRP18'
             WHEN LOWER(REGEXP_REPLACE(carteira_contabilistica, ' ','')) IN ('ativosfinanceirosaocustoamortizado',
                                                                             'ativosfinanceirosmandatoriamenteaojustovaloratravesderesultados',
                                                                             'ativosfinanceirosaojustovaloratravesdeoutrorendimentointegral')
                  AND LOWER(REGEXP_REPLACE(instrumento_financeiro, ' ','')) IN ('creditoconcedidoeoutrosativosfinanceiros')
                  AND LOWER(REGEXP_REPLACE(contraparte, ' ','')) IN ('')
                  AND LOWER(REGEXP_REPLACE(contraparte_i, ' ','')) IN ('outrasempresasnaofinanceiras')
                  AND LOWER(REGEXP_REPLACE(tipo_conta, ' ','')) IN ('a')
                  AND LOWER(REGEXP_REPLACE(bruto_imparidade, ' ','')) IN ('imparidade')
                  AND LOWER(REGEXP_REPLACE(cod_empr_pme, ' ','')) IN ('1',
                                                                      '2',
                                                                      '3') THEN 'SME_FNRP18'
             WHEN LOWER(REGEXP_REPLACE(carteira_contabilistica, ' ','')) IN ('provisoesparacompromissosegarantiasconcedidas')
                  AND LOWER(REGEXP_REPLACE(contraparte, ' ','')) IN ('outrasempresasnaofinanceiras')
                  AND LOWER(REGEXP_REPLACE(cod_empr_pme, ' ','')) IN ('1',
                                                                      '2',
                                                                      '3') THEN 'SME_FNRP18'
             WHEN LOWER(REGEXP_REPLACE(carteira_contabilistica, ' ','')) IN ('garantiasecompromissosconcedidos')
                  AND LOWER(REGEXP_REPLACE(contraparte, ' ','')) IN ('outrasempresasnaofinanceiras')
                  AND LOWER(REGEXP_REPLACE(tipo_conta, ' ','')) IN ('ea')
                  AND LOWER(REGEXP_REPLACE(cod_empr_pme, ' ','')) IN ('1',
                                                                      '2',
                                                                      '3') THEN 'SME_FNRP18'
         END = 'SME_FNRP18' THEN 'Y'
    ELSE 'N'
END) AS SME_FNRP18_SIM
   FROM
     (SELECT instrmnt_id,
             sme_fnrp18
      FROM bu_loantape_work.lt002_instrument
      WHERE 1=1
        AND ambito = 'PM'
        AND segmento = 'ESTR'
        AND ref_date = '${date}'
        AND nome_perimetro = 'Individual IDComb'
        AND cod_visao = 1
        AND cnclld_instrmnt_stts = 'N') LT002
   LEFT JOIN
     (SELECT *
      FROM cd_loan_tapes_bce.kt_chaves_lt
      WHERE ref_date ='${date}') kt_chaves ON LT002.instrmnt_id = kt_chaves.instrmnt_id
   LEFT JOIN
     (SELECT *
      FROM bu_loantape_work.lt001_univ_oper
      WHERE 1=1
        AND ambito = 'PM'
        AND segmento = 'ESTR'
        AND ref_date = '${date}'
        AND nome_perimetro = 'Individual IDComb'
        AND cod_visao = 1) LT001 ON CONCAT(kt_chaves.cempresa,kt_chaves.cbalcao, kt_chaves.cnumecta, kt_chaves.zdeposit) = CONCAT(LT001.cempresa,LT001.cbalcao, LT001.cnumecta, LT001.zdeposit)
Group by instrmnt_id, sme_fnrp18
) X
WHERE sme_fnrp18 &lt;&gt; SME_FNRP18_sim </t>
  </si>
  <si>
    <t>SELECT Lt003.entty_id, entrprs_sz_le, Lt002.instrmnt_id, sme_fnrp18
FROM
(SELECT entty_id, entrprs_sz_le
FROM bu_loantape_work.lt003_entity
WHERE 1=1 
AND ambito = 'PM'
AND segmento = 'ESTR'
AND ref_date = '${date}'
AND nome_perimetro = 'Individual IDComb'
AND cod_visao = 1) LT003
LEFT JOIN 
     (SELECT *
      FROM bu_loantape_work.lt005_instr_ent
      WHERE 1=1
        AND ambito = 'PM'
        AND segmento = 'ESTR'
        AND ref_date = '${date}'
        AND nome_perimetro = 'Individual IDComb'
        AND cod_visao = 1) LT005
ON LT003.entty_id = LT005.entty_id
LEFT JOIN 
     (SELECT instrmnt_id,
             sme_fnrp18
      FROM bu_loantape_work.lt002_instrument
      WHERE 1=1
        AND ambito = 'PM'
        AND segmento = 'ESTR'
        AND ref_date = '${date}'
        AND nome_perimetro = 'Individual IDComb'
        AND cod_visao = 1
        AND cnclld_instrmnt_stts = 'N') LT002
ON LT002.instrmnt_id = LT005.instrmnt_id
Where sme_fnrp18 ='N' 
AND entrprs_sz_le in ('2','3','4')</t>
  </si>
  <si>
    <t>Controlo: "Date of impairment status" must be later than 01 January 1970 Justificado</t>
  </si>
  <si>
    <t>Controlo: "Date of impairment status previous" must be later than 01 January 1970 Justificado</t>
  </si>
  <si>
    <t>"Date of performing status" must be later than 01 January 1970 Justificado</t>
  </si>
  <si>
    <t>"Date of previous performing status" must be later than 01 January 1970 Justificado</t>
  </si>
  <si>
    <t>LT_R_EN_027_01</t>
  </si>
  <si>
    <t>LT_R_EN</t>
  </si>
  <si>
    <t>LT_R_EN_027_03</t>
  </si>
  <si>
    <t>INTRA_REL_P_EN</t>
  </si>
  <si>
    <t>LT_R_IN_089_01</t>
  </si>
  <si>
    <t>If "Accounting portfolio" equals '2 - IFRS: Financial assets held for trading', '4 - IFRS: Financial assets designated at fair value through profit or loss' or '41 - IFRS: Non-trading financial assets mandatorily at fair value through profit or loss', then "Previous sum of LLPs and other allowances" must equal default values</t>
  </si>
  <si>
    <t>LT_R_IN_080_03</t>
  </si>
  <si>
    <t>If "Off-balance sheet amount" is populated as 'Not applicable' or zero amount, then "Outstanding gross nominal amount" cannot be 'Not applicable' nor zero amount</t>
  </si>
  <si>
    <t>LT_O_IN_080_01</t>
  </si>
  <si>
    <t>"Outstanding gross nominal amount" shall be larger or equal to 0; Negative values trigger attention</t>
  </si>
  <si>
    <t>Justificação</t>
  </si>
  <si>
    <t>Justificado</t>
  </si>
  <si>
    <t>Justificado, corrigido nas IC's</t>
  </si>
  <si>
    <t>Justificado, diferenças que aparecem ainda</t>
  </si>
  <si>
    <t>Luísa enviou email a area</t>
  </si>
  <si>
    <t>Justificado, existem estes casos com o gross a valores negativos</t>
  </si>
  <si>
    <t>Validar com Luísa</t>
  </si>
  <si>
    <t>Luísa vai falar com Zeneida</t>
  </si>
  <si>
    <t>1 Controlo NOK comparação com o Accounting portfolio</t>
  </si>
  <si>
    <t>3 Controlos NOK - Inconsistências entre conceitos de DFLT, STAGE e WATCH LIST
1 Controlo NOK - If "Subportfolio ID" is classified as 'S1 - Stage 1', then "Impairment status" must equal '23 - Stage 1 (IFRS)'</t>
  </si>
  <si>
    <t>Alteração de Especificação 11/08/2025</t>
  </si>
  <si>
    <t>Luísa vai voltar a pedir a Zeneida para retirar controlo</t>
  </si>
  <si>
    <t>Alterar especificação N/As</t>
  </si>
  <si>
    <t>Alteração de especificação (11/08)</t>
  </si>
  <si>
    <t>Falar com Paulo Silvério</t>
  </si>
  <si>
    <t>O Luís pediu para voltarmos a validar se o campo está realmente OK junto com a área. Se mesmo após a validação virmos que continuamos comerros a possível solução seria descartar a garantia no MUG a partir do momento que era executada (mas nada ficou decidido)</t>
  </si>
  <si>
    <t>EXCLDD_LF</t>
  </si>
  <si>
    <t>PD_EC_RD</t>
  </si>
  <si>
    <t>PD_EC_INCPTN</t>
  </si>
  <si>
    <t>COMPANY_EXPOSURE</t>
  </si>
  <si>
    <t>Alterações no ambito de LF</t>
  </si>
  <si>
    <t>N/A</t>
  </si>
  <si>
    <t>Necessário alterar especificação onde se incluí a condição de N/A  quando o prsn_typ = L</t>
  </si>
  <si>
    <t>SELECT *
FROM
  (SELECT LT002.instrmnt_id,
          ACCMLTD_IMPRMNT_INSTRMNT_PRVS,
          DT_INCPTN &lt;= SUBSTR(cast(add_months(LT002.ref_date, -12) AS string), 1, 10) AS val,
          SUM(-1*provisao_on_prvs) AS cal,
          ROUND(nvl(CASE
                        WHEN LT002.instrmnt_id LIKE 'SNC%' THEN 11111111111
                        WHEN LT002.instrmnt_id LIKE 'SS%' THEN 11111111111
                        WHEN DT_INCPTN &gt; SUBSTR(cast(add_months(LT002.ref_date, -12) AS string), 1, 10) THEN 11111111111
                        WHEN DT_INCPTN &lt;= SUBSTR(cast(add_months(LT002.ref_date, -12) AS string), 1, 10) THEN SUM(-1*provisao_on_prvs)
                    END, 0.00),2) AS ACCMLTD_IMPRMNT_INSTRMNT_PRVS_simulacao,
          dt_incptn,
          LT002.ref_date
   FROM
     (SELECT instrmnt_id,
             ACCMLTD_IMPRMNT_INSTRMNT_PRVS,
             dt_incptn,
             ref_date
      FROM bu_loantape_work.lt002_instrument
      WHERE segmento = 'ESTR'
        AND nome_perimetro ='Individual IDComb'
        AND ref_date='${date}'
        AND AMBITO = 'PM' 
        AND cod_visao = 1) LT002
INNER JOIN 
    (SELECT *
    FROM cd_loan_tapes_bce.kt_chaves_lt
    WHERE ref_date = '${date}') KT
ON LT002.INSTRMNT_ID = KT.INSTRMNT_ID
LEFT JOIN
     (SELECT CEMPRESA,
             CBALCAO,
             CNUMECTA,
             ZDEPOSIT,
             provisao_on_prvs
      FROM bu_loantape_work.lt001_univ_oper
      WHERE segmento = 'ESTR'
        AND nome_perimetro ='Individual IDComb'
        AND ref_date='${date}'
        AND AMBITO = 'PM'
        AND cod_visao = 1) LT001 
ON CONCAT(KT.CEMPRESA, KT.CBALCAO, KT.CNUMECTA, KT.ZDEPOSIT) = CONCAT(LT001.CEMPRESA, LT001.CBALCAO, LT001.CNUMECTA, LT001.ZDEPOSIT)
GROUP BY dt_incptn,
        LT002.ref_date,
        DT_INCPTN &lt;= SUBSTR(cast(add_months(ref_date, -12) AS string), 1, 10),
        LT002.instrmnt_id,
        ACCMLTD_IMPRMNT_INSTRMNT_PRVS) X
WHERE round(ACCMLTD_IMPRMNT_INSTRMNT_PRVS,2) &lt;&gt; round(ACCMLTD_IMPRMNT_INSTRMNT_PRVS_simulacao,2)</t>
  </si>
  <si>
    <t xml:space="preserve">SELECT *
FROM
  (SELECT LT002.instrmnt_id,
          OTSTNDNG_NMNL_AMNT_INSTRMNT,
          DT_INCPTN &lt;= SUBSTR(cast(add_months(LT002.ref_date, -12) AS string), 1, 10) AS val,
          NVL(SUM(-1*valor_bruto_on),0) - NVL(SUM(-1*juros_corridos),0) AS cal,
          ROUND(CASE
                        WHEN LT002.instrmnt_id LIKE 'SNC%' THEN 11111111111
                        WHEN LT002.instrmnt_id LIKE 'SS%' THEN 11111111111  
                        WHEN DT_INCPTN &lt;= SUBSTR(cast(add_months(LT002.ref_date, -12) AS string), 1, 10) THEN NVL(SUM(-1*VALOR_BRUTO_ON),0) - NVL(SUM(-1*JUROS_CORRIDOS),0)
                    END,2) AS OTSTNDNG_NMNL_AMNT_INSTRMNT_simulacao,
          dt_incptn,
          LT002.ref_date
   FROM
     (SELECT instrmnt_id,
             OTSTNDNG_NMNL_AMNT_INSTRMNT,
             dt_incptn,
             ref_date
      FROM bu_loantape_work.lt002_instrument
     WHERE segmento = 'ESTR'
        AND nome_perimetro ='${nome_perimetro}'
        AND ref_date='${date}'
        AND AMBITO = 'PM'
        AND entidade ='00100'
        AND cod_visao = 1) LT002
INNER JOIN 
    (SELECT *
    FROM cd_loan_tapes_bce.kt_chaves_lt
    WHERE ref_date = '${date}') KT
ON LT002.INSTRMNT_ID = KT.INSTRMNT_ID
LEFT JOIN
     (SELECT CEMPRESA,
             CBALCAO,
             CNUMECTA,
             ZDEPOSIT, 
             valor_bruto_on, 
             juros_corridos
      FROM bu_loantape_work.lt001_univ_oper
      WHERE segmento = 'ESTR'
        AND nome_perimetro ='${nome_perimetro}'
        AND ref_date='${date}'
        AND AMBITO = 'PM'
        AND entidade ='00100'
        AND cod_visao = 1)LT001 
ON CONCAT(KT.CEMPRESA, KT.CBALCAO, KT.CNUMECTA, KT.ZDEPOSIT) = CONCAT(LT001.CEMPRESA, LT001.CBALCAO, LT001.CNUMECTA, LT001.ZDEPOSIT)
GROUP BY dt_incptn,
        LT002.ref_date,
        DT_INCPTN &lt;= SUBSTR(cast(add_months(ref_date, -12) AS string), 1, 10),
        LT002.instrmnt_id,
        OTSTNDNG_NMNL_AMNT_INSTRMNT) X
WHERE round(OTSTNDNG_NMNL_AMNT_INSTRMNT,2) &lt;&gt; round(OTSTNDNG_NMNL_AMNT_INSTRMNT_simulacao,2);
</t>
  </si>
  <si>
    <t xml:space="preserve"> 
SELECT *
FROM
  (SELECT LT002.instrmnt_id,
          OTSTNDNG_NMNL_AMNT_INSTRMNT_PRVS,
          ROUND(CASE
                        WHEN LT002.instrmnt_id LIKE 'SNC%' THEN 11111111111
                        WHEN LT002.instrmnt_id LIKE 'SS%' THEN 11111111111
                        WHEN DT_INCPTN &gt; SUBSTR(cast(add_months(LT002.ref_date, -12) AS string), 1, 10) THEN 11111111111
                        WHEN DT_INCPTN &lt;= SUBSTR(cast(add_months(LT002.ref_date, -12) AS string), 1, 10) THEN  nvl(SUM(-1*valor_bruto_on_prvs),0) - nvl(SUM(-1*juros_corridos_prvs),0)
                    END,2) AS OTSTNDNG_NMNL_AMNT_INSTRMNT_PRVS_simulacao,
          dt_incptn,
          LT002.ref_date
   FROM
     (SELECT instrmnt_id,
             OTSTNDNG_NMNL_AMNT_INSTRMNT_PRVS,
             dt_incptn,
             ref_date
      FROM bu_loantape_work.lt002_instrument
      WHERE segmento = 'ESTR'
        AND nome_perimetro ='Individual IDComb'
        AND ref_date='${date}'
        AND AMBITO = 'PM' 
        AND cod_visao = 1) LT002
INNER JOIN 
    (SELECT *
    FROM cd_loan_tapes_bce.kt_chaves_lt
    WHERE ref_date = '${date}') KT
ON LT002.INSTRMNT_ID = KT.INSTRMNT_ID
LEFT JOIN
     (SELECT CEMPRESA,
             CBALCAO,
             CNUMECTA,
             ZDEPOSIT, 
             valor_bruto_on_prvs, 
             juros_corridos_prvs
      FROM bu_loantape_work.lt001_univ_oper
      WHERE segmento = 'ESTR'
        AND nome_perimetro ='Individual IDComb'
        AND ref_date='${date}'
        AND AMBITO = 'PM'
        AND cod_visao = 1) LT001 
ON CONCAT(KT.CEMPRESA, KT.CBALCAO, KT.CNUMECTA, KT.ZDEPOSIT) = CONCAT(LT001.CEMPRESA, LT001.CBALCAO, LT001.CNUMECTA, LT001.ZDEPOSIT)
GROUP BY dt_incptn,
        LT002.ref_date,
        DT_INCPTN &lt;= SUBSTR(cast(add_months(ref_date, -12) AS string), 1, 10),
        LT002.instrmnt_id,
        OTSTNDNG_NMNL_AMNT_INSTRMNT_PRVS) X
WHERE round(OTSTNDNG_NMNL_AMNT_INSTRMNT_PRVS,2) &lt;&gt; round(OTSTNDNG_NMNL_AMNT_INSTRMNT_PRVS_simulacao,2)
 </t>
  </si>
  <si>
    <t xml:space="preserve">PRFRMNG_STTS_LE </t>
  </si>
  <si>
    <t xml:space="preserve">select base.entty_id, 
       prfrmng_stts_le, 
       prfrmng_stts_le_sim
from 
    (select lt003.entty_id,
           prfrmng_stts_le,
           case when flg_mn_entty_id = 'N/A' THEN '11111111111'
           WHEN count(DISTINCT prfrmng_stts) = 1 THEN MIN(prfrmng_stts)
           WHEN count(DISTINCT prfrmng_stts) &gt; 1 THEN MIN(prfrmng_stts)
        ELSE '11'
        END AS PRFRMNG_STTS_LE_sim
    from
        (select entty_id,
            prfrmng_stts_le
        from bu_loantape_work.lt003_entity
        WHERE segmento = 'ESTR'
            AND nome_perimetro ='${nome_perimetro}'
            AND ref_date='${date}'
            AND AMBITO = 'PM'
            AND entidade ='00100'
            AND cod_visao = 1
        group by entty_id,
                 prfrmng_stts_le) lt003
    left join 
        (
        select entty_id,
                case when max(mn_entty_id) = 'N' THEN 'N/A'
                ELSE 'Y' END AS flg_mn_entty_id
        from bu_loantape_work.lt005_instr_ent
        WHERE segmento = 'ESTR'
            AND nome_perimetro ='${nome_perimetro}'
            AND ref_date='${date}'
            AND AMBITO = 'PM'
            AND entidade ='00100'
            AND cod_visao = 1
            -- and entty_id = '5100498090'
        group by entty_id
        ) lt005_filtrada
    on lt003.entty_id = lt005_filtrada.entty_id
    left join
    (SELECT entty_id, 
            prfrmng_stts
    from 
        (select entty_id, 
                instrmnt_id, mn_entty_id
        from bu_loantape_work.lt005_instr_ent
        WHERE segmento = 'ESTR'
            AND nome_perimetro ='${nome_perimetro}'
            AND ref_date='${date}'
            AND AMBITO = 'PM'
            AND entidade ='00100'
            AND cod_visao = 1
            AND mn_entty_id = 'Y'
        ) lt005
    inner join
        (select instrmnt_id, 
                prfrmng_stts
        from bu_loantape_work.lt002_instrument
        WHERE segmento = 'ESTR'
            AND nome_perimetro ='${nome_perimetro}'
            AND ref_date='${date}'
            AND AMBITO = 'PM'
            AND entidade ='00100'
            AND cod_visao = 1) lt002
    on lt002.instrmnt_id = lt005.instrmnt_id ) x
    on lt003.entty_id = x.entty_id
    group by lt003.entty_id,
            flg_mn_entty_id, 
            prfrmng_stts_le) base
having prfrmng_stts_le &lt;&gt; prfrmng_stts_le_sim
</t>
  </si>
  <si>
    <t xml:space="preserve">select *
from
(select 
lt003.entty_id,
        lti, 
        case when x.grss_crryng_amnt is null then 11111111111
        when flg_mn_entty_id = 'N/A' then 11111111111
        when intrnl_sgmnt not like 'particulares' then 11111111111
        when INFO_IRS.mrendimentobrutoanual is not null
        Then cast(x.grss_crryng_amnt / INFO_IRS.mrendimentobrutoanual as decimal(32,6))
        else 99999999999 end as lti_sim
from
    (select entty_id,
            intrnl_sgmnt, 
            lti
    from bu_loantape_work.lt003_entity
    WHERE segmento = 'ESTR'
    AND nome_perimetro ='${nome_perimetro}'
    AND ref_date='${date}'
    AND AMBITO = 'PM'
    AND entidade ='00100'
    AND cod_visao = 1) lt003
left join 
    (select entty_id,
                case when max(mn_entty_id) = 'N' THEN 'N/A'
                ELSE 'Y' END AS flg_mn_entty_id
        from bu_loantape_work.lt005_instr_ent
        WHERE segmento = 'ESTR'
            AND nome_perimetro ='${nome_perimetro}'
            AND ref_date='${date}'
            AND AMBITO = 'PM'
            AND entidade ='00100'
            AND cod_visao = 1
            -- and entty_id = '5100498090'
        group by entty_id
      ) lt005_filtrada
on lt003.entty_id = lt005_filtrada.entty_id
left join 
        (select entty_id,
                SUM (grss_crryng_amnt_instrmnt) AS GRSS_CRRYNG_AMNT
        from 
            (SELECT instrmnt_id,
                    grss_crryng_amnt_instrmnt, 
                    typ_instrmnt, 
                    CASE WHEN typ_instrmnt = '1004' THEN 'Y' ELSE 'N' END AS FLG_INSTRMNT
            FROM bu_loantape_work.lt002_instrument
            WHERE segmento = 'ESTR'
                AND nome_perimetro ='${nome_perimetro}'
                AND ref_date='${date}'
                AND AMBITO = 'PM'
                AND entidade ='00100'
                AND cod_visao = 1) lt002
        inner join 
                (SELECT entty_id,
                        instrmnt_id
                from bu_loantape_work.lt005_instr_ent
                WHERE segmento = 'ESTR'
                AND nome_perimetro ='${nome_perimetro}'
                AND ref_date='${date}'
                AND AMBITO = 'PM'
                AND entidade ='00100'
                AND cod_visao = 1
                AND mn_entty_id = 'Y') lt005
        on lt005.instrmnt_id = lt002.instrmnt_id
        where FLG_INSTRMNT = 'Y'
        group by entty_id
        ) x
on x.entty_id = lt003.entty_id
left join 
                (SELECT * 
                FROM 
                    (SELECT rank () OVER (PARTITION BY nidinterveniente
                        ORDER BY ddatairs DESC, dtimecall DESC, data_date_part DESC, decisioncallid DESC ) AS ORDEM,
                        *
                    FROM
                        (SELECT DISTINCT 
                                        lpad(cast(irs.nidinterveniente as string), 10, '0') as nidinterveniente,
                                        irs.decisioncallid,
                                        irs.ddatairs,--irs.instance,
                                        irs.mrendimentobrutoanual,
                                        irs.mrendimentoliquidoanual, --san.dmcalltype,
                                        nvl(san.dtimecall, '0001-01-01') as dtimecall,
                                        irs.data_date_part
                        FROM cd_omdm.rendimentoirs irs 
                    INNER JOIN cd_omdm.saninputdata san 
                    ON irs.decisioncallid = san.decisioncallid
                    WHERE san.dmcalltype IN ('3','03','14','22')
                        AND irs.instance = 1
                        AND substr(irs.data_date_part,1,10) &lt;= '${date}') base 
                    ) INFO_IRS_1
                    WHERE ORDEM = 1 
                ) INFO_IRS
on info_irs.nidinterveniente = lt003.entty_id) BASE2
where round(lti, 2) &lt;&gt; round(lti_sim, 2) ---  round para tirar diferenças entre casas decimais 
</t>
  </si>
  <si>
    <t xml:space="preserve">select *
from
(select lt003.entty_id, 
        tipo_contrato,
      mnthl_trnvr,
      flg_mn_entty_id,
        nvl(case when flg_mn_entty_id &lt;&gt; 'Y' or tipo_contrato is null or spt04.zcliente is null or intrnl_sgmnt &lt;&gt; 'particulares' then 11111111111
        when flg_mn_entty_id = 'Y' AND tipo_contrato is not null  then msala 
        end, 99999999999) as mnthl_trnvr_sim
        FROM 
            (select distinct entty_id, 
                    mnthl_trnvr, 
                    intrnl_sgmnt
            from bu_loantape_work.lt003_entity
            WHERE segmento = 'ESTR'
                    AND nome_perimetro ='${nome_perimetro}'
                    AND ref_date='${date}'
                    AND AMBITO = 'PM'
                    AND entidade ='00100'
                    AND cod_visao = 1) lt003
        left join 
            (select zcliente, sum(msala)/12 as msala 
             FROM
          (select distinct zcliente, msala, mestrata 
           from
           (
            SELECT zcliente, mestrata, first_value(msala) over (partition by zcliente, mestrata ORDER BY data_date_part desc) as msala
               FROM cd_clientes.spt04_inflowcre
            WHERE data_date_part &lt;= '${date}'
            and data_date_part &gt; strleft(CAST(ADD_MONTHS('${date}',-12) AS string),10)
            ) FV 
          )FVD
         GROUP BY zcliente
         ) spt04
        on lpad(cast(SPT04.zcliente as string),10,'0') = lt003.entty_id
        left join
            (select distinct zcliente, 
                    tipo_contrato
            FROM cd_clientes.cl001_interv_cto
            WHERE ref_date = '${date}'
            And tipo_contrato =  'D.O. / CONTAS CORRENTES'
            )ct001
        ON ct001.zcliente = lt003.entty_id
        left join
            (select entty_id,                 
                case when max(mn_entty_id) = 'N' THEN 'N/A'
                ELSE 'Y' END AS flg_mn_entty_id
            FROM bu_loantape_work.lt005_instr_ent
            WHERE segmento = 'ESTR'
                    AND nome_perimetro ='${nome_perimetro}'
                    AND ref_date='${date}'
                    AND AMBITO = 'PM'
                    AND entidade ='00100'
                    AND cod_visao = 1
            group by entty_id) lt005
        on lt003.entty_id = lt005.entty_id
        ) x
where round(mnthl_trnvr_sim,2) &lt;&gt; round(mnthl_trnvr,2)
</t>
  </si>
  <si>
    <t>1 Controlo NOK Contratos marcados como DFLT mas que a PD económica não é 1 e a PD normal é 1</t>
  </si>
  <si>
    <t>Campo precisa de ser revisto</t>
  </si>
  <si>
    <t>Condições de N/A:
- Se o cliente não tiver contratos que pertençam ao universo de Imparidade (IFRS9_INPUT_MOTOR_8_7) na data onde é apurado o T1.
- Se a entidade não for 1º titular (mn_entty_id &lt;&gt; 'Y') no ano em que é apurado o T1.
E estes contratos estão no universo de imparidade para datas inferiores a 2024-06-30 daí não estarem a N/A</t>
  </si>
  <si>
    <t>SELECT *
FROM
  (SELECT LT002.instrmnt_id,
          ACCMLTD_IMPRMNT_INSTRMNT_PRVS,
          DT_INCPTN &lt;= SUBSTR(cast(add_months(LT002.ref_date, -12) AS string), 1, 10) AS val,
          SUM(provisao_on_prvs) AS cal,
          ROUND(nvl(CASE
                        WHEN LT002.instrmnt_id LIKE 'SNC%' THEN 11111111111
                        WHEN LT002.instrmnt_id LIKE 'SS%' THEN 11111111111
                        WHEN DT_INCPTN &gt; SUBSTR(cast(add_months(LT002.ref_date, -12) AS string), 1, 10) THEN 11111111111
                        WHEN DT_INCPTN &lt;= SUBSTR(cast(add_months(LT002.ref_date, -12) AS string), 1, 10) THEN SUM(provisao_on_prvs)
                    END, 0.00),2) AS ACCMLTD_IMPRMNT_INSTRMNT_PRVS_simulacao,
          dt_incptn,
          LT002.ref_date
FROM
     (SELECT instrmnt_id,
             ACCMLTD_IMPRMNT_INSTRMNT_PRVS,
             dt_incptn,
             ref_date
      FROM bu_loantape_work.lt002_instrument
      WHERE segmento = 'ESTR'
        AND nome_perimetro ='Individual IDComb'
        AND ref_date='${date}'
        AND AMBITO = 'PM' 
        AND cod_visao = 1) LT002
INNER JOIN 
    (SELECT *
    FROM bu_loantape_work.kt_chaves_lt
    WHERE ref_date = '${date}'
    AND segmento = 'ESTR'
    AND nome_perimetro ='Individual IDComb'
    AND AMBITO = 'PM') KT
ON LT002.INSTRMNT_ID = KT.INSTRMNT_ID
LEFT JOIN
     (SELECT CEMPRESA,
             CBALCAO,
             CNUMECTA,
             ZDEPOSIT,
             provisao_on_prvs
      FROM bu_loantape_work.lt001_univ_oper
      WHERE segmento = 'ESTR'
        AND nome_perimetro ='Individual IDComb'
        AND ref_date='${date}'
        AND AMBITO = 'PM'
        AND cod_visao = 1) LT001 
ON CONCAT(KT.CEMPRESA, KT.CBALCAO, KT.CNUMECTA, KT.ZDEPOSIT) = CONCAT(LT001.CEMPRESA, LT001.CBALCAO, LT001.CNUMECTA, LT001.ZDEPOSIT)
GROUP BY dt_incptn,
        LT002.ref_date,
        DT_INCPTN &lt;= SUBSTR(cast(add_months(ref_date, -12) AS string), 1, 10),
        LT002.instrmnt_id,
        ACCMLTD_IMPRMNT_INSTRMNT_PRVS) X
WHERE round(ACCMLTD_IMPRMNT_INSTRMNT_PRVS,2) &lt;&gt; round(ACCMLTD_IMPRMNT_INSTRMNT_PRVS_simulacao,2)</t>
  </si>
  <si>
    <t>SELECT *
FROM
  (SELECT LT002.instrmnt_id,
          OTSTNDNG_NMNL_AMNT_INSTRMNT_PRVS,
          ROUND(CASE
                        WHEN LT002.instrmnt_id LIKE 'SNC%' THEN 11111111111
                        WHEN LT002.instrmnt_id LIKE 'SS%' THEN 11111111111
                        WHEN DT_INCPTN &gt; SUBSTR(cast(add_months(LT002.ref_date, -12) AS string), 1, 10) THEN 11111111111
                        WHEN DT_INCPTN &lt;= SUBSTR(cast(add_months(LT002.ref_date, -12) AS string), 1, 10) THEN  nvl(SUM(-1*valor_bruto_on_prvs),0) - nvl(SUM(-1*juros_corridos_prvs),0)
                    END,2) AS OTSTNDNG_NMNL_AMNT_INSTRMNT_PRVS_simulacao,
          dt_incptn,
          LT002.ref_date
   FROM
     (SELECT instrmnt_id,
             OTSTNDNG_NMNL_AMNT_INSTRMNT_PRVS,
             dt_incptn,
             ref_date
      FROM bu_loantape_work.lt002_instrument
      WHERE segmento = 'ESTR'
        AND nome_perimetro ='Individual IDComb'
        AND ref_date='${date}'
        AND AMBITO = 'PM' 
        AND cod_visao = 1) LT002
INNER JOIN 
    (SELECT *
    FROM cd_loan_tapes_bce.kt_chaves_lt
             WHERE segmento = 'ESTR'
        AND nome_perimetro ='${nome_perimetro}'
        AND ref_date='${date}'
        AND AMBITO = 'PM') KT
ON LT002.INSTRMNT_ID = KT.INSTRMNT_ID
LEFT JOIN
     (SELECT CEMPRESA,
             CBALCAO,
             CNUMECTA,
             ZDEPOSIT, 
             valor_bruto_on_prvs, 
             juros_corridos_prvs
      FROM bu_loantape_work.lt001_univ_oper
      WHERE segmento = 'ESTR'
        AND nome_perimetro ='Individual IDComb'
        AND ref_date='${date}'
        AND AMBITO = 'PM'
        AND cod_visao = 1) LT001 
ON CONCAT(KT.CEMPRESA, KT.CBALCAO, KT.CNUMECTA, KT.ZDEPOSIT) = CONCAT(LT001.CEMPRESA, LT001.CBALCAO, LT001.CNUMECTA, LT001.ZDEPOSIT)
GROUP BY dt_incptn,
        LT002.ref_date,
        DT_INCPTN &lt;= SUBSTR(cast(add_months(ref_date, -12) AS string), 1, 10),
        LT002.instrmnt_id,
        OTSTNDNG_NMNL_AMNT_INSTRMNT_PRVS) X
WHERE round(OTSTNDNG_NMNL_AMNT_INSTRMNT_PRVS,2) &lt;&gt; round(OTSTNDNG_NMNL_AMNT_INSTRMNT_PRVS_simulacao,2)</t>
  </si>
  <si>
    <t>Ver controlos</t>
  </si>
  <si>
    <t>Validar se está OK na CD</t>
  </si>
  <si>
    <t>Necessário corrigir em Janeiro no processo de capital para datas de referência &lt; Abril 2025 devemos de ir ao Individual Corporativo</t>
  </si>
  <si>
    <t xml:space="preserve">SELECT *
FROM 
(
SELECT DISTINCT instrmnt_id,
       CASE WHEN instrmnt_id like 'SS%' OR instrmnt_id like 'SNC%' OR intrnl_sgmnt not in ('outras instituicoes financeiras','outras empresas nao financeiras') Then 'N/A'
       ELSE 
    --   CASE WHEN replace(replace(coalesce(excldd_lf,concat(excldd_aux_1,',',excldd_aux_2,',',coalesce(case when excldd_aux_4='N/A' then null else excldd_aux_4 end,excldd_aux_3),',',excldd_aux_5,',',excldd_aux_6,',',excldd_aux_7,',',excldd_aux_8)),"N/A,",""),",N/A","") = 'N/A' THEN 'MISS' 
    --   ELSE 
       replace(replace(coalesce(excldd_lf,concat(excldd_aux_1,',',excldd_aux_2,',',coalesce(case when excldd_aux_4='N/A' then null else excldd_aux_4 end,excldd_aux_3),',',excldd_aux_5,',',excldd_aux_6,',',excldd_aux_7,',',excldd_aux_8)),"N/A,",""),",N/A","") END  AS campo_auxiliar 
       , excldd_lf_lt002, intrnl_sgmnt
FROM
  (SELECT 
  DISTINCT lt002.instrmnt_id,
          lt601.excldd_lf,
          lt002.excldd_lf as excldd_lf_lt002, lt001.cod_empr_pme, intrnl_sgmnt,
          CASE
              WHEN TRIM(ct003.csector_inst) IN('S123',
                                         'S124',
                                         'S1240001',
                                         'S1240002',
                                         'S1240003',
                                         'S2023',
                                         'S20231',
                                         'S20232',
                                         'S2024',
                                         'S401341') THEN 'EXC01'
              ELSE 'N/A'
          END AS excldd_aux_1,
          CASE
              WHEN ct610.tipo_titulo='Titularizacao' THEN 'EXC02'
              ELSE 'N/A'
          END AS excldd_aux_2,
          CASE
              WHEN tat.ind_exc='S' THEN 'EXC04'
              ELSE 'N/A'
          END AS excldd_aux_3,
          CASE
              WHEN ct003.cseg_risc LIKE'9%' THEN 'EXC05'
              ELSE 'N/A'
          END AS excldd_aux_4,
          CASE
              WHEN lt001.cod_empr_pme IN('1',
                                         '2',
                                         '3') THEN 'EXC06'
              ELSE 'N/A'
          END AS excldd_aux_5,
            CASE
                WHEN auxiliar.company_exposure&lt;5000000 THEN 'EXC07'
                ELSE 'N/A'
            END AS excldd_aux_6,          CASE
              WHEN lt002.intrnl_sgmnt IN('setor publico',
                                         'banco centrais',
                                         'instituicoes de credito')THEN 'EXC08'
              ELSE 'N/A'
          END AS excldd_aux_7,
          CASE
              WHEN lt002.pd_ec_rd&lt;=0.500000 THEN 'EXC09'
              ELSE 'N/A'--
-- WHEN TRIM(cast(lt002.pd_ec_rd as string)='NULL' or lt002.pd_ec_rd IS NULL THEN '0'
          END AS excldd_aux_8 -- count(*)-- 2110768
-- 2145008
FROM
     (SELECT instrmnt_id,
             prdct,
             intrnl_sgmnt,
             pd_ec_rd, excldd_lf
      FROM bu_loantape_work.lt002_instrument
      WHERE ref_date='${date}'
        AND ambito='PM'
        AND nome_perimetro='Individual IDComb'
        AND entidade='00100'
        AND segmento='ESTR'
        AND cod_visao=1 )lt002
   LEFT JOIN
     (SELECT instrmnt_id,
             entty_id
      FROM bu_loantape_work.lt005_instr_ent
      WHERE ref_date='${date}'
        AND ambito='PM'
        AND nome_perimetro='Individual IDComb'
        AND entidade='00100'
        AND segmento='ESTR'
        AND cod_visao=1
        AND mn_entty_id='Y')lt005 ON lt002.instrmnt_id=lt005.instrmnt_id
   LEFT JOIN
     (SELECT DISTINCT entty_id
      FROM bu_loantape_work.lt003_entity
      WHERE ref_date='${date}'
        AND ambito='PM'
        AND nome_perimetro='Individual IDComb'
        AND entidade='00100'
        AND segmento='ESTR'
        AND cod_visao=1)lt003 ON lt005.entty_id=lt003.entty_id
   LEFT JOIN
     (SELECT cempresa,
             cbalcao,
             cnumecta,
             zdeposit,
             excldd_lf
      FROM cd_loan_tapes_bce.lt601_lev_fin
      WHERE REF_DATE BETWEEN add_months('2025-06-30',-3) AND '2025-06-30')lt601 ON lt002.instrmnt_id=concat(lt601.cempresa,lt601.cbalcao,lt601.cnumecta,lt601.zdeposit)
   LEFT JOIN
     (SELECT *
      FROM bu_loantape_work.kt_chaves_lt
      WHERE ref_date='${date}'
        AND ambito='PM'
        AND nome_perimetro='Individual IDComb'
        AND entidade='00100'
        AND segmento='ESTR'
        AND cod_visao=1)chaves_lt ON lt002.instrmnt_id=chaves_lt.instrmnt_id
   LEFT JOIN
     (SELECT cempresa,
             cbalcao,
             cnumecta,
             zdeposit,
             max(cod_empr_pme) AS cod_empr_pme
      FROM bu_loantape_work.lt001_univ_oper
      WHERE ref_date='${date}'
        AND ambito='PM'
        AND nome_perimetro='Individual IDComb'
        AND entidade='00100'
        AND segmento='ESTR'
        AND cod_visao=1
      GROUP BY 1,
               2,
               3,
               4)lt001 ON concat(chaves_lt.cempresa,chaves_lt.cbalcao,chaves_lt.cnumecta,chaves_lt.zdeposit)=concat(lt001.cempresa,lt001.cbalcao,lt001.cnumecta,lt001.zdeposit)
   LEFT JOIN
     (SELECT *
      FROM cd_captools.kt_chaves_finrep
      WHERE ref_date='${date}'
        AND cod_visao=1)chaves_fr ON lt002.instrmnt_id=concat(chaves_fr.cempresa_fr,chaves_fr.cbalcao_fr,chaves_fr.cnumecta_fr,chaves_fr.zdeposit_fr)
   LEFT JOIN
     (SELECT cempresa,
             cbalcao,
             cnumecta,
             zdeposit,
             tipo_titulo
      FROM cd_captools.ct610_titulos
      WHERE ref_date='${date}')ct610 ON concat(chaves_fr.cempresa,chaves_fr.cbalcao,chaves_fr.cnumecta,chaves_fr.zdeposit)=concat(ct610.cempresa,ct610.cbalcao,ct610.cnumecta,ct610.zdeposit)
   LEFT JOIN
     (SELECT tayd91c0_celemtab,
             substr(tayd91c0_nelemc01,14,1) AS ind_exc
      FROM cd_estruturais.tat91_tabelas
      WHERE data_date_part='${date}'
        AND tayd91c0_ctabela='925')tat ON substr(lt002.prdct,1,6)=trim(tat.tayd91c0_celemtab)
   LEFT JOIN
     (SELECT zcliente,
             cseg_risc,
             csector_inst
      FROM cd_captools.ct003_univ_cli
      WHERE ref_date='${date}')ct003 ON lt003.entty_id=ct003.zcliente
     LEFT JOIN (SELECT lt003.entty_id,
          sum(lt002.grss_crryng_amnt_instrmnt+lt002.off_blnc_sht_amnt_instrmnt) over(partition BY ct003.ccli_grupo) AS company_exposure
   FROM
     (SELECT DISTINCT entty_id
      FROM bu_loantape_work.lt003_entity
      WHERE ref_date='${date}'
        AND ambito='PM'
        AND nome_perimetro='Individual IDComb'
        AND entidade='00100'
        AND segmento='ESTR'
        AND cod_visao=1)lt003
   LEFT JOIN
     (SELECT DISTINCT instrmnt_id,
                      entty_id
      FROM bu_loantape_work.lt005_instr_ent
      WHERE ref_date='${date}'
        AND ambito='PM'
        AND nome_perimetro='Individual IDComb'
        AND entidade='00100'
        AND segmento='ESTR'
        AND cod_visao=1
        AND mn_entty_id='Y')lt005 ON lt003.entty_id=lt005.entty_id
   LEFT JOIN
     (SELECT DISTINCT grss_crryng_amnt_instrmnt,
                      off_blnc_sht_amnt_instrmnt,
                      instrmnt_id
      FROM bu_loantape_work.lt002_instrument
      WHERE ref_date='${date}'
        AND ambito='PM'
        AND nome_perimetro='Individual IDComb'
        AND entidade='00100'
        AND segmento='ESTR'
        AND cod_visao=1)lt002 ON lt005.instrmnt_id=lt002.instrmnt_id
   LEFT JOIN
     (SELECT ccli_grupo,
             zcliente
      FROM cd_captools.ct003_univ_cli
      WHERE ref_date='${date}')ct003 ON lt003.entty_id=ct003.zcliente) auxiliar
      on lt003.entty_id=auxiliar.entty_id
      ) X
      ) Y
      Where campo_auxiliar &lt;&gt; excldd_lf_lt002;
</t>
  </si>
  <si>
    <t>select *
-- DISTINCT ecnmc_actvty_simulado,valor_destino_1,CCAE
-- count(*),ecnmc_actvty
from ( 
select lt003.entty_id, lt003.ecnmc_actvty, TAT.tayd91c0_nelemc16, case when intrnl_sgmnt='particulares' then 'N/A'
when '${date}'&lt;='2024-12-31' then valor_destino
when '${date}'&gt;'2024-12-31' and '${date}'&lt;='2025-12-31'  then 
(NVL(case when TRIM(TAT.tayd91c0_nelemc16) ='' THEN 'MISS' 
when substr(TAT.tayd91c0_nelemc16,1,2) in ("A0","B0","C0","D0","E0","F0","G0","H0","I0","J0","K0","L0","M0","N0","O0","P0","Q0","R0","S0","T0","U0","V0") and substr(TAT.tayd91c0_nelemc16,4,3) in (".10",".20",".30",".40",".50",".60",".70",".80",".90") then substr(TAT.tayd91c0_nelemc16,3,3)
when substr(TAT.tayd91c0_nelemc16,1,2) in ("A0","B0","C0","D0","E0","F0","G0","H0","I0","J0","K0","L0","M0","N0","O0","P0","Q0","R0","S0","T0","U0","V0") and substr(TAT.tayd91c0_nelemc16,4,3) not in (".00",".10",".20",".30",".40",".50",".60",".70",".80",".90") then  substr(TAT.tayd91c0_nelemc16,3,4)
when substr(TAT.tayd91c0_nelemc16,1,2) not in ("A0","B0","C0","D0","E0","F0","G0","H0","I0","J0","K0","L0","M0","N0","O0","P0","Q0","R0","S0","T0","U0","V0") and substr(TAT.tayd91c0_nelemc16,4,3)  in (".10",".20",".30",".40",".50",".60",".70",".80",".90") then  substr(TAT.tayd91c0_nelemc16,2,4)
when substr(TAT.tayd91c0_nelemc16,1,2) not in ("A0","B0","C0","D0","E0","F0","G0","H0","I0","J0","K0","L0","M0","N0","O0","P0","Q0","R0","S0","T0","U0","V0") and substr(TAT.tayd91c0_nelemc16,4,3)=".00"  then substr(TAT.tayd91c0_nelemc16,2,2)
else substr(TAT.tayd91c0_nelemc16,2,5) end,'MISS'))
when '${date}'&gt;'2025-12-31' then (NVL(case when TRIM(TAT.tayd91c0_nelemc16) ='' THEN 'MISS' 
when substr(TAT.tayd91c0_nelemc18,1,2) in ("A0","B0","C0","D0","E0","F0","G0","H0","I0","J0","K0","L0","M0","N0","O0","P0","Q0","R0","S0","T0","U0","V0") and substr(TAT.tayd91c0_nelemc18,4,3) in (".10",".20",".30",".40",".50",".60",".70",".80",".90") then substr(TAT.tayd91c0_nelemc18,3,3)
when substr(TAT.tayd91c0_nelemc18,1,2) in ("A0","B0","C0","D0","E0","F0","G0","H0","I0","J0","K0","L0","M0","N0","O0","P0","Q0","R0","S0","T0","U0","V0") and substr(TAT.tayd91c0_nelemc18,4,3) not in (".00",".10",".20",".30",".40",".50",".60",".70",".80",".90") then  substr(TAT.tayd91c0_nelemc18,3,4)
when substr(TAT.tayd91c0_nelemc18,1,2) not in ("A0","B0","C0","D0","E0","F0","G0","H0","I0","J0","K0","L0","M0","N0","O0","P0","Q0","R0","S0","T0","U0","V0") and substr(TAT.tayd91c0_nelemc18,4,3)  in (".10",".20",".30",".40",".50",".60",".70",".80",".90") then  substr(TAT.tayd91c0_nelemc18,2,4)
when substr(TAT.tayd91c0_nelemc18,1,2) not in ("A0","B0","C0","D0","E0","F0","G0","H0","I0","J0","K0","L0","M0","N0","O0","P0","Q0","R0","S0","T0","U0","V0") and substr(TAT.tayd91c0_nelemc18,4,3)=".00"  then substr(TAT.tayd91c0_nelemc18,2,2)
else substr(TAT.tayd91c0_nelemc18,2,5) end,'MISS'))
else 'MISS'
end as ecnmc_actvty_simulado
-- nvl(CCAE_codelist.valor_destino,'MISS') --rev3
-- when '${date}'&gt;'2024-12-31' and '${date}'&lt;='2025-12-31' then nvl(tayd91c0_nelemc15_codelist.valor_destino_1,'MISS') --traduçao entre rev4 e rev3
-- when '${date}'&gt;'2025-12-31' then nvl(CCAE_codelist.valor_destino,'MISS') ELSE 'MISS' end as ecnmc_actvty_simulado --rev3
from (SELECT distinct entty_id, intrnl_sgmnt,ecnmc_actvty
from  bu_loantape_work.lt003_entity
WHERE nome_perimetro = '${perimetro}' 
AND segmento = 'ESTR' 
AND ref_date = '${date}'
AND ambito = 'PM'
AND entidade = '00100' and cod_visao=1
) lt003
---2024
LEFT JOIN
(SELECT 
zcliente, ccli_grupo
,CCAE
from cd_captools.ct003_univ_cli where ref_date = '${date}') CT003_rev4
ON lt003.ENTTY_ID = CT003_rev4.ZCLIENTE
left join (select valor_origem_1,valor_destino FROM bu_loantape_work.lt831_param_conceitos
where ref_date='${date}' and campo_conceito='ecnmc_actvty')CCAE_codelist
on CCAE=CCAE_codelist.valor_origem_1
--superior 2024
left join (SELECT 
tayd91c0_celemtab, tayd91c0_nelemc15,tayd91c0_nelemc16,tayd91c0_nelemc18
FROM CD_ESTRUTURAIS.TAT91_TABELAS
    WHERE TAYD91C0_CTABELA = '154'
      AND data_date_part='${date}') TAT
on CCAE=TAT.tayd91c0_celemtab
-- LEFT JOIN
-- (SELECT 
-- zcliente, ccli_grupo
-- , TRIM(SUBSTR(CCAE,1,4)) AS CCAE
-- from cd_captools.ct003_univ_cli where ref_date = '${date}') CT003_rev3
-- ON lt003.ENTTY_ID = CT003_rev3.ZCLIENTE
-- --TAT
-- left join (SELECT 
-- tayd91c0_celemtab, tayd91c0_nelemc15,tayd91c0_nelemc16
-- FROM CD_ESTRUTURAIS.TAT91_TABELAS
--     WHERE TAYD91C0_CTABELA = '154'
--       AND data_date_part='${date}') TAT_rev3
-- on trim(CT003_rev3.CCAE)=trim(substr(TAT_rev3.tayd91c0_nelemc15,1,4))
-- left join (select valor_origem_1 as valor_origem_1_2,valor_destino as valor_destino_1 FROM bu_loantape_work.lt831_param_conceitos
-- where ref_date='${date}' and campo_conceito='ECNMC_ACTVTY')tayd91c0_nelemc15_codelist
-- on substr(TAT.tayd91c0_nelemc15,1,4)=tayd91c0_nelemc15_codelist.valor_origem_1_2
)x
-- where ecnmc_actvty is null or ecnmc_actvty='MISS'
-- where ecnmc_actvty_simulado&lt;&gt;valor_destino_1 and ecnmc_actvty_simulado not in ('MISS','N/A')
-- where ecnmc_actvty_simulado='MISS'
-- WHERE CCAE_SIMULADO&lt;&gt;REPLACE(SUBSTR(NACE_CODE,2,7),'.',"''") AND CCAE_SIMULADO&lt;&gt;'#'
-- group by 2
-- MISINGS ATUALMENTE ecnmc_actvty: 53 559
-- missings simulado: 20
-- group by 2;
Where ecnmc_actvty &lt;&gt; ecnmc_actvty_simulado</t>
  </si>
  <si>
    <t>SELECT *
FROM
(
SELECT lt002.instrmnt_id,
       round(categ2.g7162_in_pdini/100,6) as pd_ec_rd_sim, pd_ec_rd --   count(categ2.g7162_in_pdini)
-- SELECT count(*)
-- 2139433
FROM
  (SELECT instrmnt_id, pd_ec_rd
   FROM bu_loantape_work.lt002_instrument
   WHERE nome_perimetro='${perimetro}'
     AND segmento='ESTR'
     AND ref_date='${date}'
     AND ambito='PM'
     AND entidade='00100'
     AND cod_visao=1)lt002
LEFT JOIN
  (SELECT DISTINCT cempresa_fr,
                   cbalcao_fr,
                   cnumecta_fr,
                   zdeposit_fr,
                   contra1
   FROM
     (SELECT *
      FROM cd_captools.kt_chaves_finrep
      WHERE ref_date='${date}')fr
   LEFT JOIN
     (SELECT *
      FROM cd_captools.kt_chaves_bdr
      WHERE ref_date='${date}')bdr ON concat(fr.cempresa,fr.cbalcao,fr.cnumecta,fr.zdeposit)=concat(bdr.cempresa,bdr.cbalcao,bdr.cnumecta,bdr.zdeposit))tradutores ON lt002.instrmnt_id=concat(cempresa_fr,cbalcao_fr,cnumecta_fr,zdeposit_fr)
LEFT JOIN
  (SELECT DISTINCT g7162_s1emp,
                   g7162_contra1,
                   g7162_in_pdini
   FROM cd_captools.bdr_jm_cto_categ2
   WHERE data_date_part='${date}'
     AND g7162_fincalcu=2)categ2 ON tradutores.contra1=cast(categ2.g7162_contra1 AS STRING)
) X 
    Where ROUND(pd_ec_rd,4) &lt;&gt; ROUND(pd_ec_rd_sim,4)</t>
  </si>
  <si>
    <t xml:space="preserve">SELECT DISTINCT entty_id, company_exposure_sim, company_exposure, mn_entty_id
FROM
(
SELECT lt003.entty_id,
          CASE WHEN LT005.mn_entty_id is NULL THEN 11111111111 ELSE sum(lt002.grss_crryng_amnt_instrmnt+lt002.off_blnc_sht_amnt_instrmnt) over(partition BY ct003.ccli_grupo) END AS company_exposure_sim, company_exposure, mn_entty_id
   FROM
     (SELECT DISTINCT entty_id, company_exposure
      FROM bu_loantape_work.lt003_entity
      WHERE ref_date='${date}'
        AND ambito='PM'
        AND nome_perimetro='Individual IDComb'
        AND entidade='00100'
        AND segmento='ESTR'
        AND cod_visao=1)lt003
   LEFT JOIN
     (SELECT DISTINCT instrmnt_id,
                      entty_id, mn_entty_id
      FROM bu_loantape_work.lt005_instr_ent
      WHERE ref_date='${date}'
        AND ambito='PM'
        AND nome_perimetro='Individual IDComb'
        AND entidade='00100'
        AND segmento='ESTR'
        AND cod_visao=1
        AND mn_entty_id='Y')lt005 ON lt003.entty_id=lt005.entty_id
   LEFT JOIN
     (SELECT DISTINCT grss_crryng_amnt_instrmnt,
                      off_blnc_sht_amnt_instrmnt,
                      instrmnt_id
      FROM bu_loantape_work.lt002_instrument
      WHERE ref_date='${date}'
        AND ambito='PM'
        AND nome_perimetro='Individual IDComb'
        AND entidade='00100'
        AND segmento='ESTR'
        AND cod_visao=1)lt002 ON lt005.instrmnt_id=lt002.instrmnt_id
   LEFT JOIN
     (SELECT DISTINCT ccli_grupo,
             zcliente
      FROM cd_captools.ct003_univ_cli
      WHERE ref_date='${date}')ct003 ON lt003.entty_id=ct003.zcliente
) X
      Where ROUND(company_exposure,1) &lt;&gt; Round(company_exposure_sim,1)
 </t>
  </si>
  <si>
    <t>FLAG_PME (LT001), COD_EMPR_PME (LT001), COMPANY_EXPOSURE, off_blnc_sht_amnt_instrmnt_prvs, RRE_FNRP18, otstndng_nmnl_amnt_instrmnt_prvs, dpd_24m_prfrmng_stts, dpd_prfrmng_stts, prfrmng_stts_prvs, SME_FNRP18, PRFRMNG_STTS_LE, dpd_12m_prfrmng_stts, ECNMC_ACTVTY, LTI, PD_EC_INCPTN, dt_imprmnt_stts_prvs, dt_imprmnt_stts, dt_prfrmng_stts_prvs, CRE_FNRP18, dt_prfrmng_stts, ENTRPRS_SZ_LE, otstndng_nmnl_amnt_instrmnt, orgnl_prtctn_vl, imprmnt_stts, prfrmng_stts, imprmnt_stts_prvs, accmltd_imprmnt_instrmnt_prvs, MNTHL_TRNVR, CR_FLG, PD_EC_RD, EXCLDD_LF, PD_IFRS9_12M_RD_T1, PD_CRR_RD_T1</t>
  </si>
  <si>
    <t xml:space="preserve">dstntn_fnds, flln_angl_extndd_dfntn, flln_angl_nrrw_dfntn, grp_rorac, grp_rorwa, rorac, rorac, rorwa, rorwa, scan, ttl_lvrg_rt_incptn, ttl_prmssbl_dbt_blnc, typ_cl, typ_dl, typ_fclty, typ_off_blnc_prdct, us_prcds, pd_ec_incptn, pd_ec_rd, ttl_lvrg_rt_incptn_hlt, dt_mdfctn, rot	grp_spprt, flg_rqst_emrgncy_fndng, fld_syndctn, rtntn_shr, stts_undrwrttn_trnsctn, syndct_rl, syndctd_agnt, syndctd_cntrct_id, syndctd_lndrs, syndctd_shr, syndctn_typ, trnch, accrd_intrst_instrmnt, amnt_d_at_mtrty, dflt_stts_instrmnt, dt_extrnl_rtng, dt_frbrnc_stts, ec_grp_id, ec_grp_nm, extrnl_rtng, extrnl_rtng_nm, extrnl_rtng_prvs, fr_csh_flw, fr_csh_flw_t1, fr_csh_flw_t2, fr_csh_flw_t3, frbrnc_stts_instrmnt, ent	rcvd_intrst_12m, ent	rcvd_intrst_24m, ttl_intrst_pd, cntry, ecnmc_actvty, rtng_scl, dbt_rpymnt_cpcty_ttl, prfrmng_stts_prvs, dbt_rpymnt_cpcty_snr_dbt, flg_lbo, lvrg_fnnc_flg, dt_dflt_stts_instrmnt, dt_intrnl_rtng, dt_intrnl_rtng, dt_lgl_fnl_mtrty, ead, idcmb, intrnl_rtng, intrnl_rtng, intrnl_rtng_incptn, intrnl_rtng_prvs, mn_entty_id, pd_crr_incptn, rtng_mthd, rtng_mthd, arrrs_instrmnt, dt_incptn, dt_pst_d, entty_id, ntity	entty_id, lgl_prcdng_stts_le, off_blnc_sht_amnt_instrmnt, otstndng_nmnl_amnt_instrmnt, pd_crr_rd, pd_ifrs9_12m_rd, rcvd_amrtstn_12m, </t>
  </si>
  <si>
    <t>SRCS_ENCMBRNC, HIERARCHY, IMMEDIATE_PARENT_UNDERTAKING_ID, ULTIMATE_PARENT_UNDERTAKING_ID, NOMINAL_INTEREST_RATE_FEE, COLLATERAL_PORTFOLIO, COLLATERAL_POSTED, COLLATERAL_POSTED_CURRENCY, COLLATERAL_RECEIVED, COLLATERAL_RECEIVED_CURRENCY, LEG_1_REFERENCE_PERIOD, LEG_2_REFERENCE_PERIOD, HEDGE_ID, SECURITY_RATING, LEGAL_FORM</t>
  </si>
  <si>
    <t>GRSS_INTRST_INCM, GRSS_CMMSSN_INCM, GRSS_CMMSSN_EXPNS, GRSS_CMMSSN_INCM_OFF_BLNC, GRSS_CMMSSN_EXPNS_OFF_BLNC, GRSS_INTRST_EXPNS, AVRG_BLNC, INTRNL_TRNSFR_RT, NT_LN_LSS_PRVSN, GNS_FNNCL_TRNSCTN_EXCHNG_DFFRNCS, AVRG_BLNC_OFF_BLNC, NT_LN_LSS_PRVSN_OFF_BLNC, FLG_INTRBSNSS, BSNSS_AREA_CCRR</t>
  </si>
  <si>
    <t>BLOCO 5</t>
  </si>
  <si>
    <t>BLOCO 6</t>
  </si>
  <si>
    <t xml:space="preserve">SELECT typ_off_blnc_prdct, count(*) -- 4280182
FROM 
(
SELECT LT002.instrmnt_id, CASE WHEN (lt002.off_blnc_sht_amnt_instrmnt = 0 AND lt002.prvsns_off_blnc_sht = 0) THEN 'N/A' 
ELSE NVL(lt001.typ_off_blnc_prdct, 'MISS') END AS typ_off_blnc_prdct
FROM
(SELECT instrmnt_id, off_blnc_sht_amnt_instrmnt,prvsns_off_blnc_sht
FROM bu_loantape_work.lt002_instrument
WHERE nome_perimetro = '${perimetro}'
AND segmento = 'ESTR'
AND ref_date = '${date}'
AND ambito = 'PM' and entidade='00100'
-- and instrmnt_id = 'SNCN00030963'
AND cod_visao = 1) LT002 --4280182
LEFT JOIN
   (select * 
   from bu_loantape_work.kt_chaves_lt
WHERE nome_perimetro = '${perimetro}'
  AND segmento = 'ESTR'
  AND ref_date = '${date}'
  AND ambito = 'PM'
  AND entidade = '00100' 
--   AND instrmnt_id ='SNCN00030963'
  ) kt_chaves_lt 
  ON lt002.instrmnt_id=kt_chaves_lt.instrmnt_id
  LEFT JOIN
  (SELECT chave_FR, MIN(typ_off_blnc_prdct) as typ_off_blnc_prdct
  FROM
    (SELECT CONCAT(cempresa, cbalcao, cnumecta, zdeposit) AS chave_FR,
            idcomb_lt_inicial,
            CASE
                WHEN idcomb_lt_inicial LIKE '%MC41%' THEN 'MC41'
                WHEN idcomb_lt_inicial LIKE '%MC42%' THEN 'MC42'
                WHEN idcomb_lt_inicial LIKE '%MC4301%' THEN 'MC4301'
                WHEN idcomb_lt_inicial LIKE '%MC4302%' THEN 'MC4302'
                ELSE 'MISS'
            END AS typ_off_blnc_prdct
     FROM bu_loantape_work.lt001_univ_oper
     WHERE nome_perimetro = '${perimetro}'
       AND segmento = 'ESTR'
       AND ref_date = '${date}'
       AND ambito = 'PM'
       AND entidade='00100'
    --   AND CONCAT(cempresa, cbalcao, cnumecta, zdeposit) = '31CMAHIFRN0000000100I58900139SC0'
     GROUP BY 1,
              2,
              3 ) lt001 
    GROUP BY chave_FR)LT001
    ON concat(kt_chaves_lt.cempresa,kt_chaves_lt.cbalcao,kt_chaves_lt.cnumecta,kt_chaves_lt.zdeposit)= lt001.chave_FR
) X 
group by 1 </t>
  </si>
  <si>
    <t>SELECT *
FROM 
(
SELECT DISTINCT instrmnt_id,
       CASE WHEN instrmnt_id like 'SS%' OR instrmnt_id like 'SNC%' OR intrnl_sgmnt not in ('outras instituicoes financeiras','outras empresas nao financeiras') Then 'N/A'
       ELSE 
    --   CASE WHEN replace(replace(coalesce(excldd_lf,concat(excldd_aux_1,',',excldd_aux_2,',',coalesce(case when excldd_aux_4='N/A' then null else excldd_aux_4 end,excldd_aux_3),',',excldd_aux_5,',',excldd_aux_6,',',excldd_aux_7,',',excldd_aux_8)),"N/A,",""),",N/A","") = 'N/A' THEN 'MISS' 
    --   ELSE 
       replace(replace(coalesce(excldd_lf,concat(excldd_aux_1,',',excldd_aux_2,',',coalesce(case when excldd_aux_4='N/A' then null else excldd_aux_4 end,excldd_aux_3),',',excldd_aux_5,',',excldd_aux_6,',',excldd_aux_7,',',excldd_aux_8)),"N/A,",""),",N/A","") END  AS campo_auxiliar 
       , excldd_lf_lt002, intrnl_sgmnt
FROM
  (SELECT 
  DISTINCT lt002.instrmnt_id,
          lt601.excldd_lf,
          lt002.excldd_lf as excldd_lf_lt002, lt001.cod_empr_pme, intrnl_sgmnt,
          CASE
              WHEN TRIM(ct003.csector_inst) IN('S123',
                                         'S124',
                                         'S1240001',
                                         'S1240002',
                                         'S1240003',
                                         'S2023',
                                         'S20231',
                                         'S20232',
                                         'S2024',
                                         'S401341') THEN 'EXC01'
              ELSE 'N/A'
          END AS excldd_aux_1,
          CASE
              WHEN ct610.tipo_titulo='Titularizacao' THEN 'EXC02'
              ELSE 'N/A'
          END AS excldd_aux_2,
          CASE
              WHEN tat.ind_exc='S' THEN 'EXC04'
              ELSE 'N/A'
          END AS excldd_aux_3,
          CASE
              WHEN ct003.cseg_risc LIKE'9%' THEN 'EXC05'
              ELSE 'N/A'
          END AS excldd_aux_4,
          CASE
              WHEN lt001.cod_empr_pme IN('1',
                                         '2',
                                         '3') THEN 'EXC06'
              ELSE 'N/A'
          END AS excldd_aux_5,
            CASE
                WHEN auxiliar.company_exposure&lt;5000000 THEN 'EXC07'
                ELSE 'N/A'
            END AS excldd_aux_6,          CASE
              WHEN lt002.intrnl_sgmnt IN('setor publico',
                                         'banco centrais',
                                         'instituicoes de credito')THEN 'EXC08'
              ELSE 'N/A'
          END AS excldd_aux_7,
          CASE
              WHEN lt002.pd_ec_rd&lt;=0.500000 THEN 'EXC09'
              ELSE 'N/A'--
-- WHEN TRIM(cast(lt002.pd_ec_rd as string)='NULL' or lt002.pd_ec_rd IS NULL THEN '0'
          END AS excldd_aux_8 -- count(*)-- 2110768
-- 2145008
FROM
     (SELECT instrmnt_id,
             prdct,
             intrnl_sgmnt,
             pd_ec_rd, excldd_lf
      FROM cd_loan_tapes_bce.lt002_instrument
      WHERE ref_date='${date}'
        AND ambito='PM'
        AND nome_perimetro='Individual IDComb'
        AND entidade='00100'
        AND segmento='ESTR'
        AND cod_visao=1 )lt002
   LEFT JOIN
     (SELECT instrmnt_id,
             entty_id
      FROM cd_loan_tapes_bce.lt005_instr_ent
      WHERE ref_date='${date}'
        AND ambito='PM'
        AND nome_perimetro='Individual IDComb'
        AND entidade='00100'
        AND segmento='ESTR'
        AND cod_visao=1
        AND mn_entty_id='Y')lt005 ON lt002.instrmnt_id=lt005.instrmnt_id
   LEFT JOIN
     (SELECT DISTINCT entty_id
      FROM cd_loan_tapes_bce.lt003_entity
      WHERE ref_date='${date}'
        AND ambito='PM'
        AND nome_perimetro='Individual IDComb'
        AND entidade='00100'
        AND segmento='ESTR'
        AND cod_visao=1)lt003 ON lt005.entty_id=lt003.entty_id
   LEFT JOIN
     (SELECT cempresa,
             cbalcao,
             cnumecta,
             zdeposit,
             excldd_lf
      FROM cd_loan_tapes_bce.lt601_lev_fin
      WHERE REF_DATE BETWEEN add_months('2025-06-30',-3) AND '2025-06-30')lt601 ON lt002.instrmnt_id=concat(lt601.cempresa,lt601.cbalcao,lt601.cnumecta,lt601.zdeposit)
   LEFT JOIN
     (SELECT *
      FROM bu_loantape_work.kt_chaves_lt
      WHERE ref_date='${date}'
        AND ambito='PM'
        AND nome_perimetro='Individual IDComb'
        AND entidade='00100'
        AND segmento='ESTR'
        AND cod_visao=1)chaves_lt ON lt002.instrmnt_id=chaves_lt.instrmnt_id
   LEFT JOIN
     (SELECT cempresa,
             cbalcao,
             cnumecta,
             zdeposit,
             max(cod_empr_pme) AS cod_empr_pme
      FROM cd_loan_tapes_bce.lt001_univ_oper
      WHERE ref_date='${date}'
        AND ambito='PM'
        AND nome_perimetro='Individual IDComb'
        AND entidade='00100'
        AND segmento='ESTR'
        AND cod_visao=1
      GROUP BY 1,
               2,
               3,
               4)lt001 ON concat(chaves_lt.cempresa,chaves_lt.cbalcao,chaves_lt.cnumecta,chaves_lt.zdeposit)=concat(lt001.cempresa,lt001.cbalcao,lt001.cnumecta,lt001.zdeposit)
   LEFT JOIN
     (SELECT *
      FROM cd_captools.kt_chaves_finrep
      WHERE ref_date='${date}'
        AND cod_visao=1)chaves_fr ON lt002.instrmnt_id=concat(chaves_fr.cempresa_fr,chaves_fr.cbalcao_fr,chaves_fr.cnumecta_fr,chaves_fr.zdeposit_fr)
   LEFT JOIN
     (SELECT cempresa,
             cbalcao,
             cnumecta,
             zdeposit,
             tipo_titulo
      FROM cd_captools.ct610_titulos
      WHERE ref_date='${date}')ct610 ON concat(chaves_fr.cempresa,chaves_fr.cbalcao,chaves_fr.cnumecta,chaves_fr.zdeposit)=concat(ct610.cempresa,ct610.cbalcao,ct610.cnumecta,ct610.zdeposit)
   LEFT JOIN
     (SELECT tayd91c0_celemtab,
             substr(tayd91c0_nelemc01,14,1) AS ind_exc
      FROM cd_estruturais.tat91_tabelas
      WHERE data_date_part='${date}'
        AND tayd91c0_ctabela='925')tat ON substr(lt002.prdct,1,6)=trim(tat.tayd91c0_celemtab)
   LEFT JOIN
     (SELECT zcliente,
             cseg_risc,
             csector_inst
      FROM cd_captools.ct003_univ_cli
      WHERE ref_date='${date}')ct003 ON lt003.entty_id=ct003.zcliente
     LEFT JOIN (SELECT lt003.entty_id,
          sum(lt002.grss_crryng_amnt_instrmnt+lt002.off_blnc_sht_amnt_instrmnt) over(partition BY ct003.ccli_grupo) AS company_exposure
   FROM
     (SELECT DISTINCT entty_id
      FROM cd_loan_tapes_bce.lt003_entity
      WHERE ref_date='${date}'
        AND ambito='PM'
        AND nome_perimetro='Individual IDComb'
        AND entidade='00100'
        AND segmento='ESTR'
        AND cod_visao=1)lt003
   LEFT JOIN
     (SELECT DISTINCT instrmnt_id,
                      entty_id
      FROM cd_loan_tapes_bce.lt005_instr_ent
      WHERE ref_date='${date}'
        AND ambito='PM'
        AND nome_perimetro='Individual IDComb'
        AND entidade='00100'
        AND segmento='ESTR'
        AND cod_visao=1
        AND mn_entty_id='Y')lt005 ON lt003.entty_id=lt005.entty_id
   LEFT JOIN
     (SELECT DISTINCT grss_crryng_amnt_instrmnt,
                      off_blnc_sht_amnt_instrmnt,
                      instrmnt_id
      FROM cd_loan_tapes_bce.lt002_instrument
      WHERE ref_date='${date}'
        AND ambito='PM'
        AND nome_perimetro='Individual IDComb'
        AND entidade='00100'
        AND segmento='ESTR'
        AND cod_visao=1)lt002 ON lt005.instrmnt_id=lt002.instrmnt_id
   LEFT JOIN
     (SELECT ccli_grupo,
             zcliente
      FROM cd_captools.ct003_univ_cli
      WHERE ref_date='${date}')ct003 ON lt003.entty_id=ct003.zcliente) auxiliar
      on lt003.entty_id=auxiliar.entty_id
      ) X
      ) Y
      Where campo_auxiliar &lt;&gt; excldd_lf_lt002;</t>
  </si>
  <si>
    <t>Teste em CD</t>
  </si>
  <si>
    <t>Existem 9 contratos com valor negativo</t>
  </si>
  <si>
    <t>Variação vs PdS anterior</t>
  </si>
  <si>
    <t>"Loan to income (LTI)" shall be larger than 0; Negative values trigger attention</t>
  </si>
  <si>
    <t>Versão de Produção</t>
  </si>
  <si>
    <t>1 controlo vs PRSN_TYP - Já corrigido a futuro nas Ics para Agosto
Controlo que compara o SME_FNRP18 com ENTRPRS_SZ, vai ser discontinuado</t>
  </si>
  <si>
    <t>SELECT LT002.instrmnt_id, IFRS.contract_id, ifrs9_ead, ifrs9_ead_simulado
FROM
(SELECT *
   FROM cd_loan_tapes_bce.lt002_instrument
   WHERE ref_date='2025-06-30'
     AND nome_perimetro= 'Individual IDComb'
     AND segmento= 'ESTR'
     AND ambito= 'PM'
     AND entidade='00100'
     AND cod_visao = 1
--  And instrmnt_id='310001002006062730000000000000PC'
 ) LT002
INNER JOIN 
(SELECT *
FROM cd_captools.kt_chaves_finrep
WHERE ref_date = '2025-06-30'
-- AND CONCAT(CEMPRESA_FR, CBALCAO_FR, CNUMECTA_FR, ZDEPOSIT_FR) ='310001002006062730000000000000PC'
) KT_MASTER
ON INSTRMNT_ID = CONCAT(CEMPRESA_FR, CBALCAO_FR, CNUMECTA_FR, ZDEPOSIT_FR)
INNER JOIN 
(SELECT *
FROM cd_captools.kt_chaves_ifrs9
WHERE ref_date = '2025-06-30'
-- AND CONCAT(CEMPRESA, CBALCAO, CNUMECTA, ZDEPOSIT) = '31000100200606273000000000000000' 
) KT_IFRS9
ON CONCAT(KT_MASTER.CEMPRESA, KT_MASTER.CBALCAO, KT_MASTER.CNUMECTA, KT_MASTER.ZDEPOSIT) =  CONCAT(KT_IFRS9.CEMPRESA, KT_IFRS9.CBALCAO, KT_IFRS9.CNUMECTA, KT_IFRS9.ZDEPOSIT)
LEFT JOIN 
(SELECT contract_id, Round(ead_final,2) as ifrs9_ead_simulado
FROM
(SELECT contract_id, ead_final, exec_id_part
From BU_IFRS9.ifrs9_out_staging_8_7
-- Where contract_id ='000100200606273000000000000000'
) 8_7
INNER JOIN
(SELECT exec_id_part, cmes
FROM cd_captools.imcatf046_flag_fecho
Where cmes ='202506') imcat
ON 8_7.exec_id_part = imcat.exec_id_part) IFRS
ON KT_IFRS9.contract_id = IFRS.contract_id
Where ifrs9_ead_simulado &lt;&gt; ifrs9_ead</t>
  </si>
  <si>
    <t>Testar após implementação</t>
  </si>
  <si>
    <t>1 Controlo NOK - Proteções a zero (Está a ser desenvolvido pela equipa do Henrique Amaral um projeto de recuperação de documentação</t>
  </si>
  <si>
    <t>Controlo NOK - alterar especificação onde se incluí a condição de N/A  quando o prsn_typ = L</t>
  </si>
  <si>
    <t>Campo necessita ser revisto devido a controlos NOK</t>
  </si>
  <si>
    <t>US_PRCDS</t>
  </si>
  <si>
    <t>TYP_FCLTY</t>
  </si>
  <si>
    <t>TYP_DL</t>
  </si>
  <si>
    <t>TYP_CL</t>
  </si>
  <si>
    <t>TTL_PRMSSBL_DBT_BLNC</t>
  </si>
  <si>
    <t>TTL_LVRG_RT_INCPTN_HLT</t>
  </si>
  <si>
    <t>TTL_LVRG_RT_INCPTN</t>
  </si>
  <si>
    <t>SCAN</t>
  </si>
  <si>
    <t>RWA_PRMTGTN</t>
  </si>
  <si>
    <t>RWA_MTGTN</t>
  </si>
  <si>
    <t>RORWA</t>
  </si>
  <si>
    <t>RORAC</t>
  </si>
  <si>
    <t>GRP_SPPRT</t>
  </si>
  <si>
    <t>GRP_RORWA</t>
  </si>
  <si>
    <t>GRP_RORAC</t>
  </si>
  <si>
    <t>FLLN_ANGL_NRRW_DFNTN</t>
  </si>
  <si>
    <t>FLLN_ANGL_EXTNDD_DFNTN</t>
  </si>
  <si>
    <t>DT_MDFCTN</t>
  </si>
  <si>
    <t>DSTNTN_FNDS</t>
  </si>
  <si>
    <t>INSTR_PROT</t>
  </si>
  <si>
    <t>TESTES REGRESSIVOS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</si>
</sst>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Aptos Narrow"/>
      <family val="2"/>
      <scheme val="minor"/>
    </font>
    <font>
      <b/>
      <sz val="11"/>
      <color theme="1"/>
      <name val="Aptos Narrow"/>
      <family val="2"/>
      <scheme val="minor"/>
    </font>
    <font>
      <sz val="11"/>
      <color theme="1"/>
      <name val="Aptos Narrow"/>
      <family val="2"/>
      <scheme val="minor"/>
    </font>
    <font>
      <sz val="8"/>
      <color theme="1"/>
      <name val="Arial"/>
      <family val="2"/>
    </font>
    <font>
      <b/>
      <sz val="11"/>
      <color theme="0"/>
      <name val="Aptos Narrow"/>
      <family val="2"/>
      <scheme val="minor"/>
    </font>
    <font>
      <b/>
      <sz val="11"/>
      <color theme="0"/>
      <name val="Calibri"/>
      <family val="2"/>
    </font>
    <font>
      <sz val="11"/>
      <color rgb="FF000000"/>
      <name val="Calibri"/>
      <family val="2"/>
    </font>
    <font>
      <sz val="10"/>
      <color theme="1"/>
      <name val="Santander Text"/>
      <family val="2"/>
    </font>
    <font>
      <sz val="10"/>
      <name val="Santander Text"/>
      <family val="2"/>
    </font>
    <font>
      <sz val="10"/>
      <color rgb="FF000000"/>
      <name val="Santander Text"/>
      <family val="2"/>
    </font>
    <font>
      <b/>
      <sz val="10"/>
      <color theme="0"/>
      <name val="Santander Text"/>
      <family val="2"/>
    </font>
    <font>
      <b/>
      <sz val="11"/>
      <name val="Aptos Narrow"/>
      <family val="2"/>
      <scheme val="minor"/>
    </font>
    <font>
      <sz val="11"/>
      <color theme="0"/>
      <name val="Aptos Narrow"/>
      <family val="2"/>
      <scheme val="minor"/>
    </font>
    <font>
      <sz val="11"/>
      <name val="Calibri"/>
      <family val="2"/>
    </font>
    <font>
      <b/>
      <sz val="11"/>
      <color theme="0" tint="-0.249977111117893"/>
      <name val="Aptos Narrow"/>
      <family val="2"/>
      <scheme val="minor"/>
    </font>
    <font>
      <b/>
      <u/>
      <sz val="11"/>
      <color theme="1"/>
      <name val="Aptos Narrow"/>
      <family val="2"/>
      <scheme val="minor"/>
    </font>
    <font>
      <sz val="12"/>
      <color theme="1"/>
      <name val="Aptos Narrow"/>
      <family val="2"/>
      <scheme val="minor"/>
    </font>
    <font>
      <sz val="11"/>
      <color theme="1"/>
      <name val="Santander Text"/>
      <family val="2"/>
    </font>
    <font>
      <b/>
      <sz val="12"/>
      <color theme="1"/>
      <name val="Aptos Narrow"/>
      <family val="2"/>
      <scheme val="minor"/>
    </font>
    <font>
      <b/>
      <sz val="12"/>
      <color theme="0"/>
      <name val="Aptos Narrow"/>
      <family val="2"/>
      <scheme val="minor"/>
    </font>
    <font>
      <b/>
      <u/>
      <sz val="12"/>
      <color theme="1"/>
      <name val="Aptos Narrow"/>
      <family val="2"/>
      <scheme val="minor"/>
    </font>
    <font>
      <b/>
      <sz val="36"/>
      <color theme="0"/>
      <name val="Aptos Narrow"/>
      <family val="2"/>
      <scheme val="minor"/>
    </font>
    <font>
      <sz val="14"/>
      <color theme="1"/>
      <name val="Aptos Narrow"/>
      <family val="2"/>
      <scheme val="minor"/>
    </font>
    <font>
      <sz val="14"/>
      <color rgb="FF000000"/>
      <name val="Aptos Narrow"/>
      <family val="2"/>
      <scheme val="minor"/>
    </font>
    <font>
      <sz val="15"/>
      <color theme="1"/>
      <name val="Aptos Narrow"/>
      <family val="2"/>
      <scheme val="minor"/>
    </font>
    <font>
      <b/>
      <sz val="15"/>
      <color theme="0"/>
      <name val="Aptos Narrow"/>
      <family val="2"/>
      <scheme val="minor"/>
    </font>
    <font>
      <sz val="15"/>
      <name val="Aptos Narrow"/>
      <family val="2"/>
      <scheme val="minor"/>
    </font>
    <font>
      <b/>
      <sz val="15"/>
      <color theme="1"/>
      <name val="Aptos Narrow"/>
      <family val="2"/>
      <scheme val="minor"/>
    </font>
    <font>
      <sz val="15"/>
      <color rgb="FF000000"/>
      <name val="Aptos Narrow"/>
      <family val="2"/>
      <scheme val="minor"/>
    </font>
    <font>
      <sz val="15"/>
      <color rgb="FF000000"/>
      <name val="Calibri"/>
      <family val="2"/>
    </font>
    <font>
      <sz val="15"/>
      <color theme="0" tint="-0.34998626667073579"/>
      <name val="Aptos Narrow"/>
      <family val="2"/>
      <scheme val="minor"/>
    </font>
  </fonts>
  <fills count="21">
    <fill>
      <patternFill patternType="none"/>
    </fill>
    <fill>
      <patternFill patternType="gray125"/>
    </fill>
    <fill>
      <patternFill patternType="solid">
        <fgColor rgb="FFFF0000"/>
        <bgColor indexed="64"/>
      </patternFill>
    </fill>
    <fill>
      <patternFill patternType="solid">
        <fgColor rgb="FFC00000"/>
        <bgColor indexed="64"/>
      </patternFill>
    </fill>
    <fill>
      <patternFill patternType="solid">
        <fgColor theme="9"/>
        <bgColor indexed="64"/>
      </patternFill>
    </fill>
    <fill>
      <patternFill patternType="solid">
        <fgColor theme="9" tint="0.79998168889431442"/>
        <bgColor indexed="64"/>
      </patternFill>
    </fill>
    <fill>
      <patternFill patternType="solid">
        <fgColor theme="5"/>
        <bgColor indexed="64"/>
      </patternFill>
    </fill>
    <fill>
      <patternFill patternType="solid">
        <fgColor rgb="FFFFFF00"/>
        <bgColor indexed="64"/>
      </patternFill>
    </fill>
    <fill>
      <patternFill patternType="solid">
        <fgColor theme="0" tint="-0.499984740745262"/>
        <bgColor indexed="64"/>
      </patternFill>
    </fill>
    <fill>
      <patternFill patternType="solid">
        <fgColor theme="5" tint="0.79998168889431442"/>
        <bgColor indexed="64"/>
      </patternFill>
    </fill>
    <fill>
      <patternFill patternType="solid">
        <fgColor theme="1" tint="0.499984740745262"/>
        <bgColor indexed="64"/>
      </patternFill>
    </fill>
    <fill>
      <patternFill patternType="solid">
        <fgColor theme="0" tint="-4.9989318521683403E-2"/>
        <bgColor indexed="64"/>
      </patternFill>
    </fill>
    <fill>
      <patternFill patternType="solid">
        <fgColor theme="9" tint="0.59999389629810485"/>
        <bgColor indexed="64"/>
      </patternFill>
    </fill>
    <fill>
      <patternFill patternType="solid">
        <fgColor rgb="FF92D050"/>
        <bgColor indexed="64"/>
      </patternFill>
    </fill>
    <fill>
      <patternFill patternType="solid">
        <fgColor rgb="FFFFC000"/>
        <bgColor indexed="64"/>
      </patternFill>
    </fill>
    <fill>
      <patternFill patternType="solid">
        <fgColor theme="7" tint="0.39997558519241921"/>
        <bgColor indexed="64"/>
      </patternFill>
    </fill>
    <fill>
      <patternFill patternType="solid">
        <fgColor theme="2"/>
        <bgColor indexed="64"/>
      </patternFill>
    </fill>
    <fill>
      <patternFill patternType="solid">
        <fgColor theme="2" tint="-0.499984740745262"/>
        <bgColor indexed="64"/>
      </patternFill>
    </fill>
    <fill>
      <patternFill patternType="solid">
        <fgColor rgb="FFFF7C80"/>
        <bgColor indexed="64"/>
      </patternFill>
    </fill>
    <fill>
      <patternFill patternType="solid">
        <fgColor theme="0"/>
        <bgColor indexed="64"/>
      </patternFill>
    </fill>
    <fill>
      <patternFill patternType="solid">
        <fgColor rgb="FFFFE181"/>
        <bgColor indexed="64"/>
      </patternFill>
    </fill>
  </fills>
  <borders count="27">
    <border>
      <left/>
      <right/>
      <top/>
      <bottom/>
      <diagonal/>
    </border>
    <border>
      <left style="hair">
        <color theme="0" tint="-0.499984740745262"/>
      </left>
      <right style="hair">
        <color theme="0" tint="-0.499984740745262"/>
      </right>
      <top style="hair">
        <color theme="0" tint="-0.499984740745262"/>
      </top>
      <bottom style="hair">
        <color theme="0" tint="-0.499984740745262"/>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hair">
        <color indexed="64"/>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style="hair">
        <color indexed="64"/>
      </left>
      <right/>
      <top style="hair">
        <color indexed="64"/>
      </top>
      <bottom/>
      <diagonal/>
    </border>
    <border>
      <left/>
      <right/>
      <top style="hair">
        <color indexed="64"/>
      </top>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ck">
        <color rgb="FFFF0000"/>
      </bottom>
      <diagonal/>
    </border>
  </borders>
  <cellStyleXfs count="3">
    <xf numFmtId="0" fontId="0" fillId="0" borderId="0"/>
    <xf numFmtId="9" fontId="2" fillId="0" borderId="0" applyFont="0" applyFill="0" applyBorder="0" applyAlignment="0" applyProtection="0"/>
    <xf numFmtId="0" fontId="16" fillId="0" borderId="0"/>
  </cellStyleXfs>
  <cellXfs count="187">
    <xf numFmtId="0" fontId="0" fillId="0" borderId="0" xfId="0"/>
    <xf numFmtId="0" fontId="0" fillId="0" borderId="0" xfId="0" applyAlignment="1">
      <alignment vertical="center"/>
    </xf>
    <xf numFmtId="0" fontId="1" fillId="0" borderId="0" xfId="0" applyFont="1"/>
    <xf numFmtId="0" fontId="1" fillId="0" borderId="0" xfId="0" applyFont="1" applyAlignment="1">
      <alignment vertical="center"/>
    </xf>
    <xf numFmtId="0" fontId="0" fillId="0" borderId="0" xfId="0" applyAlignment="1">
      <alignment vertical="center" wrapText="1"/>
    </xf>
    <xf numFmtId="0" fontId="3" fillId="2" borderId="0" xfId="0" applyFont="1" applyFill="1" applyAlignment="1">
      <alignment vertical="center"/>
    </xf>
    <xf numFmtId="9" fontId="0" fillId="0" borderId="0" xfId="1" applyFont="1"/>
    <xf numFmtId="0" fontId="0" fillId="0" borderId="0" xfId="0" applyAlignment="1">
      <alignment horizontal="left"/>
    </xf>
    <xf numFmtId="0" fontId="5" fillId="3" borderId="0" xfId="0" applyFont="1" applyFill="1" applyAlignment="1">
      <alignment horizontal="center" vertical="center"/>
    </xf>
    <xf numFmtId="0" fontId="6" fillId="0" borderId="0" xfId="0" applyFont="1" applyAlignment="1">
      <alignment vertical="center" wrapText="1"/>
    </xf>
    <xf numFmtId="0" fontId="0" fillId="4" borderId="0" xfId="0" applyFill="1"/>
    <xf numFmtId="0" fontId="0" fillId="5" borderId="0" xfId="0" applyFill="1"/>
    <xf numFmtId="0" fontId="0" fillId="0" borderId="0" xfId="0" applyAlignment="1">
      <alignment horizontal="left" indent="1"/>
    </xf>
    <xf numFmtId="0" fontId="0" fillId="0" borderId="0" xfId="0" applyAlignment="1">
      <alignment horizontal="left" vertical="center" indent="1"/>
    </xf>
    <xf numFmtId="0" fontId="3" fillId="2" borderId="0" xfId="0" applyFont="1" applyFill="1" applyAlignment="1">
      <alignment horizontal="left" vertical="center" indent="1"/>
    </xf>
    <xf numFmtId="14" fontId="0" fillId="0" borderId="0" xfId="0" applyNumberFormat="1"/>
    <xf numFmtId="0" fontId="5" fillId="6" borderId="0" xfId="0" applyFont="1" applyFill="1" applyAlignment="1">
      <alignment horizontal="center" vertical="center"/>
    </xf>
    <xf numFmtId="0" fontId="0" fillId="0" borderId="0" xfId="0" applyAlignment="1">
      <alignment horizontal="left" indent="2"/>
    </xf>
    <xf numFmtId="0" fontId="0" fillId="7" borderId="0" xfId="0" applyFill="1"/>
    <xf numFmtId="0" fontId="5" fillId="6" borderId="0" xfId="0" applyFont="1" applyFill="1" applyAlignment="1">
      <alignment horizontal="center" vertical="center" wrapText="1"/>
    </xf>
    <xf numFmtId="0" fontId="4" fillId="3" borderId="0" xfId="0" applyFont="1" applyFill="1" applyAlignment="1">
      <alignment vertical="center"/>
    </xf>
    <xf numFmtId="0" fontId="4" fillId="8" borderId="0" xfId="0" applyFont="1" applyFill="1" applyAlignment="1">
      <alignment vertical="center"/>
    </xf>
    <xf numFmtId="0" fontId="0" fillId="0" borderId="0" xfId="0" pivotButton="1"/>
    <xf numFmtId="0" fontId="0" fillId="5" borderId="0" xfId="0" applyFill="1" applyAlignment="1">
      <alignment horizontal="left" indent="1"/>
    </xf>
    <xf numFmtId="0" fontId="7" fillId="0" borderId="0" xfId="0" applyFont="1"/>
    <xf numFmtId="0" fontId="8" fillId="0" borderId="1" xfId="0" quotePrefix="1" applyFont="1" applyBorder="1" applyAlignment="1">
      <alignment horizontal="left" vertical="center" wrapText="1"/>
    </xf>
    <xf numFmtId="0" fontId="8" fillId="0" borderId="1" xfId="0" applyFont="1" applyBorder="1" applyAlignment="1">
      <alignment horizontal="left" vertical="center" wrapText="1"/>
    </xf>
    <xf numFmtId="0" fontId="9" fillId="0" borderId="1" xfId="0" applyFont="1" applyBorder="1" applyAlignment="1">
      <alignment horizontal="left" vertical="center" wrapText="1" readingOrder="1"/>
    </xf>
    <xf numFmtId="0" fontId="10" fillId="3" borderId="1" xfId="0" applyFont="1" applyFill="1" applyBorder="1"/>
    <xf numFmtId="0" fontId="0" fillId="0" borderId="0" xfId="0" applyAlignment="1">
      <alignment wrapText="1"/>
    </xf>
    <xf numFmtId="0" fontId="10" fillId="3" borderId="1" xfId="0" applyFont="1" applyFill="1" applyBorder="1" applyAlignment="1">
      <alignment vertical="center"/>
    </xf>
    <xf numFmtId="0" fontId="7" fillId="0" borderId="1" xfId="0" applyFont="1" applyBorder="1" applyAlignment="1">
      <alignment vertical="center"/>
    </xf>
    <xf numFmtId="0" fontId="7" fillId="0" borderId="0" xfId="0" applyFont="1" applyAlignment="1">
      <alignment vertical="center"/>
    </xf>
    <xf numFmtId="0" fontId="0" fillId="0" borderId="1" xfId="0" quotePrefix="1" applyBorder="1"/>
    <xf numFmtId="0" fontId="8" fillId="9" borderId="1" xfId="0" quotePrefix="1" applyFont="1" applyFill="1" applyBorder="1" applyAlignment="1">
      <alignment horizontal="left" vertical="center" wrapText="1"/>
    </xf>
    <xf numFmtId="0" fontId="0" fillId="11" borderId="0" xfId="0" applyFill="1"/>
    <xf numFmtId="0" fontId="0" fillId="11" borderId="2" xfId="0" applyFill="1" applyBorder="1" applyAlignment="1">
      <alignment horizontal="center"/>
    </xf>
    <xf numFmtId="0" fontId="0" fillId="11" borderId="2" xfId="1" applyNumberFormat="1" applyFont="1" applyFill="1" applyBorder="1" applyAlignment="1">
      <alignment horizontal="center"/>
    </xf>
    <xf numFmtId="0" fontId="0" fillId="10" borderId="2" xfId="0" applyFill="1" applyBorder="1" applyAlignment="1">
      <alignment horizontal="center"/>
    </xf>
    <xf numFmtId="0" fontId="0" fillId="12" borderId="2" xfId="0" applyFill="1" applyBorder="1" applyAlignment="1">
      <alignment horizontal="center"/>
    </xf>
    <xf numFmtId="0" fontId="11" fillId="11" borderId="2" xfId="0" applyFont="1" applyFill="1" applyBorder="1"/>
    <xf numFmtId="0" fontId="1" fillId="11" borderId="0" xfId="0" applyFont="1" applyFill="1"/>
    <xf numFmtId="0" fontId="0" fillId="11" borderId="0" xfId="0" applyFill="1" applyAlignment="1">
      <alignment horizontal="left" indent="2"/>
    </xf>
    <xf numFmtId="0" fontId="0" fillId="0" borderId="0" xfId="0" applyAlignment="1">
      <alignment horizontal="center"/>
    </xf>
    <xf numFmtId="0" fontId="11" fillId="11" borderId="2" xfId="0" applyFont="1" applyFill="1" applyBorder="1" applyAlignment="1">
      <alignment vertical="center" wrapText="1"/>
    </xf>
    <xf numFmtId="0" fontId="11" fillId="11" borderId="0" xfId="0" applyFont="1" applyFill="1" applyAlignment="1">
      <alignment vertical="center" wrapText="1"/>
    </xf>
    <xf numFmtId="0" fontId="0" fillId="11" borderId="0" xfId="0" applyFill="1" applyAlignment="1">
      <alignment horizontal="center"/>
    </xf>
    <xf numFmtId="0" fontId="0" fillId="11" borderId="0" xfId="1" applyNumberFormat="1" applyFont="1" applyFill="1" applyBorder="1" applyAlignment="1">
      <alignment horizontal="center"/>
    </xf>
    <xf numFmtId="0" fontId="12" fillId="3" borderId="0" xfId="0" applyFont="1" applyFill="1" applyAlignment="1">
      <alignment vertical="center"/>
    </xf>
    <xf numFmtId="0" fontId="13" fillId="0" borderId="0" xfId="0" applyFont="1"/>
    <xf numFmtId="0" fontId="14" fillId="0" borderId="0" xfId="0" applyFont="1" applyAlignment="1">
      <alignment horizontal="center" vertical="center"/>
    </xf>
    <xf numFmtId="0" fontId="15" fillId="11" borderId="0" xfId="0" applyFont="1" applyFill="1"/>
    <xf numFmtId="0" fontId="11" fillId="11" borderId="3" xfId="0" applyFont="1" applyFill="1" applyBorder="1" applyAlignment="1">
      <alignment vertical="center" wrapText="1"/>
    </xf>
    <xf numFmtId="0" fontId="0" fillId="11" borderId="12" xfId="0" applyFill="1" applyBorder="1"/>
    <xf numFmtId="0" fontId="0" fillId="11" borderId="3" xfId="0" applyFill="1" applyBorder="1" applyAlignment="1">
      <alignment horizontal="left"/>
    </xf>
    <xf numFmtId="0" fontId="0" fillId="11" borderId="13" xfId="0" applyFill="1" applyBorder="1"/>
    <xf numFmtId="0" fontId="0" fillId="11" borderId="14" xfId="0" applyFill="1" applyBorder="1" applyAlignment="1">
      <alignment horizontal="left"/>
    </xf>
    <xf numFmtId="0" fontId="0" fillId="11" borderId="15" xfId="0" applyFill="1" applyBorder="1"/>
    <xf numFmtId="0" fontId="0" fillId="11" borderId="16" xfId="0" applyFill="1" applyBorder="1" applyAlignment="1">
      <alignment horizontal="left"/>
    </xf>
    <xf numFmtId="0" fontId="0" fillId="11" borderId="17" xfId="0" applyFill="1" applyBorder="1"/>
    <xf numFmtId="0" fontId="0" fillId="11" borderId="18" xfId="0" applyFill="1" applyBorder="1"/>
    <xf numFmtId="0" fontId="0" fillId="11" borderId="19" xfId="0" applyFill="1" applyBorder="1"/>
    <xf numFmtId="0" fontId="11" fillId="11" borderId="14" xfId="0" applyFont="1" applyFill="1" applyBorder="1" applyAlignment="1">
      <alignment vertical="center" wrapText="1"/>
    </xf>
    <xf numFmtId="0" fontId="0" fillId="11" borderId="3" xfId="0" applyFill="1" applyBorder="1"/>
    <xf numFmtId="0" fontId="0" fillId="0" borderId="20" xfId="0" pivotButton="1" applyBorder="1"/>
    <xf numFmtId="0" fontId="0" fillId="0" borderId="21" xfId="0" applyBorder="1"/>
    <xf numFmtId="0" fontId="0" fillId="0" borderId="4" xfId="0" applyBorder="1"/>
    <xf numFmtId="0" fontId="0" fillId="0" borderId="5" xfId="0" pivotButton="1"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7" xfId="0" pivotButton="1" applyBorder="1"/>
    <xf numFmtId="0" fontId="0" fillId="0" borderId="7" xfId="0" applyBorder="1" applyAlignment="1">
      <alignment horizontal="left"/>
    </xf>
    <xf numFmtId="0" fontId="0" fillId="0" borderId="9" xfId="0" applyBorder="1" applyAlignment="1">
      <alignment horizontal="left"/>
    </xf>
    <xf numFmtId="0" fontId="1" fillId="0" borderId="20" xfId="0" pivotButton="1" applyFont="1" applyBorder="1"/>
    <xf numFmtId="0" fontId="0" fillId="0" borderId="4" xfId="0" pivotButton="1" applyBorder="1"/>
    <xf numFmtId="0" fontId="1" fillId="0" borderId="21" xfId="0" applyFont="1" applyBorder="1"/>
    <xf numFmtId="9" fontId="0" fillId="0" borderId="0" xfId="0" applyNumberFormat="1" applyAlignment="1">
      <alignment horizontal="center"/>
    </xf>
    <xf numFmtId="9" fontId="0" fillId="0" borderId="8" xfId="0" applyNumberFormat="1" applyBorder="1" applyAlignment="1">
      <alignment horizontal="center"/>
    </xf>
    <xf numFmtId="0" fontId="0" fillId="0" borderId="10" xfId="0" applyBorder="1" applyAlignment="1">
      <alignment horizontal="center"/>
    </xf>
    <xf numFmtId="9" fontId="0" fillId="0" borderId="10" xfId="0" applyNumberFormat="1" applyBorder="1" applyAlignment="1">
      <alignment horizontal="center"/>
    </xf>
    <xf numFmtId="9" fontId="0" fillId="0" borderId="11" xfId="0" applyNumberFormat="1" applyBorder="1" applyAlignment="1">
      <alignment horizontal="center"/>
    </xf>
    <xf numFmtId="0" fontId="0" fillId="0" borderId="8" xfId="0" applyBorder="1" applyAlignment="1">
      <alignment horizontal="center"/>
    </xf>
    <xf numFmtId="0" fontId="0" fillId="0" borderId="10" xfId="0" applyBorder="1"/>
    <xf numFmtId="0" fontId="0" fillId="0" borderId="11" xfId="0" applyBorder="1"/>
    <xf numFmtId="0" fontId="0" fillId="15" borderId="0" xfId="0" applyFill="1"/>
    <xf numFmtId="0" fontId="16" fillId="0" borderId="0" xfId="0" applyFont="1"/>
    <xf numFmtId="0" fontId="18" fillId="0" borderId="0" xfId="0" applyFont="1"/>
    <xf numFmtId="0" fontId="16" fillId="11" borderId="5" xfId="0" applyFont="1" applyFill="1" applyBorder="1"/>
    <xf numFmtId="0" fontId="16" fillId="11" borderId="6" xfId="0" applyFont="1" applyFill="1" applyBorder="1"/>
    <xf numFmtId="0" fontId="16" fillId="11" borderId="7" xfId="0" applyFont="1" applyFill="1" applyBorder="1"/>
    <xf numFmtId="0" fontId="16" fillId="11" borderId="0" xfId="0" applyFont="1" applyFill="1"/>
    <xf numFmtId="0" fontId="16" fillId="11" borderId="8" xfId="0" applyFont="1" applyFill="1" applyBorder="1"/>
    <xf numFmtId="0" fontId="16" fillId="11" borderId="9" xfId="0" applyFont="1" applyFill="1" applyBorder="1"/>
    <xf numFmtId="0" fontId="16" fillId="11" borderId="10" xfId="0" applyFont="1" applyFill="1" applyBorder="1"/>
    <xf numFmtId="0" fontId="16" fillId="11" borderId="11" xfId="0" applyFont="1" applyFill="1" applyBorder="1"/>
    <xf numFmtId="0" fontId="16" fillId="0" borderId="0" xfId="0" applyFont="1" applyAlignment="1">
      <alignment horizontal="left"/>
    </xf>
    <xf numFmtId="0" fontId="18" fillId="0" borderId="22" xfId="0" applyFont="1" applyBorder="1" applyAlignment="1">
      <alignment horizontal="left"/>
    </xf>
    <xf numFmtId="0" fontId="18" fillId="0" borderId="22" xfId="0" applyFont="1" applyBorder="1" applyAlignment="1">
      <alignment horizontal="center"/>
    </xf>
    <xf numFmtId="14" fontId="16" fillId="0" borderId="22" xfId="0" applyNumberFormat="1" applyFont="1" applyBorder="1" applyAlignment="1">
      <alignment horizontal="center" vertical="center"/>
    </xf>
    <xf numFmtId="0" fontId="18" fillId="0" borderId="0" xfId="0" applyFont="1" applyAlignment="1">
      <alignment horizontal="center"/>
    </xf>
    <xf numFmtId="0" fontId="18" fillId="0" borderId="0" xfId="0" applyFont="1" applyAlignment="1">
      <alignment horizontal="left"/>
    </xf>
    <xf numFmtId="9" fontId="16" fillId="0" borderId="0" xfId="1" applyFont="1"/>
    <xf numFmtId="0" fontId="16" fillId="0" borderId="0" xfId="0" applyFont="1" applyAlignment="1">
      <alignment horizontal="center" vertical="center"/>
    </xf>
    <xf numFmtId="0" fontId="20" fillId="11" borderId="4" xfId="0" applyFont="1" applyFill="1" applyBorder="1"/>
    <xf numFmtId="0" fontId="18" fillId="11" borderId="7" xfId="0" applyFont="1" applyFill="1" applyBorder="1"/>
    <xf numFmtId="0" fontId="20" fillId="11" borderId="7" xfId="0" applyFont="1" applyFill="1" applyBorder="1"/>
    <xf numFmtId="0" fontId="17" fillId="11" borderId="26" xfId="0" applyFont="1" applyFill="1" applyBorder="1" applyAlignment="1">
      <alignment horizontal="left"/>
    </xf>
    <xf numFmtId="0" fontId="17" fillId="11" borderId="26" xfId="0" applyFont="1" applyFill="1" applyBorder="1" applyAlignment="1">
      <alignment horizontal="left" wrapText="1"/>
    </xf>
    <xf numFmtId="0" fontId="19" fillId="2" borderId="22" xfId="0" applyFont="1" applyFill="1" applyBorder="1" applyAlignment="1">
      <alignment horizontal="center" vertical="center"/>
    </xf>
    <xf numFmtId="0" fontId="8" fillId="0" borderId="0" xfId="0" quotePrefix="1" applyFont="1" applyAlignment="1">
      <alignment horizontal="left" vertical="center" wrapText="1"/>
    </xf>
    <xf numFmtId="0" fontId="7" fillId="9" borderId="1" xfId="0" applyFont="1" applyFill="1" applyBorder="1" applyAlignment="1">
      <alignment vertical="center"/>
    </xf>
    <xf numFmtId="0" fontId="15" fillId="11" borderId="4" xfId="0" applyFont="1" applyFill="1" applyBorder="1"/>
    <xf numFmtId="0" fontId="0" fillId="11" borderId="5" xfId="0" applyFill="1" applyBorder="1"/>
    <xf numFmtId="0" fontId="0" fillId="11" borderId="6" xfId="0" applyFill="1" applyBorder="1"/>
    <xf numFmtId="0" fontId="15" fillId="11" borderId="7" xfId="0" applyFont="1" applyFill="1" applyBorder="1"/>
    <xf numFmtId="0" fontId="0" fillId="11" borderId="8" xfId="0" applyFill="1" applyBorder="1"/>
    <xf numFmtId="0" fontId="1" fillId="11" borderId="7" xfId="0" applyFont="1" applyFill="1" applyBorder="1"/>
    <xf numFmtId="0" fontId="0" fillId="11" borderId="7" xfId="0" applyFill="1" applyBorder="1"/>
    <xf numFmtId="0" fontId="0" fillId="11" borderId="9" xfId="0" applyFill="1" applyBorder="1"/>
    <xf numFmtId="0" fontId="0" fillId="11" borderId="10" xfId="0" applyFill="1" applyBorder="1"/>
    <xf numFmtId="0" fontId="0" fillId="11" borderId="11" xfId="0" applyFill="1" applyBorder="1"/>
    <xf numFmtId="0" fontId="0" fillId="11" borderId="0" xfId="0" applyFill="1" applyAlignment="1">
      <alignment vertical="top" wrapText="1"/>
    </xf>
    <xf numFmtId="0" fontId="0" fillId="11" borderId="8" xfId="0" applyFill="1" applyBorder="1" applyAlignment="1">
      <alignment vertical="top" wrapText="1"/>
    </xf>
    <xf numFmtId="0" fontId="0" fillId="11" borderId="7" xfId="0" applyFill="1" applyBorder="1" applyAlignment="1">
      <alignment vertical="top"/>
    </xf>
    <xf numFmtId="0" fontId="0" fillId="0" borderId="0" xfId="0" quotePrefix="1"/>
    <xf numFmtId="0" fontId="22" fillId="0" borderId="0" xfId="0" applyFont="1" applyAlignment="1">
      <alignment vertical="center"/>
    </xf>
    <xf numFmtId="9" fontId="22" fillId="0" borderId="0" xfId="1" applyFont="1" applyAlignment="1">
      <alignment vertical="center"/>
    </xf>
    <xf numFmtId="0" fontId="23" fillId="0" borderId="22" xfId="0" applyFont="1" applyBorder="1" applyAlignment="1">
      <alignment vertical="center"/>
    </xf>
    <xf numFmtId="0" fontId="22" fillId="0" borderId="22" xfId="0" applyFont="1" applyBorder="1" applyAlignment="1">
      <alignment vertical="center"/>
    </xf>
    <xf numFmtId="0" fontId="22" fillId="0" borderId="22" xfId="0" applyFont="1" applyBorder="1" applyAlignment="1">
      <alignment horizontal="center" vertical="center"/>
    </xf>
    <xf numFmtId="0" fontId="0" fillId="0" borderId="22" xfId="0" applyBorder="1"/>
    <xf numFmtId="0" fontId="0" fillId="18" borderId="0" xfId="0" applyFill="1"/>
    <xf numFmtId="0" fontId="24" fillId="11" borderId="26" xfId="0" applyFont="1" applyFill="1" applyBorder="1" applyAlignment="1">
      <alignment horizontal="left" vertical="center"/>
    </xf>
    <xf numFmtId="0" fontId="24" fillId="0" borderId="0" xfId="0" applyFont="1" applyAlignment="1">
      <alignment vertical="center"/>
    </xf>
    <xf numFmtId="9" fontId="24" fillId="0" borderId="0" xfId="1" applyFont="1" applyAlignment="1">
      <alignment vertical="center"/>
    </xf>
    <xf numFmtId="0" fontId="25" fillId="2" borderId="22" xfId="0" applyFont="1" applyFill="1" applyBorder="1" applyAlignment="1">
      <alignment horizontal="center" vertical="center"/>
    </xf>
    <xf numFmtId="14" fontId="24" fillId="0" borderId="22" xfId="1" applyNumberFormat="1" applyFont="1" applyBorder="1" applyAlignment="1">
      <alignment horizontal="center" vertical="center"/>
    </xf>
    <xf numFmtId="0" fontId="25" fillId="2" borderId="22" xfId="0" applyFont="1" applyFill="1" applyBorder="1" applyAlignment="1">
      <alignment horizontal="left" vertical="center"/>
    </xf>
    <xf numFmtId="9" fontId="25" fillId="2" borderId="22" xfId="1" applyFont="1" applyFill="1" applyBorder="1" applyAlignment="1">
      <alignment horizontal="center" vertical="center"/>
    </xf>
    <xf numFmtId="0" fontId="24" fillId="0" borderId="22" xfId="1" applyNumberFormat="1" applyFont="1" applyBorder="1" applyAlignment="1">
      <alignment horizontal="center" vertical="center"/>
    </xf>
    <xf numFmtId="9" fontId="24" fillId="0" borderId="22" xfId="1" applyFont="1" applyBorder="1" applyAlignment="1">
      <alignment horizontal="center" vertical="center"/>
    </xf>
    <xf numFmtId="0" fontId="25" fillId="2" borderId="22" xfId="1" applyNumberFormat="1" applyFont="1" applyFill="1" applyBorder="1" applyAlignment="1">
      <alignment horizontal="center" vertical="center"/>
    </xf>
    <xf numFmtId="0" fontId="24" fillId="0" borderId="0" xfId="0" applyFont="1" applyAlignment="1">
      <alignment horizontal="left" vertical="center"/>
    </xf>
    <xf numFmtId="14" fontId="24" fillId="0" borderId="0" xfId="1" applyNumberFormat="1" applyFont="1" applyBorder="1" applyAlignment="1">
      <alignment horizontal="center" vertical="center"/>
    </xf>
    <xf numFmtId="0" fontId="28" fillId="0" borderId="22" xfId="0" applyFont="1" applyBorder="1" applyAlignment="1">
      <alignment horizontal="center" vertical="center"/>
    </xf>
    <xf numFmtId="0" fontId="28" fillId="0" borderId="22" xfId="0" applyFont="1" applyBorder="1" applyAlignment="1">
      <alignment vertical="center"/>
    </xf>
    <xf numFmtId="0" fontId="24" fillId="0" borderId="21" xfId="0" applyFont="1" applyBorder="1" applyAlignment="1">
      <alignment vertical="center"/>
    </xf>
    <xf numFmtId="0" fontId="24" fillId="0" borderId="22" xfId="0" applyFont="1" applyBorder="1" applyAlignment="1">
      <alignment horizontal="center" vertical="center"/>
    </xf>
    <xf numFmtId="0" fontId="24" fillId="0" borderId="21" xfId="0" applyFont="1" applyBorder="1" applyAlignment="1">
      <alignment vertical="center" wrapText="1"/>
    </xf>
    <xf numFmtId="0" fontId="24" fillId="12" borderId="22" xfId="0" applyFont="1" applyFill="1" applyBorder="1" applyAlignment="1">
      <alignment horizontal="center" vertical="center"/>
    </xf>
    <xf numFmtId="0" fontId="24" fillId="0" borderId="22" xfId="0" applyFont="1" applyBorder="1" applyAlignment="1">
      <alignment vertical="center"/>
    </xf>
    <xf numFmtId="0" fontId="24" fillId="0" borderId="22" xfId="0" applyFont="1" applyBorder="1" applyAlignment="1">
      <alignment vertical="center" wrapText="1"/>
    </xf>
    <xf numFmtId="0" fontId="24" fillId="12" borderId="20" xfId="0" applyFont="1" applyFill="1" applyBorder="1" applyAlignment="1">
      <alignment horizontal="left" vertical="center"/>
    </xf>
    <xf numFmtId="0" fontId="24" fillId="0" borderId="20" xfId="0" applyFont="1" applyBorder="1" applyAlignment="1">
      <alignment horizontal="left" vertical="center"/>
    </xf>
    <xf numFmtId="0" fontId="29" fillId="0" borderId="0" xfId="0" applyFont="1" applyAlignment="1">
      <alignment vertical="center"/>
    </xf>
    <xf numFmtId="0" fontId="25" fillId="2" borderId="24" xfId="0" applyFont="1" applyFill="1" applyBorder="1" applyAlignment="1">
      <alignment horizontal="center" vertical="center"/>
    </xf>
    <xf numFmtId="0" fontId="30" fillId="19" borderId="0" xfId="0" applyFont="1" applyFill="1" applyAlignment="1">
      <alignment vertical="center"/>
    </xf>
    <xf numFmtId="0" fontId="0" fillId="0" borderId="22" xfId="0" applyBorder="1" applyAlignment="1">
      <alignment vertical="center"/>
    </xf>
    <xf numFmtId="0" fontId="0" fillId="12" borderId="22" xfId="0" applyFill="1" applyBorder="1" applyAlignment="1">
      <alignment vertical="center"/>
    </xf>
    <xf numFmtId="0" fontId="0" fillId="20" borderId="22" xfId="0" applyFill="1" applyBorder="1" applyAlignment="1">
      <alignment vertical="center"/>
    </xf>
    <xf numFmtId="0" fontId="26" fillId="0" borderId="22" xfId="0" applyFont="1" applyBorder="1" applyAlignment="1">
      <alignment horizontal="left" vertical="center"/>
    </xf>
    <xf numFmtId="0" fontId="30" fillId="19" borderId="0" xfId="0" applyFont="1" applyFill="1" applyAlignment="1">
      <alignment horizontal="center" vertical="center"/>
    </xf>
    <xf numFmtId="0" fontId="25" fillId="2" borderId="24" xfId="0" applyFont="1" applyFill="1" applyBorder="1" applyAlignment="1">
      <alignment horizontal="center" vertical="center" wrapText="1"/>
    </xf>
    <xf numFmtId="0" fontId="0" fillId="0" borderId="0" xfId="0" applyAlignment="1">
      <alignment horizontal="left"/>
    </xf>
    <xf numFmtId="0" fontId="0" fillId="0" borderId="0" xfId="0" applyAlignment="1">
      <alignment horizontal="center"/>
    </xf>
    <xf numFmtId="0" fontId="0" fillId="11" borderId="7" xfId="0" quotePrefix="1" applyFill="1" applyBorder="1" applyAlignment="1">
      <alignment horizontal="left" vertical="top" wrapText="1"/>
    </xf>
    <xf numFmtId="0" fontId="0" fillId="11" borderId="0" xfId="0" quotePrefix="1" applyFill="1" applyAlignment="1">
      <alignment horizontal="left" vertical="top" wrapText="1"/>
    </xf>
    <xf numFmtId="0" fontId="0" fillId="11" borderId="8" xfId="0" quotePrefix="1" applyFill="1" applyBorder="1" applyAlignment="1">
      <alignment horizontal="left" vertical="top" wrapText="1"/>
    </xf>
    <xf numFmtId="0" fontId="0" fillId="11" borderId="7" xfId="0" applyFill="1" applyBorder="1" applyAlignment="1">
      <alignment horizontal="left" vertical="top" wrapText="1"/>
    </xf>
    <xf numFmtId="0" fontId="0" fillId="11" borderId="0" xfId="0" applyFill="1" applyAlignment="1">
      <alignment horizontal="left" vertical="top" wrapText="1"/>
    </xf>
    <xf numFmtId="0" fontId="0" fillId="11" borderId="8" xfId="0" applyFill="1" applyBorder="1" applyAlignment="1">
      <alignment horizontal="left" vertical="top" wrapText="1"/>
    </xf>
    <xf numFmtId="0" fontId="16" fillId="11" borderId="7" xfId="0" quotePrefix="1" applyFont="1" applyFill="1" applyBorder="1" applyAlignment="1">
      <alignment horizontal="left" vertical="top" wrapText="1"/>
    </xf>
    <xf numFmtId="0" fontId="16" fillId="11" borderId="0" xfId="0" quotePrefix="1" applyFont="1" applyFill="1" applyAlignment="1">
      <alignment horizontal="left" vertical="top" wrapText="1"/>
    </xf>
    <xf numFmtId="0" fontId="16" fillId="11" borderId="8" xfId="0" quotePrefix="1" applyFont="1" applyFill="1" applyBorder="1" applyAlignment="1">
      <alignment horizontal="left" vertical="top" wrapText="1"/>
    </xf>
    <xf numFmtId="0" fontId="16" fillId="11" borderId="7" xfId="0" applyFont="1" applyFill="1" applyBorder="1" applyAlignment="1">
      <alignment horizontal="left" vertical="top" wrapText="1"/>
    </xf>
    <xf numFmtId="0" fontId="16" fillId="11" borderId="0" xfId="0" applyFont="1" applyFill="1" applyAlignment="1">
      <alignment horizontal="left" vertical="top" wrapText="1"/>
    </xf>
    <xf numFmtId="0" fontId="16" fillId="11" borderId="8" xfId="0" applyFont="1" applyFill="1" applyBorder="1" applyAlignment="1">
      <alignment horizontal="left" vertical="top" wrapText="1"/>
    </xf>
    <xf numFmtId="0" fontId="21" fillId="14" borderId="22" xfId="0" applyFont="1" applyFill="1" applyBorder="1" applyAlignment="1">
      <alignment horizontal="center" vertical="center" textRotation="90"/>
    </xf>
    <xf numFmtId="0" fontId="21" fillId="13" borderId="24" xfId="0" applyFont="1" applyFill="1" applyBorder="1" applyAlignment="1">
      <alignment horizontal="center" vertical="center" textRotation="90"/>
    </xf>
    <xf numFmtId="0" fontId="21" fillId="13" borderId="23" xfId="0" applyFont="1" applyFill="1" applyBorder="1" applyAlignment="1">
      <alignment horizontal="center" vertical="center" textRotation="90"/>
    </xf>
    <xf numFmtId="0" fontId="21" fillId="13" borderId="25" xfId="0" applyFont="1" applyFill="1" applyBorder="1" applyAlignment="1">
      <alignment horizontal="center" vertical="center" textRotation="90"/>
    </xf>
    <xf numFmtId="0" fontId="27" fillId="16" borderId="22" xfId="0" applyFont="1" applyFill="1" applyBorder="1" applyAlignment="1">
      <alignment horizontal="center" vertical="center"/>
    </xf>
    <xf numFmtId="9" fontId="25" fillId="17" borderId="22" xfId="1" applyFont="1" applyFill="1" applyBorder="1" applyAlignment="1">
      <alignment horizontal="center" vertical="center"/>
    </xf>
    <xf numFmtId="0" fontId="0" fillId="0" borderId="0" xfId="0" applyAlignment="1"/>
    <xf numFmtId="0" fontId="28" fillId="7" borderId="22" xfId="0" applyFont="1" applyFill="1" applyBorder="1" applyAlignment="1">
      <alignment vertical="center"/>
    </xf>
  </cellXfs>
  <cellStyles count="3">
    <cellStyle name="Normal" xfId="0" builtinId="0"/>
    <cellStyle name="Normal 2" xfId="2" xr:uid="{41BC24D2-8269-4FD2-83B8-CC2634779C50}"/>
    <cellStyle name="Percent" xfId="1" builtinId="5"/>
  </cellStyles>
  <dxfs count="58">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7C80"/>
        </patternFill>
      </fill>
    </dxf>
    <dxf>
      <fill>
        <patternFill>
          <bgColor theme="9" tint="0.59996337778862885"/>
        </patternFill>
      </fill>
    </dxf>
    <dxf>
      <fill>
        <patternFill>
          <bgColor theme="9" tint="0.59996337778862885"/>
        </patternFill>
      </fill>
    </dxf>
    <dxf>
      <fill>
        <patternFill>
          <bgColor rgb="FFFFE181"/>
        </patternFill>
      </fill>
    </dxf>
    <dxf>
      <fill>
        <patternFill>
          <bgColor theme="9" tint="0.59996337778862885"/>
        </patternFill>
      </fill>
    </dxf>
    <dxf>
      <fill>
        <patternFill patternType="solid">
          <bgColor rgb="FFFF7C80"/>
        </patternFill>
      </fill>
    </dxf>
    <dxf>
      <fill>
        <patternFill>
          <bgColor rgb="FFFF7C80"/>
        </patternFill>
      </fill>
    </dxf>
    <dxf>
      <fill>
        <patternFill patternType="solid">
          <bgColor rgb="FFFF7C80"/>
        </patternFill>
      </fill>
    </dxf>
    <dxf>
      <fill>
        <patternFill>
          <bgColor rgb="FFFF8989"/>
        </patternFill>
      </fill>
    </dxf>
    <dxf>
      <fill>
        <patternFill>
          <bgColor rgb="FFFF8989"/>
        </patternFill>
      </fill>
    </dxf>
    <dxf>
      <fill>
        <patternFill>
          <bgColor rgb="FFFF7C80"/>
        </patternFill>
      </fill>
    </dxf>
    <dxf>
      <fill>
        <patternFill>
          <bgColor rgb="FFFF8989"/>
        </patternFill>
      </fill>
    </dxf>
    <dxf>
      <fill>
        <patternFill>
          <bgColor rgb="FFFF8989"/>
        </patternFill>
      </fill>
    </dxf>
    <dxf>
      <fill>
        <patternFill patternType="solid">
          <bgColor rgb="FFFF7C80"/>
        </patternFill>
      </fill>
    </dxf>
    <dxf>
      <fill>
        <patternFill>
          <bgColor rgb="FFFF7C80"/>
        </patternFill>
      </fill>
    </dxf>
    <dxf>
      <fill>
        <patternFill>
          <bgColor rgb="FFFF8989"/>
        </patternFill>
      </fill>
    </dxf>
    <dxf>
      <fill>
        <patternFill>
          <bgColor rgb="FFFF7C80"/>
        </patternFill>
      </fill>
    </dxf>
    <dxf>
      <fill>
        <patternFill>
          <bgColor rgb="FFFF8989"/>
        </patternFill>
      </fill>
    </dxf>
    <dxf>
      <fill>
        <patternFill patternType="solid">
          <bgColor rgb="FFFF7C80"/>
        </patternFill>
      </fill>
    </dxf>
    <dxf>
      <fill>
        <patternFill>
          <bgColor rgb="FFFF8989"/>
        </patternFill>
      </fill>
    </dxf>
    <dxf>
      <fill>
        <patternFill>
          <bgColor rgb="FFFF7C80"/>
        </patternFill>
      </fill>
    </dxf>
    <dxf>
      <fill>
        <patternFill patternType="solid">
          <bgColor rgb="FFFF7C80"/>
        </patternFill>
      </fill>
    </dxf>
    <dxf>
      <fill>
        <patternFill>
          <bgColor rgb="FFFF7C80"/>
        </patternFill>
      </fill>
    </dxf>
    <dxf>
      <fill>
        <patternFill>
          <bgColor rgb="FFFF7C80"/>
        </patternFill>
      </fill>
    </dxf>
    <dxf>
      <fill>
        <patternFill>
          <bgColor theme="9" tint="0.59996337778862885"/>
        </patternFill>
      </fill>
    </dxf>
    <dxf>
      <fill>
        <patternFill>
          <bgColor rgb="FFFF7C80"/>
        </patternFill>
      </fill>
    </dxf>
    <dxf>
      <fill>
        <patternFill patternType="solid">
          <bgColor rgb="FFFF7C80"/>
        </patternFill>
      </fill>
    </dxf>
    <dxf>
      <fill>
        <patternFill>
          <bgColor rgb="FFFF8989"/>
        </patternFill>
      </fill>
    </dxf>
    <dxf>
      <fill>
        <patternFill patternType="solid">
          <bgColor rgb="FFFF7C80"/>
        </patternFill>
      </fill>
    </dxf>
    <dxf>
      <font>
        <b val="0"/>
      </font>
    </dxf>
    <dxf>
      <font>
        <b val="0"/>
      </font>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9"/>
        </patternFill>
      </fill>
    </dxf>
    <dxf>
      <fill>
        <patternFill patternType="solid">
          <bgColor theme="9"/>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numFmt numFmtId="13" formatCode="0%"/>
    </dxf>
    <dxf>
      <numFmt numFmtId="13" formatCode="0%"/>
    </dxf>
    <dxf>
      <numFmt numFmtId="13" formatCode="0%"/>
    </dxf>
    <dxf>
      <font>
        <b/>
      </font>
    </dxf>
    <dxf>
      <border>
        <left style="thin">
          <color indexed="64"/>
        </left>
        <right style="thin">
          <color indexed="64"/>
        </right>
        <top style="thin">
          <color indexed="64"/>
        </top>
        <bottom style="thin">
          <color indexed="64"/>
        </bottom>
      </border>
    </dxf>
    <dxf>
      <font>
        <b/>
      </font>
    </dxf>
  </dxfs>
  <tableStyles count="0" defaultTableStyle="TableStyleMedium2" defaultPivotStyle="PivotStyleLight16"/>
  <colors>
    <mruColors>
      <color rgb="FFFFE181"/>
      <color rgb="FFFF7C80"/>
      <color rgb="FFFF8989"/>
      <color rgb="FF1DC8D1"/>
      <color rgb="FF159197"/>
      <color rgb="FF105E6E"/>
      <color rgb="FF11787D"/>
      <color rgb="FFFF7575"/>
      <color rgb="FFFF6699"/>
      <color rgb="FFFF891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651179457869731"/>
          <c:y val="4.4569020488277933E-2"/>
          <c:w val="0.65956938946899579"/>
          <c:h val="0.87929653259705065"/>
        </c:manualLayout>
      </c:layout>
      <c:barChart>
        <c:barDir val="bar"/>
        <c:grouping val="clustered"/>
        <c:varyColors val="0"/>
        <c:ser>
          <c:idx val="0"/>
          <c:order val="0"/>
          <c:tx>
            <c:strRef>
              <c:f>Aux.!$E$2</c:f>
              <c:strCache>
                <c:ptCount val="1"/>
                <c:pt idx="0">
                  <c:v>Status Atual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pt-PT"/>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Aux.!$B$3:$B$13</c:f>
              <c:strCache>
                <c:ptCount val="11"/>
                <c:pt idx="0">
                  <c:v>1. Especificar</c:v>
                </c:pt>
                <c:pt idx="1">
                  <c:v>2. Alterar especificação</c:v>
                </c:pt>
                <c:pt idx="2">
                  <c:v>3. Pendente de decisão</c:v>
                </c:pt>
                <c:pt idx="3">
                  <c:v>4.1 Em implementação - Re-especificação</c:v>
                </c:pt>
                <c:pt idx="4">
                  <c:v>4.2 Em implementação - Incidência</c:v>
                </c:pt>
                <c:pt idx="5">
                  <c:v>5.1 Em testes - Re-especificação</c:v>
                </c:pt>
                <c:pt idx="6">
                  <c:v>5.2 Em testes - Incidência</c:v>
                </c:pt>
                <c:pt idx="7">
                  <c:v>6. Outros Desenvolvimentos</c:v>
                </c:pt>
                <c:pt idx="8">
                  <c:v>7. Analisar controlos e completude</c:v>
                </c:pt>
                <c:pt idx="9">
                  <c:v>8. Concluído - sem dados</c:v>
                </c:pt>
                <c:pt idx="10">
                  <c:v>9. Concluído</c:v>
                </c:pt>
              </c:strCache>
            </c:strRef>
          </c:cat>
          <c:val>
            <c:numRef>
              <c:f>Aux.!$E$3:$E$13</c:f>
              <c:numCache>
                <c:formatCode>General</c:formatCode>
                <c:ptCount val="11"/>
                <c:pt idx="0">
                  <c:v>8</c:v>
                </c:pt>
                <c:pt idx="1">
                  <c:v>17</c:v>
                </c:pt>
                <c:pt idx="2">
                  <c:v>2</c:v>
                </c:pt>
                <c:pt idx="3">
                  <c:v>1</c:v>
                </c:pt>
                <c:pt idx="4">
                  <c:v>0</c:v>
                </c:pt>
                <c:pt idx="5">
                  <c:v>8</c:v>
                </c:pt>
                <c:pt idx="6">
                  <c:v>3</c:v>
                </c:pt>
                <c:pt idx="7">
                  <c:v>0</c:v>
                </c:pt>
                <c:pt idx="8">
                  <c:v>45</c:v>
                </c:pt>
                <c:pt idx="9">
                  <c:v>7</c:v>
                </c:pt>
                <c:pt idx="10">
                  <c:v>170</c:v>
                </c:pt>
              </c:numCache>
            </c:numRef>
          </c:val>
          <c:extLst>
            <c:ext xmlns:c16="http://schemas.microsoft.com/office/drawing/2014/chart" uri="{C3380CC4-5D6E-409C-BE32-E72D297353CC}">
              <c16:uniqueId val="{00000000-89A7-4EA6-9357-F56977281457}"/>
            </c:ext>
          </c:extLst>
        </c:ser>
        <c:ser>
          <c:idx val="1"/>
          <c:order val="1"/>
          <c:tx>
            <c:strRef>
              <c:f>Aux.!$C$2</c:f>
              <c:strCache>
                <c:ptCount val="1"/>
                <c:pt idx="0">
                  <c:v>Status Inicial</c:v>
                </c:pt>
              </c:strCache>
            </c:strRef>
          </c:tx>
          <c:spPr>
            <a:solidFill>
              <a:schemeClr val="tx1">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pt-PT"/>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Aux.!$B$3:$B$13</c:f>
              <c:strCache>
                <c:ptCount val="11"/>
                <c:pt idx="0">
                  <c:v>1. Especificar</c:v>
                </c:pt>
                <c:pt idx="1">
                  <c:v>2. Alterar especificação</c:v>
                </c:pt>
                <c:pt idx="2">
                  <c:v>3. Pendente de decisão</c:v>
                </c:pt>
                <c:pt idx="3">
                  <c:v>4.1 Em implementação - Re-especificação</c:v>
                </c:pt>
                <c:pt idx="4">
                  <c:v>4.2 Em implementação - Incidência</c:v>
                </c:pt>
                <c:pt idx="5">
                  <c:v>5.1 Em testes - Re-especificação</c:v>
                </c:pt>
                <c:pt idx="6">
                  <c:v>5.2 Em testes - Incidência</c:v>
                </c:pt>
                <c:pt idx="7">
                  <c:v>6. Outros Desenvolvimentos</c:v>
                </c:pt>
                <c:pt idx="8">
                  <c:v>7. Analisar controlos e completude</c:v>
                </c:pt>
                <c:pt idx="9">
                  <c:v>8. Concluído - sem dados</c:v>
                </c:pt>
                <c:pt idx="10">
                  <c:v>9. Concluído</c:v>
                </c:pt>
              </c:strCache>
            </c:strRef>
          </c:cat>
          <c:val>
            <c:numRef>
              <c:f>Aux.!$C$3:$C$13</c:f>
              <c:numCache>
                <c:formatCode>General</c:formatCode>
                <c:ptCount val="11"/>
                <c:pt idx="0">
                  <c:v>10</c:v>
                </c:pt>
                <c:pt idx="1">
                  <c:v>18</c:v>
                </c:pt>
                <c:pt idx="2">
                  <c:v>11</c:v>
                </c:pt>
                <c:pt idx="3">
                  <c:v>4</c:v>
                </c:pt>
                <c:pt idx="4">
                  <c:v>0</c:v>
                </c:pt>
                <c:pt idx="5">
                  <c:v>11</c:v>
                </c:pt>
                <c:pt idx="6">
                  <c:v>11</c:v>
                </c:pt>
                <c:pt idx="7">
                  <c:v>0</c:v>
                </c:pt>
                <c:pt idx="8">
                  <c:v>42</c:v>
                </c:pt>
                <c:pt idx="9">
                  <c:v>7</c:v>
                </c:pt>
                <c:pt idx="10">
                  <c:v>147</c:v>
                </c:pt>
              </c:numCache>
            </c:numRef>
          </c:val>
          <c:extLst>
            <c:ext xmlns:c16="http://schemas.microsoft.com/office/drawing/2014/chart" uri="{C3380CC4-5D6E-409C-BE32-E72D297353CC}">
              <c16:uniqueId val="{00000001-89A7-4EA6-9357-F56977281457}"/>
            </c:ext>
          </c:extLst>
        </c:ser>
        <c:dLbls>
          <c:showLegendKey val="0"/>
          <c:showVal val="0"/>
          <c:showCatName val="0"/>
          <c:showSerName val="0"/>
          <c:showPercent val="0"/>
          <c:showBubbleSize val="0"/>
        </c:dLbls>
        <c:gapWidth val="100"/>
        <c:axId val="1355518095"/>
        <c:axId val="1701600159"/>
      </c:barChart>
      <c:catAx>
        <c:axId val="1355518095"/>
        <c:scaling>
          <c:orientation val="minMax"/>
        </c:scaling>
        <c:delete val="0"/>
        <c:axPos val="l"/>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antander Text" panose="020B0504020201020104" pitchFamily="34" charset="0"/>
                <a:ea typeface="+mn-ea"/>
                <a:cs typeface="+mn-cs"/>
              </a:defRPr>
            </a:pPr>
            <a:endParaRPr lang="pt-PT"/>
          </a:p>
        </c:txPr>
        <c:crossAx val="1701600159"/>
        <c:crosses val="autoZero"/>
        <c:auto val="1"/>
        <c:lblAlgn val="ctr"/>
        <c:lblOffset val="100"/>
        <c:noMultiLvlLbl val="0"/>
      </c:catAx>
      <c:valAx>
        <c:axId val="1701600159"/>
        <c:scaling>
          <c:orientation val="minMax"/>
        </c:scaling>
        <c:delete val="1"/>
        <c:axPos val="b"/>
        <c:numFmt formatCode="General" sourceLinked="1"/>
        <c:majorTickMark val="none"/>
        <c:minorTickMark val="none"/>
        <c:tickLblPos val="nextTo"/>
        <c:crossAx val="1355518095"/>
        <c:crosses val="autoZero"/>
        <c:crossBetween val="between"/>
      </c:valAx>
      <c:spPr>
        <a:noFill/>
        <a:ln>
          <a:noFill/>
        </a:ln>
        <a:effectLst/>
      </c:spPr>
    </c:plotArea>
    <c:legend>
      <c:legendPos val="b"/>
      <c:layout>
        <c:manualLayout>
          <c:xMode val="edge"/>
          <c:yMode val="edge"/>
          <c:x val="0.58478393579920418"/>
          <c:y val="0.92906947036056264"/>
          <c:w val="0.27115762226025114"/>
          <c:h val="4.9705412505521442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antander Text" panose="020B0504020201020104" pitchFamily="34" charset="0"/>
              <a:ea typeface="+mn-ea"/>
              <a:cs typeface="+mn-cs"/>
            </a:defRPr>
          </a:pPr>
          <a:endParaRPr lang="pt-PT"/>
        </a:p>
      </c:txPr>
    </c:legend>
    <c:plotVisOnly val="1"/>
    <c:dispBlanksAs val="gap"/>
    <c:showDLblsOverMax val="0"/>
  </c:chart>
  <c:spPr>
    <a:solidFill>
      <a:schemeClr val="bg1"/>
    </a:solidFill>
    <a:ln w="9525" cap="flat" cmpd="sng" algn="ctr">
      <a:solidFill>
        <a:schemeClr val="tx1">
          <a:lumMod val="50000"/>
          <a:lumOff val="50000"/>
        </a:schemeClr>
      </a:solidFill>
      <a:round/>
    </a:ln>
    <a:effectLst/>
  </c:spPr>
  <c:txPr>
    <a:bodyPr/>
    <a:lstStyle/>
    <a:p>
      <a:pPr>
        <a:defRPr/>
      </a:pPr>
      <a:endParaRPr lang="pt-P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6873740142371323E-2"/>
          <c:y val="4.0424139451687574E-2"/>
          <c:w val="0.49223487928522108"/>
          <c:h val="0.91708295217975233"/>
        </c:manualLayout>
      </c:layout>
      <c:doughnutChart>
        <c:varyColors val="1"/>
        <c:ser>
          <c:idx val="0"/>
          <c:order val="0"/>
          <c:tx>
            <c:strRef>
              <c:f>Aux.!$F$2</c:f>
              <c:strCache>
                <c:ptCount val="1"/>
                <c:pt idx="0">
                  <c:v>Status Atual (%)</c:v>
                </c:pt>
              </c:strCache>
            </c:strRef>
          </c:tx>
          <c:spPr>
            <a:ln>
              <a:solidFill>
                <a:schemeClr val="bg1"/>
              </a:solidFill>
            </a:ln>
          </c:spPr>
          <c:dPt>
            <c:idx val="0"/>
            <c:bubble3D val="0"/>
            <c:spPr>
              <a:solidFill>
                <a:srgbClr val="BDDBE3"/>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0A8-4F26-BB07-73280CFFBFEF}"/>
              </c:ext>
            </c:extLst>
          </c:dPt>
          <c:dPt>
            <c:idx val="1"/>
            <c:bubble3D val="0"/>
            <c:spPr>
              <a:solidFill>
                <a:srgbClr val="1DC8D1"/>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0A8-4F26-BB07-73280CFFBFEF}"/>
              </c:ext>
            </c:extLst>
          </c:dPt>
          <c:dPt>
            <c:idx val="2"/>
            <c:bubble3D val="0"/>
            <c:spPr>
              <a:solidFill>
                <a:schemeClr val="bg2">
                  <a:lumMod val="90000"/>
                </a:schemeClr>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0A8-4F26-BB07-73280CFFBFEF}"/>
              </c:ext>
            </c:extLst>
          </c:dPt>
          <c:dPt>
            <c:idx val="3"/>
            <c:bubble3D val="0"/>
            <c:spPr>
              <a:solidFill>
                <a:srgbClr val="159197"/>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0A8-4F26-BB07-73280CFFBFEF}"/>
              </c:ext>
            </c:extLst>
          </c:dPt>
          <c:dPt>
            <c:idx val="4"/>
            <c:bubble3D val="0"/>
            <c:spPr>
              <a:solidFill>
                <a:srgbClr val="105E6E"/>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30A8-4F26-BB07-73280CFFBFEF}"/>
              </c:ext>
            </c:extLst>
          </c:dPt>
          <c:dPt>
            <c:idx val="5"/>
            <c:bubble3D val="0"/>
            <c:spPr>
              <a:solidFill>
                <a:srgbClr val="FF7575"/>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30A8-4F26-BB07-73280CFFBFEF}"/>
              </c:ext>
            </c:extLst>
          </c:dPt>
          <c:dPt>
            <c:idx val="6"/>
            <c:bubble3D val="0"/>
            <c:spPr>
              <a:solidFill>
                <a:srgbClr val="FF0000"/>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30A8-4F26-BB07-73280CFFBFEF}"/>
              </c:ext>
            </c:extLst>
          </c:dPt>
          <c:dPt>
            <c:idx val="7"/>
            <c:bubble3D val="0"/>
            <c:spPr>
              <a:solidFill>
                <a:schemeClr val="tx1"/>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30A8-4F26-BB07-73280CFFBFEF}"/>
              </c:ext>
            </c:extLst>
          </c:dPt>
          <c:dPt>
            <c:idx val="8"/>
            <c:bubble3D val="0"/>
            <c:spPr>
              <a:solidFill>
                <a:schemeClr val="tx1">
                  <a:lumMod val="50000"/>
                  <a:lumOff val="50000"/>
                </a:schemeClr>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30A8-4F26-BB07-73280CFFBFEF}"/>
              </c:ext>
            </c:extLst>
          </c:dPt>
          <c:dPt>
            <c:idx val="9"/>
            <c:bubble3D val="0"/>
            <c:spPr>
              <a:solidFill>
                <a:schemeClr val="bg1">
                  <a:lumMod val="75000"/>
                </a:schemeClr>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30A8-4F26-BB07-73280CFFBFEF}"/>
              </c:ext>
            </c:extLst>
          </c:dPt>
          <c:dPt>
            <c:idx val="10"/>
            <c:bubble3D val="0"/>
            <c:spPr>
              <a:solidFill>
                <a:srgbClr val="C00000"/>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81AB-4571-BA28-B678C87DE851}"/>
              </c:ext>
            </c:extLst>
          </c:dPt>
          <c:dLbls>
            <c:dLbl>
              <c:idx val="2"/>
              <c:layout>
                <c:manualLayout>
                  <c:x val="7.5360653141484324E-2"/>
                  <c:y val="-9.076424016827305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0A8-4F26-BB07-73280CFFBFEF}"/>
                </c:ext>
              </c:extLst>
            </c:dLbl>
            <c:dLbl>
              <c:idx val="4"/>
              <c:layout>
                <c:manualLayout>
                  <c:x val="7.5360653141484324E-2"/>
                  <c:y val="-8.7578518272413704E-1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30A8-4F26-BB07-73280CFFBFEF}"/>
                </c:ext>
              </c:extLst>
            </c:dLbl>
            <c:dLbl>
              <c:idx val="6"/>
              <c:layout>
                <c:manualLayout>
                  <c:x val="6.0288522513187517E-2"/>
                  <c:y val="9.076424016827305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D-30A8-4F26-BB07-73280CFFBFEF}"/>
                </c:ext>
              </c:extLst>
            </c:dLbl>
            <c:dLbl>
              <c:idx val="10"/>
              <c:layout>
                <c:manualLayout>
                  <c:x val="-3.1914897436146013E-2"/>
                  <c:y val="4.2492908368560066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5-81AB-4571-BA28-B678C87DE851}"/>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Aux.!$B$3:$B$13</c:f>
              <c:strCache>
                <c:ptCount val="11"/>
                <c:pt idx="0">
                  <c:v>1. Especificar</c:v>
                </c:pt>
                <c:pt idx="1">
                  <c:v>2. Alterar especificação</c:v>
                </c:pt>
                <c:pt idx="2">
                  <c:v>3. Pendente de decisão</c:v>
                </c:pt>
                <c:pt idx="3">
                  <c:v>4.1 Em implementação - Re-especificação</c:v>
                </c:pt>
                <c:pt idx="4">
                  <c:v>4.2 Em implementação - Incidência</c:v>
                </c:pt>
                <c:pt idx="5">
                  <c:v>5.1 Em testes - Re-especificação</c:v>
                </c:pt>
                <c:pt idx="6">
                  <c:v>5.2 Em testes - Incidência</c:v>
                </c:pt>
                <c:pt idx="7">
                  <c:v>6. Outros Desenvolvimentos</c:v>
                </c:pt>
                <c:pt idx="8">
                  <c:v>7. Analisar controlos e completude</c:v>
                </c:pt>
                <c:pt idx="9">
                  <c:v>8. Concluído - sem dados</c:v>
                </c:pt>
                <c:pt idx="10">
                  <c:v>9. Concluído</c:v>
                </c:pt>
              </c:strCache>
            </c:strRef>
          </c:cat>
          <c:val>
            <c:numRef>
              <c:f>Aux.!$F$3:$F$13</c:f>
              <c:numCache>
                <c:formatCode>0%</c:formatCode>
                <c:ptCount val="11"/>
                <c:pt idx="0">
                  <c:v>3.0651340996168581E-2</c:v>
                </c:pt>
                <c:pt idx="1">
                  <c:v>6.5134099616858232E-2</c:v>
                </c:pt>
                <c:pt idx="2">
                  <c:v>7.6628352490421452E-3</c:v>
                </c:pt>
                <c:pt idx="3">
                  <c:v>3.8314176245210726E-3</c:v>
                </c:pt>
                <c:pt idx="4">
                  <c:v>0</c:v>
                </c:pt>
                <c:pt idx="5">
                  <c:v>3.0651340996168581E-2</c:v>
                </c:pt>
                <c:pt idx="6">
                  <c:v>1.1494252873563218E-2</c:v>
                </c:pt>
                <c:pt idx="7">
                  <c:v>0</c:v>
                </c:pt>
                <c:pt idx="8">
                  <c:v>0.17241379310344829</c:v>
                </c:pt>
                <c:pt idx="9">
                  <c:v>2.681992337164751E-2</c:v>
                </c:pt>
                <c:pt idx="10">
                  <c:v>0.65134099616858232</c:v>
                </c:pt>
              </c:numCache>
            </c:numRef>
          </c:val>
          <c:extLst>
            <c:ext xmlns:c16="http://schemas.microsoft.com/office/drawing/2014/chart" uri="{C3380CC4-5D6E-409C-BE32-E72D297353CC}">
              <c16:uniqueId val="{00000014-30A8-4F26-BB07-73280CFFBFE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5200560965372167"/>
          <c:y val="0"/>
          <c:w val="0.33794539903789655"/>
          <c:h val="1"/>
        </c:manualLayout>
      </c:layout>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50000"/>
          <a:lumOff val="50000"/>
        </a:schemeClr>
      </a:solidFill>
      <a:round/>
    </a:ln>
    <a:effectLst/>
  </c:spPr>
  <c:txPr>
    <a:bodyPr/>
    <a:lstStyle/>
    <a:p>
      <a:pPr>
        <a:defRPr/>
      </a:pPr>
      <a:endParaRPr lang="pt-P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pt-PT"/>
        </a:p>
      </c:txPr>
    </c:title>
    <c:autoTitleDeleted val="0"/>
    <c:plotArea>
      <c:layout>
        <c:manualLayout>
          <c:layoutTarget val="inner"/>
          <c:xMode val="edge"/>
          <c:yMode val="edge"/>
          <c:x val="0.11554219622962067"/>
          <c:y val="0.15515485564304463"/>
          <c:w val="0.46352969895913404"/>
          <c:h val="0.74756491874685882"/>
        </c:manualLayout>
      </c:layout>
      <c:doughnutChart>
        <c:varyColors val="1"/>
        <c:ser>
          <c:idx val="0"/>
          <c:order val="0"/>
          <c:tx>
            <c:strRef>
              <c:f>Aux.!$F$2</c:f>
              <c:strCache>
                <c:ptCount val="1"/>
                <c:pt idx="0">
                  <c:v>Status Atual (%)</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D94-4ABF-952A-8D08AF33ADE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D94-4ABF-952A-8D08AF33ADE6}"/>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DD94-4ABF-952A-8D08AF33ADE6}"/>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DD94-4ABF-952A-8D08AF33ADE6}"/>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DD94-4ABF-952A-8D08AF33ADE6}"/>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DD94-4ABF-952A-8D08AF33ADE6}"/>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DD94-4ABF-952A-8D08AF33ADE6}"/>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DD94-4ABF-952A-8D08AF33ADE6}"/>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DD94-4ABF-952A-8D08AF33ADE6}"/>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DD94-4ABF-952A-8D08AF33ADE6}"/>
              </c:ext>
            </c:extLst>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5-D6F4-450A-8ECC-61912C9698C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Aux.!$B$3:$B$13</c:f>
              <c:strCache>
                <c:ptCount val="11"/>
                <c:pt idx="0">
                  <c:v>1. Especificar</c:v>
                </c:pt>
                <c:pt idx="1">
                  <c:v>2. Alterar especificação</c:v>
                </c:pt>
                <c:pt idx="2">
                  <c:v>3. Pendente de decisão</c:v>
                </c:pt>
                <c:pt idx="3">
                  <c:v>4.1 Em implementação - Re-especificação</c:v>
                </c:pt>
                <c:pt idx="4">
                  <c:v>4.2 Em implementação - Incidência</c:v>
                </c:pt>
                <c:pt idx="5">
                  <c:v>5.1 Em testes - Re-especificação</c:v>
                </c:pt>
                <c:pt idx="6">
                  <c:v>5.2 Em testes - Incidência</c:v>
                </c:pt>
                <c:pt idx="7">
                  <c:v>6. Outros Desenvolvimentos</c:v>
                </c:pt>
                <c:pt idx="8">
                  <c:v>7. Analisar controlos e completude</c:v>
                </c:pt>
                <c:pt idx="9">
                  <c:v>8. Concluído - sem dados</c:v>
                </c:pt>
                <c:pt idx="10">
                  <c:v>9. Concluído</c:v>
                </c:pt>
              </c:strCache>
            </c:strRef>
          </c:cat>
          <c:val>
            <c:numRef>
              <c:f>Aux.!$F$3:$F$13</c:f>
              <c:numCache>
                <c:formatCode>0%</c:formatCode>
                <c:ptCount val="11"/>
                <c:pt idx="0">
                  <c:v>3.0651340996168581E-2</c:v>
                </c:pt>
                <c:pt idx="1">
                  <c:v>6.5134099616858232E-2</c:v>
                </c:pt>
                <c:pt idx="2">
                  <c:v>7.6628352490421452E-3</c:v>
                </c:pt>
                <c:pt idx="3">
                  <c:v>3.8314176245210726E-3</c:v>
                </c:pt>
                <c:pt idx="4">
                  <c:v>0</c:v>
                </c:pt>
                <c:pt idx="5">
                  <c:v>3.0651340996168581E-2</c:v>
                </c:pt>
                <c:pt idx="6">
                  <c:v>1.1494252873563218E-2</c:v>
                </c:pt>
                <c:pt idx="7">
                  <c:v>0</c:v>
                </c:pt>
                <c:pt idx="8">
                  <c:v>0.17241379310344829</c:v>
                </c:pt>
                <c:pt idx="9">
                  <c:v>2.681992337164751E-2</c:v>
                </c:pt>
                <c:pt idx="10">
                  <c:v>0.65134099616858232</c:v>
                </c:pt>
              </c:numCache>
            </c:numRef>
          </c:val>
          <c:extLst>
            <c:ext xmlns:c16="http://schemas.microsoft.com/office/drawing/2014/chart" uri="{C3380CC4-5D6E-409C-BE32-E72D297353CC}">
              <c16:uniqueId val="{00000000-328B-44A9-A1E6-87B492E982B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layout>
        <c:manualLayout>
          <c:xMode val="edge"/>
          <c:yMode val="edge"/>
          <c:x val="0.63615945701311827"/>
          <c:y val="0.11024822695035463"/>
          <c:w val="0.33927250448160839"/>
          <c:h val="0.759309767130172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651179457869731"/>
          <c:y val="4.4569020488277933E-2"/>
          <c:w val="0.65956938946899579"/>
          <c:h val="0.87929653259705065"/>
        </c:manualLayout>
      </c:layout>
      <c:barChart>
        <c:barDir val="bar"/>
        <c:grouping val="clustered"/>
        <c:varyColors val="0"/>
        <c:ser>
          <c:idx val="0"/>
          <c:order val="0"/>
          <c:tx>
            <c:strRef>
              <c:f>Aux.!$E$2</c:f>
              <c:strCache>
                <c:ptCount val="1"/>
                <c:pt idx="0">
                  <c:v>Status Atual</c:v>
                </c:pt>
              </c:strCache>
            </c:strRef>
          </c:tx>
          <c:spPr>
            <a:solidFill>
              <a:srgbClr val="C00000"/>
            </a:solidFill>
            <a:ln>
              <a:noFill/>
            </a:ln>
            <a:effectLst/>
          </c:spPr>
          <c:invertIfNegative val="0"/>
          <c:dLbls>
            <c:dLbl>
              <c:idx val="1"/>
              <c:layout>
                <c:manualLayout>
                  <c:x val="0"/>
                  <c:y val="8.113255942241135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6AD-448D-9AB4-63200B0C83D0}"/>
                </c:ext>
              </c:extLst>
            </c:dLbl>
            <c:dLbl>
              <c:idx val="4"/>
              <c:layout>
                <c:manualLayout>
                  <c:x val="0"/>
                  <c:y val="4.056627971120567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6AD-448D-9AB4-63200B0C83D0}"/>
                </c:ext>
              </c:extLst>
            </c:dLbl>
            <c:dLbl>
              <c:idx val="7"/>
              <c:layout>
                <c:manualLayout>
                  <c:x val="-3.3861424021993884E-17"/>
                  <c:y val="8.113255942241210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6AD-448D-9AB4-63200B0C83D0}"/>
                </c:ext>
              </c:extLst>
            </c:dLbl>
            <c:dLbl>
              <c:idx val="8"/>
              <c:layout>
                <c:manualLayout>
                  <c:x val="0"/>
                  <c:y val="4.056627971120641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6AD-448D-9AB4-63200B0C83D0}"/>
                </c:ext>
              </c:extLst>
            </c:dLbl>
            <c:dLbl>
              <c:idx val="9"/>
              <c:layout>
                <c:manualLayout>
                  <c:x val="0"/>
                  <c:y val="8.113255942241265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6AD-448D-9AB4-63200B0C83D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pt-PT"/>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Aux.!$B$3:$B$13</c:f>
              <c:strCache>
                <c:ptCount val="11"/>
                <c:pt idx="0">
                  <c:v>1. Especificar</c:v>
                </c:pt>
                <c:pt idx="1">
                  <c:v>2. Alterar especificação</c:v>
                </c:pt>
                <c:pt idx="2">
                  <c:v>3. Pendente de decisão</c:v>
                </c:pt>
                <c:pt idx="3">
                  <c:v>4.1 Em implementação - Re-especificação</c:v>
                </c:pt>
                <c:pt idx="4">
                  <c:v>4.2 Em implementação - Incidência</c:v>
                </c:pt>
                <c:pt idx="5">
                  <c:v>5.1 Em testes - Re-especificação</c:v>
                </c:pt>
                <c:pt idx="6">
                  <c:v>5.2 Em testes - Incidência</c:v>
                </c:pt>
                <c:pt idx="7">
                  <c:v>6. Outros Desenvolvimentos</c:v>
                </c:pt>
                <c:pt idx="8">
                  <c:v>7. Analisar controlos e completude</c:v>
                </c:pt>
                <c:pt idx="9">
                  <c:v>8. Concluído - sem dados</c:v>
                </c:pt>
                <c:pt idx="10">
                  <c:v>9. Concluído</c:v>
                </c:pt>
              </c:strCache>
            </c:strRef>
          </c:cat>
          <c:val>
            <c:numRef>
              <c:f>Aux.!$E$3:$E$13</c:f>
              <c:numCache>
                <c:formatCode>General</c:formatCode>
                <c:ptCount val="11"/>
                <c:pt idx="0">
                  <c:v>8</c:v>
                </c:pt>
                <c:pt idx="1">
                  <c:v>17</c:v>
                </c:pt>
                <c:pt idx="2">
                  <c:v>2</c:v>
                </c:pt>
                <c:pt idx="3">
                  <c:v>1</c:v>
                </c:pt>
                <c:pt idx="4">
                  <c:v>0</c:v>
                </c:pt>
                <c:pt idx="5">
                  <c:v>8</c:v>
                </c:pt>
                <c:pt idx="6">
                  <c:v>3</c:v>
                </c:pt>
                <c:pt idx="7">
                  <c:v>0</c:v>
                </c:pt>
                <c:pt idx="8">
                  <c:v>45</c:v>
                </c:pt>
                <c:pt idx="9">
                  <c:v>7</c:v>
                </c:pt>
                <c:pt idx="10">
                  <c:v>170</c:v>
                </c:pt>
              </c:numCache>
            </c:numRef>
          </c:val>
          <c:extLst>
            <c:ext xmlns:c16="http://schemas.microsoft.com/office/drawing/2014/chart" uri="{C3380CC4-5D6E-409C-BE32-E72D297353CC}">
              <c16:uniqueId val="{00000000-B6AD-448D-9AB4-63200B0C83D0}"/>
            </c:ext>
          </c:extLst>
        </c:ser>
        <c:ser>
          <c:idx val="1"/>
          <c:order val="1"/>
          <c:tx>
            <c:strRef>
              <c:f>Aux.!$C$2</c:f>
              <c:strCache>
                <c:ptCount val="1"/>
                <c:pt idx="0">
                  <c:v>Status Inicial</c:v>
                </c:pt>
              </c:strCache>
            </c:strRef>
          </c:tx>
          <c:spPr>
            <a:solidFill>
              <a:schemeClr val="tx1">
                <a:lumMod val="50000"/>
                <a:lumOff val="50000"/>
              </a:schemeClr>
            </a:solidFill>
            <a:ln>
              <a:noFill/>
            </a:ln>
            <a:effectLst/>
          </c:spPr>
          <c:invertIfNegative val="0"/>
          <c:dLbls>
            <c:dLbl>
              <c:idx val="0"/>
              <c:layout>
                <c:manualLayout>
                  <c:x val="0"/>
                  <c:y val="-8.11325594224128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6AD-448D-9AB4-63200B0C83D0}"/>
                </c:ext>
              </c:extLst>
            </c:dLbl>
            <c:dLbl>
              <c:idx val="1"/>
              <c:layout>
                <c:manualLayout>
                  <c:x val="-7.388032405539055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6AD-448D-9AB4-63200B0C83D0}"/>
                </c:ext>
              </c:extLst>
            </c:dLbl>
            <c:dLbl>
              <c:idx val="3"/>
              <c:layout>
                <c:manualLayout>
                  <c:x val="0"/>
                  <c:y val="-4.056627971120790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6AD-448D-9AB4-63200B0C83D0}"/>
                </c:ext>
              </c:extLst>
            </c:dLbl>
            <c:dLbl>
              <c:idx val="4"/>
              <c:layout>
                <c:manualLayout>
                  <c:x val="3.6940162027694263E-3"/>
                  <c:y val="-7.4370653667740969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6AD-448D-9AB4-63200B0C83D0}"/>
                </c:ext>
              </c:extLst>
            </c:dLbl>
            <c:dLbl>
              <c:idx val="5"/>
              <c:layout>
                <c:manualLayout>
                  <c:x val="-1.847008101384747E-3"/>
                  <c:y val="-4.056627971120641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6AD-448D-9AB4-63200B0C83D0}"/>
                </c:ext>
              </c:extLst>
            </c:dLbl>
            <c:dLbl>
              <c:idx val="7"/>
              <c:layout>
                <c:manualLayout>
                  <c:x val="-3.3861424021993884E-17"/>
                  <c:y val="-4.056627971120641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6AD-448D-9AB4-63200B0C83D0}"/>
                </c:ext>
              </c:extLst>
            </c:dLbl>
            <c:dLbl>
              <c:idx val="8"/>
              <c:layout>
                <c:manualLayout>
                  <c:x val="0"/>
                  <c:y val="-8.11325594224128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6AD-448D-9AB4-63200B0C83D0}"/>
                </c:ext>
              </c:extLst>
            </c:dLbl>
            <c:dLbl>
              <c:idx val="10"/>
              <c:layout>
                <c:manualLayout>
                  <c:x val="-5.5410243041542412E-3"/>
                  <c:y val="-4.056627971120646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6AD-448D-9AB4-63200B0C83D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pt-PT"/>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Aux.!$B$3:$B$13</c:f>
              <c:strCache>
                <c:ptCount val="11"/>
                <c:pt idx="0">
                  <c:v>1. Especificar</c:v>
                </c:pt>
                <c:pt idx="1">
                  <c:v>2. Alterar especificação</c:v>
                </c:pt>
                <c:pt idx="2">
                  <c:v>3. Pendente de decisão</c:v>
                </c:pt>
                <c:pt idx="3">
                  <c:v>4.1 Em implementação - Re-especificação</c:v>
                </c:pt>
                <c:pt idx="4">
                  <c:v>4.2 Em implementação - Incidência</c:v>
                </c:pt>
                <c:pt idx="5">
                  <c:v>5.1 Em testes - Re-especificação</c:v>
                </c:pt>
                <c:pt idx="6">
                  <c:v>5.2 Em testes - Incidência</c:v>
                </c:pt>
                <c:pt idx="7">
                  <c:v>6. Outros Desenvolvimentos</c:v>
                </c:pt>
                <c:pt idx="8">
                  <c:v>7. Analisar controlos e completude</c:v>
                </c:pt>
                <c:pt idx="9">
                  <c:v>8. Concluído - sem dados</c:v>
                </c:pt>
                <c:pt idx="10">
                  <c:v>9. Concluído</c:v>
                </c:pt>
              </c:strCache>
            </c:strRef>
          </c:cat>
          <c:val>
            <c:numRef>
              <c:f>Aux.!$C$3:$C$13</c:f>
              <c:numCache>
                <c:formatCode>General</c:formatCode>
                <c:ptCount val="11"/>
                <c:pt idx="0">
                  <c:v>10</c:v>
                </c:pt>
                <c:pt idx="1">
                  <c:v>18</c:v>
                </c:pt>
                <c:pt idx="2">
                  <c:v>11</c:v>
                </c:pt>
                <c:pt idx="3">
                  <c:v>4</c:v>
                </c:pt>
                <c:pt idx="4">
                  <c:v>0</c:v>
                </c:pt>
                <c:pt idx="5">
                  <c:v>11</c:v>
                </c:pt>
                <c:pt idx="6">
                  <c:v>11</c:v>
                </c:pt>
                <c:pt idx="7">
                  <c:v>0</c:v>
                </c:pt>
                <c:pt idx="8">
                  <c:v>42</c:v>
                </c:pt>
                <c:pt idx="9">
                  <c:v>7</c:v>
                </c:pt>
                <c:pt idx="10">
                  <c:v>147</c:v>
                </c:pt>
              </c:numCache>
            </c:numRef>
          </c:val>
          <c:extLst>
            <c:ext xmlns:c16="http://schemas.microsoft.com/office/drawing/2014/chart" uri="{C3380CC4-5D6E-409C-BE32-E72D297353CC}">
              <c16:uniqueId val="{00000001-B6AD-448D-9AB4-63200B0C83D0}"/>
            </c:ext>
          </c:extLst>
        </c:ser>
        <c:dLbls>
          <c:showLegendKey val="0"/>
          <c:showVal val="0"/>
          <c:showCatName val="0"/>
          <c:showSerName val="0"/>
          <c:showPercent val="0"/>
          <c:showBubbleSize val="0"/>
        </c:dLbls>
        <c:gapWidth val="100"/>
        <c:axId val="1355518095"/>
        <c:axId val="1701600159"/>
      </c:barChart>
      <c:catAx>
        <c:axId val="1355518095"/>
        <c:scaling>
          <c:orientation val="minMax"/>
        </c:scaling>
        <c:delete val="0"/>
        <c:axPos val="l"/>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Santander Text" panose="020B0504020201020104" pitchFamily="34" charset="0"/>
                <a:ea typeface="+mn-ea"/>
                <a:cs typeface="+mn-cs"/>
              </a:defRPr>
            </a:pPr>
            <a:endParaRPr lang="pt-PT"/>
          </a:p>
        </c:txPr>
        <c:crossAx val="1701600159"/>
        <c:crosses val="autoZero"/>
        <c:auto val="1"/>
        <c:lblAlgn val="ctr"/>
        <c:lblOffset val="100"/>
        <c:noMultiLvlLbl val="0"/>
      </c:catAx>
      <c:valAx>
        <c:axId val="1701600159"/>
        <c:scaling>
          <c:orientation val="minMax"/>
        </c:scaling>
        <c:delete val="1"/>
        <c:axPos val="b"/>
        <c:numFmt formatCode="General" sourceLinked="1"/>
        <c:majorTickMark val="none"/>
        <c:minorTickMark val="none"/>
        <c:tickLblPos val="nextTo"/>
        <c:crossAx val="1355518095"/>
        <c:crosses val="autoZero"/>
        <c:crossBetween val="between"/>
      </c:valAx>
      <c:spPr>
        <a:noFill/>
        <a:ln>
          <a:noFill/>
        </a:ln>
        <a:effectLst/>
      </c:spPr>
    </c:plotArea>
    <c:legend>
      <c:legendPos val="b"/>
      <c:layout>
        <c:manualLayout>
          <c:xMode val="edge"/>
          <c:yMode val="edge"/>
          <c:x val="0.58478393579920418"/>
          <c:y val="0.92906947036056264"/>
          <c:w val="0.27115762226025114"/>
          <c:h val="4.9705412505521442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antander Text" panose="020B0504020201020104" pitchFamily="34" charset="0"/>
              <a:ea typeface="+mn-ea"/>
              <a:cs typeface="+mn-cs"/>
            </a:defRPr>
          </a:pPr>
          <a:endParaRPr lang="pt-PT"/>
        </a:p>
      </c:txPr>
    </c:legend>
    <c:plotVisOnly val="1"/>
    <c:dispBlanksAs val="gap"/>
    <c:showDLblsOverMax val="0"/>
  </c:chart>
  <c:spPr>
    <a:solidFill>
      <a:schemeClr val="bg1"/>
    </a:solidFill>
    <a:ln w="9525" cap="flat" cmpd="sng" algn="ctr">
      <a:solidFill>
        <a:schemeClr val="tx1">
          <a:lumMod val="50000"/>
          <a:lumOff val="50000"/>
        </a:schemeClr>
      </a:solidFill>
      <a:round/>
    </a:ln>
    <a:effectLst/>
  </c:spPr>
  <c:txPr>
    <a:bodyPr/>
    <a:lstStyle/>
    <a:p>
      <a:pPr>
        <a:defRPr/>
      </a:pPr>
      <a:endParaRPr lang="pt-P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6873740142371323E-2"/>
          <c:y val="4.0424139451687574E-2"/>
          <c:w val="0.49223487928522108"/>
          <c:h val="0.91708295217975233"/>
        </c:manualLayout>
      </c:layout>
      <c:doughnutChart>
        <c:varyColors val="1"/>
        <c:ser>
          <c:idx val="0"/>
          <c:order val="0"/>
          <c:tx>
            <c:strRef>
              <c:f>Aux.!$F$2</c:f>
              <c:strCache>
                <c:ptCount val="1"/>
                <c:pt idx="0">
                  <c:v>Status Atual (%)</c:v>
                </c:pt>
              </c:strCache>
            </c:strRef>
          </c:tx>
          <c:spPr>
            <a:ln>
              <a:solidFill>
                <a:schemeClr val="bg1"/>
              </a:solidFill>
            </a:ln>
          </c:spPr>
          <c:dPt>
            <c:idx val="0"/>
            <c:bubble3D val="0"/>
            <c:spPr>
              <a:solidFill>
                <a:srgbClr val="BDDBE3"/>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F79-4052-9DDA-E02D1793420C}"/>
              </c:ext>
            </c:extLst>
          </c:dPt>
          <c:dPt>
            <c:idx val="1"/>
            <c:bubble3D val="0"/>
            <c:spPr>
              <a:solidFill>
                <a:srgbClr val="1DC8D1"/>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F79-4052-9DDA-E02D1793420C}"/>
              </c:ext>
            </c:extLst>
          </c:dPt>
          <c:dPt>
            <c:idx val="2"/>
            <c:bubble3D val="0"/>
            <c:spPr>
              <a:solidFill>
                <a:schemeClr val="bg2">
                  <a:lumMod val="90000"/>
                </a:schemeClr>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F79-4052-9DDA-E02D1793420C}"/>
              </c:ext>
            </c:extLst>
          </c:dPt>
          <c:dPt>
            <c:idx val="3"/>
            <c:bubble3D val="0"/>
            <c:spPr>
              <a:solidFill>
                <a:srgbClr val="159197"/>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F79-4052-9DDA-E02D1793420C}"/>
              </c:ext>
            </c:extLst>
          </c:dPt>
          <c:dPt>
            <c:idx val="4"/>
            <c:bubble3D val="0"/>
            <c:spPr>
              <a:solidFill>
                <a:srgbClr val="105E6E"/>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CF79-4052-9DDA-E02D1793420C}"/>
              </c:ext>
            </c:extLst>
          </c:dPt>
          <c:dPt>
            <c:idx val="5"/>
            <c:bubble3D val="0"/>
            <c:spPr>
              <a:solidFill>
                <a:srgbClr val="FF7575"/>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CF79-4052-9DDA-E02D1793420C}"/>
              </c:ext>
            </c:extLst>
          </c:dPt>
          <c:dPt>
            <c:idx val="6"/>
            <c:bubble3D val="0"/>
            <c:spPr>
              <a:solidFill>
                <a:srgbClr val="FF0000"/>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CF79-4052-9DDA-E02D1793420C}"/>
              </c:ext>
            </c:extLst>
          </c:dPt>
          <c:dPt>
            <c:idx val="7"/>
            <c:bubble3D val="0"/>
            <c:spPr>
              <a:solidFill>
                <a:schemeClr val="tx1"/>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CF79-4052-9DDA-E02D1793420C}"/>
              </c:ext>
            </c:extLst>
          </c:dPt>
          <c:dPt>
            <c:idx val="8"/>
            <c:bubble3D val="0"/>
            <c:spPr>
              <a:solidFill>
                <a:schemeClr val="tx1">
                  <a:lumMod val="50000"/>
                  <a:lumOff val="50000"/>
                </a:schemeClr>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CF79-4052-9DDA-E02D1793420C}"/>
              </c:ext>
            </c:extLst>
          </c:dPt>
          <c:dPt>
            <c:idx val="9"/>
            <c:bubble3D val="0"/>
            <c:spPr>
              <a:solidFill>
                <a:schemeClr val="bg1">
                  <a:lumMod val="75000"/>
                </a:schemeClr>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CF79-4052-9DDA-E02D1793420C}"/>
              </c:ext>
            </c:extLst>
          </c:dPt>
          <c:dPt>
            <c:idx val="10"/>
            <c:bubble3D val="0"/>
            <c:spPr>
              <a:solidFill>
                <a:srgbClr val="C00000"/>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CF79-4052-9DDA-E02D1793420C}"/>
              </c:ext>
            </c:extLst>
          </c:dPt>
          <c:dLbls>
            <c:dLbl>
              <c:idx val="2"/>
              <c:layout>
                <c:manualLayout>
                  <c:x val="7.5360653141484324E-2"/>
                  <c:y val="-9.076424016827305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F79-4052-9DDA-E02D1793420C}"/>
                </c:ext>
              </c:extLst>
            </c:dLbl>
            <c:dLbl>
              <c:idx val="4"/>
              <c:layout>
                <c:manualLayout>
                  <c:x val="7.5360653141484324E-2"/>
                  <c:y val="-8.7578518272413704E-1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CF79-4052-9DDA-E02D1793420C}"/>
                </c:ext>
              </c:extLst>
            </c:dLbl>
            <c:dLbl>
              <c:idx val="6"/>
              <c:layout>
                <c:manualLayout>
                  <c:x val="6.0288522513187517E-2"/>
                  <c:y val="9.076424016827305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D-CF79-4052-9DDA-E02D1793420C}"/>
                </c:ext>
              </c:extLst>
            </c:dLbl>
            <c:dLbl>
              <c:idx val="10"/>
              <c:layout>
                <c:manualLayout>
                  <c:x val="-3.1914897436146013E-2"/>
                  <c:y val="4.2492908368560066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5-CF79-4052-9DDA-E02D1793420C}"/>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Aux.!$B$3:$B$13</c:f>
              <c:strCache>
                <c:ptCount val="11"/>
                <c:pt idx="0">
                  <c:v>1. Especificar</c:v>
                </c:pt>
                <c:pt idx="1">
                  <c:v>2. Alterar especificação</c:v>
                </c:pt>
                <c:pt idx="2">
                  <c:v>3. Pendente de decisão</c:v>
                </c:pt>
                <c:pt idx="3">
                  <c:v>4.1 Em implementação - Re-especificação</c:v>
                </c:pt>
                <c:pt idx="4">
                  <c:v>4.2 Em implementação - Incidência</c:v>
                </c:pt>
                <c:pt idx="5">
                  <c:v>5.1 Em testes - Re-especificação</c:v>
                </c:pt>
                <c:pt idx="6">
                  <c:v>5.2 Em testes - Incidência</c:v>
                </c:pt>
                <c:pt idx="7">
                  <c:v>6. Outros Desenvolvimentos</c:v>
                </c:pt>
                <c:pt idx="8">
                  <c:v>7. Analisar controlos e completude</c:v>
                </c:pt>
                <c:pt idx="9">
                  <c:v>8. Concluído - sem dados</c:v>
                </c:pt>
                <c:pt idx="10">
                  <c:v>9. Concluído</c:v>
                </c:pt>
              </c:strCache>
            </c:strRef>
          </c:cat>
          <c:val>
            <c:numRef>
              <c:f>Aux.!$F$3:$F$13</c:f>
              <c:numCache>
                <c:formatCode>0%</c:formatCode>
                <c:ptCount val="11"/>
                <c:pt idx="0">
                  <c:v>3.0651340996168581E-2</c:v>
                </c:pt>
                <c:pt idx="1">
                  <c:v>6.5134099616858232E-2</c:v>
                </c:pt>
                <c:pt idx="2">
                  <c:v>7.6628352490421452E-3</c:v>
                </c:pt>
                <c:pt idx="3">
                  <c:v>3.8314176245210726E-3</c:v>
                </c:pt>
                <c:pt idx="4">
                  <c:v>0</c:v>
                </c:pt>
                <c:pt idx="5">
                  <c:v>3.0651340996168581E-2</c:v>
                </c:pt>
                <c:pt idx="6">
                  <c:v>1.1494252873563218E-2</c:v>
                </c:pt>
                <c:pt idx="7">
                  <c:v>0</c:v>
                </c:pt>
                <c:pt idx="8">
                  <c:v>0.17241379310344829</c:v>
                </c:pt>
                <c:pt idx="9">
                  <c:v>2.681992337164751E-2</c:v>
                </c:pt>
                <c:pt idx="10">
                  <c:v>0.65134099616858232</c:v>
                </c:pt>
              </c:numCache>
            </c:numRef>
          </c:val>
          <c:extLst>
            <c:ext xmlns:c16="http://schemas.microsoft.com/office/drawing/2014/chart" uri="{C3380CC4-5D6E-409C-BE32-E72D297353CC}">
              <c16:uniqueId val="{00000016-CF79-4052-9DDA-E02D1793420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5200560965372167"/>
          <c:y val="0"/>
          <c:w val="0.33794539903789655"/>
          <c:h val="1"/>
        </c:manualLayout>
      </c:layout>
      <c:overlay val="0"/>
      <c:spPr>
        <a:solidFill>
          <a:schemeClr val="bg1"/>
        </a:solidFill>
        <a:ln>
          <a:noFill/>
        </a:ln>
        <a:effectLst/>
      </c:spPr>
      <c:txPr>
        <a:bodyPr rot="0" spcFirstLastPara="1" vertOverflow="ellipsis" vert="horz" wrap="square" anchor="ctr" anchorCtr="1"/>
        <a:lstStyle/>
        <a:p>
          <a:pPr>
            <a:defRPr sz="10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50000"/>
          <a:lumOff val="50000"/>
        </a:schemeClr>
      </a:solidFill>
      <a:round/>
    </a:ln>
    <a:effectLst/>
  </c:spPr>
  <c:txPr>
    <a:bodyPr/>
    <a:lstStyle/>
    <a:p>
      <a:pPr>
        <a:defRPr/>
      </a:pPr>
      <a:endParaRPr lang="pt-P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chart" Target="../charts/chart5.xml"/></Relationships>
</file>

<file path=xl/drawings/_rels/drawing5.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0</xdr:col>
      <xdr:colOff>148590</xdr:colOff>
      <xdr:row>0</xdr:row>
      <xdr:rowOff>129540</xdr:rowOff>
    </xdr:from>
    <xdr:to>
      <xdr:col>2</xdr:col>
      <xdr:colOff>1349196</xdr:colOff>
      <xdr:row>1</xdr:row>
      <xdr:rowOff>281940</xdr:rowOff>
    </xdr:to>
    <xdr:pic>
      <xdr:nvPicPr>
        <xdr:cNvPr id="2" name="Gráfico 10">
          <a:extLst>
            <a:ext uri="{FF2B5EF4-FFF2-40B4-BE49-F238E27FC236}">
              <a16:creationId xmlns:a16="http://schemas.microsoft.com/office/drawing/2014/main" id="{F05960C4-6ED2-49C8-874C-7FE04DBD02F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8590" y="129540"/>
          <a:ext cx="1772106" cy="350520"/>
        </a:xfrm>
        <a:prstGeom prst="rect">
          <a:avLst/>
        </a:prstGeom>
      </xdr:spPr>
    </xdr:pic>
    <xdr:clientData/>
  </xdr:twoCellAnchor>
  <xdr:twoCellAnchor>
    <xdr:from>
      <xdr:col>1</xdr:col>
      <xdr:colOff>325756</xdr:colOff>
      <xdr:row>5</xdr:row>
      <xdr:rowOff>59055</xdr:rowOff>
    </xdr:from>
    <xdr:to>
      <xdr:col>2</xdr:col>
      <xdr:colOff>2040256</xdr:colOff>
      <xdr:row>7</xdr:row>
      <xdr:rowOff>57361</xdr:rowOff>
    </xdr:to>
    <xdr:sp macro="" textlink="">
      <xdr:nvSpPr>
        <xdr:cNvPr id="3" name="Rectangle: Rounded Corners 23">
          <a:extLst>
            <a:ext uri="{FF2B5EF4-FFF2-40B4-BE49-F238E27FC236}">
              <a16:creationId xmlns:a16="http://schemas.microsoft.com/office/drawing/2014/main" id="{E727F581-D24A-491E-895D-2F692B2880F5}"/>
            </a:ext>
          </a:extLst>
        </xdr:cNvPr>
        <xdr:cNvSpPr/>
      </xdr:nvSpPr>
      <xdr:spPr>
        <a:xfrm>
          <a:off x="544831" y="1078230"/>
          <a:ext cx="2066925" cy="360256"/>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0">
              <a:latin typeface="Santander Text" panose="020B0504020201020104" pitchFamily="34" charset="0"/>
            </a:rPr>
            <a:t>Status Campos LT</a:t>
          </a:r>
        </a:p>
      </xdr:txBody>
    </xdr:sp>
    <xdr:clientData/>
  </xdr:twoCellAnchor>
  <xdr:twoCellAnchor>
    <xdr:from>
      <xdr:col>7</xdr:col>
      <xdr:colOff>554355</xdr:colOff>
      <xdr:row>5</xdr:row>
      <xdr:rowOff>45720</xdr:rowOff>
    </xdr:from>
    <xdr:to>
      <xdr:col>13</xdr:col>
      <xdr:colOff>135255</xdr:colOff>
      <xdr:row>7</xdr:row>
      <xdr:rowOff>53551</xdr:rowOff>
    </xdr:to>
    <xdr:sp macro="" textlink="">
      <xdr:nvSpPr>
        <xdr:cNvPr id="4" name="Rectangle: Rounded Corners 23">
          <a:extLst>
            <a:ext uri="{FF2B5EF4-FFF2-40B4-BE49-F238E27FC236}">
              <a16:creationId xmlns:a16="http://schemas.microsoft.com/office/drawing/2014/main" id="{CF83756B-99B2-4C4A-A724-D8F57406C47C}"/>
            </a:ext>
          </a:extLst>
        </xdr:cNvPr>
        <xdr:cNvSpPr/>
      </xdr:nvSpPr>
      <xdr:spPr>
        <a:xfrm>
          <a:off x="5850255" y="1064895"/>
          <a:ext cx="3752850" cy="369781"/>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0">
              <a:latin typeface="Santander Text" panose="020B0504020201020104" pitchFamily="34" charset="0"/>
            </a:rPr>
            <a:t>Status Campos Quick-Win LT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7622</xdr:colOff>
      <xdr:row>5</xdr:row>
      <xdr:rowOff>0</xdr:rowOff>
    </xdr:from>
    <xdr:to>
      <xdr:col>2</xdr:col>
      <xdr:colOff>1554480</xdr:colOff>
      <xdr:row>6</xdr:row>
      <xdr:rowOff>110065</xdr:rowOff>
    </xdr:to>
    <xdr:sp macro="" textlink="">
      <xdr:nvSpPr>
        <xdr:cNvPr id="164" name="Rectangle: Rounded Corners 23">
          <a:extLst>
            <a:ext uri="{FF2B5EF4-FFF2-40B4-BE49-F238E27FC236}">
              <a16:creationId xmlns:a16="http://schemas.microsoft.com/office/drawing/2014/main" id="{B6FE388C-EDF8-492B-8AFE-A99A80FE6962}"/>
            </a:ext>
          </a:extLst>
        </xdr:cNvPr>
        <xdr:cNvSpPr/>
      </xdr:nvSpPr>
      <xdr:spPr>
        <a:xfrm>
          <a:off x="608755" y="1032933"/>
          <a:ext cx="1546858" cy="296332"/>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200" b="1" i="0">
              <a:latin typeface="Santander Text" panose="020B0504020201020104" pitchFamily="34" charset="0"/>
            </a:rPr>
            <a:t>Status 20/09/2024</a:t>
          </a:r>
        </a:p>
      </xdr:txBody>
    </xdr:sp>
    <xdr:clientData/>
  </xdr:twoCellAnchor>
  <xdr:twoCellAnchor editAs="absolute">
    <xdr:from>
      <xdr:col>0</xdr:col>
      <xdr:colOff>209549</xdr:colOff>
      <xdr:row>1</xdr:row>
      <xdr:rowOff>135042</xdr:rowOff>
    </xdr:from>
    <xdr:to>
      <xdr:col>2</xdr:col>
      <xdr:colOff>439843</xdr:colOff>
      <xdr:row>1</xdr:row>
      <xdr:rowOff>322640</xdr:rowOff>
    </xdr:to>
    <xdr:pic>
      <xdr:nvPicPr>
        <xdr:cNvPr id="593" name="Gráfico 10">
          <a:extLst>
            <a:ext uri="{FF2B5EF4-FFF2-40B4-BE49-F238E27FC236}">
              <a16:creationId xmlns:a16="http://schemas.microsoft.com/office/drawing/2014/main" id="{3325F014-00A4-4E2B-8DAB-3755B5082B6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5739" y="321732"/>
          <a:ext cx="954194" cy="195218"/>
        </a:xfrm>
        <a:prstGeom prst="rect">
          <a:avLst/>
        </a:prstGeom>
      </xdr:spPr>
    </xdr:pic>
    <xdr:clientData/>
  </xdr:twoCellAnchor>
  <xdr:twoCellAnchor>
    <xdr:from>
      <xdr:col>4</xdr:col>
      <xdr:colOff>9527</xdr:colOff>
      <xdr:row>5</xdr:row>
      <xdr:rowOff>12277</xdr:rowOff>
    </xdr:from>
    <xdr:to>
      <xdr:col>4</xdr:col>
      <xdr:colOff>1579245</xdr:colOff>
      <xdr:row>6</xdr:row>
      <xdr:rowOff>122342</xdr:rowOff>
    </xdr:to>
    <xdr:sp macro="" textlink="">
      <xdr:nvSpPr>
        <xdr:cNvPr id="206" name="Rectangle: Rounded Corners 23">
          <a:extLst>
            <a:ext uri="{FF2B5EF4-FFF2-40B4-BE49-F238E27FC236}">
              <a16:creationId xmlns:a16="http://schemas.microsoft.com/office/drawing/2014/main" id="{F233DCD2-1F20-4B05-96F6-2AA2A229CFF4}"/>
            </a:ext>
          </a:extLst>
        </xdr:cNvPr>
        <xdr:cNvSpPr/>
      </xdr:nvSpPr>
      <xdr:spPr>
        <a:xfrm>
          <a:off x="3387727" y="1045210"/>
          <a:ext cx="1569718" cy="296332"/>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200" b="1" i="0">
              <a:latin typeface="Santander Text" panose="020B0504020201020104" pitchFamily="34" charset="0"/>
            </a:rPr>
            <a:t>Status 27/09/2024</a:t>
          </a:r>
        </a:p>
      </xdr:txBody>
    </xdr:sp>
    <xdr:clientData/>
  </xdr:twoCellAnchor>
  <xdr:twoCellAnchor>
    <xdr:from>
      <xdr:col>14</xdr:col>
      <xdr:colOff>853919</xdr:colOff>
      <xdr:row>8</xdr:row>
      <xdr:rowOff>19897</xdr:rowOff>
    </xdr:from>
    <xdr:to>
      <xdr:col>19</xdr:col>
      <xdr:colOff>1464130</xdr:colOff>
      <xdr:row>23</xdr:row>
      <xdr:rowOff>58420</xdr:rowOff>
    </xdr:to>
    <xdr:graphicFrame macro="">
      <xdr:nvGraphicFramePr>
        <xdr:cNvPr id="58" name="Chart 18">
          <a:extLst>
            <a:ext uri="{FF2B5EF4-FFF2-40B4-BE49-F238E27FC236}">
              <a16:creationId xmlns:a16="http://schemas.microsoft.com/office/drawing/2014/main" id="{1B7F7943-45D5-9980-0EBF-70223FAE6A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16750</xdr:colOff>
      <xdr:row>8</xdr:row>
      <xdr:rowOff>20744</xdr:rowOff>
    </xdr:from>
    <xdr:to>
      <xdr:col>13</xdr:col>
      <xdr:colOff>11398</xdr:colOff>
      <xdr:row>23</xdr:row>
      <xdr:rowOff>10375</xdr:rowOff>
    </xdr:to>
    <xdr:graphicFrame macro="">
      <xdr:nvGraphicFramePr>
        <xdr:cNvPr id="38" name="Chart 1">
          <a:extLst>
            <a:ext uri="{FF2B5EF4-FFF2-40B4-BE49-F238E27FC236}">
              <a16:creationId xmlns:a16="http://schemas.microsoft.com/office/drawing/2014/main" id="{18D503FE-B9F2-47E6-B32F-B395FE318B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297395</xdr:colOff>
      <xdr:row>5</xdr:row>
      <xdr:rowOff>12278</xdr:rowOff>
    </xdr:from>
    <xdr:to>
      <xdr:col>10</xdr:col>
      <xdr:colOff>685799</xdr:colOff>
      <xdr:row>6</xdr:row>
      <xdr:rowOff>122343</xdr:rowOff>
    </xdr:to>
    <xdr:sp macro="" textlink="">
      <xdr:nvSpPr>
        <xdr:cNvPr id="559" name="Rectangle: Rounded Corners 23">
          <a:extLst>
            <a:ext uri="{FF2B5EF4-FFF2-40B4-BE49-F238E27FC236}">
              <a16:creationId xmlns:a16="http://schemas.microsoft.com/office/drawing/2014/main" id="{8AB3760D-1153-416E-ABFF-738936303D6C}"/>
            </a:ext>
          </a:extLst>
        </xdr:cNvPr>
        <xdr:cNvSpPr/>
      </xdr:nvSpPr>
      <xdr:spPr>
        <a:xfrm>
          <a:off x="6257928" y="1045211"/>
          <a:ext cx="2411938" cy="296332"/>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200" b="1" i="0">
              <a:latin typeface="Santander Text" panose="020B0504020201020104" pitchFamily="34" charset="0"/>
            </a:rPr>
            <a:t>Status de</a:t>
          </a:r>
          <a:r>
            <a:rPr lang="pt-PT" sz="1200" b="1" i="0" baseline="0">
              <a:latin typeface="Santander Text" panose="020B0504020201020104" pitchFamily="34" charset="0"/>
            </a:rPr>
            <a:t> Desenvolvimento</a:t>
          </a:r>
          <a:endParaRPr lang="pt-PT" sz="1200" b="1" i="0">
            <a:latin typeface="Santander Text" panose="020B0504020201020104" pitchFamily="34" charset="0"/>
          </a:endParaRPr>
        </a:p>
      </xdr:txBody>
    </xdr:sp>
    <xdr:clientData/>
  </xdr:twoCellAnchor>
  <xdr:twoCellAnchor>
    <xdr:from>
      <xdr:col>14</xdr:col>
      <xdr:colOff>1153771</xdr:colOff>
      <xdr:row>5</xdr:row>
      <xdr:rowOff>12278</xdr:rowOff>
    </xdr:from>
    <xdr:to>
      <xdr:col>16</xdr:col>
      <xdr:colOff>1482909</xdr:colOff>
      <xdr:row>6</xdr:row>
      <xdr:rowOff>122343</xdr:rowOff>
    </xdr:to>
    <xdr:sp macro="" textlink="">
      <xdr:nvSpPr>
        <xdr:cNvPr id="586" name="Rectangle: Rounded Corners 23">
          <a:extLst>
            <a:ext uri="{FF2B5EF4-FFF2-40B4-BE49-F238E27FC236}">
              <a16:creationId xmlns:a16="http://schemas.microsoft.com/office/drawing/2014/main" id="{CC4D65E4-C75E-4359-A1E4-77F7905F2E44}"/>
            </a:ext>
          </a:extLst>
        </xdr:cNvPr>
        <xdr:cNvSpPr/>
      </xdr:nvSpPr>
      <xdr:spPr>
        <a:xfrm>
          <a:off x="16872742" y="1035535"/>
          <a:ext cx="3355367" cy="284237"/>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200" b="1" i="0">
              <a:latin typeface="Santander Text" panose="020B0504020201020104" pitchFamily="34" charset="0"/>
            </a:rPr>
            <a:t>Evolução de Desenvolvimento</a:t>
          </a:r>
        </a:p>
      </xdr:txBody>
    </xdr:sp>
    <xdr:clientData/>
  </xdr:twoCellAnchor>
  <xdr:twoCellAnchor editAs="absolute">
    <xdr:from>
      <xdr:col>8</xdr:col>
      <xdr:colOff>0</xdr:colOff>
      <xdr:row>1</xdr:row>
      <xdr:rowOff>168487</xdr:rowOff>
    </xdr:from>
    <xdr:to>
      <xdr:col>8</xdr:col>
      <xdr:colOff>969222</xdr:colOff>
      <xdr:row>1</xdr:row>
      <xdr:rowOff>378945</xdr:rowOff>
    </xdr:to>
    <xdr:pic>
      <xdr:nvPicPr>
        <xdr:cNvPr id="2" name="Gráfico 10">
          <a:extLst>
            <a:ext uri="{FF2B5EF4-FFF2-40B4-BE49-F238E27FC236}">
              <a16:creationId xmlns:a16="http://schemas.microsoft.com/office/drawing/2014/main" id="{C0DCAB47-AABA-43A1-A36D-8F0F9C4BDCB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979583" y="366607"/>
          <a:ext cx="969222" cy="20283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655320</xdr:colOff>
      <xdr:row>3</xdr:row>
      <xdr:rowOff>91440</xdr:rowOff>
    </xdr:from>
    <xdr:to>
      <xdr:col>16</xdr:col>
      <xdr:colOff>381000</xdr:colOff>
      <xdr:row>23</xdr:row>
      <xdr:rowOff>45720</xdr:rowOff>
    </xdr:to>
    <xdr:graphicFrame macro="">
      <xdr:nvGraphicFramePr>
        <xdr:cNvPr id="25" name="Chart 2">
          <a:extLst>
            <a:ext uri="{FF2B5EF4-FFF2-40B4-BE49-F238E27FC236}">
              <a16:creationId xmlns:a16="http://schemas.microsoft.com/office/drawing/2014/main" id="{7E616239-964C-D285-FF6F-6361EEFB3B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7622</xdr:colOff>
      <xdr:row>5</xdr:row>
      <xdr:rowOff>0</xdr:rowOff>
    </xdr:from>
    <xdr:to>
      <xdr:col>2</xdr:col>
      <xdr:colOff>1554480</xdr:colOff>
      <xdr:row>6</xdr:row>
      <xdr:rowOff>110065</xdr:rowOff>
    </xdr:to>
    <xdr:sp macro="" textlink="">
      <xdr:nvSpPr>
        <xdr:cNvPr id="2" name="Rectangle: Rounded Corners 23">
          <a:extLst>
            <a:ext uri="{FF2B5EF4-FFF2-40B4-BE49-F238E27FC236}">
              <a16:creationId xmlns:a16="http://schemas.microsoft.com/office/drawing/2014/main" id="{D675AB53-D9B5-4BD8-8AE8-454016569FA2}"/>
            </a:ext>
          </a:extLst>
        </xdr:cNvPr>
        <xdr:cNvSpPr/>
      </xdr:nvSpPr>
      <xdr:spPr>
        <a:xfrm>
          <a:off x="746762" y="1021080"/>
          <a:ext cx="1546858" cy="292945"/>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200" b="1" i="0">
              <a:latin typeface="Santander Text" panose="020B0504020201020104" pitchFamily="34" charset="0"/>
            </a:rPr>
            <a:t>Status 20/09/2024</a:t>
          </a:r>
        </a:p>
      </xdr:txBody>
    </xdr:sp>
    <xdr:clientData/>
  </xdr:twoCellAnchor>
  <xdr:twoCellAnchor editAs="absolute">
    <xdr:from>
      <xdr:col>0</xdr:col>
      <xdr:colOff>209549</xdr:colOff>
      <xdr:row>1</xdr:row>
      <xdr:rowOff>135042</xdr:rowOff>
    </xdr:from>
    <xdr:to>
      <xdr:col>2</xdr:col>
      <xdr:colOff>439843</xdr:colOff>
      <xdr:row>1</xdr:row>
      <xdr:rowOff>322640</xdr:rowOff>
    </xdr:to>
    <xdr:pic>
      <xdr:nvPicPr>
        <xdr:cNvPr id="3" name="Gráfico 10">
          <a:extLst>
            <a:ext uri="{FF2B5EF4-FFF2-40B4-BE49-F238E27FC236}">
              <a16:creationId xmlns:a16="http://schemas.microsoft.com/office/drawing/2014/main" id="{9C18FD94-18B7-4266-9357-96071C642F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49" y="325542"/>
          <a:ext cx="969434" cy="187598"/>
        </a:xfrm>
        <a:prstGeom prst="rect">
          <a:avLst/>
        </a:prstGeom>
      </xdr:spPr>
    </xdr:pic>
    <xdr:clientData/>
  </xdr:twoCellAnchor>
  <xdr:twoCellAnchor>
    <xdr:from>
      <xdr:col>4</xdr:col>
      <xdr:colOff>9527</xdr:colOff>
      <xdr:row>5</xdr:row>
      <xdr:rowOff>12277</xdr:rowOff>
    </xdr:from>
    <xdr:to>
      <xdr:col>4</xdr:col>
      <xdr:colOff>1579245</xdr:colOff>
      <xdr:row>6</xdr:row>
      <xdr:rowOff>122342</xdr:rowOff>
    </xdr:to>
    <xdr:sp macro="" textlink="">
      <xdr:nvSpPr>
        <xdr:cNvPr id="4" name="Rectangle: Rounded Corners 23">
          <a:extLst>
            <a:ext uri="{FF2B5EF4-FFF2-40B4-BE49-F238E27FC236}">
              <a16:creationId xmlns:a16="http://schemas.microsoft.com/office/drawing/2014/main" id="{90DB99AF-3A0B-4405-BECD-EC9FCE79B232}"/>
            </a:ext>
          </a:extLst>
        </xdr:cNvPr>
        <xdr:cNvSpPr/>
      </xdr:nvSpPr>
      <xdr:spPr>
        <a:xfrm>
          <a:off x="2912747" y="1033357"/>
          <a:ext cx="1569718" cy="292945"/>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200" b="1" i="0">
              <a:latin typeface="Santander Text" panose="020B0504020201020104" pitchFamily="34" charset="0"/>
            </a:rPr>
            <a:t>Status 27/09/2024</a:t>
          </a:r>
        </a:p>
      </xdr:txBody>
    </xdr:sp>
    <xdr:clientData/>
  </xdr:twoCellAnchor>
  <xdr:twoCellAnchor>
    <xdr:from>
      <xdr:col>14</xdr:col>
      <xdr:colOff>853919</xdr:colOff>
      <xdr:row>8</xdr:row>
      <xdr:rowOff>19896</xdr:rowOff>
    </xdr:from>
    <xdr:to>
      <xdr:col>19</xdr:col>
      <xdr:colOff>915865</xdr:colOff>
      <xdr:row>25</xdr:row>
      <xdr:rowOff>36633</xdr:rowOff>
    </xdr:to>
    <xdr:graphicFrame macro="">
      <xdr:nvGraphicFramePr>
        <xdr:cNvPr id="5" name="Chart 18">
          <a:extLst>
            <a:ext uri="{FF2B5EF4-FFF2-40B4-BE49-F238E27FC236}">
              <a16:creationId xmlns:a16="http://schemas.microsoft.com/office/drawing/2014/main" id="{190A39D5-2B21-4812-9C86-91DDFF79BE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16750</xdr:colOff>
      <xdr:row>8</xdr:row>
      <xdr:rowOff>20744</xdr:rowOff>
    </xdr:from>
    <xdr:to>
      <xdr:col>13</xdr:col>
      <xdr:colOff>11398</xdr:colOff>
      <xdr:row>24</xdr:row>
      <xdr:rowOff>87923</xdr:rowOff>
    </xdr:to>
    <xdr:graphicFrame macro="">
      <xdr:nvGraphicFramePr>
        <xdr:cNvPr id="6" name="Chart 1">
          <a:extLst>
            <a:ext uri="{FF2B5EF4-FFF2-40B4-BE49-F238E27FC236}">
              <a16:creationId xmlns:a16="http://schemas.microsoft.com/office/drawing/2014/main" id="{40514E50-3854-48FC-971B-55B8706536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297395</xdr:colOff>
      <xdr:row>5</xdr:row>
      <xdr:rowOff>12278</xdr:rowOff>
    </xdr:from>
    <xdr:to>
      <xdr:col>10</xdr:col>
      <xdr:colOff>685799</xdr:colOff>
      <xdr:row>6</xdr:row>
      <xdr:rowOff>122343</xdr:rowOff>
    </xdr:to>
    <xdr:sp macro="" textlink="">
      <xdr:nvSpPr>
        <xdr:cNvPr id="7" name="Rectangle: Rounded Corners 23">
          <a:extLst>
            <a:ext uri="{FF2B5EF4-FFF2-40B4-BE49-F238E27FC236}">
              <a16:creationId xmlns:a16="http://schemas.microsoft.com/office/drawing/2014/main" id="{510965BF-43CD-4E99-9D25-525E70EF2165}"/>
            </a:ext>
          </a:extLst>
        </xdr:cNvPr>
        <xdr:cNvSpPr/>
      </xdr:nvSpPr>
      <xdr:spPr>
        <a:xfrm>
          <a:off x="6256235" y="1033358"/>
          <a:ext cx="3131604" cy="292945"/>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200" b="1" i="0">
              <a:latin typeface="Santander Text" panose="020B0504020201020104" pitchFamily="34" charset="0"/>
            </a:rPr>
            <a:t>Status de</a:t>
          </a:r>
          <a:r>
            <a:rPr lang="pt-PT" sz="1200" b="1" i="0" baseline="0">
              <a:latin typeface="Santander Text" panose="020B0504020201020104" pitchFamily="34" charset="0"/>
            </a:rPr>
            <a:t> Desenvolvimento</a:t>
          </a:r>
          <a:endParaRPr lang="pt-PT" sz="1200" b="1" i="0">
            <a:latin typeface="Santander Text" panose="020B0504020201020104" pitchFamily="34" charset="0"/>
          </a:endParaRPr>
        </a:p>
      </xdr:txBody>
    </xdr:sp>
    <xdr:clientData/>
  </xdr:twoCellAnchor>
  <xdr:twoCellAnchor>
    <xdr:from>
      <xdr:col>14</xdr:col>
      <xdr:colOff>1153771</xdr:colOff>
      <xdr:row>5</xdr:row>
      <xdr:rowOff>12278</xdr:rowOff>
    </xdr:from>
    <xdr:to>
      <xdr:col>16</xdr:col>
      <xdr:colOff>1482909</xdr:colOff>
      <xdr:row>6</xdr:row>
      <xdr:rowOff>122343</xdr:rowOff>
    </xdr:to>
    <xdr:sp macro="" textlink="">
      <xdr:nvSpPr>
        <xdr:cNvPr id="8" name="Rectangle: Rounded Corners 23">
          <a:extLst>
            <a:ext uri="{FF2B5EF4-FFF2-40B4-BE49-F238E27FC236}">
              <a16:creationId xmlns:a16="http://schemas.microsoft.com/office/drawing/2014/main" id="{986A7A2E-153F-456E-B739-16E49DE80C79}"/>
            </a:ext>
          </a:extLst>
        </xdr:cNvPr>
        <xdr:cNvSpPr/>
      </xdr:nvSpPr>
      <xdr:spPr>
        <a:xfrm>
          <a:off x="15311731" y="1033358"/>
          <a:ext cx="2935178" cy="292945"/>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200" b="1" i="0">
              <a:latin typeface="Santander Text" panose="020B0504020201020104" pitchFamily="34" charset="0"/>
            </a:rPr>
            <a:t>Evolução de Desenvolvimento</a:t>
          </a:r>
        </a:p>
      </xdr:txBody>
    </xdr:sp>
    <xdr:clientData/>
  </xdr:twoCellAnchor>
  <xdr:twoCellAnchor editAs="absolute">
    <xdr:from>
      <xdr:col>7</xdr:col>
      <xdr:colOff>1</xdr:colOff>
      <xdr:row>1</xdr:row>
      <xdr:rowOff>97693</xdr:rowOff>
    </xdr:from>
    <xdr:to>
      <xdr:col>8</xdr:col>
      <xdr:colOff>738295</xdr:colOff>
      <xdr:row>1</xdr:row>
      <xdr:rowOff>285291</xdr:rowOff>
    </xdr:to>
    <xdr:pic>
      <xdr:nvPicPr>
        <xdr:cNvPr id="10" name="Gráfico 10">
          <a:extLst>
            <a:ext uri="{FF2B5EF4-FFF2-40B4-BE49-F238E27FC236}">
              <a16:creationId xmlns:a16="http://schemas.microsoft.com/office/drawing/2014/main" id="{B1360AB1-EADA-4012-B51C-D7732D7CA2E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715001" y="293078"/>
          <a:ext cx="972756" cy="18759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3</xdr:col>
      <xdr:colOff>44824</xdr:colOff>
      <xdr:row>2</xdr:row>
      <xdr:rowOff>21695</xdr:rowOff>
    </xdr:from>
    <xdr:to>
      <xdr:col>52</xdr:col>
      <xdr:colOff>423333</xdr:colOff>
      <xdr:row>4</xdr:row>
      <xdr:rowOff>84666</xdr:rowOff>
    </xdr:to>
    <xdr:sp macro="" textlink="">
      <xdr:nvSpPr>
        <xdr:cNvPr id="2" name="Right Arrow 1">
          <a:extLst>
            <a:ext uri="{FF2B5EF4-FFF2-40B4-BE49-F238E27FC236}">
              <a16:creationId xmlns:a16="http://schemas.microsoft.com/office/drawing/2014/main" id="{41002B47-F2B4-424E-A2FA-0995D7E87FF4}"/>
            </a:ext>
          </a:extLst>
        </xdr:cNvPr>
        <xdr:cNvSpPr/>
      </xdr:nvSpPr>
      <xdr:spPr>
        <a:xfrm>
          <a:off x="4193491" y="868362"/>
          <a:ext cx="52617842" cy="458082"/>
        </a:xfrm>
        <a:prstGeom prst="rightArrow">
          <a:avLst>
            <a:gd name="adj1" fmla="val 70290"/>
            <a:gd name="adj2" fmla="val 50000"/>
          </a:avLst>
        </a:prstGeom>
        <a:solidFill>
          <a:srgbClr val="FF0000"/>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PT" sz="2000" b="1">
              <a:latin typeface="Arial" panose="020B0604020202020204" pitchFamily="34" charset="0"/>
              <a:cs typeface="Arial" panose="020B0604020202020204" pitchFamily="34" charset="0"/>
            </a:rPr>
            <a:t>Tempo</a:t>
          </a:r>
          <a:endParaRPr lang="pt-PT" sz="1800" b="1">
            <a:latin typeface="Arial" panose="020B0604020202020204" pitchFamily="34" charset="0"/>
            <a:cs typeface="Arial" panose="020B0604020202020204" pitchFamily="34" charset="0"/>
          </a:endParaRPr>
        </a:p>
      </xdr:txBody>
    </xdr:sp>
    <xdr:clientData/>
  </xdr:twoCellAnchor>
  <xdr:twoCellAnchor editAs="absolute">
    <xdr:from>
      <xdr:col>0</xdr:col>
      <xdr:colOff>207219</xdr:colOff>
      <xdr:row>0</xdr:row>
      <xdr:rowOff>74951</xdr:rowOff>
    </xdr:from>
    <xdr:to>
      <xdr:col>2</xdr:col>
      <xdr:colOff>1065873</xdr:colOff>
      <xdr:row>0</xdr:row>
      <xdr:rowOff>536990</xdr:rowOff>
    </xdr:to>
    <xdr:pic>
      <xdr:nvPicPr>
        <xdr:cNvPr id="10" name="Gráfico 10">
          <a:extLst>
            <a:ext uri="{FF2B5EF4-FFF2-40B4-BE49-F238E27FC236}">
              <a16:creationId xmlns:a16="http://schemas.microsoft.com/office/drawing/2014/main" id="{4B8BE632-0A0F-4A55-A2E2-826CDECBDBA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7219" y="74951"/>
          <a:ext cx="2391076" cy="462039"/>
        </a:xfrm>
        <a:prstGeom prst="rect">
          <a:avLst/>
        </a:prstGeom>
      </xdr:spPr>
    </xdr:pic>
    <xdr:clientData/>
  </xdr:twoCellAnchor>
  <xdr:twoCellAnchor>
    <xdr:from>
      <xdr:col>8</xdr:col>
      <xdr:colOff>63500</xdr:colOff>
      <xdr:row>30</xdr:row>
      <xdr:rowOff>63500</xdr:rowOff>
    </xdr:from>
    <xdr:to>
      <xdr:col>8</xdr:col>
      <xdr:colOff>850900</xdr:colOff>
      <xdr:row>35</xdr:row>
      <xdr:rowOff>139700</xdr:rowOff>
    </xdr:to>
    <xdr:cxnSp macro="">
      <xdr:nvCxnSpPr>
        <xdr:cNvPr id="13" name="Straight Arrow Connector 12">
          <a:extLst>
            <a:ext uri="{FF2B5EF4-FFF2-40B4-BE49-F238E27FC236}">
              <a16:creationId xmlns:a16="http://schemas.microsoft.com/office/drawing/2014/main" id="{24D6E046-175A-DDA4-FC3C-7219451E2DB4}"/>
            </a:ext>
          </a:extLst>
        </xdr:cNvPr>
        <xdr:cNvCxnSpPr/>
      </xdr:nvCxnSpPr>
      <xdr:spPr>
        <a:xfrm>
          <a:off x="6565900" y="6007100"/>
          <a:ext cx="787400" cy="1092200"/>
        </a:xfrm>
        <a:prstGeom prst="straightConnector1">
          <a:avLst/>
        </a:prstGeom>
        <a:ln w="7620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30662</xdr:colOff>
      <xdr:row>30</xdr:row>
      <xdr:rowOff>2948</xdr:rowOff>
    </xdr:from>
    <xdr:to>
      <xdr:col>14</xdr:col>
      <xdr:colOff>835207</xdr:colOff>
      <xdr:row>35</xdr:row>
      <xdr:rowOff>79148</xdr:rowOff>
    </xdr:to>
    <xdr:cxnSp macro="">
      <xdr:nvCxnSpPr>
        <xdr:cNvPr id="3" name="Straight Arrow Connector 2">
          <a:extLst>
            <a:ext uri="{FF2B5EF4-FFF2-40B4-BE49-F238E27FC236}">
              <a16:creationId xmlns:a16="http://schemas.microsoft.com/office/drawing/2014/main" id="{4EB166E2-19C1-497E-A947-74262C6ECD26}"/>
            </a:ext>
          </a:extLst>
        </xdr:cNvPr>
        <xdr:cNvCxnSpPr/>
      </xdr:nvCxnSpPr>
      <xdr:spPr>
        <a:xfrm>
          <a:off x="23060751" y="11211832"/>
          <a:ext cx="804545" cy="1096736"/>
        </a:xfrm>
        <a:prstGeom prst="straightConnector1">
          <a:avLst/>
        </a:prstGeom>
        <a:ln w="7620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1401536</xdr:colOff>
      <xdr:row>30</xdr:row>
      <xdr:rowOff>40821</xdr:rowOff>
    </xdr:from>
    <xdr:to>
      <xdr:col>21</xdr:col>
      <xdr:colOff>66085</xdr:colOff>
      <xdr:row>35</xdr:row>
      <xdr:rowOff>84047</xdr:rowOff>
    </xdr:to>
    <xdr:cxnSp macro="">
      <xdr:nvCxnSpPr>
        <xdr:cNvPr id="5" name="Straight Arrow Connector 4">
          <a:extLst>
            <a:ext uri="{FF2B5EF4-FFF2-40B4-BE49-F238E27FC236}">
              <a16:creationId xmlns:a16="http://schemas.microsoft.com/office/drawing/2014/main" id="{83908BBA-9DC4-4050-AB04-06AE07C3A348}"/>
            </a:ext>
          </a:extLst>
        </xdr:cNvPr>
        <xdr:cNvCxnSpPr/>
      </xdr:nvCxnSpPr>
      <xdr:spPr>
        <a:xfrm>
          <a:off x="31024286" y="15725321"/>
          <a:ext cx="680674" cy="995726"/>
        </a:xfrm>
        <a:prstGeom prst="straightConnector1">
          <a:avLst/>
        </a:prstGeom>
        <a:ln w="7620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20411</xdr:colOff>
      <xdr:row>30</xdr:row>
      <xdr:rowOff>88446</xdr:rowOff>
    </xdr:from>
    <xdr:to>
      <xdr:col>27</xdr:col>
      <xdr:colOff>97835</xdr:colOff>
      <xdr:row>35</xdr:row>
      <xdr:rowOff>131672</xdr:rowOff>
    </xdr:to>
    <xdr:cxnSp macro="">
      <xdr:nvCxnSpPr>
        <xdr:cNvPr id="4" name="Straight Arrow Connector 3">
          <a:extLst>
            <a:ext uri="{FF2B5EF4-FFF2-40B4-BE49-F238E27FC236}">
              <a16:creationId xmlns:a16="http://schemas.microsoft.com/office/drawing/2014/main" id="{79C5795B-3399-40AF-852F-C6BC9BDF8801}"/>
            </a:ext>
          </a:extLst>
        </xdr:cNvPr>
        <xdr:cNvCxnSpPr/>
      </xdr:nvCxnSpPr>
      <xdr:spPr>
        <a:xfrm>
          <a:off x="40231786" y="15772946"/>
          <a:ext cx="680674" cy="995726"/>
        </a:xfrm>
        <a:prstGeom prst="straightConnector1">
          <a:avLst/>
        </a:prstGeom>
        <a:ln w="7620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191979</xdr:colOff>
      <xdr:row>0</xdr:row>
      <xdr:rowOff>56984</xdr:rowOff>
    </xdr:from>
    <xdr:to>
      <xdr:col>2</xdr:col>
      <xdr:colOff>1291725</xdr:colOff>
      <xdr:row>0</xdr:row>
      <xdr:rowOff>512673</xdr:rowOff>
    </xdr:to>
    <xdr:pic>
      <xdr:nvPicPr>
        <xdr:cNvPr id="4" name="Gráfico 10">
          <a:extLst>
            <a:ext uri="{FF2B5EF4-FFF2-40B4-BE49-F238E27FC236}">
              <a16:creationId xmlns:a16="http://schemas.microsoft.com/office/drawing/2014/main" id="{D24F1CB4-CB7A-401D-9863-07977D44EA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1979" y="52539"/>
          <a:ext cx="2380591" cy="46203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https://santandernet.sharepoint.com/sites/BSLoanTapeBCE/Shared%20Documents/General/03.%20Loan%20Tape/01.%20Documenta&#231;&#227;o%20Final/01.%20Loan%20Tape/02.%20Especifica&#231;&#227;o/Especifica&#231;&#227;o%20Final%20LF/BS%20-%20Esp.%20&amp;%20Certifica&#231;&#227;o%20LF%20-%20Implementa&#231;&#227;o_20250808.xlsx" TargetMode="External"/><Relationship Id="rId2" Type="http://schemas.microsoft.com/office/2019/04/relationships/externalLinkLongPath" Target="/sites/BSLoanTapeBCE/Shared%20Documents/General/03.%20Loan%20Tape/01.%20Documenta&#231;&#227;o%20Final/01.%20Loan%20Tape/02.%20Especifica&#231;&#227;o/Especifica&#231;&#227;o%20Final%20LF/BS%20-%20Esp.%20&amp;%20Certifica&#231;&#227;o%20LF%20-%20Implementa&#231;&#227;o_20250808.xlsx?D61C1DD6" TargetMode="External"/><Relationship Id="rId1" Type="http://schemas.openxmlformats.org/officeDocument/2006/relationships/externalLinkPath" Target="file:///\\D61C1DD6\BS%20-%20Esp.%20&amp;%20Certifica&#231;&#227;o%20LF%20-%20Implementa&#231;&#227;o_20250808.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santandernet.sharepoint.com/sites/StructuralLoanTape/Shared%20Documents/General/Fields%20applicability/Structure%20Available%20from%20November/Granular%20Tool%20-%20Fields%20Applicability_20250912.xlsx" TargetMode="External"/><Relationship Id="rId1" Type="http://schemas.openxmlformats.org/officeDocument/2006/relationships/externalLinkPath" Target="/sites/StructuralLoanTape/Shared%20Documents/General/Fields%20applicability/Structure%20Available%20from%20November/Granular%20Tool%20-%20Fields%20Applicability_2025091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Capa"/>
      <sheetName val="Metodologia"/>
      <sheetName val="Especificação"/>
      <sheetName val="Especificação outros campos"/>
      <sheetName val="lt805_conf_exp "/>
      <sheetName val="lt804_conf_dflt"/>
      <sheetName val="lt831_param_conceitos"/>
      <sheetName val="Code List"/>
      <sheetName val="AUX"/>
    </sheetNames>
    <sheetDataSet>
      <sheetData sheetId="0"/>
      <sheetData sheetId="1"/>
      <sheetData sheetId="2">
        <row r="3">
          <cell r="C3">
            <v>45953</v>
          </cell>
        </row>
        <row r="7">
          <cell r="C7" t="str">
            <v>1. Especificação</v>
          </cell>
        </row>
        <row r="9">
          <cell r="C9" t="str">
            <v>Outros</v>
          </cell>
        </row>
        <row r="10">
          <cell r="C10" t="str">
            <v xml:space="preserve">Stream </v>
          </cell>
          <cell r="G10" t="str">
            <v>Column_name</v>
          </cell>
        </row>
        <row r="11">
          <cell r="C11" t="str">
            <v>A. Novos Campos</v>
          </cell>
          <cell r="G11" t="str">
            <v>us_prcds</v>
          </cell>
        </row>
        <row r="12">
          <cell r="C12" t="str">
            <v>A. Novos Campos</v>
          </cell>
          <cell r="G12" t="str">
            <v>typ_off_blnc_prdct</v>
          </cell>
        </row>
        <row r="13">
          <cell r="C13" t="str">
            <v>A. Novos Campos</v>
          </cell>
          <cell r="G13" t="str">
            <v>typ_fclty</v>
          </cell>
        </row>
        <row r="14">
          <cell r="C14" t="str">
            <v>A. Novos Campos</v>
          </cell>
          <cell r="G14" t="str">
            <v>typ_dl</v>
          </cell>
        </row>
        <row r="15">
          <cell r="C15" t="str">
            <v>A. Novos Campos</v>
          </cell>
          <cell r="G15" t="str">
            <v>typ_cl</v>
          </cell>
        </row>
        <row r="16">
          <cell r="C16" t="str">
            <v>A. Novos Campos</v>
          </cell>
          <cell r="G16" t="str">
            <v>ttl_prmssbl_dbt_blnc</v>
          </cell>
        </row>
        <row r="17">
          <cell r="C17" t="str">
            <v>A. Novos Campos</v>
          </cell>
          <cell r="G17" t="str">
            <v>ttl_lvrg_rt_incptn_hlt</v>
          </cell>
        </row>
        <row r="18">
          <cell r="C18" t="str">
            <v>A. Novos Campos</v>
          </cell>
          <cell r="G18" t="str">
            <v>ttl_lvrg_rt_incptn</v>
          </cell>
        </row>
        <row r="19">
          <cell r="C19" t="str">
            <v>A. Novos Campos</v>
          </cell>
          <cell r="G19" t="str">
            <v>scan</v>
          </cell>
        </row>
        <row r="20">
          <cell r="C20" t="str">
            <v>A. Novos Campos</v>
          </cell>
          <cell r="G20" t="str">
            <v>rwa_prmtgtn</v>
          </cell>
        </row>
        <row r="21">
          <cell r="C21" t="str">
            <v>A. Novos Campos</v>
          </cell>
          <cell r="G21" t="str">
            <v>rwa_mtgtn</v>
          </cell>
        </row>
        <row r="22">
          <cell r="C22" t="str">
            <v>A. Novos Campos</v>
          </cell>
          <cell r="G22" t="str">
            <v>rorwa</v>
          </cell>
        </row>
        <row r="23">
          <cell r="C23" t="str">
            <v>A. Novos Campos</v>
          </cell>
          <cell r="G23" t="str">
            <v>rorwa</v>
          </cell>
        </row>
        <row r="24">
          <cell r="C24" t="str">
            <v>A. Novos Campos</v>
          </cell>
          <cell r="G24" t="str">
            <v>rorac</v>
          </cell>
        </row>
        <row r="25">
          <cell r="C25" t="str">
            <v>A. Novos Campos</v>
          </cell>
          <cell r="G25" t="str">
            <v>rorac</v>
          </cell>
        </row>
        <row r="26">
          <cell r="C26" t="str">
            <v>A. Novos Campos</v>
          </cell>
          <cell r="G26" t="str">
            <v>pd_ec_rd</v>
          </cell>
        </row>
        <row r="27">
          <cell r="C27" t="str">
            <v>A. Novos Campos</v>
          </cell>
          <cell r="G27" t="str">
            <v>pd_ec_incptn</v>
          </cell>
        </row>
        <row r="28">
          <cell r="C28" t="str">
            <v>A. Novos Campos</v>
          </cell>
          <cell r="G28" t="str">
            <v>grp_spprt</v>
          </cell>
        </row>
        <row r="29">
          <cell r="C29" t="str">
            <v>A. Novos Campos</v>
          </cell>
          <cell r="G29" t="str">
            <v>grp_rorwa</v>
          </cell>
        </row>
        <row r="30">
          <cell r="C30" t="str">
            <v>A. Novos Campos</v>
          </cell>
          <cell r="G30" t="str">
            <v>grp_rorac</v>
          </cell>
        </row>
        <row r="31">
          <cell r="C31" t="str">
            <v>A. Novos Campos</v>
          </cell>
          <cell r="G31" t="str">
            <v>flln_angl_nrrw_dfntn</v>
          </cell>
        </row>
        <row r="32">
          <cell r="C32" t="str">
            <v>A. Novos Campos</v>
          </cell>
          <cell r="G32" t="str">
            <v>flln_angl_extndd_dfntn</v>
          </cell>
        </row>
        <row r="33">
          <cell r="C33" t="str">
            <v>A. Novos Campos</v>
          </cell>
          <cell r="G33" t="str">
            <v>flg_rqst_emrgncy_fndng</v>
          </cell>
        </row>
        <row r="34">
          <cell r="C34" t="str">
            <v>A. Novos Campos</v>
          </cell>
          <cell r="G34" t="str">
            <v>excldd_lf</v>
          </cell>
        </row>
        <row r="35">
          <cell r="C35" t="str">
            <v>A. Novos Campos</v>
          </cell>
          <cell r="G35" t="str">
            <v>dt_mdfctn</v>
          </cell>
        </row>
        <row r="36">
          <cell r="C36" t="str">
            <v>A. Novos Campos</v>
          </cell>
          <cell r="G36" t="str">
            <v>dstntn_fnds</v>
          </cell>
        </row>
        <row r="37">
          <cell r="C37" t="str">
            <v>B1. Re-especificação de campos complexos | Sindicados</v>
          </cell>
          <cell r="G37" t="str">
            <v>zcliente_lndrs</v>
          </cell>
        </row>
        <row r="38">
          <cell r="C38" t="str">
            <v>B1. Re-especificação de campos complexos | Sindicados</v>
          </cell>
          <cell r="G38" t="str">
            <v>zcliente_agnt</v>
          </cell>
        </row>
        <row r="39">
          <cell r="C39" t="str">
            <v>B1. Re-especificação de campos complexos | Sindicados</v>
          </cell>
          <cell r="G39" t="str">
            <v>trnch</v>
          </cell>
        </row>
        <row r="40">
          <cell r="C40" t="str">
            <v>B1. Re-especificação de campos complexos | Sindicados</v>
          </cell>
          <cell r="G40" t="str">
            <v>syndctn_typ</v>
          </cell>
        </row>
        <row r="41">
          <cell r="C41" t="str">
            <v>B1. Re-especificação de campos complexos | Sindicados</v>
          </cell>
          <cell r="G41" t="str">
            <v>syndctd_shr</v>
          </cell>
        </row>
        <row r="42">
          <cell r="C42" t="str">
            <v>B1. Re-especificação de campos complexos | Sindicados</v>
          </cell>
          <cell r="G42" t="str">
            <v>syndctd_lndrs</v>
          </cell>
        </row>
        <row r="43">
          <cell r="C43" t="str">
            <v>B1. Re-especificação de campos complexos | Sindicados</v>
          </cell>
          <cell r="G43" t="str">
            <v>syndctd_cntrct_id</v>
          </cell>
        </row>
        <row r="44">
          <cell r="C44" t="str">
            <v>B1. Re-especificação de campos complexos | Sindicados</v>
          </cell>
          <cell r="G44" t="str">
            <v>syndctd_agnt</v>
          </cell>
        </row>
        <row r="45">
          <cell r="C45" t="str">
            <v>B1. Re-especificação de campos complexos | Sindicados</v>
          </cell>
          <cell r="G45" t="str">
            <v>syndct_rl</v>
          </cell>
        </row>
        <row r="46">
          <cell r="C46" t="str">
            <v>B1. Re-especificação de campos complexos | Sindicados</v>
          </cell>
          <cell r="G46" t="str">
            <v>stts_undrwrttn_trnsctn</v>
          </cell>
        </row>
        <row r="47">
          <cell r="C47" t="str">
            <v>B1. Re-especificação de campos complexos | Sindicados</v>
          </cell>
          <cell r="G47" t="str">
            <v>rtntn_shr</v>
          </cell>
        </row>
        <row r="48">
          <cell r="C48" t="str">
            <v>B1. Re-especificação de campos complexos | Sindicados</v>
          </cell>
          <cell r="G48" t="str">
            <v>fld_syndctn</v>
          </cell>
        </row>
        <row r="49">
          <cell r="C49" t="str">
            <v>B2. Re-especificação de campos complexos - Resto</v>
          </cell>
          <cell r="G49" t="str">
            <v>typ_instrmnt</v>
          </cell>
        </row>
        <row r="50">
          <cell r="C50" t="str">
            <v>B2. Re-especificação de campos complexos - Resto</v>
          </cell>
          <cell r="G50" t="str">
            <v>fr_csh_flw_t3</v>
          </cell>
        </row>
        <row r="51">
          <cell r="C51" t="str">
            <v>B2. Re-especificação de campos complexos - Resto</v>
          </cell>
          <cell r="G51" t="str">
            <v>fr_csh_flw_t2</v>
          </cell>
        </row>
        <row r="52">
          <cell r="C52" t="str">
            <v>B2. Re-especificação de campos complexos - Resto</v>
          </cell>
          <cell r="G52" t="str">
            <v>fr_csh_flw_t1</v>
          </cell>
        </row>
        <row r="53">
          <cell r="C53" t="str">
            <v>B2. Re-especificação de campos complexos - Resto</v>
          </cell>
          <cell r="G53" t="str">
            <v>fr_csh_flw</v>
          </cell>
        </row>
        <row r="54">
          <cell r="C54" t="str">
            <v>B2. Re-especificação de campos complexos - Resto</v>
          </cell>
          <cell r="G54" t="str">
            <v>dbt_rpymnt_cpcty_ttl</v>
          </cell>
        </row>
        <row r="55">
          <cell r="C55" t="str">
            <v>B2. Re-especificação de campos complexos - Resto</v>
          </cell>
          <cell r="G55" t="str">
            <v>dbt_rpymnt_cpcty_snr_dbt</v>
          </cell>
        </row>
        <row r="56">
          <cell r="C56" t="str">
            <v>B2. Re-especificação de campos complexos - Resto</v>
          </cell>
          <cell r="G56" t="str">
            <v>amnt_d_at_mtrty</v>
          </cell>
        </row>
        <row r="57">
          <cell r="C57" t="str">
            <v>B2. Re-especificação de campos complexos - Resto</v>
          </cell>
          <cell r="G57" t="str">
            <v>accrd_intrst_instrmnt</v>
          </cell>
        </row>
        <row r="58">
          <cell r="C58" t="str">
            <v>B2. Re-especificação de campos complexos - Resto</v>
          </cell>
          <cell r="G58" t="str">
            <v>ttl_intrst_pd</v>
          </cell>
        </row>
        <row r="59">
          <cell r="C59" t="str">
            <v>B2. Re-especificação de campos complexos - Resto</v>
          </cell>
          <cell r="G59" t="str">
            <v>rtng_scl</v>
          </cell>
        </row>
        <row r="60">
          <cell r="C60" t="str">
            <v>B2. Re-especificação de campos complexos - Resto</v>
          </cell>
          <cell r="G60" t="str">
            <v>rcvd_intrst_24m</v>
          </cell>
        </row>
        <row r="61">
          <cell r="C61" t="str">
            <v>B2. Re-especificação de campos complexos - Resto</v>
          </cell>
          <cell r="G61" t="str">
            <v>rcvd_intrst_12m</v>
          </cell>
        </row>
        <row r="62">
          <cell r="C62" t="str">
            <v>B2. Re-especificação de campos complexos - Resto</v>
          </cell>
          <cell r="G62" t="str">
            <v>prfrmng_stts_prvs</v>
          </cell>
        </row>
        <row r="63">
          <cell r="C63" t="str">
            <v>B2. Re-especificação de campos complexos - Resto</v>
          </cell>
          <cell r="G63" t="str">
            <v>lvrg_fnnc_flg</v>
          </cell>
        </row>
        <row r="64">
          <cell r="C64" t="str">
            <v>B2. Re-especificação de campos complexos - Resto</v>
          </cell>
          <cell r="G64" t="str">
            <v>frbrnc_stts_instrmnt</v>
          </cell>
        </row>
        <row r="65">
          <cell r="C65" t="str">
            <v>B2. Re-especificação de campos complexos - Resto</v>
          </cell>
          <cell r="G65" t="str">
            <v>flg_lbo</v>
          </cell>
        </row>
        <row r="66">
          <cell r="C66" t="str">
            <v>B2. Re-especificação de campos complexos - Resto</v>
          </cell>
          <cell r="G66" t="str">
            <v>extrnl_rtng_prvs</v>
          </cell>
        </row>
        <row r="67">
          <cell r="C67" t="str">
            <v>B2. Re-especificação de campos complexos - Resto</v>
          </cell>
          <cell r="G67" t="str">
            <v>extrnl_rtng_nm</v>
          </cell>
        </row>
        <row r="68">
          <cell r="C68" t="str">
            <v>B2. Re-especificação de campos complexos - Resto</v>
          </cell>
          <cell r="G68" t="str">
            <v>extrnl_rtng</v>
          </cell>
        </row>
        <row r="69">
          <cell r="C69" t="str">
            <v>B2. Re-especificação de campos complexos - Resto</v>
          </cell>
          <cell r="G69" t="str">
            <v>ecnmc_actvty</v>
          </cell>
        </row>
        <row r="70">
          <cell r="C70" t="str">
            <v>B2. Re-especificação de campos complexos - Resto</v>
          </cell>
          <cell r="G70" t="str">
            <v>ec_grp_nm</v>
          </cell>
        </row>
        <row r="71">
          <cell r="C71" t="str">
            <v>B2. Re-especificação de campos complexos - Resto</v>
          </cell>
          <cell r="G71" t="str">
            <v>ec_grp_id</v>
          </cell>
        </row>
        <row r="72">
          <cell r="C72" t="str">
            <v>B2. Re-especificação de campos complexos - Resto</v>
          </cell>
          <cell r="G72" t="str">
            <v>dt_frbrnc_stts</v>
          </cell>
        </row>
        <row r="73">
          <cell r="C73" t="str">
            <v>B2. Re-especificação de campos complexos - Resto</v>
          </cell>
          <cell r="G73" t="str">
            <v>dt_extrnl_rtng</v>
          </cell>
        </row>
        <row r="74">
          <cell r="C74" t="str">
            <v>B2. Re-especificação de campos complexos - Resto</v>
          </cell>
          <cell r="G74" t="str">
            <v>dflt_stts_instrmnt</v>
          </cell>
        </row>
        <row r="75">
          <cell r="C75" t="str">
            <v>B2. Re-especificação de campos complexos - Resto</v>
          </cell>
          <cell r="G75" t="str">
            <v>cntry</v>
          </cell>
        </row>
        <row r="76">
          <cell r="C76" t="str">
            <v>C. Campos em testes ou c/ incidências</v>
          </cell>
          <cell r="G76" t="str">
            <v>rwa</v>
          </cell>
        </row>
        <row r="77">
          <cell r="C77" t="str">
            <v>C. Campos em testes ou c/ incidências</v>
          </cell>
          <cell r="G77" t="str">
            <v>rtng_mthd</v>
          </cell>
        </row>
        <row r="78">
          <cell r="C78" t="str">
            <v>C. Campos em testes ou c/ incidências</v>
          </cell>
          <cell r="G78" t="str">
            <v>rtng_mthd</v>
          </cell>
        </row>
        <row r="79">
          <cell r="C79" t="str">
            <v>C. Campos em testes ou c/ incidências</v>
          </cell>
          <cell r="G79" t="str">
            <v>pd_crr_incptn</v>
          </cell>
        </row>
        <row r="80">
          <cell r="C80" t="str">
            <v>C. Campos em testes ou c/ incidências</v>
          </cell>
          <cell r="G80" t="str">
            <v>mn_entty_id</v>
          </cell>
        </row>
        <row r="81">
          <cell r="C81" t="str">
            <v>C. Campos em testes ou c/ incidências</v>
          </cell>
          <cell r="G81" t="str">
            <v>intrnl_rtng_prvs</v>
          </cell>
        </row>
        <row r="82">
          <cell r="C82" t="str">
            <v>C. Campos em testes ou c/ incidências</v>
          </cell>
          <cell r="G82" t="str">
            <v>intrnl_rtng_incptn</v>
          </cell>
        </row>
        <row r="83">
          <cell r="C83" t="str">
            <v>C. Campos em testes ou c/ incidências</v>
          </cell>
          <cell r="G83" t="str">
            <v>intrnl_rtng</v>
          </cell>
        </row>
        <row r="84">
          <cell r="C84" t="str">
            <v>C. Campos em testes ou c/ incidências</v>
          </cell>
          <cell r="G84" t="str">
            <v>intrnl_rtng</v>
          </cell>
        </row>
        <row r="85">
          <cell r="C85" t="str">
            <v>C. Campos em testes ou c/ incidências</v>
          </cell>
          <cell r="G85" t="str">
            <v>idcmb</v>
          </cell>
        </row>
        <row r="86">
          <cell r="C86" t="str">
            <v>C. Campos em testes ou c/ incidências</v>
          </cell>
          <cell r="G86" t="str">
            <v>ead</v>
          </cell>
        </row>
        <row r="87">
          <cell r="C87" t="str">
            <v>C. Campos em testes ou c/ incidências</v>
          </cell>
          <cell r="G87" t="str">
            <v>dt_lgl_fnl_mtrty</v>
          </cell>
        </row>
        <row r="88">
          <cell r="C88" t="str">
            <v>C. Campos em testes ou c/ incidências</v>
          </cell>
          <cell r="G88" t="str">
            <v>dt_intrnl_rtng</v>
          </cell>
        </row>
        <row r="89">
          <cell r="C89" t="str">
            <v>C. Campos em testes ou c/ incidências</v>
          </cell>
          <cell r="G89" t="str">
            <v>dt_intrnl_rtng</v>
          </cell>
        </row>
        <row r="90">
          <cell r="C90" t="str">
            <v>C. Campos em testes ou c/ incidências</v>
          </cell>
          <cell r="G90" t="str">
            <v>dt_dflt_stts_instrmnt</v>
          </cell>
        </row>
        <row r="91">
          <cell r="C91" t="str">
            <v>C. Campos em testes ou c/ incidências</v>
          </cell>
          <cell r="G91" t="str">
            <v>accmltd_imprmnt_instrmnt_prvs</v>
          </cell>
        </row>
        <row r="92">
          <cell r="C92" t="str">
            <v>D. Campos com NOK controlos Corporativos</v>
          </cell>
          <cell r="G92" t="str">
            <v>rcvd_amrtstn_12m</v>
          </cell>
        </row>
        <row r="93">
          <cell r="C93" t="str">
            <v>D. Campos com NOK controlos Corporativos</v>
          </cell>
          <cell r="G93" t="str">
            <v>pd_ifrs9_12m_rd</v>
          </cell>
        </row>
        <row r="94">
          <cell r="C94" t="str">
            <v>D. Campos com NOK controlos Corporativos</v>
          </cell>
          <cell r="G94" t="str">
            <v>pd_crr_rd</v>
          </cell>
        </row>
        <row r="95">
          <cell r="C95" t="str">
            <v>D. Campos com NOK controlos Corporativos</v>
          </cell>
          <cell r="G95" t="str">
            <v>pd_crr_rd</v>
          </cell>
        </row>
        <row r="96">
          <cell r="C96" t="str">
            <v>D. Campos com NOK controlos Corporativos</v>
          </cell>
          <cell r="G96" t="str">
            <v>otstndng_nmnl_amnt_instrmnt</v>
          </cell>
        </row>
        <row r="97">
          <cell r="C97" t="str">
            <v>D. Campos com NOK controlos Corporativos</v>
          </cell>
          <cell r="G97" t="str">
            <v>off_blnc_sht_amnt_instrmnt</v>
          </cell>
        </row>
        <row r="98">
          <cell r="C98" t="str">
            <v>D. Campos com NOK controlos Corporativos</v>
          </cell>
          <cell r="G98" t="str">
            <v>lgl_prcdng_stts_le</v>
          </cell>
        </row>
        <row r="99">
          <cell r="C99" t="str">
            <v>D. Campos com NOK controlos Corporativos</v>
          </cell>
          <cell r="G99" t="str">
            <v>entty_id</v>
          </cell>
        </row>
        <row r="100">
          <cell r="C100" t="str">
            <v>D. Campos com NOK controlos Corporativos</v>
          </cell>
          <cell r="G100" t="str">
            <v>entty_id</v>
          </cell>
        </row>
        <row r="101">
          <cell r="C101" t="str">
            <v>D. Campos com NOK controlos Corporativos</v>
          </cell>
          <cell r="G101" t="str">
            <v>eir</v>
          </cell>
        </row>
        <row r="102">
          <cell r="C102" t="str">
            <v>D. Campos com NOK controlos Corporativos</v>
          </cell>
          <cell r="G102" t="str">
            <v>dt_pst_d</v>
          </cell>
        </row>
        <row r="103">
          <cell r="C103" t="str">
            <v>D. Campos com NOK controlos Corporativos</v>
          </cell>
          <cell r="G103" t="str">
            <v>dt_orgnl_mtrty</v>
          </cell>
        </row>
        <row r="104">
          <cell r="C104" t="str">
            <v>D. Campos com NOK controlos Corporativos</v>
          </cell>
          <cell r="G104" t="str">
            <v>dt_incptn</v>
          </cell>
        </row>
        <row r="105">
          <cell r="C105" t="str">
            <v>D. Campos com NOK controlos Corporativos</v>
          </cell>
          <cell r="G105" t="str">
            <v>dpd</v>
          </cell>
        </row>
        <row r="106">
          <cell r="C106" t="str">
            <v>D. Campos com NOK controlos Corporativos</v>
          </cell>
          <cell r="G106" t="str">
            <v>arrrs_instrmnt</v>
          </cell>
        </row>
        <row r="107">
          <cell r="C107" t="str">
            <v xml:space="preserve">E. Campos com outras possíveis alterações - Dependente de decisões OSI </v>
          </cell>
          <cell r="G107" t="str">
            <v>typ_amrtstn</v>
          </cell>
        </row>
        <row r="108">
          <cell r="C108" t="str">
            <v xml:space="preserve">E. Campos com outras possíveis alterações - Dependente de decisões OSI </v>
          </cell>
          <cell r="G108" t="str">
            <v>pymnt_intrst_only</v>
          </cell>
        </row>
        <row r="109">
          <cell r="C109" t="str">
            <v xml:space="preserve">E. Campos com outras possíveis alterações - Dependente de decisões OSI </v>
          </cell>
          <cell r="G109" t="str">
            <v>pd_ifrs9_12m_rd</v>
          </cell>
        </row>
        <row r="110">
          <cell r="C110" t="str">
            <v xml:space="preserve">E. Campos com outras possíveis alterações - Dependente de decisões OSI </v>
          </cell>
          <cell r="G110" t="str">
            <v>dt_prfrmng_stts_le</v>
          </cell>
        </row>
        <row r="111">
          <cell r="C111" t="str">
            <v xml:space="preserve">E. Campos com outras possíveis alterações - Dependente de decisões OSI </v>
          </cell>
          <cell r="G111" t="str">
            <v>dt_dflt_stts</v>
          </cell>
        </row>
        <row r="112">
          <cell r="C112" t="str">
            <v xml:space="preserve">E. Campos com outras possíveis alterações - Dependente de decisões OSI </v>
          </cell>
          <cell r="G112" t="str">
            <v>dflt_stts</v>
          </cell>
        </row>
        <row r="113">
          <cell r="C113" t="str">
            <v>F1. Fora âmbito | Campos concluídos - Sem necessidade de espec.</v>
          </cell>
          <cell r="G113" t="str">
            <v>wtch_lst</v>
          </cell>
        </row>
        <row r="114">
          <cell r="C114" t="str">
            <v>F1. Fora âmbito | Campos concluídos - Sem necessidade de espec.</v>
          </cell>
          <cell r="G114" t="str">
            <v>ttl_lvrg_rt_prvs</v>
          </cell>
        </row>
        <row r="115">
          <cell r="C115" t="str">
            <v>F1. Fora âmbito | Campos concluídos - Sem necessidade de espec.</v>
          </cell>
          <cell r="G115" t="str">
            <v>ttl_lvrg_rt</v>
          </cell>
        </row>
        <row r="116">
          <cell r="C116" t="str">
            <v>F1. Fora âmbito | Campos concluídos - Sem necessidade de espec.</v>
          </cell>
          <cell r="G116" t="str">
            <v>subportfolio_id</v>
          </cell>
        </row>
        <row r="117">
          <cell r="C117" t="str">
            <v>F1. Fora âmbito | Campos concluídos - Sem necessidade de espec.</v>
          </cell>
          <cell r="G117" t="str">
            <v>sicr_assssmnt_mthd</v>
          </cell>
        </row>
        <row r="118">
          <cell r="C118" t="str">
            <v>F1. Fora âmbito | Campos concluídos - Sem necessidade de espec.</v>
          </cell>
          <cell r="G118" t="str">
            <v>rwa_mthd</v>
          </cell>
        </row>
        <row r="119">
          <cell r="C119" t="str">
            <v>F1. Fora âmbito | Campos concluídos - Sem necessidade de espec.</v>
          </cell>
          <cell r="G119" t="str">
            <v>rtng_scl</v>
          </cell>
        </row>
        <row r="120">
          <cell r="C120" t="str">
            <v>F1. Fora âmbito | Campos concluídos - Sem necessidade de espec.</v>
          </cell>
          <cell r="G120" t="str">
            <v>rcvd_amrtstn_24m</v>
          </cell>
        </row>
        <row r="121">
          <cell r="C121" t="str">
            <v>F1. Fora âmbito | Campos concluídos - Sem necessidade de espec.</v>
          </cell>
          <cell r="G121" t="str">
            <v>prps</v>
          </cell>
        </row>
        <row r="122">
          <cell r="C122" t="str">
            <v>F1. Fora âmbito | Campos concluídos - Sem necessidade de espec.</v>
          </cell>
          <cell r="G122" t="str">
            <v>prfrmng_stts_le</v>
          </cell>
        </row>
        <row r="123">
          <cell r="C123" t="str">
            <v>F1. Fora âmbito | Campos concluídos - Sem necessidade de espec.</v>
          </cell>
          <cell r="G123" t="str">
            <v>prdntl_prtfl</v>
          </cell>
        </row>
        <row r="124">
          <cell r="C124" t="str">
            <v>F1. Fora âmbito | Campos concluídos - Sem necessidade de espec.</v>
          </cell>
          <cell r="G124" t="str">
            <v>pd_ifrs9_rmnng_lftm_rd</v>
          </cell>
        </row>
        <row r="125">
          <cell r="C125" t="str">
            <v>F1. Fora âmbito | Campos concluídos - Sem necessidade de espec.</v>
          </cell>
          <cell r="G125" t="str">
            <v>pd_ifrs9_rmnng_lftm_incptn</v>
          </cell>
        </row>
        <row r="126">
          <cell r="C126" t="str">
            <v>F1. Fora âmbito | Campos concluídos - Sem necessidade de espec.</v>
          </cell>
          <cell r="G126" t="str">
            <v>pd_ifrs9_lftm_incptn</v>
          </cell>
        </row>
        <row r="127">
          <cell r="C127" t="str">
            <v>F1. Fora âmbito | Campos concluídos - Sem necessidade de espec.</v>
          </cell>
          <cell r="G127" t="str">
            <v>pd_ifrs9_12m_incptn</v>
          </cell>
        </row>
        <row r="128">
          <cell r="C128" t="str">
            <v>F1. Fora âmbito | Campos concluídos - Sem necessidade de espec.</v>
          </cell>
          <cell r="G128" t="str">
            <v>osi_id</v>
          </cell>
        </row>
        <row r="129">
          <cell r="C129" t="str">
            <v>F1. Fora âmbito | Campos concluídos - Sem necessidade de espec.</v>
          </cell>
          <cell r="G129" t="str">
            <v>obsrvd_agnt_nm</v>
          </cell>
        </row>
        <row r="130">
          <cell r="C130" t="str">
            <v>F1. Fora âmbito | Campos concluídos - Sem necessidade de espec.</v>
          </cell>
          <cell r="G130" t="str">
            <v>obsrvd_agnt_id</v>
          </cell>
        </row>
        <row r="131">
          <cell r="C131" t="str">
            <v>F1. Fora âmbito | Campos concluídos - Sem necessidade de espec.</v>
          </cell>
          <cell r="G131" t="str">
            <v>nmbr_frbrnc_msrs</v>
          </cell>
        </row>
        <row r="132">
          <cell r="C132" t="str">
            <v>F1. Fora âmbito | Campos concluídos - Sem necessidade de espec.</v>
          </cell>
          <cell r="G132" t="str">
            <v>lvrg_prvs</v>
          </cell>
        </row>
        <row r="133">
          <cell r="C133" t="str">
            <v>F1. Fora âmbito | Campos concluídos - Sem necessidade de espec.</v>
          </cell>
          <cell r="G133" t="str">
            <v>lvrg</v>
          </cell>
        </row>
        <row r="134">
          <cell r="C134" t="str">
            <v>F1. Fora âmbito | Campos concluídos - Sem necessidade de espec.</v>
          </cell>
          <cell r="G134" t="str">
            <v>lgd</v>
          </cell>
        </row>
        <row r="135">
          <cell r="C135" t="str">
            <v>F1. Fora âmbito | Campos concluídos - Sem necessidade de espec.</v>
          </cell>
          <cell r="G135" t="str">
            <v>lei</v>
          </cell>
        </row>
        <row r="136">
          <cell r="C136" t="str">
            <v>F1. Fora âmbito | Campos concluídos - Sem necessidade de espec.</v>
          </cell>
          <cell r="G136" t="str">
            <v>jnt_lblty_amnt</v>
          </cell>
        </row>
        <row r="137">
          <cell r="C137" t="str">
            <v>F1. Fora âmbito | Campos concluídos - Sem necessidade de espec.</v>
          </cell>
          <cell r="G137" t="str">
            <v>intrnl_unt</v>
          </cell>
        </row>
        <row r="138">
          <cell r="C138" t="str">
            <v>F1. Fora âmbito | Campos concluídos - Sem necessidade de espec.</v>
          </cell>
          <cell r="G138" t="str">
            <v>intrnl_unt</v>
          </cell>
        </row>
        <row r="139">
          <cell r="C139" t="str">
            <v>F1. Fora âmbito | Campos concluídos - Sem necessidade de espec.</v>
          </cell>
          <cell r="G139" t="str">
            <v>intrnl_sgmnt</v>
          </cell>
        </row>
        <row r="140">
          <cell r="C140" t="str">
            <v>F1. Fora âmbito | Campos concluídos - Sem necessidade de espec.</v>
          </cell>
          <cell r="G140" t="str">
            <v>intrnl_sgmnt</v>
          </cell>
        </row>
        <row r="141">
          <cell r="C141" t="str">
            <v>F1. Fora âmbito | Campos concluídos - Sem necessidade de espec.</v>
          </cell>
          <cell r="G141" t="str">
            <v>instrmnt_id</v>
          </cell>
        </row>
        <row r="142">
          <cell r="C142" t="str">
            <v>F1. Fora âmbito | Campos concluídos - Sem necessidade de espec.</v>
          </cell>
          <cell r="G142" t="str">
            <v>instrmnt_id</v>
          </cell>
        </row>
        <row r="143">
          <cell r="C143" t="str">
            <v>F1. Fora âmbito | Campos concluídos - Sem necessidade de espec.</v>
          </cell>
          <cell r="G143" t="str">
            <v>instr_snrty_clss</v>
          </cell>
        </row>
        <row r="144">
          <cell r="C144" t="str">
            <v>F1. Fora âmbito | Campos concluídos - Sem necessidade de espec.</v>
          </cell>
          <cell r="G144" t="str">
            <v>imprmnt_assssmnt_mthd</v>
          </cell>
        </row>
        <row r="145">
          <cell r="C145" t="str">
            <v>F1. Fora âmbito | Campos concluídos - Sem necessidade de espec.</v>
          </cell>
          <cell r="G145" t="str">
            <v>grss_crryng_amnt_instrmnt</v>
          </cell>
        </row>
        <row r="146">
          <cell r="C146" t="str">
            <v>F1. Fora âmbito | Campos concluídos - Sem necessidade de espec.</v>
          </cell>
          <cell r="G146" t="str">
            <v>grp_nt_dbt</v>
          </cell>
        </row>
        <row r="147">
          <cell r="C147" t="str">
            <v>F1. Fora âmbito | Campos concluídos - Sem necessidade de espec.</v>
          </cell>
          <cell r="G147" t="str">
            <v>grp_eqty</v>
          </cell>
        </row>
        <row r="148">
          <cell r="C148" t="str">
            <v>F1. Fora âmbito | Campos concluídos - Sem necessidade de espec.</v>
          </cell>
          <cell r="G148" t="str">
            <v>grp_ebitda</v>
          </cell>
        </row>
        <row r="149">
          <cell r="C149" t="str">
            <v>F1. Fora âmbito | Campos concluídos - Sem necessidade de espec.</v>
          </cell>
          <cell r="G149" t="str">
            <v>gcc_prnt_nm</v>
          </cell>
        </row>
        <row r="150">
          <cell r="C150" t="str">
            <v>F1. Fora âmbito | Campos concluídos - Sem necessidade de espec.</v>
          </cell>
          <cell r="G150" t="str">
            <v>gcc_prnt_id</v>
          </cell>
        </row>
        <row r="151">
          <cell r="C151" t="str">
            <v>F1. Fora âmbito | Campos concluídos - Sem necessidade de espec.</v>
          </cell>
          <cell r="G151" t="str">
            <v>expsr_in_scp</v>
          </cell>
        </row>
        <row r="152">
          <cell r="C152" t="str">
            <v>F1. Fora âmbito | Campos concluídos - Sem necessidade de espec.</v>
          </cell>
          <cell r="G152" t="str">
            <v>entty_nm</v>
          </cell>
        </row>
        <row r="153">
          <cell r="C153" t="str">
            <v>F1. Fora âmbito | Campos concluídos - Sem necessidade de espec.</v>
          </cell>
          <cell r="G153" t="str">
            <v>dt_rfrnc</v>
          </cell>
        </row>
        <row r="154">
          <cell r="C154" t="str">
            <v>F1. Fora âmbito | Campos concluídos - Sem necessidade de espec.</v>
          </cell>
          <cell r="G154" t="str">
            <v>dt_rfrnc</v>
          </cell>
        </row>
        <row r="155">
          <cell r="C155" t="str">
            <v>F1. Fora âmbito | Campos concluídos - Sem necessidade de espec.</v>
          </cell>
          <cell r="G155" t="str">
            <v>dt_rfrnc</v>
          </cell>
        </row>
        <row r="156">
          <cell r="C156" t="str">
            <v>F1. Fora âmbito | Campos concluídos - Sem necessidade de espec.</v>
          </cell>
          <cell r="G156" t="str">
            <v>dt_inttn_lgl_prcdngs_le</v>
          </cell>
        </row>
        <row r="157">
          <cell r="C157" t="str">
            <v>F1. Fora âmbito | Campos concluídos - Sem necessidade de espec.</v>
          </cell>
          <cell r="G157" t="str">
            <v>csh_swp_trp</v>
          </cell>
        </row>
        <row r="158">
          <cell r="C158" t="str">
            <v>F1. Fora âmbito | Campos concluídos - Sem necessidade de espec.</v>
          </cell>
          <cell r="G158" t="str">
            <v>crryng_amnt_instrmnt</v>
          </cell>
        </row>
        <row r="159">
          <cell r="C159" t="str">
            <v>F1. Fora âmbito | Campos concluídos - Sem necessidade de espec.</v>
          </cell>
          <cell r="G159" t="str">
            <v>crrncy_dnmntn</v>
          </cell>
        </row>
        <row r="160">
          <cell r="C160" t="str">
            <v>F1. Fora âmbito | Campos concluídos - Sem necessidade de espec.</v>
          </cell>
          <cell r="G160" t="str">
            <v>cod_soc</v>
          </cell>
        </row>
        <row r="161">
          <cell r="C161" t="str">
            <v>F1. Fora âmbito | Campos concluídos - Sem necessidade de espec.</v>
          </cell>
          <cell r="G161" t="str">
            <v>cod_soc</v>
          </cell>
        </row>
        <row r="162">
          <cell r="C162" t="str">
            <v>F1. Fora âmbito | Campos concluídos - Sem necessidade de espec.</v>
          </cell>
          <cell r="G162" t="str">
            <v>cod_soc</v>
          </cell>
        </row>
        <row r="163">
          <cell r="C163" t="str">
            <v>F1. Fora âmbito | Campos concluídos - Sem necessidade de espec.</v>
          </cell>
          <cell r="G163" t="str">
            <v>ccf</v>
          </cell>
        </row>
        <row r="164">
          <cell r="C164" t="str">
            <v>F1. Fora âmbito | Campos concluídos - Sem necessidade de espec.</v>
          </cell>
          <cell r="G164" t="str">
            <v>brchd_cvnnts</v>
          </cell>
        </row>
        <row r="165">
          <cell r="C165" t="str">
            <v>F1. Fora âmbito | Campos concluídos - Sem necessidade de espec.</v>
          </cell>
          <cell r="G165" t="str">
            <v>accntng_clssfctn</v>
          </cell>
        </row>
        <row r="166">
          <cell r="C166" t="str">
            <v>F1. Fora âmbito | Campos concluídos - Sem necessidade de espec.</v>
          </cell>
          <cell r="G166" t="str">
            <v>accmltd_wrtffs_instrmnt</v>
          </cell>
        </row>
        <row r="167">
          <cell r="C167" t="str">
            <v>F1. Fora âmbito | Campos concluídos - Sem necessidade de espec.</v>
          </cell>
          <cell r="G167" t="str">
            <v>accmltd_imprmnt_instrmnt</v>
          </cell>
        </row>
        <row r="168">
          <cell r="C168" t="str">
            <v>F2. Fora âmbito | Campos em testes ou c/ incidências (LT - PM)</v>
          </cell>
          <cell r="G168" t="str">
            <v>prfrmng_stts</v>
          </cell>
        </row>
        <row r="169">
          <cell r="C169" t="str">
            <v>F2. Fora âmbito | Campos em testes ou c/ incidências (LT - PM)</v>
          </cell>
          <cell r="G169" t="str">
            <v>imprmnt_stts_prvs</v>
          </cell>
        </row>
        <row r="170">
          <cell r="C170" t="str">
            <v>F2. Fora âmbito | Campos em testes ou c/ incidências (LT - PM)</v>
          </cell>
          <cell r="G170" t="str">
            <v>imprmnt_stts</v>
          </cell>
        </row>
        <row r="171">
          <cell r="C171" t="str">
            <v>F2. Fora âmbito | Campos em testes ou c/ incidências (LT - PM)</v>
          </cell>
          <cell r="G171" t="str">
            <v>ifrs9_bhvrl_mtrty</v>
          </cell>
        </row>
        <row r="172">
          <cell r="C172" t="str">
            <v>F2. Fora âmbito | Campos em testes ou c/ incidências (LT - PM)</v>
          </cell>
          <cell r="G172" t="str">
            <v>dt_prfrmng_stts_prvs</v>
          </cell>
        </row>
        <row r="173">
          <cell r="C173" t="str">
            <v>F2. Fora âmbito | Campos em testes ou c/ incidências (LT - PM)</v>
          </cell>
          <cell r="G173" t="str">
            <v>dt_prfrmng_stts</v>
          </cell>
        </row>
        <row r="174">
          <cell r="C174" t="str">
            <v>F2. Fora âmbito | Campos em testes ou c/ incidências (LT - PM)</v>
          </cell>
          <cell r="G174" t="str">
            <v>dt_imprmnt_stts</v>
          </cell>
        </row>
        <row r="175">
          <cell r="C175" t="str">
            <v>F3. Fora âmbito | Fonte Manual LF</v>
          </cell>
          <cell r="G175" t="str">
            <v>spnsr_nm</v>
          </cell>
        </row>
        <row r="176">
          <cell r="C176" t="str">
            <v>F3. Fora âmbito | Fonte Manual LF</v>
          </cell>
          <cell r="G176" t="str">
            <v>ownd_by_spnsr</v>
          </cell>
        </row>
        <row r="177">
          <cell r="C177" t="str">
            <v>F3. Fora âmbito | Fonte Manual LF</v>
          </cell>
          <cell r="G177" t="str">
            <v>cvnnt_typ</v>
          </cell>
        </row>
        <row r="178">
          <cell r="C178" t="str">
            <v>F3. Fora âmbito | Fonte Manual LF</v>
          </cell>
          <cell r="G178" t="str">
            <v>cvnnt_stts</v>
          </cell>
        </row>
        <row r="179">
          <cell r="C179" t="str">
            <v>F4. Fora âmbito | Re-especificação de campos complexos - Dem. Fin. CIB</v>
          </cell>
          <cell r="G179" t="str">
            <v>ttl_dbt_prvs</v>
          </cell>
        </row>
        <row r="180">
          <cell r="C180" t="str">
            <v>F4. Fora âmbito | Re-especificação de campos complexos - Dem. Fin. CIB</v>
          </cell>
          <cell r="G180" t="str">
            <v>ttl_dbt</v>
          </cell>
        </row>
        <row r="181">
          <cell r="C181" t="str">
            <v>F4. Fora âmbito | Re-especificação de campos complexos - Dem. Fin. CIB</v>
          </cell>
          <cell r="G181" t="str">
            <v>nt_incm_prvs</v>
          </cell>
        </row>
        <row r="182">
          <cell r="C182" t="str">
            <v>F4. Fora âmbito | Re-especificação de campos complexos - Dem. Fin. CIB</v>
          </cell>
          <cell r="G182" t="str">
            <v>nt_incm</v>
          </cell>
        </row>
        <row r="183">
          <cell r="C183" t="str">
            <v>F4. Fora âmbito | Re-especificação de campos complexos - Dem. Fin. CIB</v>
          </cell>
          <cell r="G183" t="str">
            <v>eqty_prvs</v>
          </cell>
        </row>
        <row r="184">
          <cell r="C184" t="str">
            <v>F4. Fora âmbito | Re-especificação de campos complexos - Dem. Fin. CIB</v>
          </cell>
          <cell r="G184" t="str">
            <v>eqty</v>
          </cell>
        </row>
        <row r="185">
          <cell r="C185" t="str">
            <v>F4. Fora âmbito | Re-especificação de campos complexos - Dem. Fin. CIB</v>
          </cell>
          <cell r="G185" t="str">
            <v>ebitda_prvs</v>
          </cell>
        </row>
        <row r="186">
          <cell r="C186" t="str">
            <v>F4. Fora âmbito | Re-especificação de campos complexos - Dem. Fin. CIB</v>
          </cell>
          <cell r="G186" t="str">
            <v>ebitda</v>
          </cell>
        </row>
        <row r="187">
          <cell r="C187" t="str">
            <v>F4. Fora âmbito | Re-especificação de campos complexos - Dem. Fin. CIB</v>
          </cell>
          <cell r="G187" t="str">
            <v>dt_fnncl_sttmts_prvs</v>
          </cell>
        </row>
        <row r="188">
          <cell r="C188" t="str">
            <v>F4. Fora âmbito | Re-especificação de campos complexos - Dem. Fin. CIB</v>
          </cell>
          <cell r="G188" t="str">
            <v>dt_fnncl_sttmts</v>
          </cell>
        </row>
        <row r="189">
          <cell r="C189" t="str">
            <v>F4. Fora âmbito | Re-especificação de campos complexos - Dem. Fin. CIB</v>
          </cell>
          <cell r="G189" t="str">
            <v>annl_trnvr_prvs</v>
          </cell>
        </row>
        <row r="190">
          <cell r="C190" t="str">
            <v>F4. Fora âmbito | Re-especificação de campos complexos - Dem. Fin. CIB</v>
          </cell>
          <cell r="G190" t="str">
            <v>annl_trnvr_le</v>
          </cell>
        </row>
        <row r="191">
          <cell r="C191" t="str">
            <v>F4. Fora âmbito | Re-especificação de campos complexos - Dem. Fin. CIB</v>
          </cell>
          <cell r="G191" t="str">
            <v>accntng_frmwrk_sl</v>
          </cell>
        </row>
      </sheetData>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READ ME - APPLICABILITY"/>
      <sheetName val="Overview"/>
      <sheetName val="CodeList"/>
      <sheetName val="Hoja1"/>
      <sheetName val="SUBPORTFOLIO_ID - Code List"/>
      <sheetName val="BDR - Code List"/>
      <sheetName val="Conversion Codes Subportfolio"/>
    </sheetNames>
    <sheetDataSet>
      <sheetData sheetId="0"/>
      <sheetData sheetId="1"/>
      <sheetData sheetId="2">
        <row r="1">
          <cell r="E1" t="str">
            <v>Data field</v>
          </cell>
          <cell r="Z1" t="str">
            <v>Structural 
ECB Loan Tape</v>
          </cell>
          <cell r="AA1" t="str">
            <v>Green 
Dashboard</v>
          </cell>
          <cell r="AB1" t="str">
            <v>Pillar III ESG &amp; CSRD</v>
          </cell>
          <cell r="AC1" t="str">
            <v>Green Finance</v>
          </cell>
          <cell r="AD1" t="str">
            <v>ESG Risks</v>
          </cell>
          <cell r="AE1" t="str">
            <v>Leveraged Finance</v>
          </cell>
        </row>
        <row r="2">
          <cell r="E2" t="str">
            <v>COD_SOC</v>
          </cell>
          <cell r="Z2" t="str">
            <v>Y</v>
          </cell>
          <cell r="AA2" t="str">
            <v>N</v>
          </cell>
          <cell r="AB2" t="str">
            <v>Y</v>
          </cell>
          <cell r="AC2" t="str">
            <v>Y</v>
          </cell>
          <cell r="AD2" t="str">
            <v>Y</v>
          </cell>
          <cell r="AE2" t="str">
            <v>Y</v>
          </cell>
        </row>
        <row r="3">
          <cell r="E3" t="str">
            <v>CNTRY</v>
          </cell>
          <cell r="Z3" t="str">
            <v>Y</v>
          </cell>
          <cell r="AA3" t="str">
            <v>N</v>
          </cell>
          <cell r="AB3" t="str">
            <v>Y</v>
          </cell>
          <cell r="AC3" t="str">
            <v>Y</v>
          </cell>
          <cell r="AD3" t="str">
            <v>Y</v>
          </cell>
          <cell r="AE3" t="str">
            <v>Y</v>
          </cell>
        </row>
        <row r="4">
          <cell r="E4" t="str">
            <v>DT_BRTH</v>
          </cell>
          <cell r="Z4" t="str">
            <v>Y</v>
          </cell>
          <cell r="AA4" t="str">
            <v>N</v>
          </cell>
          <cell r="AB4" t="str">
            <v>N</v>
          </cell>
          <cell r="AC4" t="str">
            <v>N</v>
          </cell>
          <cell r="AD4" t="str">
            <v>N</v>
          </cell>
          <cell r="AE4" t="str">
            <v>N</v>
          </cell>
        </row>
        <row r="5">
          <cell r="E5" t="str">
            <v>DT_DFLT_STTS</v>
          </cell>
          <cell r="Z5" t="str">
            <v>Y</v>
          </cell>
          <cell r="AA5" t="str">
            <v>N</v>
          </cell>
          <cell r="AB5" t="str">
            <v>N</v>
          </cell>
          <cell r="AC5" t="str">
            <v>N</v>
          </cell>
          <cell r="AD5" t="str">
            <v>N</v>
          </cell>
          <cell r="AE5" t="str">
            <v>Y</v>
          </cell>
        </row>
        <row r="6">
          <cell r="E6" t="str">
            <v>DT_FNNCL_STTMTS</v>
          </cell>
          <cell r="Z6" t="str">
            <v>Y</v>
          </cell>
          <cell r="AA6" t="str">
            <v>N</v>
          </cell>
          <cell r="AB6" t="str">
            <v>N</v>
          </cell>
          <cell r="AC6" t="str">
            <v>N</v>
          </cell>
          <cell r="AD6" t="str">
            <v>N</v>
          </cell>
          <cell r="AE6" t="str">
            <v>Y</v>
          </cell>
        </row>
        <row r="7">
          <cell r="E7" t="str">
            <v>DT_FNNCL_STTMTS_PRVS</v>
          </cell>
          <cell r="Z7" t="str">
            <v>Y</v>
          </cell>
          <cell r="AA7" t="str">
            <v>N</v>
          </cell>
          <cell r="AB7" t="str">
            <v>N</v>
          </cell>
          <cell r="AC7" t="str">
            <v>N</v>
          </cell>
          <cell r="AD7" t="str">
            <v>N</v>
          </cell>
          <cell r="AE7" t="str">
            <v>Y</v>
          </cell>
        </row>
        <row r="8">
          <cell r="E8" t="str">
            <v>DT_INTTN_LGL_PRCDNGS_LE</v>
          </cell>
          <cell r="Z8" t="str">
            <v>Y</v>
          </cell>
          <cell r="AA8" t="str">
            <v>N</v>
          </cell>
          <cell r="AB8" t="str">
            <v>N</v>
          </cell>
          <cell r="AC8" t="str">
            <v>N</v>
          </cell>
          <cell r="AD8" t="str">
            <v>N</v>
          </cell>
          <cell r="AE8" t="str">
            <v>Y</v>
          </cell>
        </row>
        <row r="9">
          <cell r="E9" t="str">
            <v>DT_PRFRMNG_STTS_LE</v>
          </cell>
          <cell r="Z9" t="str">
            <v>Y</v>
          </cell>
          <cell r="AA9" t="str">
            <v>N</v>
          </cell>
          <cell r="AB9" t="str">
            <v>N</v>
          </cell>
          <cell r="AC9" t="str">
            <v>N</v>
          </cell>
          <cell r="AD9" t="str">
            <v>N</v>
          </cell>
          <cell r="AE9" t="str">
            <v>Y</v>
          </cell>
        </row>
        <row r="10">
          <cell r="E10" t="str">
            <v>DT_RFRNC</v>
          </cell>
          <cell r="Z10" t="str">
            <v>Y</v>
          </cell>
          <cell r="AA10" t="str">
            <v>N</v>
          </cell>
          <cell r="AB10" t="str">
            <v>Y</v>
          </cell>
          <cell r="AC10" t="str">
            <v>Y</v>
          </cell>
          <cell r="AD10" t="str">
            <v>N</v>
          </cell>
          <cell r="AE10" t="str">
            <v>Y</v>
          </cell>
        </row>
        <row r="11">
          <cell r="E11" t="str">
            <v>ENTTY_ID</v>
          </cell>
          <cell r="Z11" t="str">
            <v>Y</v>
          </cell>
          <cell r="AA11" t="str">
            <v>N</v>
          </cell>
          <cell r="AB11" t="str">
            <v>Y</v>
          </cell>
          <cell r="AC11" t="str">
            <v>Y</v>
          </cell>
          <cell r="AD11" t="str">
            <v>Y</v>
          </cell>
          <cell r="AE11" t="str">
            <v>Y</v>
          </cell>
        </row>
        <row r="12">
          <cell r="E12" t="str">
            <v>GCC_PRNT_ID</v>
          </cell>
          <cell r="Z12" t="str">
            <v>Y</v>
          </cell>
          <cell r="AA12" t="str">
            <v>N</v>
          </cell>
          <cell r="AB12" t="str">
            <v>N</v>
          </cell>
          <cell r="AC12" t="str">
            <v>N</v>
          </cell>
          <cell r="AD12" t="str">
            <v>N</v>
          </cell>
          <cell r="AE12" t="str">
            <v>Y</v>
          </cell>
        </row>
        <row r="13">
          <cell r="E13" t="str">
            <v>GCC_PRNT_NM</v>
          </cell>
          <cell r="Z13" t="str">
            <v>Y</v>
          </cell>
          <cell r="AA13" t="str">
            <v>N</v>
          </cell>
          <cell r="AB13" t="str">
            <v>N</v>
          </cell>
          <cell r="AC13" t="str">
            <v>N</v>
          </cell>
          <cell r="AD13" t="str">
            <v>N</v>
          </cell>
          <cell r="AE13" t="str">
            <v>Y</v>
          </cell>
        </row>
        <row r="14">
          <cell r="E14" t="str">
            <v>INTRNL_SGMNT</v>
          </cell>
          <cell r="Z14" t="str">
            <v>Y</v>
          </cell>
          <cell r="AA14" t="str">
            <v>N</v>
          </cell>
          <cell r="AB14" t="str">
            <v>N</v>
          </cell>
          <cell r="AC14" t="str">
            <v>N</v>
          </cell>
          <cell r="AD14" t="str">
            <v>N</v>
          </cell>
          <cell r="AE14" t="str">
            <v>Y</v>
          </cell>
        </row>
        <row r="15">
          <cell r="E15" t="str">
            <v>INTRNL_UNT</v>
          </cell>
          <cell r="Z15" t="str">
            <v>Y</v>
          </cell>
          <cell r="AA15" t="str">
            <v>N</v>
          </cell>
          <cell r="AB15" t="str">
            <v>N</v>
          </cell>
          <cell r="AC15" t="str">
            <v>N</v>
          </cell>
          <cell r="AD15" t="str">
            <v>N</v>
          </cell>
          <cell r="AE15" t="str">
            <v>Y</v>
          </cell>
        </row>
        <row r="16">
          <cell r="E16" t="str">
            <v>LEI</v>
          </cell>
          <cell r="Z16" t="str">
            <v>Y</v>
          </cell>
          <cell r="AA16" t="str">
            <v>N</v>
          </cell>
          <cell r="AB16" t="str">
            <v>Y</v>
          </cell>
          <cell r="AC16" t="str">
            <v>N</v>
          </cell>
          <cell r="AD16" t="str">
            <v>N</v>
          </cell>
          <cell r="AE16" t="str">
            <v>Y</v>
          </cell>
        </row>
        <row r="17">
          <cell r="E17" t="str">
            <v>ENTTY_NM</v>
          </cell>
          <cell r="Z17" t="str">
            <v>Y</v>
          </cell>
          <cell r="AA17" t="str">
            <v>N</v>
          </cell>
          <cell r="AB17" t="str">
            <v>Y</v>
          </cell>
          <cell r="AC17" t="str">
            <v>Y</v>
          </cell>
          <cell r="AD17" t="str">
            <v>N</v>
          </cell>
          <cell r="AE17" t="str">
            <v>Y</v>
          </cell>
        </row>
        <row r="18">
          <cell r="E18" t="str">
            <v>EXTRNL_RTNG_NM</v>
          </cell>
          <cell r="Z18" t="str">
            <v>Y</v>
          </cell>
          <cell r="AA18" t="str">
            <v>N</v>
          </cell>
          <cell r="AB18" t="str">
            <v>N</v>
          </cell>
          <cell r="AC18" t="str">
            <v>N</v>
          </cell>
          <cell r="AD18" t="str">
            <v>N</v>
          </cell>
          <cell r="AE18" t="str">
            <v>Y</v>
          </cell>
        </row>
        <row r="19">
          <cell r="E19" t="str">
            <v>ACCNTNG_FRMWRK_SL</v>
          </cell>
          <cell r="Z19" t="str">
            <v>Y</v>
          </cell>
          <cell r="AA19" t="str">
            <v>N</v>
          </cell>
          <cell r="AB19" t="str">
            <v>N</v>
          </cell>
          <cell r="AC19" t="str">
            <v>N</v>
          </cell>
          <cell r="AD19" t="str">
            <v>N</v>
          </cell>
          <cell r="AE19" t="str">
            <v>Y</v>
          </cell>
        </row>
        <row r="20">
          <cell r="E20" t="str">
            <v>CR_FLG</v>
          </cell>
          <cell r="Z20" t="str">
            <v>Y</v>
          </cell>
          <cell r="AA20" t="str">
            <v>N</v>
          </cell>
          <cell r="AB20" t="str">
            <v>N</v>
          </cell>
          <cell r="AC20" t="str">
            <v>N</v>
          </cell>
          <cell r="AD20" t="str">
            <v>N</v>
          </cell>
          <cell r="AE20" t="str">
            <v>N</v>
          </cell>
        </row>
        <row r="21">
          <cell r="E21" t="str">
            <v>DCSD</v>
          </cell>
          <cell r="Z21" t="str">
            <v>Y</v>
          </cell>
          <cell r="AA21" t="str">
            <v>N</v>
          </cell>
          <cell r="AB21" t="str">
            <v>N</v>
          </cell>
          <cell r="AC21" t="str">
            <v>N</v>
          </cell>
          <cell r="AD21" t="str">
            <v>N</v>
          </cell>
          <cell r="AE21" t="str">
            <v>N</v>
          </cell>
        </row>
        <row r="22">
          <cell r="E22" t="str">
            <v>DFLT_STTS</v>
          </cell>
          <cell r="Z22" t="str">
            <v>Y</v>
          </cell>
          <cell r="AA22" t="str">
            <v>N</v>
          </cell>
          <cell r="AB22" t="str">
            <v>N</v>
          </cell>
          <cell r="AC22" t="str">
            <v>N</v>
          </cell>
          <cell r="AD22" t="str">
            <v>N</v>
          </cell>
          <cell r="AE22" t="str">
            <v>Y</v>
          </cell>
        </row>
        <row r="23">
          <cell r="E23" t="str">
            <v>DT_EXTRNL_RTNG</v>
          </cell>
          <cell r="Z23" t="str">
            <v>Y</v>
          </cell>
          <cell r="AA23" t="str">
            <v>N</v>
          </cell>
          <cell r="AB23" t="str">
            <v>N</v>
          </cell>
          <cell r="AC23" t="str">
            <v>N</v>
          </cell>
          <cell r="AD23" t="str">
            <v>N</v>
          </cell>
          <cell r="AE23" t="str">
            <v>Y</v>
          </cell>
        </row>
        <row r="24">
          <cell r="E24" t="str">
            <v>DT_INTRNL_RTNG</v>
          </cell>
          <cell r="Z24" t="str">
            <v>Y</v>
          </cell>
          <cell r="AA24" t="str">
            <v>N</v>
          </cell>
          <cell r="AB24" t="str">
            <v>N</v>
          </cell>
          <cell r="AC24" t="str">
            <v>N</v>
          </cell>
          <cell r="AD24" t="str">
            <v>N</v>
          </cell>
          <cell r="AE24" t="str">
            <v>Y</v>
          </cell>
        </row>
        <row r="25">
          <cell r="E25" t="str">
            <v>ECNMC_ACTVTY</v>
          </cell>
          <cell r="Z25" t="str">
            <v>Y</v>
          </cell>
          <cell r="AA25" t="str">
            <v>N</v>
          </cell>
          <cell r="AB25" t="str">
            <v>Y</v>
          </cell>
          <cell r="AC25" t="str">
            <v>Y</v>
          </cell>
          <cell r="AD25" t="str">
            <v>Y</v>
          </cell>
          <cell r="AE25" t="str">
            <v>Y</v>
          </cell>
        </row>
        <row r="26">
          <cell r="E26" t="str">
            <v>EMPLYMNT_STTS_INTRNL</v>
          </cell>
          <cell r="Z26" t="str">
            <v>Y</v>
          </cell>
          <cell r="AA26" t="str">
            <v>N</v>
          </cell>
          <cell r="AB26" t="str">
            <v>N</v>
          </cell>
          <cell r="AC26" t="str">
            <v>N</v>
          </cell>
          <cell r="AD26" t="str">
            <v>N</v>
          </cell>
          <cell r="AE26" t="str">
            <v>N</v>
          </cell>
        </row>
        <row r="27">
          <cell r="E27" t="str">
            <v>EMPLYMNT_STTS</v>
          </cell>
          <cell r="Z27" t="str">
            <v>Y</v>
          </cell>
          <cell r="AA27" t="str">
            <v>N</v>
          </cell>
          <cell r="AB27" t="str">
            <v>N</v>
          </cell>
          <cell r="AC27" t="str">
            <v>N</v>
          </cell>
          <cell r="AD27" t="str">
            <v>N</v>
          </cell>
          <cell r="AE27" t="str">
            <v>N</v>
          </cell>
        </row>
        <row r="28">
          <cell r="E28" t="str">
            <v>ENTRPRS_SZ_LE</v>
          </cell>
          <cell r="Z28" t="str">
            <v>Y</v>
          </cell>
          <cell r="AA28" t="str">
            <v>N</v>
          </cell>
          <cell r="AB28" t="str">
            <v>N</v>
          </cell>
          <cell r="AC28" t="str">
            <v>N</v>
          </cell>
          <cell r="AD28" t="str">
            <v>N</v>
          </cell>
          <cell r="AE28" t="str">
            <v>N</v>
          </cell>
        </row>
        <row r="29">
          <cell r="E29" t="str">
            <v>EXTRNL_RTNG</v>
          </cell>
          <cell r="Z29" t="str">
            <v>Y</v>
          </cell>
          <cell r="AA29" t="str">
            <v>N</v>
          </cell>
          <cell r="AB29" t="str">
            <v>N</v>
          </cell>
          <cell r="AC29" t="str">
            <v>N</v>
          </cell>
          <cell r="AD29" t="str">
            <v>N</v>
          </cell>
          <cell r="AE29" t="str">
            <v>Y</v>
          </cell>
        </row>
        <row r="30">
          <cell r="E30" t="str">
            <v>EXTRNL_RTNG_PRVS</v>
          </cell>
          <cell r="Z30" t="str">
            <v>Y</v>
          </cell>
          <cell r="AA30" t="str">
            <v>N</v>
          </cell>
          <cell r="AB30" t="str">
            <v>N</v>
          </cell>
          <cell r="AC30" t="str">
            <v>N</v>
          </cell>
          <cell r="AD30" t="str">
            <v>N</v>
          </cell>
          <cell r="AE30" t="str">
            <v>Y</v>
          </cell>
        </row>
        <row r="31">
          <cell r="E31" t="str">
            <v>FLG_BNKRPTCY_IN_GRP</v>
          </cell>
          <cell r="Z31" t="str">
            <v>Y</v>
          </cell>
          <cell r="AA31" t="str">
            <v>N</v>
          </cell>
          <cell r="AB31" t="str">
            <v>N</v>
          </cell>
          <cell r="AC31" t="str">
            <v>N</v>
          </cell>
          <cell r="AD31" t="str">
            <v>N</v>
          </cell>
          <cell r="AE31" t="str">
            <v>N</v>
          </cell>
        </row>
        <row r="32">
          <cell r="E32" t="str">
            <v>FLG_HGH_CDS</v>
          </cell>
          <cell r="Z32" t="str">
            <v>Y</v>
          </cell>
          <cell r="AA32" t="str">
            <v>N</v>
          </cell>
          <cell r="AB32" t="str">
            <v>N</v>
          </cell>
          <cell r="AC32" t="str">
            <v>N</v>
          </cell>
          <cell r="AD32" t="str">
            <v>N</v>
          </cell>
          <cell r="AE32" t="str">
            <v>N</v>
          </cell>
        </row>
        <row r="33">
          <cell r="E33" t="str">
            <v>FLG_ISDA_CRDT_EVNT</v>
          </cell>
          <cell r="Z33" t="str">
            <v>Y</v>
          </cell>
          <cell r="AA33" t="str">
            <v>N</v>
          </cell>
          <cell r="AB33" t="str">
            <v>N</v>
          </cell>
          <cell r="AC33" t="str">
            <v>N</v>
          </cell>
          <cell r="AD33" t="str">
            <v>N</v>
          </cell>
          <cell r="AE33" t="str">
            <v>N</v>
          </cell>
        </row>
        <row r="34">
          <cell r="E34" t="str">
            <v>FLG_NN_ACCRL</v>
          </cell>
          <cell r="Z34" t="str">
            <v>Y</v>
          </cell>
          <cell r="AA34" t="str">
            <v>N</v>
          </cell>
          <cell r="AB34" t="str">
            <v>N</v>
          </cell>
          <cell r="AC34" t="str">
            <v>N</v>
          </cell>
          <cell r="AD34" t="str">
            <v>N</v>
          </cell>
          <cell r="AE34" t="str">
            <v>N</v>
          </cell>
        </row>
        <row r="35">
          <cell r="E35" t="str">
            <v>FLG_RQST_BNKRPTCY</v>
          </cell>
          <cell r="Z35" t="str">
            <v>Y</v>
          </cell>
          <cell r="AA35" t="str">
            <v>N</v>
          </cell>
          <cell r="AB35" t="str">
            <v>N</v>
          </cell>
          <cell r="AC35" t="str">
            <v>N</v>
          </cell>
          <cell r="AD35" t="str">
            <v>N</v>
          </cell>
          <cell r="AE35" t="str">
            <v>N</v>
          </cell>
        </row>
        <row r="36">
          <cell r="E36" t="str">
            <v>FLG_RQST_DSTRSSD_RSTRCTRNG</v>
          </cell>
          <cell r="Z36" t="str">
            <v>Y</v>
          </cell>
          <cell r="AA36" t="str">
            <v>N</v>
          </cell>
          <cell r="AB36" t="str">
            <v>N</v>
          </cell>
          <cell r="AC36" t="str">
            <v>N</v>
          </cell>
          <cell r="AD36" t="str">
            <v>N</v>
          </cell>
          <cell r="AE36" t="str">
            <v>N</v>
          </cell>
        </row>
        <row r="37">
          <cell r="E37" t="str">
            <v>FLG_RQST_EMRGNCY_FNDNG</v>
          </cell>
          <cell r="Z37" t="str">
            <v>Y</v>
          </cell>
          <cell r="AA37" t="str">
            <v>N</v>
          </cell>
          <cell r="AB37" t="str">
            <v>N</v>
          </cell>
          <cell r="AC37" t="str">
            <v>N</v>
          </cell>
          <cell r="AD37" t="str">
            <v>N</v>
          </cell>
          <cell r="AE37" t="str">
            <v>Y</v>
          </cell>
        </row>
        <row r="38">
          <cell r="E38" t="str">
            <v>FLG_SLL_WTH_LSS</v>
          </cell>
          <cell r="Z38" t="str">
            <v>Y</v>
          </cell>
          <cell r="AA38" t="str">
            <v>N</v>
          </cell>
          <cell r="AB38" t="str">
            <v>N</v>
          </cell>
          <cell r="AC38" t="str">
            <v>N</v>
          </cell>
          <cell r="AD38" t="str">
            <v>N</v>
          </cell>
          <cell r="AE38" t="str">
            <v>N</v>
          </cell>
        </row>
        <row r="39">
          <cell r="E39" t="str">
            <v>INCM_SC</v>
          </cell>
          <cell r="Z39" t="str">
            <v>Y</v>
          </cell>
          <cell r="AA39" t="str">
            <v>N</v>
          </cell>
          <cell r="AB39" t="str">
            <v>N</v>
          </cell>
          <cell r="AC39" t="str">
            <v>N</v>
          </cell>
          <cell r="AD39" t="str">
            <v>N</v>
          </cell>
          <cell r="AE39" t="str">
            <v>N</v>
          </cell>
        </row>
        <row r="40">
          <cell r="E40" t="str">
            <v>INTRNL_RTNG</v>
          </cell>
          <cell r="Z40" t="str">
            <v>Y</v>
          </cell>
          <cell r="AA40" t="str">
            <v>N</v>
          </cell>
          <cell r="AB40" t="str">
            <v>N</v>
          </cell>
          <cell r="AC40" t="str">
            <v>N</v>
          </cell>
          <cell r="AD40" t="str">
            <v>N</v>
          </cell>
          <cell r="AE40" t="str">
            <v>Y</v>
          </cell>
        </row>
        <row r="41">
          <cell r="E41" t="str">
            <v>INTRNL_RTNG_PRVS</v>
          </cell>
          <cell r="Z41" t="str">
            <v>Y</v>
          </cell>
          <cell r="AA41" t="str">
            <v>N</v>
          </cell>
          <cell r="AB41" t="str">
            <v>N</v>
          </cell>
          <cell r="AC41" t="str">
            <v>N</v>
          </cell>
          <cell r="AD41" t="str">
            <v>N</v>
          </cell>
          <cell r="AE41" t="str">
            <v>Y</v>
          </cell>
        </row>
        <row r="42">
          <cell r="E42" t="str">
            <v>LGL_PRCDNG_STTS_LE</v>
          </cell>
          <cell r="Z42" t="str">
            <v>Y</v>
          </cell>
          <cell r="AA42" t="str">
            <v>N</v>
          </cell>
          <cell r="AB42" t="str">
            <v>N</v>
          </cell>
          <cell r="AC42" t="str">
            <v>N</v>
          </cell>
          <cell r="AD42" t="str">
            <v>N</v>
          </cell>
          <cell r="AE42" t="str">
            <v>Y</v>
          </cell>
        </row>
        <row r="43">
          <cell r="E43" t="str">
            <v>OWND_BY_SPNSR</v>
          </cell>
          <cell r="Z43" t="str">
            <v>Y</v>
          </cell>
          <cell r="AA43" t="str">
            <v>N</v>
          </cell>
          <cell r="AB43" t="str">
            <v>N</v>
          </cell>
          <cell r="AC43" t="str">
            <v>N</v>
          </cell>
          <cell r="AD43" t="str">
            <v>N</v>
          </cell>
          <cell r="AE43" t="str">
            <v>Y</v>
          </cell>
        </row>
        <row r="44">
          <cell r="E44" t="str">
            <v>PRFRMNG_STTS_LE</v>
          </cell>
          <cell r="Z44" t="str">
            <v>Y</v>
          </cell>
          <cell r="AA44" t="str">
            <v>N</v>
          </cell>
          <cell r="AB44" t="str">
            <v>N</v>
          </cell>
          <cell r="AC44" t="str">
            <v>N</v>
          </cell>
          <cell r="AD44" t="str">
            <v>N</v>
          </cell>
          <cell r="AE44" t="str">
            <v>Y</v>
          </cell>
        </row>
        <row r="45">
          <cell r="E45" t="str">
            <v>RTNG_MTHD</v>
          </cell>
          <cell r="Z45" t="str">
            <v>Y</v>
          </cell>
          <cell r="AA45" t="str">
            <v>N</v>
          </cell>
          <cell r="AB45" t="str">
            <v>N</v>
          </cell>
          <cell r="AC45" t="str">
            <v>N</v>
          </cell>
          <cell r="AD45" t="str">
            <v>N</v>
          </cell>
          <cell r="AE45" t="str">
            <v>Y</v>
          </cell>
        </row>
        <row r="46">
          <cell r="E46" t="str">
            <v>RTNG_SCL</v>
          </cell>
          <cell r="Z46" t="str">
            <v>Y</v>
          </cell>
          <cell r="AA46" t="str">
            <v>N</v>
          </cell>
          <cell r="AB46" t="str">
            <v>N</v>
          </cell>
          <cell r="AC46" t="str">
            <v>N</v>
          </cell>
          <cell r="AD46" t="str">
            <v>N</v>
          </cell>
          <cell r="AE46" t="str">
            <v>Y</v>
          </cell>
        </row>
        <row r="47">
          <cell r="E47" t="str">
            <v>WTCH_LST</v>
          </cell>
          <cell r="Z47" t="str">
            <v>Y</v>
          </cell>
          <cell r="AA47" t="str">
            <v>N</v>
          </cell>
          <cell r="AB47" t="str">
            <v>N</v>
          </cell>
          <cell r="AC47" t="str">
            <v>N</v>
          </cell>
          <cell r="AD47" t="str">
            <v>N</v>
          </cell>
          <cell r="AE47" t="str">
            <v>Y</v>
          </cell>
        </row>
        <row r="48">
          <cell r="E48" t="str">
            <v>SNGL_PRPS_VHCL</v>
          </cell>
          <cell r="Z48" t="str">
            <v>Y</v>
          </cell>
          <cell r="AA48" t="str">
            <v>N</v>
          </cell>
          <cell r="AB48" t="str">
            <v>N</v>
          </cell>
          <cell r="AC48" t="str">
            <v>N</v>
          </cell>
          <cell r="AD48" t="str">
            <v>N</v>
          </cell>
          <cell r="AE48" t="str">
            <v>N</v>
          </cell>
        </row>
        <row r="49">
          <cell r="E49" t="str">
            <v>GRP_EBITDA</v>
          </cell>
          <cell r="Z49" t="str">
            <v>Y</v>
          </cell>
          <cell r="AA49" t="str">
            <v>N</v>
          </cell>
          <cell r="AB49" t="str">
            <v>N</v>
          </cell>
          <cell r="AC49" t="str">
            <v>N</v>
          </cell>
          <cell r="AD49" t="str">
            <v>N</v>
          </cell>
          <cell r="AE49" t="str">
            <v>Y</v>
          </cell>
        </row>
        <row r="50">
          <cell r="E50" t="str">
            <v>GRP_EQTY</v>
          </cell>
          <cell r="Z50" t="str">
            <v>Y</v>
          </cell>
          <cell r="AA50" t="str">
            <v>N</v>
          </cell>
          <cell r="AB50" t="str">
            <v>Y</v>
          </cell>
          <cell r="AC50" t="str">
            <v>N</v>
          </cell>
          <cell r="AD50" t="str">
            <v>N</v>
          </cell>
          <cell r="AE50" t="str">
            <v>Y</v>
          </cell>
        </row>
        <row r="51">
          <cell r="E51" t="str">
            <v>GRP_NT_DBT</v>
          </cell>
          <cell r="Z51" t="str">
            <v>Y</v>
          </cell>
          <cell r="AA51" t="str">
            <v>N</v>
          </cell>
          <cell r="AB51" t="str">
            <v>N</v>
          </cell>
          <cell r="AC51" t="str">
            <v>N</v>
          </cell>
          <cell r="AD51" t="str">
            <v>N</v>
          </cell>
          <cell r="AE51" t="str">
            <v>Y</v>
          </cell>
        </row>
        <row r="52">
          <cell r="E52" t="str">
            <v>ANNL_TRNVR_LE</v>
          </cell>
          <cell r="Z52" t="str">
            <v>Y</v>
          </cell>
          <cell r="AA52" t="str">
            <v>N</v>
          </cell>
          <cell r="AB52" t="str">
            <v>Y</v>
          </cell>
          <cell r="AC52" t="str">
            <v>N</v>
          </cell>
          <cell r="AD52" t="str">
            <v>N</v>
          </cell>
          <cell r="AE52" t="str">
            <v>Y</v>
          </cell>
        </row>
        <row r="53">
          <cell r="E53" t="str">
            <v>ANNL_TRNVR_PRVS</v>
          </cell>
          <cell r="Z53" t="str">
            <v>Y</v>
          </cell>
          <cell r="AA53" t="str">
            <v>N</v>
          </cell>
          <cell r="AB53" t="str">
            <v>N</v>
          </cell>
          <cell r="AC53" t="str">
            <v>N</v>
          </cell>
          <cell r="AD53" t="str">
            <v>N</v>
          </cell>
          <cell r="AE53" t="str">
            <v>Y</v>
          </cell>
        </row>
        <row r="54">
          <cell r="E54" t="str">
            <v>CAPEX</v>
          </cell>
          <cell r="Z54" t="str">
            <v>Y</v>
          </cell>
          <cell r="AA54" t="str">
            <v>N</v>
          </cell>
          <cell r="AB54" t="str">
            <v>N</v>
          </cell>
          <cell r="AC54" t="str">
            <v>N</v>
          </cell>
          <cell r="AD54" t="str">
            <v>N</v>
          </cell>
          <cell r="AE54" t="str">
            <v>N</v>
          </cell>
        </row>
        <row r="55">
          <cell r="E55" t="str">
            <v>CAPEX_PRVS</v>
          </cell>
          <cell r="Z55" t="str">
            <v>Y</v>
          </cell>
          <cell r="AA55" t="str">
            <v>N</v>
          </cell>
          <cell r="AB55" t="str">
            <v>N</v>
          </cell>
          <cell r="AC55" t="str">
            <v>N</v>
          </cell>
          <cell r="AD55" t="str">
            <v>N</v>
          </cell>
          <cell r="AE55" t="str">
            <v>N</v>
          </cell>
        </row>
        <row r="56">
          <cell r="E56" t="str">
            <v>CLLCTN_MD</v>
          </cell>
          <cell r="Z56" t="str">
            <v>Y</v>
          </cell>
          <cell r="AA56" t="str">
            <v>N</v>
          </cell>
          <cell r="AB56" t="str">
            <v>N</v>
          </cell>
          <cell r="AC56" t="str">
            <v>N</v>
          </cell>
          <cell r="AD56" t="str">
            <v>N</v>
          </cell>
          <cell r="AE56" t="str">
            <v>N</v>
          </cell>
        </row>
        <row r="57">
          <cell r="E57" t="str">
            <v>CSH</v>
          </cell>
          <cell r="Z57" t="str">
            <v>Y</v>
          </cell>
          <cell r="AA57" t="str">
            <v>N</v>
          </cell>
          <cell r="AB57" t="str">
            <v>N</v>
          </cell>
          <cell r="AC57" t="str">
            <v>N</v>
          </cell>
          <cell r="AD57" t="str">
            <v>N</v>
          </cell>
          <cell r="AE57" t="str">
            <v>N</v>
          </cell>
        </row>
        <row r="58">
          <cell r="E58" t="str">
            <v>CSH_PRVS</v>
          </cell>
          <cell r="Z58" t="str">
            <v>Y</v>
          </cell>
          <cell r="AA58" t="str">
            <v>N</v>
          </cell>
          <cell r="AB58" t="str">
            <v>N</v>
          </cell>
          <cell r="AC58" t="str">
            <v>N</v>
          </cell>
          <cell r="AD58" t="str">
            <v>N</v>
          </cell>
          <cell r="AE58" t="str">
            <v>N</v>
          </cell>
        </row>
        <row r="59">
          <cell r="E59" t="str">
            <v>EBITDA</v>
          </cell>
          <cell r="Z59" t="str">
            <v>Y</v>
          </cell>
          <cell r="AA59" t="str">
            <v>N</v>
          </cell>
          <cell r="AB59" t="str">
            <v>N</v>
          </cell>
          <cell r="AC59" t="str">
            <v>N</v>
          </cell>
          <cell r="AD59" t="str">
            <v>N</v>
          </cell>
          <cell r="AE59" t="str">
            <v>Y</v>
          </cell>
        </row>
        <row r="60">
          <cell r="E60" t="str">
            <v>EBITDA_PRVS</v>
          </cell>
          <cell r="Z60" t="str">
            <v>Y</v>
          </cell>
          <cell r="AA60" t="str">
            <v>N</v>
          </cell>
          <cell r="AB60" t="str">
            <v>N</v>
          </cell>
          <cell r="AC60" t="str">
            <v>N</v>
          </cell>
          <cell r="AD60" t="str">
            <v>N</v>
          </cell>
          <cell r="AE60" t="str">
            <v>Y</v>
          </cell>
        </row>
        <row r="61">
          <cell r="E61" t="str">
            <v>EQTY</v>
          </cell>
          <cell r="Z61" t="str">
            <v>Y</v>
          </cell>
          <cell r="AA61" t="str">
            <v>N</v>
          </cell>
          <cell r="AB61" t="str">
            <v>Y</v>
          </cell>
          <cell r="AC61" t="str">
            <v>N</v>
          </cell>
          <cell r="AD61" t="str">
            <v>N</v>
          </cell>
          <cell r="AE61" t="str">
            <v>Y</v>
          </cell>
        </row>
        <row r="62">
          <cell r="E62" t="str">
            <v>EQTY_PRVS</v>
          </cell>
          <cell r="Z62" t="str">
            <v>Y</v>
          </cell>
          <cell r="AA62" t="str">
            <v>N</v>
          </cell>
          <cell r="AB62" t="str">
            <v>N</v>
          </cell>
          <cell r="AC62" t="str">
            <v>N</v>
          </cell>
          <cell r="AD62" t="str">
            <v>N</v>
          </cell>
          <cell r="AE62" t="str">
            <v>Y</v>
          </cell>
        </row>
        <row r="63">
          <cell r="E63" t="str">
            <v>GRP_TTL_DBT</v>
          </cell>
          <cell r="Z63" t="str">
            <v>Y</v>
          </cell>
          <cell r="AA63" t="str">
            <v>N</v>
          </cell>
          <cell r="AB63" t="str">
            <v>Y</v>
          </cell>
          <cell r="AC63" t="str">
            <v>N</v>
          </cell>
          <cell r="AD63" t="str">
            <v>N</v>
          </cell>
          <cell r="AE63" t="str">
            <v>N</v>
          </cell>
        </row>
        <row r="64">
          <cell r="E64" t="str">
            <v>GDWILL</v>
          </cell>
          <cell r="Z64" t="str">
            <v>Y</v>
          </cell>
          <cell r="AA64" t="str">
            <v>N</v>
          </cell>
          <cell r="AB64" t="str">
            <v>N</v>
          </cell>
          <cell r="AC64" t="str">
            <v>N</v>
          </cell>
          <cell r="AD64" t="str">
            <v>N</v>
          </cell>
          <cell r="AE64" t="str">
            <v>N</v>
          </cell>
        </row>
        <row r="65">
          <cell r="E65" t="str">
            <v>GDWILL_PRVS</v>
          </cell>
          <cell r="Z65" t="str">
            <v>Y</v>
          </cell>
          <cell r="AA65" t="str">
            <v>N</v>
          </cell>
          <cell r="AB65" t="str">
            <v>N</v>
          </cell>
          <cell r="AC65" t="str">
            <v>N</v>
          </cell>
          <cell r="AD65" t="str">
            <v>N</v>
          </cell>
          <cell r="AE65" t="str">
            <v>N</v>
          </cell>
        </row>
        <row r="66">
          <cell r="E66" t="str">
            <v>LTI</v>
          </cell>
          <cell r="Z66" t="str">
            <v>Y</v>
          </cell>
          <cell r="AA66" t="str">
            <v>N</v>
          </cell>
          <cell r="AB66" t="str">
            <v>N</v>
          </cell>
          <cell r="AC66" t="str">
            <v>N</v>
          </cell>
          <cell r="AD66" t="str">
            <v>N</v>
          </cell>
          <cell r="AE66" t="str">
            <v>N</v>
          </cell>
        </row>
        <row r="67">
          <cell r="E67" t="str">
            <v>LVRG</v>
          </cell>
          <cell r="Z67" t="str">
            <v>Y</v>
          </cell>
          <cell r="AA67" t="str">
            <v>N</v>
          </cell>
          <cell r="AB67" t="str">
            <v>N</v>
          </cell>
          <cell r="AC67" t="str">
            <v>N</v>
          </cell>
          <cell r="AD67" t="str">
            <v>N</v>
          </cell>
          <cell r="AE67" t="str">
            <v>Y</v>
          </cell>
        </row>
        <row r="68">
          <cell r="E68" t="str">
            <v>LVRG_PRVS</v>
          </cell>
          <cell r="Z68" t="str">
            <v>Y</v>
          </cell>
          <cell r="AA68" t="str">
            <v>N</v>
          </cell>
          <cell r="AB68" t="str">
            <v>N</v>
          </cell>
          <cell r="AC68" t="str">
            <v>N</v>
          </cell>
          <cell r="AD68" t="str">
            <v>N</v>
          </cell>
          <cell r="AE68" t="str">
            <v>Y</v>
          </cell>
        </row>
        <row r="69">
          <cell r="E69" t="str">
            <v>MNTHL_INCM</v>
          </cell>
          <cell r="Z69" t="str">
            <v>Y</v>
          </cell>
          <cell r="AA69" t="str">
            <v>N</v>
          </cell>
          <cell r="AB69" t="str">
            <v>N</v>
          </cell>
          <cell r="AC69" t="str">
            <v>N</v>
          </cell>
          <cell r="AD69" t="str">
            <v>N</v>
          </cell>
          <cell r="AE69" t="str">
            <v>N</v>
          </cell>
        </row>
        <row r="70">
          <cell r="E70" t="str">
            <v>MNTHL_INCM_SLR</v>
          </cell>
          <cell r="Z70" t="str">
            <v>Y</v>
          </cell>
          <cell r="AA70" t="str">
            <v>N</v>
          </cell>
          <cell r="AB70" t="str">
            <v>N</v>
          </cell>
          <cell r="AC70" t="str">
            <v>N</v>
          </cell>
          <cell r="AD70" t="str">
            <v>N</v>
          </cell>
          <cell r="AE70" t="str">
            <v>N</v>
          </cell>
        </row>
        <row r="71">
          <cell r="E71" t="str">
            <v>MNTHL_TRNVR</v>
          </cell>
          <cell r="Z71" t="str">
            <v>Y</v>
          </cell>
          <cell r="AA71" t="str">
            <v>N</v>
          </cell>
          <cell r="AB71" t="str">
            <v>N</v>
          </cell>
          <cell r="AC71" t="str">
            <v>N</v>
          </cell>
          <cell r="AD71" t="str">
            <v>N</v>
          </cell>
          <cell r="AE71" t="str">
            <v>N</v>
          </cell>
        </row>
        <row r="72">
          <cell r="E72" t="str">
            <v>NT_INCM</v>
          </cell>
          <cell r="Z72" t="str">
            <v>Y</v>
          </cell>
          <cell r="AA72" t="str">
            <v>N</v>
          </cell>
          <cell r="AB72" t="str">
            <v>N</v>
          </cell>
          <cell r="AC72" t="str">
            <v>N</v>
          </cell>
          <cell r="AD72" t="str">
            <v>N</v>
          </cell>
          <cell r="AE72" t="str">
            <v>Y</v>
          </cell>
        </row>
        <row r="73">
          <cell r="E73" t="str">
            <v>NT_INCM_PRVS</v>
          </cell>
          <cell r="Z73" t="str">
            <v>Y</v>
          </cell>
          <cell r="AA73" t="str">
            <v>N</v>
          </cell>
          <cell r="AB73" t="str">
            <v>N</v>
          </cell>
          <cell r="AC73" t="str">
            <v>N</v>
          </cell>
          <cell r="AD73" t="str">
            <v>N</v>
          </cell>
          <cell r="AE73" t="str">
            <v>Y</v>
          </cell>
        </row>
        <row r="74">
          <cell r="E74" t="str">
            <v>TTL_DBT</v>
          </cell>
          <cell r="Z74" t="str">
            <v>Y</v>
          </cell>
          <cell r="AA74" t="str">
            <v>N</v>
          </cell>
          <cell r="AB74" t="str">
            <v>Y</v>
          </cell>
          <cell r="AC74" t="str">
            <v>N</v>
          </cell>
          <cell r="AD74" t="str">
            <v>N</v>
          </cell>
          <cell r="AE74" t="str">
            <v>Y</v>
          </cell>
        </row>
        <row r="75">
          <cell r="E75" t="str">
            <v>TTL_DBT_PRVS</v>
          </cell>
          <cell r="Z75" t="str">
            <v>Y</v>
          </cell>
          <cell r="AA75" t="str">
            <v>N</v>
          </cell>
          <cell r="AB75" t="str">
            <v>N</v>
          </cell>
          <cell r="AC75" t="str">
            <v>N</v>
          </cell>
          <cell r="AD75" t="str">
            <v>N</v>
          </cell>
          <cell r="AE75" t="str">
            <v>Y</v>
          </cell>
        </row>
        <row r="76">
          <cell r="E76" t="str">
            <v>TTL_INTRST_PD</v>
          </cell>
          <cell r="Z76" t="str">
            <v>Y</v>
          </cell>
          <cell r="AA76" t="str">
            <v>N</v>
          </cell>
          <cell r="AB76" t="str">
            <v>N</v>
          </cell>
          <cell r="AC76" t="str">
            <v>N</v>
          </cell>
          <cell r="AD76" t="str">
            <v>N</v>
          </cell>
          <cell r="AE76" t="str">
            <v>Y</v>
          </cell>
        </row>
        <row r="77">
          <cell r="E77" t="str">
            <v>TTL_LVRG_RT</v>
          </cell>
          <cell r="Z77" t="str">
            <v>Y</v>
          </cell>
          <cell r="AA77" t="str">
            <v>N</v>
          </cell>
          <cell r="AB77" t="str">
            <v>N</v>
          </cell>
          <cell r="AC77" t="str">
            <v>N</v>
          </cell>
          <cell r="AD77" t="str">
            <v>N</v>
          </cell>
          <cell r="AE77" t="str">
            <v>Y</v>
          </cell>
        </row>
        <row r="78">
          <cell r="E78" t="str">
            <v>TTL_LVRG_RT_PRVS</v>
          </cell>
          <cell r="Z78" t="str">
            <v>Y</v>
          </cell>
          <cell r="AA78" t="str">
            <v>N</v>
          </cell>
          <cell r="AB78" t="str">
            <v>N</v>
          </cell>
          <cell r="AC78" t="str">
            <v>N</v>
          </cell>
          <cell r="AD78" t="str">
            <v>N</v>
          </cell>
          <cell r="AE78" t="str">
            <v>Y</v>
          </cell>
        </row>
        <row r="79">
          <cell r="E79" t="str">
            <v>DBT_RPYMNT_CPCTY_SNR_DBT</v>
          </cell>
          <cell r="Z79" t="str">
            <v>Y</v>
          </cell>
          <cell r="AA79" t="str">
            <v>N</v>
          </cell>
          <cell r="AB79" t="str">
            <v>N</v>
          </cell>
          <cell r="AC79" t="str">
            <v>N</v>
          </cell>
          <cell r="AD79" t="str">
            <v>N</v>
          </cell>
          <cell r="AE79" t="str">
            <v>Y</v>
          </cell>
        </row>
        <row r="80">
          <cell r="E80" t="str">
            <v>DBT_RPYMNT_CPCTY_TTL</v>
          </cell>
          <cell r="Z80" t="str">
            <v>Y</v>
          </cell>
          <cell r="AA80" t="str">
            <v>N</v>
          </cell>
          <cell r="AB80" t="str">
            <v>N</v>
          </cell>
          <cell r="AC80" t="str">
            <v>N</v>
          </cell>
          <cell r="AD80" t="str">
            <v>N</v>
          </cell>
          <cell r="AE80" t="str">
            <v>Y</v>
          </cell>
        </row>
        <row r="81">
          <cell r="E81" t="str">
            <v>DBT_SRVC_RT</v>
          </cell>
          <cell r="Z81" t="str">
            <v>Y</v>
          </cell>
          <cell r="AA81" t="str">
            <v>N</v>
          </cell>
          <cell r="AB81" t="str">
            <v>N</v>
          </cell>
          <cell r="AC81" t="str">
            <v>N</v>
          </cell>
          <cell r="AD81" t="str">
            <v>N</v>
          </cell>
          <cell r="AE81" t="str">
            <v>N</v>
          </cell>
        </row>
        <row r="82">
          <cell r="E82" t="str">
            <v>DBT_SRVC_RT_12M</v>
          </cell>
          <cell r="Z82" t="str">
            <v>Y</v>
          </cell>
          <cell r="AA82" t="str">
            <v>N</v>
          </cell>
          <cell r="AB82" t="str">
            <v>N</v>
          </cell>
          <cell r="AC82" t="str">
            <v>N</v>
          </cell>
          <cell r="AD82" t="str">
            <v>N</v>
          </cell>
          <cell r="AE82" t="str">
            <v>N</v>
          </cell>
        </row>
        <row r="83">
          <cell r="E83" t="str">
            <v>PD_CRR_RD</v>
          </cell>
          <cell r="Z83" t="str">
            <v>Y</v>
          </cell>
          <cell r="AA83" t="str">
            <v>N</v>
          </cell>
          <cell r="AB83" t="str">
            <v>N</v>
          </cell>
          <cell r="AC83" t="str">
            <v>N</v>
          </cell>
          <cell r="AD83" t="str">
            <v>N</v>
          </cell>
          <cell r="AE83" t="str">
            <v>Y</v>
          </cell>
        </row>
        <row r="84">
          <cell r="E84" t="str">
            <v>PD_IFRS9_12M_RD</v>
          </cell>
          <cell r="Z84" t="str">
            <v>Y</v>
          </cell>
          <cell r="AA84" t="str">
            <v>N</v>
          </cell>
          <cell r="AB84" t="str">
            <v>N</v>
          </cell>
          <cell r="AC84" t="str">
            <v>N</v>
          </cell>
          <cell r="AD84" t="str">
            <v>N</v>
          </cell>
          <cell r="AE84" t="str">
            <v>Y</v>
          </cell>
        </row>
        <row r="85">
          <cell r="E85" t="str">
            <v>PD_IFRS9_12M_RD_T1</v>
          </cell>
          <cell r="Z85" t="str">
            <v>Y</v>
          </cell>
          <cell r="AA85" t="str">
            <v>N</v>
          </cell>
          <cell r="AB85" t="str">
            <v>N</v>
          </cell>
          <cell r="AC85" t="str">
            <v>N</v>
          </cell>
          <cell r="AD85" t="str">
            <v>N</v>
          </cell>
          <cell r="AE85" t="str">
            <v>N</v>
          </cell>
        </row>
        <row r="86">
          <cell r="E86" t="str">
            <v>TAX_ID</v>
          </cell>
          <cell r="Z86" t="str">
            <v>Y</v>
          </cell>
          <cell r="AA86" t="str">
            <v>N</v>
          </cell>
          <cell r="AB86" t="str">
            <v>N</v>
          </cell>
          <cell r="AC86" t="str">
            <v>N</v>
          </cell>
          <cell r="AD86" t="str">
            <v>N</v>
          </cell>
          <cell r="AE86" t="str">
            <v>N</v>
          </cell>
        </row>
        <row r="87">
          <cell r="E87" t="str">
            <v>ANNL_TRNVR_LE_BDR</v>
          </cell>
          <cell r="Z87" t="str">
            <v>Y</v>
          </cell>
          <cell r="AA87" t="str">
            <v>N</v>
          </cell>
          <cell r="AB87" t="str">
            <v>N</v>
          </cell>
          <cell r="AC87" t="str">
            <v>N</v>
          </cell>
          <cell r="AD87" t="str">
            <v>N</v>
          </cell>
          <cell r="AE87" t="str">
            <v>N</v>
          </cell>
        </row>
        <row r="88">
          <cell r="E88" t="str">
            <v>ANNL_TRNVR_PRVS_BDR</v>
          </cell>
          <cell r="Z88" t="str">
            <v>Y</v>
          </cell>
          <cell r="AA88" t="str">
            <v>N</v>
          </cell>
          <cell r="AB88" t="str">
            <v>N</v>
          </cell>
          <cell r="AC88" t="str">
            <v>N</v>
          </cell>
          <cell r="AD88" t="str">
            <v>N</v>
          </cell>
          <cell r="AE88" t="str">
            <v>N</v>
          </cell>
        </row>
        <row r="89">
          <cell r="E89" t="str">
            <v>OSI_ID</v>
          </cell>
          <cell r="Z89" t="str">
            <v>Y</v>
          </cell>
          <cell r="AA89" t="str">
            <v>N</v>
          </cell>
          <cell r="AB89" t="str">
            <v>N</v>
          </cell>
          <cell r="AC89" t="str">
            <v>N</v>
          </cell>
          <cell r="AD89" t="str">
            <v>N</v>
          </cell>
          <cell r="AE89" t="str">
            <v>Y</v>
          </cell>
        </row>
        <row r="90">
          <cell r="E90" t="str">
            <v>PD_CRR_RD_T1</v>
          </cell>
          <cell r="Z90" t="str">
            <v>Y</v>
          </cell>
          <cell r="AA90" t="str">
            <v>N</v>
          </cell>
          <cell r="AB90" t="str">
            <v>N</v>
          </cell>
          <cell r="AC90" t="str">
            <v>N</v>
          </cell>
          <cell r="AD90" t="str">
            <v>N</v>
          </cell>
          <cell r="AE90" t="str">
            <v>N</v>
          </cell>
        </row>
        <row r="91">
          <cell r="E91" t="str">
            <v>EC_GRP_ID</v>
          </cell>
          <cell r="Z91" t="str">
            <v>Y</v>
          </cell>
          <cell r="AA91" t="str">
            <v>N</v>
          </cell>
          <cell r="AB91" t="str">
            <v>Y</v>
          </cell>
          <cell r="AC91" t="str">
            <v>Y</v>
          </cell>
          <cell r="AD91" t="str">
            <v>N</v>
          </cell>
          <cell r="AE91" t="str">
            <v>Y</v>
          </cell>
        </row>
        <row r="92">
          <cell r="E92" t="str">
            <v>EC_GRP_NM</v>
          </cell>
          <cell r="Z92" t="str">
            <v>Y</v>
          </cell>
          <cell r="AA92" t="str">
            <v>N</v>
          </cell>
          <cell r="AB92" t="str">
            <v>Y</v>
          </cell>
          <cell r="AC92" t="str">
            <v>Y</v>
          </cell>
          <cell r="AD92" t="str">
            <v>N</v>
          </cell>
          <cell r="AE92" t="str">
            <v>Y</v>
          </cell>
        </row>
        <row r="93">
          <cell r="E93" t="str">
            <v>PST_CD</v>
          </cell>
          <cell r="Z93" t="str">
            <v>N</v>
          </cell>
          <cell r="AA93" t="str">
            <v>N</v>
          </cell>
          <cell r="AB93" t="str">
            <v>Y</v>
          </cell>
          <cell r="AC93" t="str">
            <v>N</v>
          </cell>
          <cell r="AD93" t="str">
            <v>Y</v>
          </cell>
          <cell r="AE93" t="str">
            <v>N</v>
          </cell>
        </row>
        <row r="94">
          <cell r="E94" t="str">
            <v>ESG_SBSCTR</v>
          </cell>
          <cell r="Z94" t="str">
            <v>N</v>
          </cell>
          <cell r="AA94" t="str">
            <v>N</v>
          </cell>
          <cell r="AB94" t="str">
            <v>Y</v>
          </cell>
          <cell r="AC94" t="str">
            <v>N</v>
          </cell>
          <cell r="AD94" t="str">
            <v>N</v>
          </cell>
          <cell r="AE94" t="str">
            <v>N</v>
          </cell>
        </row>
        <row r="95">
          <cell r="E95" t="str">
            <v>NACE_ESG</v>
          </cell>
          <cell r="Z95" t="str">
            <v>N</v>
          </cell>
          <cell r="AA95" t="str">
            <v>N</v>
          </cell>
          <cell r="AB95" t="str">
            <v>Y</v>
          </cell>
          <cell r="AC95" t="str">
            <v>N</v>
          </cell>
          <cell r="AD95" t="str">
            <v>Y</v>
          </cell>
          <cell r="AE95" t="str">
            <v>N</v>
          </cell>
        </row>
        <row r="96">
          <cell r="E96" t="str">
            <v>TTL_LBLTY</v>
          </cell>
          <cell r="Z96" t="str">
            <v>N</v>
          </cell>
          <cell r="AA96" t="str">
            <v>N</v>
          </cell>
          <cell r="AB96" t="str">
            <v>Y</v>
          </cell>
          <cell r="AC96" t="str">
            <v>N</v>
          </cell>
          <cell r="AD96" t="str">
            <v>N</v>
          </cell>
          <cell r="AE96" t="str">
            <v>N</v>
          </cell>
        </row>
        <row r="97">
          <cell r="E97" t="str">
            <v>TXNMY_ELGBL_CAPEX_CCM</v>
          </cell>
          <cell r="Z97" t="str">
            <v>N</v>
          </cell>
          <cell r="AA97" t="str">
            <v>N</v>
          </cell>
          <cell r="AB97" t="str">
            <v>Y</v>
          </cell>
          <cell r="AC97" t="str">
            <v>N</v>
          </cell>
          <cell r="AD97" t="str">
            <v>N</v>
          </cell>
          <cell r="AE97" t="str">
            <v>N</v>
          </cell>
        </row>
        <row r="98">
          <cell r="E98" t="str">
            <v>TXNMY_ELGBL_TRNVR_CCM</v>
          </cell>
          <cell r="Z98" t="str">
            <v>N</v>
          </cell>
          <cell r="AA98" t="str">
            <v>N</v>
          </cell>
          <cell r="AB98" t="str">
            <v>Y</v>
          </cell>
          <cell r="AC98" t="str">
            <v>N</v>
          </cell>
          <cell r="AD98" t="str">
            <v>N</v>
          </cell>
          <cell r="AE98" t="str">
            <v>N</v>
          </cell>
        </row>
        <row r="99">
          <cell r="E99" t="str">
            <v>TXNMY_ELGBL_CAPEX_CCA</v>
          </cell>
          <cell r="Z99" t="str">
            <v>N</v>
          </cell>
          <cell r="AA99" t="str">
            <v>N</v>
          </cell>
          <cell r="AB99" t="str">
            <v>Y</v>
          </cell>
          <cell r="AC99" t="str">
            <v>N</v>
          </cell>
          <cell r="AD99" t="str">
            <v>N</v>
          </cell>
          <cell r="AE99" t="str">
            <v>N</v>
          </cell>
        </row>
        <row r="100">
          <cell r="E100" t="str">
            <v>TXNMY_ELGBL_TRNVR_CCA</v>
          </cell>
          <cell r="Z100" t="str">
            <v>N</v>
          </cell>
          <cell r="AA100" t="str">
            <v>N</v>
          </cell>
          <cell r="AB100" t="str">
            <v>Y</v>
          </cell>
          <cell r="AC100" t="str">
            <v>N</v>
          </cell>
          <cell r="AD100" t="str">
            <v>N</v>
          </cell>
          <cell r="AE100" t="str">
            <v>N</v>
          </cell>
        </row>
        <row r="101">
          <cell r="E101" t="str">
            <v>ENBLNG_CAPEX_CCM</v>
          </cell>
          <cell r="Z101" t="str">
            <v>N</v>
          </cell>
          <cell r="AA101" t="str">
            <v>N</v>
          </cell>
          <cell r="AB101" t="str">
            <v>Y</v>
          </cell>
          <cell r="AC101" t="str">
            <v>N</v>
          </cell>
          <cell r="AD101" t="str">
            <v>N</v>
          </cell>
          <cell r="AE101" t="str">
            <v>N</v>
          </cell>
        </row>
        <row r="102">
          <cell r="E102" t="str">
            <v>ENBLNG_CAPEX_CCA</v>
          </cell>
          <cell r="Z102" t="str">
            <v>N</v>
          </cell>
          <cell r="AA102" t="str">
            <v>N</v>
          </cell>
          <cell r="AB102" t="str">
            <v>Y</v>
          </cell>
          <cell r="AC102" t="str">
            <v>N</v>
          </cell>
          <cell r="AD102" t="str">
            <v>N</v>
          </cell>
          <cell r="AE102" t="str">
            <v>N</v>
          </cell>
        </row>
        <row r="103">
          <cell r="E103" t="str">
            <v>TRNSTNL_CAPEX</v>
          </cell>
          <cell r="Z103" t="str">
            <v>N</v>
          </cell>
          <cell r="AA103" t="str">
            <v>N</v>
          </cell>
          <cell r="AB103" t="str">
            <v>Y</v>
          </cell>
          <cell r="AC103" t="str">
            <v>N</v>
          </cell>
          <cell r="AD103" t="str">
            <v>N</v>
          </cell>
          <cell r="AE103" t="str">
            <v>N</v>
          </cell>
        </row>
        <row r="104">
          <cell r="E104" t="str">
            <v>PURE_CAPEX_CCM</v>
          </cell>
          <cell r="Z104" t="str">
            <v>N</v>
          </cell>
          <cell r="AA104" t="str">
            <v>N</v>
          </cell>
          <cell r="AB104" t="str">
            <v>Y</v>
          </cell>
          <cell r="AC104" t="str">
            <v>N</v>
          </cell>
          <cell r="AD104" t="str">
            <v>N</v>
          </cell>
          <cell r="AE104" t="str">
            <v>N</v>
          </cell>
        </row>
        <row r="105">
          <cell r="E105" t="str">
            <v>PURE_CAPEX_CCA</v>
          </cell>
          <cell r="Z105" t="str">
            <v>N</v>
          </cell>
          <cell r="AA105" t="str">
            <v>N</v>
          </cell>
          <cell r="AB105" t="str">
            <v>Y</v>
          </cell>
          <cell r="AC105" t="str">
            <v>N</v>
          </cell>
          <cell r="AD105" t="str">
            <v>N</v>
          </cell>
          <cell r="AE105" t="str">
            <v>N</v>
          </cell>
        </row>
        <row r="106">
          <cell r="E106" t="str">
            <v>ENBLNG_TRNVR_CCM</v>
          </cell>
          <cell r="Z106" t="str">
            <v>N</v>
          </cell>
          <cell r="AA106" t="str">
            <v>N</v>
          </cell>
          <cell r="AB106" t="str">
            <v>Y</v>
          </cell>
          <cell r="AC106" t="str">
            <v>N</v>
          </cell>
          <cell r="AD106" t="str">
            <v>N</v>
          </cell>
          <cell r="AE106" t="str">
            <v>N</v>
          </cell>
        </row>
        <row r="107">
          <cell r="E107" t="str">
            <v>ENBLNG_TRNVR_CCA</v>
          </cell>
          <cell r="Z107" t="str">
            <v>N</v>
          </cell>
          <cell r="AA107" t="str">
            <v>N</v>
          </cell>
          <cell r="AB107" t="str">
            <v>Y</v>
          </cell>
          <cell r="AC107" t="str">
            <v>N</v>
          </cell>
          <cell r="AD107" t="str">
            <v>N</v>
          </cell>
          <cell r="AE107" t="str">
            <v>N</v>
          </cell>
        </row>
        <row r="108">
          <cell r="E108" t="str">
            <v>TRNSTNL_TRNVR</v>
          </cell>
          <cell r="Z108" t="str">
            <v>N</v>
          </cell>
          <cell r="AA108" t="str">
            <v>N</v>
          </cell>
          <cell r="AB108" t="str">
            <v>Y</v>
          </cell>
          <cell r="AC108" t="str">
            <v>N</v>
          </cell>
          <cell r="AD108" t="str">
            <v>N</v>
          </cell>
          <cell r="AE108" t="str">
            <v>N</v>
          </cell>
        </row>
        <row r="109">
          <cell r="E109" t="str">
            <v>PURE_TRNVR_CCM</v>
          </cell>
          <cell r="Z109" t="str">
            <v>N</v>
          </cell>
          <cell r="AA109" t="str">
            <v>N</v>
          </cell>
          <cell r="AB109" t="str">
            <v>Y</v>
          </cell>
          <cell r="AC109" t="str">
            <v>N</v>
          </cell>
          <cell r="AD109" t="str">
            <v>N</v>
          </cell>
          <cell r="AE109" t="str">
            <v>N</v>
          </cell>
        </row>
        <row r="110">
          <cell r="E110" t="str">
            <v>PURE_TRNVR_CCA</v>
          </cell>
          <cell r="Z110" t="str">
            <v>N</v>
          </cell>
          <cell r="AA110" t="str">
            <v>N</v>
          </cell>
          <cell r="AB110" t="str">
            <v>Y</v>
          </cell>
          <cell r="AC110" t="str">
            <v>N</v>
          </cell>
          <cell r="AD110" t="str">
            <v>N</v>
          </cell>
          <cell r="AE110" t="str">
            <v>N</v>
          </cell>
        </row>
        <row r="111">
          <cell r="E111" t="str">
            <v>FLG_CSRD_APPLCBLTY</v>
          </cell>
          <cell r="Z111" t="str">
            <v>N</v>
          </cell>
          <cell r="AA111" t="str">
            <v>N</v>
          </cell>
          <cell r="AB111" t="str">
            <v>Y</v>
          </cell>
          <cell r="AC111" t="str">
            <v>N</v>
          </cell>
          <cell r="AD111" t="str">
            <v>Y</v>
          </cell>
          <cell r="AE111" t="str">
            <v>N</v>
          </cell>
        </row>
        <row r="112">
          <cell r="E112" t="str">
            <v>FLG_GRP_CSRD_APPLCBLTY</v>
          </cell>
          <cell r="Z112" t="str">
            <v>N</v>
          </cell>
          <cell r="AA112" t="str">
            <v>N</v>
          </cell>
          <cell r="AB112" t="str">
            <v>Y</v>
          </cell>
          <cell r="AC112" t="str">
            <v>N</v>
          </cell>
          <cell r="AD112" t="str">
            <v>Y</v>
          </cell>
          <cell r="AE112" t="str">
            <v>N</v>
          </cell>
        </row>
        <row r="113">
          <cell r="E113" t="str">
            <v>ISIN</v>
          </cell>
          <cell r="Z113" t="str">
            <v>N</v>
          </cell>
          <cell r="AA113" t="str">
            <v>N</v>
          </cell>
          <cell r="AB113" t="str">
            <v>Y</v>
          </cell>
          <cell r="AC113" t="str">
            <v>N</v>
          </cell>
          <cell r="AD113" t="str">
            <v>N</v>
          </cell>
          <cell r="AE113" t="str">
            <v>N</v>
          </cell>
        </row>
        <row r="114">
          <cell r="E114" t="str">
            <v>GRP_ANNL_TRNVR_LE</v>
          </cell>
          <cell r="Z114" t="str">
            <v>N</v>
          </cell>
          <cell r="AA114" t="str">
            <v>N</v>
          </cell>
          <cell r="AB114" t="str">
            <v>Y</v>
          </cell>
          <cell r="AC114" t="str">
            <v>N</v>
          </cell>
          <cell r="AD114" t="str">
            <v>N</v>
          </cell>
          <cell r="AE114" t="str">
            <v>N</v>
          </cell>
        </row>
        <row r="115">
          <cell r="E115" t="str">
            <v>GRP_TTL_LBLTY</v>
          </cell>
          <cell r="Z115" t="str">
            <v>N</v>
          </cell>
          <cell r="AA115" t="str">
            <v>N</v>
          </cell>
          <cell r="AB115" t="str">
            <v>Y</v>
          </cell>
          <cell r="AC115" t="str">
            <v>N</v>
          </cell>
          <cell r="AD115" t="str">
            <v>N</v>
          </cell>
          <cell r="AE115" t="str">
            <v>N</v>
          </cell>
        </row>
        <row r="116">
          <cell r="E116" t="str">
            <v>CNTRPRTY_EMSSNS_SCP1</v>
          </cell>
          <cell r="Z116" t="str">
            <v>N</v>
          </cell>
          <cell r="AA116" t="str">
            <v>N</v>
          </cell>
          <cell r="AB116" t="str">
            <v>Y</v>
          </cell>
          <cell r="AC116" t="str">
            <v>N</v>
          </cell>
          <cell r="AD116" t="str">
            <v>Y</v>
          </cell>
          <cell r="AE116" t="str">
            <v>N</v>
          </cell>
        </row>
        <row r="117">
          <cell r="E117" t="str">
            <v>CNTRPRTY_EMSSNS_SCP2</v>
          </cell>
          <cell r="Z117" t="str">
            <v>N</v>
          </cell>
          <cell r="AA117" t="str">
            <v>N</v>
          </cell>
          <cell r="AB117" t="str">
            <v>Y</v>
          </cell>
          <cell r="AC117" t="str">
            <v>N</v>
          </cell>
          <cell r="AD117" t="str">
            <v>Y</v>
          </cell>
          <cell r="AE117" t="str">
            <v>N</v>
          </cell>
        </row>
        <row r="118">
          <cell r="E118" t="str">
            <v>CNTRPRTY_EMSSNS_SCP3</v>
          </cell>
          <cell r="Z118" t="str">
            <v>N</v>
          </cell>
          <cell r="AA118" t="str">
            <v>N</v>
          </cell>
          <cell r="AB118" t="str">
            <v>Y</v>
          </cell>
          <cell r="AC118" t="str">
            <v>N</v>
          </cell>
          <cell r="AD118" t="str">
            <v>Y</v>
          </cell>
          <cell r="AE118" t="str">
            <v>N</v>
          </cell>
        </row>
        <row r="119">
          <cell r="E119" t="str">
            <v>FLG_EXCLDD_EU_PRS_ALGND_BNCHMRK</v>
          </cell>
          <cell r="Z119" t="str">
            <v>N</v>
          </cell>
          <cell r="AA119" t="str">
            <v>N</v>
          </cell>
          <cell r="AB119" t="str">
            <v>Y</v>
          </cell>
          <cell r="AC119" t="str">
            <v>N</v>
          </cell>
          <cell r="AD119" t="str">
            <v>N</v>
          </cell>
          <cell r="AE119" t="str">
            <v>N</v>
          </cell>
        </row>
        <row r="120">
          <cell r="E120" t="str">
            <v>GRP_EMSSNS_SCP1</v>
          </cell>
          <cell r="Z120" t="str">
            <v>N</v>
          </cell>
          <cell r="AA120" t="str">
            <v>N</v>
          </cell>
          <cell r="AB120" t="str">
            <v>Y</v>
          </cell>
          <cell r="AC120" t="str">
            <v>N</v>
          </cell>
          <cell r="AD120" t="str">
            <v>Y</v>
          </cell>
          <cell r="AE120" t="str">
            <v>N</v>
          </cell>
        </row>
        <row r="121">
          <cell r="E121" t="str">
            <v>GRP_EMSSNS_SCP2</v>
          </cell>
          <cell r="Z121" t="str">
            <v>N</v>
          </cell>
          <cell r="AA121" t="str">
            <v>N</v>
          </cell>
          <cell r="AB121" t="str">
            <v>Y</v>
          </cell>
          <cell r="AC121" t="str">
            <v>N</v>
          </cell>
          <cell r="AD121" t="str">
            <v>Y</v>
          </cell>
          <cell r="AE121" t="str">
            <v>N</v>
          </cell>
        </row>
        <row r="122">
          <cell r="E122" t="str">
            <v>GRP_EMSSNS_SCP3</v>
          </cell>
          <cell r="Z122" t="str">
            <v>N</v>
          </cell>
          <cell r="AA122" t="str">
            <v>N</v>
          </cell>
          <cell r="AB122" t="str">
            <v>Y</v>
          </cell>
          <cell r="AC122" t="str">
            <v>N</v>
          </cell>
          <cell r="AD122" t="str">
            <v>Y</v>
          </cell>
          <cell r="AE122" t="str">
            <v>N</v>
          </cell>
        </row>
        <row r="123">
          <cell r="E123" t="str">
            <v>FLG_ACT_PHYSCL_RSK</v>
          </cell>
          <cell r="Z123" t="str">
            <v>N</v>
          </cell>
          <cell r="AA123" t="str">
            <v>N</v>
          </cell>
          <cell r="AB123" t="str">
            <v>Y</v>
          </cell>
          <cell r="AC123" t="str">
            <v>N</v>
          </cell>
          <cell r="AD123" t="str">
            <v>N</v>
          </cell>
          <cell r="AE123" t="str">
            <v>N</v>
          </cell>
        </row>
        <row r="124">
          <cell r="E124" t="str">
            <v>FLG_CHRNC_PHYSCL_RSK</v>
          </cell>
          <cell r="Z124" t="str">
            <v>N</v>
          </cell>
          <cell r="AA124" t="str">
            <v>N</v>
          </cell>
          <cell r="AB124" t="str">
            <v>Y</v>
          </cell>
          <cell r="AC124" t="str">
            <v>N</v>
          </cell>
          <cell r="AD124" t="str">
            <v>N</v>
          </cell>
          <cell r="AE124" t="str">
            <v>N</v>
          </cell>
        </row>
        <row r="125">
          <cell r="E125" t="str">
            <v>GRP_ECNMC_ACTVTY</v>
          </cell>
          <cell r="Z125" t="str">
            <v>N</v>
          </cell>
          <cell r="AA125" t="str">
            <v>N</v>
          </cell>
          <cell r="AB125" t="str">
            <v>Y</v>
          </cell>
          <cell r="AC125" t="str">
            <v>Y</v>
          </cell>
          <cell r="AD125" t="str">
            <v>Y</v>
          </cell>
          <cell r="AE125" t="str">
            <v>N</v>
          </cell>
        </row>
        <row r="126">
          <cell r="E126" t="str">
            <v>PRSN_TYP</v>
          </cell>
          <cell r="Z126" t="str">
            <v>Y</v>
          </cell>
          <cell r="AA126" t="str">
            <v>N</v>
          </cell>
          <cell r="AB126" t="str">
            <v>N</v>
          </cell>
          <cell r="AC126" t="str">
            <v>N</v>
          </cell>
          <cell r="AD126" t="str">
            <v>N</v>
          </cell>
          <cell r="AE126" t="str">
            <v>N</v>
          </cell>
        </row>
        <row r="127">
          <cell r="E127" t="str">
            <v>FR_CSH_FLW</v>
          </cell>
          <cell r="Z127" t="str">
            <v>Y</v>
          </cell>
          <cell r="AA127" t="str">
            <v>N</v>
          </cell>
          <cell r="AB127" t="str">
            <v>N</v>
          </cell>
          <cell r="AC127" t="str">
            <v>N</v>
          </cell>
          <cell r="AD127" t="str">
            <v>N</v>
          </cell>
          <cell r="AE127" t="str">
            <v>Y</v>
          </cell>
        </row>
        <row r="128">
          <cell r="E128" t="str">
            <v>FR_CSH_FLW_T1</v>
          </cell>
          <cell r="Z128" t="str">
            <v>Y</v>
          </cell>
          <cell r="AA128" t="str">
            <v>N</v>
          </cell>
          <cell r="AB128" t="str">
            <v>N</v>
          </cell>
          <cell r="AC128" t="str">
            <v>N</v>
          </cell>
          <cell r="AD128" t="str">
            <v>N</v>
          </cell>
          <cell r="AE128" t="str">
            <v>Y</v>
          </cell>
        </row>
        <row r="129">
          <cell r="E129" t="str">
            <v>FR_CSH_FLW_T2</v>
          </cell>
          <cell r="Z129" t="str">
            <v>Y</v>
          </cell>
          <cell r="AA129" t="str">
            <v>N</v>
          </cell>
          <cell r="AB129" t="str">
            <v>N</v>
          </cell>
          <cell r="AC129" t="str">
            <v>N</v>
          </cell>
          <cell r="AD129" t="str">
            <v>N</v>
          </cell>
          <cell r="AE129" t="str">
            <v>Y</v>
          </cell>
        </row>
        <row r="130">
          <cell r="E130" t="str">
            <v>FR_CSH_FLW_T3</v>
          </cell>
          <cell r="Z130" t="str">
            <v>Y</v>
          </cell>
          <cell r="AA130" t="str">
            <v>N</v>
          </cell>
          <cell r="AB130" t="str">
            <v>N</v>
          </cell>
          <cell r="AC130" t="str">
            <v>N</v>
          </cell>
          <cell r="AD130" t="str">
            <v>N</v>
          </cell>
          <cell r="AE130" t="str">
            <v>Y</v>
          </cell>
        </row>
        <row r="131">
          <cell r="E131" t="str">
            <v>ADDRSS_CTY</v>
          </cell>
          <cell r="Z131" t="str">
            <v>Y</v>
          </cell>
          <cell r="AA131" t="str">
            <v>N</v>
          </cell>
          <cell r="AB131" t="str">
            <v>N</v>
          </cell>
          <cell r="AC131" t="str">
            <v>N</v>
          </cell>
          <cell r="AD131" t="str">
            <v>N</v>
          </cell>
          <cell r="AE131" t="str">
            <v>N</v>
          </cell>
        </row>
        <row r="132">
          <cell r="E132" t="str">
            <v>ADDRSS_STRT</v>
          </cell>
          <cell r="Z132" t="str">
            <v>Y</v>
          </cell>
          <cell r="AA132" t="str">
            <v>N</v>
          </cell>
          <cell r="AB132" t="str">
            <v>N</v>
          </cell>
          <cell r="AC132" t="str">
            <v>N</v>
          </cell>
          <cell r="AD132" t="str">
            <v>N</v>
          </cell>
          <cell r="AE132" t="str">
            <v>N</v>
          </cell>
        </row>
        <row r="133">
          <cell r="E133" t="str">
            <v>DT_ENTRPRS_SZ</v>
          </cell>
          <cell r="Z133" t="str">
            <v>Y</v>
          </cell>
          <cell r="AA133" t="str">
            <v>N</v>
          </cell>
          <cell r="AB133" t="str">
            <v>N</v>
          </cell>
          <cell r="AC133" t="str">
            <v>N</v>
          </cell>
          <cell r="AD133" t="str">
            <v>N</v>
          </cell>
          <cell r="AE133" t="str">
            <v>N</v>
          </cell>
        </row>
        <row r="134">
          <cell r="E134" t="str">
            <v>NMBR_EMPLYS</v>
          </cell>
          <cell r="Z134" t="str">
            <v>Y</v>
          </cell>
          <cell r="AA134" t="str">
            <v>N</v>
          </cell>
          <cell r="AB134" t="str">
            <v>N</v>
          </cell>
          <cell r="AC134" t="str">
            <v>N</v>
          </cell>
          <cell r="AD134" t="str">
            <v>N</v>
          </cell>
          <cell r="AE134" t="str">
            <v>N</v>
          </cell>
        </row>
        <row r="135">
          <cell r="E135" t="str">
            <v>LGL_FRM</v>
          </cell>
          <cell r="Z135" t="str">
            <v>Y</v>
          </cell>
          <cell r="AA135" t="str">
            <v>N</v>
          </cell>
          <cell r="AB135" t="str">
            <v>N</v>
          </cell>
          <cell r="AC135" t="str">
            <v>N</v>
          </cell>
          <cell r="AD135" t="str">
            <v>N</v>
          </cell>
          <cell r="AE135" t="str">
            <v>N</v>
          </cell>
        </row>
        <row r="136">
          <cell r="E136" t="str">
            <v>HD_OFFC_UNDRTKNG_ID</v>
          </cell>
          <cell r="Z136" t="str">
            <v>Y</v>
          </cell>
          <cell r="AA136" t="str">
            <v>N</v>
          </cell>
          <cell r="AB136" t="str">
            <v>N</v>
          </cell>
          <cell r="AC136" t="str">
            <v>N</v>
          </cell>
          <cell r="AD136" t="str">
            <v>N</v>
          </cell>
          <cell r="AE136" t="str">
            <v>N</v>
          </cell>
        </row>
        <row r="137">
          <cell r="E137" t="str">
            <v>IMMDT_PRNT_UNDRTKNG_ID</v>
          </cell>
          <cell r="Z137" t="str">
            <v>Y</v>
          </cell>
          <cell r="AA137" t="str">
            <v>N</v>
          </cell>
          <cell r="AB137" t="str">
            <v>N</v>
          </cell>
          <cell r="AC137" t="str">
            <v>N</v>
          </cell>
          <cell r="AD137" t="str">
            <v>N</v>
          </cell>
          <cell r="AE137" t="str">
            <v>N</v>
          </cell>
        </row>
        <row r="138">
          <cell r="E138" t="str">
            <v>ULTMT_PRNT_UNDRTKNG_ID</v>
          </cell>
          <cell r="Z138" t="str">
            <v>Y</v>
          </cell>
          <cell r="AA138" t="str">
            <v>N</v>
          </cell>
          <cell r="AB138" t="str">
            <v>N</v>
          </cell>
          <cell r="AC138" t="str">
            <v>N</v>
          </cell>
          <cell r="AD138" t="str">
            <v>N</v>
          </cell>
          <cell r="AE138" t="str">
            <v>N</v>
          </cell>
        </row>
        <row r="139">
          <cell r="E139" t="str">
            <v>TTL_ASSTS</v>
          </cell>
          <cell r="Z139" t="str">
            <v>Y</v>
          </cell>
          <cell r="AA139" t="str">
            <v>N</v>
          </cell>
          <cell r="AB139" t="str">
            <v>N</v>
          </cell>
          <cell r="AC139" t="str">
            <v>N</v>
          </cell>
          <cell r="AD139" t="str">
            <v>N</v>
          </cell>
          <cell r="AE139" t="str">
            <v>N</v>
          </cell>
        </row>
        <row r="140">
          <cell r="E140" t="str">
            <v>FLLN_ANGL_NRRW_DFNTN</v>
          </cell>
          <cell r="Z140" t="str">
            <v>N</v>
          </cell>
          <cell r="AA140" t="str">
            <v>N</v>
          </cell>
          <cell r="AB140" t="str">
            <v>N</v>
          </cell>
          <cell r="AC140" t="str">
            <v>N</v>
          </cell>
          <cell r="AD140" t="str">
            <v>N</v>
          </cell>
          <cell r="AE140" t="str">
            <v>Y</v>
          </cell>
        </row>
        <row r="141">
          <cell r="E141" t="str">
            <v>FLLN_ANGL_EXTNDD_DFNTN</v>
          </cell>
          <cell r="Z141" t="str">
            <v>N</v>
          </cell>
          <cell r="AA141" t="str">
            <v>N</v>
          </cell>
          <cell r="AB141" t="str">
            <v>N</v>
          </cell>
          <cell r="AC141" t="str">
            <v>N</v>
          </cell>
          <cell r="AD141" t="str">
            <v>N</v>
          </cell>
          <cell r="AE141" t="str">
            <v>Y</v>
          </cell>
        </row>
        <row r="142">
          <cell r="E142" t="str">
            <v>ENTTY_ID_BDR</v>
          </cell>
          <cell r="Z142" t="str">
            <v>Y</v>
          </cell>
          <cell r="AA142" t="str">
            <v>N</v>
          </cell>
          <cell r="AB142" t="str">
            <v>N</v>
          </cell>
          <cell r="AC142" t="str">
            <v>N</v>
          </cell>
          <cell r="AD142" t="str">
            <v>N</v>
          </cell>
          <cell r="AE142" t="str">
            <v>N</v>
          </cell>
        </row>
        <row r="143">
          <cell r="E143" t="str">
            <v>TXNMY_ELGBL_CAPEX_W</v>
          </cell>
          <cell r="Z143" t="str">
            <v>N</v>
          </cell>
          <cell r="AA143" t="str">
            <v>N</v>
          </cell>
          <cell r="AB143" t="str">
            <v>Y</v>
          </cell>
          <cell r="AC143" t="str">
            <v>N</v>
          </cell>
          <cell r="AD143" t="str">
            <v>N</v>
          </cell>
          <cell r="AE143" t="str">
            <v>N</v>
          </cell>
        </row>
        <row r="144">
          <cell r="E144" t="str">
            <v>TXNMY_ELGBL_TRNVR_W</v>
          </cell>
          <cell r="Z144" t="str">
            <v>N</v>
          </cell>
          <cell r="AA144" t="str">
            <v>N</v>
          </cell>
          <cell r="AB144" t="str">
            <v>Y</v>
          </cell>
          <cell r="AC144" t="str">
            <v>N</v>
          </cell>
          <cell r="AD144" t="str">
            <v>N</v>
          </cell>
          <cell r="AE144" t="str">
            <v>N</v>
          </cell>
        </row>
        <row r="145">
          <cell r="E145" t="str">
            <v>TXNMY_ELGBL_CAPEX_P</v>
          </cell>
          <cell r="Z145" t="str">
            <v>N</v>
          </cell>
          <cell r="AA145" t="str">
            <v>N</v>
          </cell>
          <cell r="AB145" t="str">
            <v>Y</v>
          </cell>
          <cell r="AC145" t="str">
            <v>N</v>
          </cell>
          <cell r="AD145" t="str">
            <v>N</v>
          </cell>
          <cell r="AE145" t="str">
            <v>N</v>
          </cell>
        </row>
        <row r="146">
          <cell r="E146" t="str">
            <v>TXNMY_ELGBL_TRNVR_P</v>
          </cell>
          <cell r="Z146" t="str">
            <v>N</v>
          </cell>
          <cell r="AA146" t="str">
            <v>N</v>
          </cell>
          <cell r="AB146" t="str">
            <v>Y</v>
          </cell>
          <cell r="AC146" t="str">
            <v>N</v>
          </cell>
          <cell r="AD146" t="str">
            <v>N</v>
          </cell>
          <cell r="AE146" t="str">
            <v>N</v>
          </cell>
        </row>
        <row r="147">
          <cell r="E147" t="str">
            <v>TXNMY_ELGBL_CAPEX_B</v>
          </cell>
          <cell r="Z147" t="str">
            <v>N</v>
          </cell>
          <cell r="AA147" t="str">
            <v>N</v>
          </cell>
          <cell r="AB147" t="str">
            <v>Y</v>
          </cell>
          <cell r="AC147" t="str">
            <v>N</v>
          </cell>
          <cell r="AD147" t="str">
            <v>N</v>
          </cell>
          <cell r="AE147" t="str">
            <v>N</v>
          </cell>
        </row>
        <row r="148">
          <cell r="E148" t="str">
            <v>TXNMY_ELGBL_TRNVR_B</v>
          </cell>
          <cell r="Z148" t="str">
            <v>N</v>
          </cell>
          <cell r="AA148" t="str">
            <v>N</v>
          </cell>
          <cell r="AB148" t="str">
            <v>Y</v>
          </cell>
          <cell r="AC148" t="str">
            <v>N</v>
          </cell>
          <cell r="AD148" t="str">
            <v>N</v>
          </cell>
          <cell r="AE148" t="str">
            <v>N</v>
          </cell>
        </row>
        <row r="149">
          <cell r="E149" t="str">
            <v>TXNMY_ELGBL_CAPEX_CE</v>
          </cell>
          <cell r="Z149" t="str">
            <v>N</v>
          </cell>
          <cell r="AA149" t="str">
            <v>N</v>
          </cell>
          <cell r="AB149" t="str">
            <v>Y</v>
          </cell>
          <cell r="AC149" t="str">
            <v>N</v>
          </cell>
          <cell r="AD149" t="str">
            <v>N</v>
          </cell>
          <cell r="AE149" t="str">
            <v>N</v>
          </cell>
        </row>
        <row r="150">
          <cell r="E150" t="str">
            <v>TXNMY_ELGBL_TRNVR_CE</v>
          </cell>
          <cell r="Z150" t="str">
            <v>N</v>
          </cell>
          <cell r="AA150" t="str">
            <v>N</v>
          </cell>
          <cell r="AB150" t="str">
            <v>Y</v>
          </cell>
          <cell r="AC150" t="str">
            <v>N</v>
          </cell>
          <cell r="AD150" t="str">
            <v>N</v>
          </cell>
          <cell r="AE150" t="str">
            <v>N</v>
          </cell>
        </row>
        <row r="151">
          <cell r="E151" t="str">
            <v>PURE_CAPEX_P</v>
          </cell>
          <cell r="Z151" t="str">
            <v>N</v>
          </cell>
          <cell r="AA151" t="str">
            <v>N</v>
          </cell>
          <cell r="AB151" t="str">
            <v>Y</v>
          </cell>
          <cell r="AC151" t="str">
            <v>N</v>
          </cell>
          <cell r="AD151" t="str">
            <v>N</v>
          </cell>
          <cell r="AE151" t="str">
            <v>N</v>
          </cell>
        </row>
        <row r="152">
          <cell r="E152" t="str">
            <v>PURE_TRNVR_P</v>
          </cell>
          <cell r="Z152" t="str">
            <v>N</v>
          </cell>
          <cell r="AA152" t="str">
            <v>N</v>
          </cell>
          <cell r="AB152" t="str">
            <v>Y</v>
          </cell>
          <cell r="AC152" t="str">
            <v>N</v>
          </cell>
          <cell r="AD152" t="str">
            <v>N</v>
          </cell>
          <cell r="AE152" t="str">
            <v>N</v>
          </cell>
        </row>
        <row r="153">
          <cell r="E153" t="str">
            <v>PURE_CAPEX_B</v>
          </cell>
          <cell r="Z153" t="str">
            <v>N</v>
          </cell>
          <cell r="AA153" t="str">
            <v>N</v>
          </cell>
          <cell r="AB153" t="str">
            <v>Y</v>
          </cell>
          <cell r="AC153" t="str">
            <v>N</v>
          </cell>
          <cell r="AD153" t="str">
            <v>N</v>
          </cell>
          <cell r="AE153" t="str">
            <v>N</v>
          </cell>
        </row>
        <row r="154">
          <cell r="E154" t="str">
            <v>PURE_TRNVR_B</v>
          </cell>
          <cell r="Z154" t="str">
            <v>N</v>
          </cell>
          <cell r="AA154" t="str">
            <v>N</v>
          </cell>
          <cell r="AB154" t="str">
            <v>Y</v>
          </cell>
          <cell r="AC154" t="str">
            <v>N</v>
          </cell>
          <cell r="AD154" t="str">
            <v>N</v>
          </cell>
          <cell r="AE154" t="str">
            <v>N</v>
          </cell>
        </row>
        <row r="155">
          <cell r="E155" t="str">
            <v>PURE_CAPEX_W</v>
          </cell>
          <cell r="Z155" t="str">
            <v>N</v>
          </cell>
          <cell r="AA155" t="str">
            <v>N</v>
          </cell>
          <cell r="AB155" t="str">
            <v>Y</v>
          </cell>
          <cell r="AC155" t="str">
            <v>N</v>
          </cell>
          <cell r="AD155" t="str">
            <v>N</v>
          </cell>
          <cell r="AE155" t="str">
            <v>N</v>
          </cell>
        </row>
        <row r="156">
          <cell r="E156" t="str">
            <v>PURE_TRNVR_W</v>
          </cell>
          <cell r="Z156" t="str">
            <v>N</v>
          </cell>
          <cell r="AA156" t="str">
            <v>N</v>
          </cell>
          <cell r="AB156" t="str">
            <v>Y</v>
          </cell>
          <cell r="AC156" t="str">
            <v>N</v>
          </cell>
          <cell r="AD156" t="str">
            <v>N</v>
          </cell>
          <cell r="AE156" t="str">
            <v>N</v>
          </cell>
        </row>
        <row r="157">
          <cell r="E157" t="str">
            <v>PURE_CAPEX_CE</v>
          </cell>
          <cell r="Z157" t="str">
            <v>N</v>
          </cell>
          <cell r="AA157" t="str">
            <v>N</v>
          </cell>
          <cell r="AB157" t="str">
            <v>Y</v>
          </cell>
          <cell r="AC157" t="str">
            <v>N</v>
          </cell>
          <cell r="AD157" t="str">
            <v>N</v>
          </cell>
          <cell r="AE157" t="str">
            <v>N</v>
          </cell>
        </row>
        <row r="158">
          <cell r="E158" t="str">
            <v>PURE_TRNVR_CE</v>
          </cell>
          <cell r="Z158" t="str">
            <v>N</v>
          </cell>
          <cell r="AA158" t="str">
            <v>N</v>
          </cell>
          <cell r="AB158" t="str">
            <v>Y</v>
          </cell>
          <cell r="AC158" t="str">
            <v>N</v>
          </cell>
          <cell r="AD158" t="str">
            <v>N</v>
          </cell>
          <cell r="AE158" t="str">
            <v>N</v>
          </cell>
        </row>
        <row r="159">
          <cell r="E159" t="str">
            <v>ENBLNG_CAPEX_W</v>
          </cell>
          <cell r="Z159" t="str">
            <v>N</v>
          </cell>
          <cell r="AA159" t="str">
            <v>N</v>
          </cell>
          <cell r="AB159" t="str">
            <v>Y</v>
          </cell>
          <cell r="AC159" t="str">
            <v>N</v>
          </cell>
          <cell r="AD159" t="str">
            <v>N</v>
          </cell>
          <cell r="AE159" t="str">
            <v>N</v>
          </cell>
        </row>
        <row r="160">
          <cell r="E160" t="str">
            <v>ENBLNG_TRNVR_W</v>
          </cell>
          <cell r="Z160" t="str">
            <v>N</v>
          </cell>
          <cell r="AA160" t="str">
            <v>N</v>
          </cell>
          <cell r="AB160" t="str">
            <v>Y</v>
          </cell>
          <cell r="AC160" t="str">
            <v>N</v>
          </cell>
          <cell r="AD160" t="str">
            <v>N</v>
          </cell>
          <cell r="AE160" t="str">
            <v>N</v>
          </cell>
        </row>
        <row r="161">
          <cell r="E161" t="str">
            <v>ENBLNG_CAPEX_CE</v>
          </cell>
          <cell r="Z161" t="str">
            <v>N</v>
          </cell>
          <cell r="AA161" t="str">
            <v>N</v>
          </cell>
          <cell r="AB161" t="str">
            <v>Y</v>
          </cell>
          <cell r="AC161" t="str">
            <v>N</v>
          </cell>
          <cell r="AD161" t="str">
            <v>N</v>
          </cell>
          <cell r="AE161" t="str">
            <v>N</v>
          </cell>
        </row>
        <row r="162">
          <cell r="E162" t="str">
            <v>ENBLNG_TRNVR_CE</v>
          </cell>
          <cell r="Z162" t="str">
            <v>N</v>
          </cell>
          <cell r="AA162" t="str">
            <v>N</v>
          </cell>
          <cell r="AB162" t="str">
            <v>Y</v>
          </cell>
          <cell r="AC162" t="str">
            <v>N</v>
          </cell>
          <cell r="AD162" t="str">
            <v>N</v>
          </cell>
          <cell r="AE162" t="str">
            <v>N</v>
          </cell>
        </row>
        <row r="163">
          <cell r="E163" t="str">
            <v>RORAC</v>
          </cell>
          <cell r="Z163" t="str">
            <v>N</v>
          </cell>
          <cell r="AA163" t="str">
            <v>N</v>
          </cell>
          <cell r="AB163" t="str">
            <v>N</v>
          </cell>
          <cell r="AC163" t="str">
            <v>N</v>
          </cell>
          <cell r="AD163" t="str">
            <v>N</v>
          </cell>
          <cell r="AE163" t="str">
            <v>Y</v>
          </cell>
        </row>
        <row r="164">
          <cell r="E164" t="str">
            <v>GRP_RORAC</v>
          </cell>
          <cell r="Z164" t="str">
            <v>N</v>
          </cell>
          <cell r="AA164" t="str">
            <v>N</v>
          </cell>
          <cell r="AB164" t="str">
            <v>N</v>
          </cell>
          <cell r="AC164" t="str">
            <v>N</v>
          </cell>
          <cell r="AD164" t="str">
            <v>N</v>
          </cell>
          <cell r="AE164" t="str">
            <v>Y</v>
          </cell>
        </row>
        <row r="165">
          <cell r="E165" t="str">
            <v>RORWA</v>
          </cell>
          <cell r="Z165" t="str">
            <v>N</v>
          </cell>
          <cell r="AA165" t="str">
            <v>N</v>
          </cell>
          <cell r="AB165" t="str">
            <v>N</v>
          </cell>
          <cell r="AC165" t="str">
            <v>N</v>
          </cell>
          <cell r="AD165" t="str">
            <v>N</v>
          </cell>
          <cell r="AE165" t="str">
            <v>Y</v>
          </cell>
        </row>
        <row r="166">
          <cell r="E166" t="str">
            <v>GRP_RORWA</v>
          </cell>
          <cell r="Z166" t="str">
            <v>N</v>
          </cell>
          <cell r="AA166" t="str">
            <v>N</v>
          </cell>
          <cell r="AB166" t="str">
            <v>N</v>
          </cell>
          <cell r="AC166" t="str">
            <v>N</v>
          </cell>
          <cell r="AD166" t="str">
            <v>N</v>
          </cell>
          <cell r="AE166" t="str">
            <v>Y</v>
          </cell>
        </row>
        <row r="167">
          <cell r="E167" t="str">
            <v>SCAN</v>
          </cell>
          <cell r="Z167" t="str">
            <v>N</v>
          </cell>
          <cell r="AA167" t="str">
            <v>N</v>
          </cell>
          <cell r="AB167" t="str">
            <v>N</v>
          </cell>
          <cell r="AC167" t="str">
            <v>N</v>
          </cell>
          <cell r="AD167" t="str">
            <v>N</v>
          </cell>
          <cell r="AE167" t="str">
            <v>Y</v>
          </cell>
        </row>
        <row r="168">
          <cell r="E168" t="str">
            <v>TTL_PRMSSBL_DBT_BLNC</v>
          </cell>
          <cell r="Z168" t="str">
            <v>N</v>
          </cell>
          <cell r="AA168" t="str">
            <v>N</v>
          </cell>
          <cell r="AB168" t="str">
            <v>N</v>
          </cell>
          <cell r="AC168" t="str">
            <v>N</v>
          </cell>
          <cell r="AD168" t="str">
            <v>N</v>
          </cell>
          <cell r="AE168" t="str">
            <v>Y</v>
          </cell>
        </row>
        <row r="169">
          <cell r="E169" t="str">
            <v>SSTNBL_CLNT</v>
          </cell>
          <cell r="Z169" t="str">
            <v>N</v>
          </cell>
          <cell r="AA169" t="str">
            <v>Y</v>
          </cell>
          <cell r="AB169" t="str">
            <v>N</v>
          </cell>
          <cell r="AC169" t="str">
            <v>Y</v>
          </cell>
          <cell r="AD169" t="str">
            <v>N</v>
          </cell>
          <cell r="AE169" t="str">
            <v>N</v>
          </cell>
        </row>
        <row r="170">
          <cell r="E170" t="str">
            <v>DT_SSTNBL_CLNT</v>
          </cell>
          <cell r="Z170" t="str">
            <v>N</v>
          </cell>
          <cell r="AA170" t="str">
            <v>Y</v>
          </cell>
          <cell r="AB170" t="str">
            <v>N</v>
          </cell>
          <cell r="AC170" t="str">
            <v>Y</v>
          </cell>
          <cell r="AD170" t="str">
            <v>N</v>
          </cell>
          <cell r="AE170" t="str">
            <v>N</v>
          </cell>
        </row>
        <row r="171">
          <cell r="E171" t="str">
            <v>DT_FNNCL_STTMTS_SSTNBL_CLNT</v>
          </cell>
          <cell r="Z171" t="str">
            <v>N</v>
          </cell>
          <cell r="AA171" t="str">
            <v>Y</v>
          </cell>
          <cell r="AB171" t="str">
            <v>N</v>
          </cell>
          <cell r="AC171" t="str">
            <v>Y</v>
          </cell>
          <cell r="AD171" t="str">
            <v>N</v>
          </cell>
          <cell r="AE171" t="str">
            <v>N</v>
          </cell>
        </row>
        <row r="172">
          <cell r="E172" t="str">
            <v>CNTRPRTY_SSTNBL_CTGRY</v>
          </cell>
          <cell r="Z172" t="str">
            <v>N</v>
          </cell>
          <cell r="AA172" t="str">
            <v>Y</v>
          </cell>
          <cell r="AB172" t="str">
            <v>N</v>
          </cell>
          <cell r="AC172" t="str">
            <v>Y</v>
          </cell>
          <cell r="AD172" t="str">
            <v>N</v>
          </cell>
          <cell r="AE172" t="str">
            <v>N</v>
          </cell>
        </row>
        <row r="173">
          <cell r="E173" t="str">
            <v>COD_SOC</v>
          </cell>
          <cell r="Z173" t="str">
            <v>Y</v>
          </cell>
          <cell r="AA173" t="str">
            <v>N</v>
          </cell>
          <cell r="AB173" t="str">
            <v>Y</v>
          </cell>
          <cell r="AC173" t="str">
            <v>Y</v>
          </cell>
          <cell r="AD173" t="str">
            <v>N</v>
          </cell>
          <cell r="AE173" t="str">
            <v>Y</v>
          </cell>
        </row>
        <row r="174">
          <cell r="E174" t="str">
            <v>DT_RFRNC</v>
          </cell>
          <cell r="Z174" t="str">
            <v>Y</v>
          </cell>
          <cell r="AA174" t="str">
            <v>N</v>
          </cell>
          <cell r="AB174" t="str">
            <v>Y</v>
          </cell>
          <cell r="AC174" t="str">
            <v>Y</v>
          </cell>
          <cell r="AD174" t="str">
            <v>N</v>
          </cell>
          <cell r="AE174" t="str">
            <v>Y</v>
          </cell>
        </row>
        <row r="175">
          <cell r="E175" t="str">
            <v>ENTTY_ID</v>
          </cell>
          <cell r="Z175" t="str">
            <v>Y</v>
          </cell>
          <cell r="AA175" t="str">
            <v>N</v>
          </cell>
          <cell r="AB175" t="str">
            <v>Y</v>
          </cell>
          <cell r="AC175" t="str">
            <v>Y</v>
          </cell>
          <cell r="AD175" t="str">
            <v>N</v>
          </cell>
          <cell r="AE175" t="str">
            <v>Y</v>
          </cell>
        </row>
        <row r="176">
          <cell r="E176" t="str">
            <v>INSTRMNT_ID</v>
          </cell>
          <cell r="Z176" t="str">
            <v>Y</v>
          </cell>
          <cell r="AA176" t="str">
            <v>N</v>
          </cell>
          <cell r="AB176" t="str">
            <v>Y</v>
          </cell>
          <cell r="AC176" t="str">
            <v>Y</v>
          </cell>
          <cell r="AD176" t="str">
            <v>N</v>
          </cell>
          <cell r="AE176" t="str">
            <v>Y</v>
          </cell>
        </row>
        <row r="177">
          <cell r="E177" t="str">
            <v>JNT_LBLTY_AMNT</v>
          </cell>
          <cell r="Z177" t="str">
            <v>Y</v>
          </cell>
          <cell r="AA177" t="str">
            <v>N</v>
          </cell>
          <cell r="AB177" t="str">
            <v>N</v>
          </cell>
          <cell r="AC177" t="str">
            <v>N</v>
          </cell>
          <cell r="AD177" t="str">
            <v>N</v>
          </cell>
          <cell r="AE177" t="str">
            <v>Y</v>
          </cell>
        </row>
        <row r="178">
          <cell r="E178" t="str">
            <v>MN_ENTTY_ID</v>
          </cell>
          <cell r="Z178" t="str">
            <v>Y</v>
          </cell>
          <cell r="AA178" t="str">
            <v>N</v>
          </cell>
          <cell r="AB178" t="str">
            <v>Y</v>
          </cell>
          <cell r="AC178" t="str">
            <v>Y</v>
          </cell>
          <cell r="AD178" t="str">
            <v>N</v>
          </cell>
          <cell r="AE178" t="str">
            <v>Y</v>
          </cell>
        </row>
        <row r="179">
          <cell r="E179" t="str">
            <v>COD_SOC</v>
          </cell>
          <cell r="Z179" t="str">
            <v>Y</v>
          </cell>
          <cell r="AA179" t="str">
            <v>Y</v>
          </cell>
          <cell r="AB179" t="str">
            <v>Y</v>
          </cell>
          <cell r="AC179" t="str">
            <v>Y</v>
          </cell>
          <cell r="AD179" t="str">
            <v>Y</v>
          </cell>
          <cell r="AE179" t="str">
            <v>Y</v>
          </cell>
        </row>
        <row r="180">
          <cell r="E180" t="str">
            <v>SUBPORTFOLIO_ID</v>
          </cell>
          <cell r="Z180" t="str">
            <v>Y</v>
          </cell>
          <cell r="AA180" t="str">
            <v>Y</v>
          </cell>
          <cell r="AB180" t="str">
            <v>Y</v>
          </cell>
          <cell r="AC180" t="str">
            <v>Y</v>
          </cell>
          <cell r="AD180" t="str">
            <v>Y</v>
          </cell>
          <cell r="AE180" t="str">
            <v>Y</v>
          </cell>
        </row>
        <row r="181">
          <cell r="E181" t="str">
            <v>CRE_FNRP18</v>
          </cell>
          <cell r="Z181" t="str">
            <v>Y</v>
          </cell>
          <cell r="AA181" t="str">
            <v>N</v>
          </cell>
          <cell r="AB181" t="str">
            <v>N</v>
          </cell>
          <cell r="AC181" t="str">
            <v>N</v>
          </cell>
          <cell r="AD181" t="str">
            <v>N</v>
          </cell>
          <cell r="AE181" t="str">
            <v>N</v>
          </cell>
        </row>
        <row r="182">
          <cell r="E182" t="str">
            <v>SME_FNRP18</v>
          </cell>
          <cell r="Z182" t="str">
            <v>Y</v>
          </cell>
          <cell r="AA182" t="str">
            <v>N</v>
          </cell>
          <cell r="AB182" t="str">
            <v>N</v>
          </cell>
          <cell r="AC182" t="str">
            <v>N</v>
          </cell>
          <cell r="AD182" t="str">
            <v>N</v>
          </cell>
          <cell r="AE182" t="str">
            <v>N</v>
          </cell>
        </row>
        <row r="183">
          <cell r="E183" t="str">
            <v>RRE_FNRP18</v>
          </cell>
          <cell r="Z183" t="str">
            <v>Y</v>
          </cell>
          <cell r="AA183" t="str">
            <v>N</v>
          </cell>
          <cell r="AB183" t="str">
            <v>N</v>
          </cell>
          <cell r="AC183" t="str">
            <v>N</v>
          </cell>
          <cell r="AD183" t="str">
            <v>N</v>
          </cell>
          <cell r="AE183" t="str">
            <v>N</v>
          </cell>
        </row>
        <row r="184">
          <cell r="E184" t="str">
            <v>CNSMPTN_FNRP18</v>
          </cell>
          <cell r="Z184" t="str">
            <v>Y</v>
          </cell>
          <cell r="AA184" t="str">
            <v>N</v>
          </cell>
          <cell r="AB184" t="str">
            <v>N</v>
          </cell>
          <cell r="AC184" t="str">
            <v>N</v>
          </cell>
          <cell r="AD184" t="str">
            <v>N</v>
          </cell>
          <cell r="AE184" t="str">
            <v>N</v>
          </cell>
        </row>
        <row r="185">
          <cell r="E185" t="str">
            <v>DT_RFRNC</v>
          </cell>
          <cell r="Z185" t="str">
            <v>Y</v>
          </cell>
          <cell r="AA185" t="str">
            <v>Y</v>
          </cell>
          <cell r="AB185" t="str">
            <v>Y</v>
          </cell>
          <cell r="AC185" t="str">
            <v>Y</v>
          </cell>
          <cell r="AD185" t="str">
            <v>Y</v>
          </cell>
          <cell r="AE185" t="str">
            <v>Y</v>
          </cell>
        </row>
        <row r="186">
          <cell r="E186" t="str">
            <v>INSTRMNT_ID</v>
          </cell>
          <cell r="Z186" t="str">
            <v>Y</v>
          </cell>
          <cell r="AA186" t="str">
            <v>Y</v>
          </cell>
          <cell r="AB186" t="str">
            <v>Y</v>
          </cell>
          <cell r="AC186" t="str">
            <v>Y</v>
          </cell>
          <cell r="AD186" t="str">
            <v>Y</v>
          </cell>
          <cell r="AE186" t="str">
            <v>Y</v>
          </cell>
        </row>
        <row r="187">
          <cell r="E187" t="str">
            <v>CNTRCT_ID</v>
          </cell>
          <cell r="Z187" t="str">
            <v>Y</v>
          </cell>
          <cell r="AA187" t="str">
            <v>N</v>
          </cell>
          <cell r="AB187" t="str">
            <v>N</v>
          </cell>
          <cell r="AC187" t="str">
            <v>N</v>
          </cell>
          <cell r="AD187" t="str">
            <v>N</v>
          </cell>
          <cell r="AE187" t="str">
            <v>N</v>
          </cell>
        </row>
        <row r="188">
          <cell r="E188" t="str">
            <v>CRRNCY_DNMNTN</v>
          </cell>
          <cell r="Z188" t="str">
            <v>Y</v>
          </cell>
          <cell r="AA188" t="str">
            <v>N</v>
          </cell>
          <cell r="AB188" t="str">
            <v>N</v>
          </cell>
          <cell r="AC188" t="str">
            <v>Y</v>
          </cell>
          <cell r="AD188" t="str">
            <v>N</v>
          </cell>
          <cell r="AE188" t="str">
            <v>Y</v>
          </cell>
        </row>
        <row r="189">
          <cell r="E189" t="str">
            <v>DT_INCPTN</v>
          </cell>
          <cell r="Z189" t="str">
            <v>Y</v>
          </cell>
          <cell r="AA189" t="str">
            <v>N</v>
          </cell>
          <cell r="AB189" t="str">
            <v>Y</v>
          </cell>
          <cell r="AC189" t="str">
            <v>Y</v>
          </cell>
          <cell r="AD189" t="str">
            <v>N</v>
          </cell>
          <cell r="AE189" t="str">
            <v>Y</v>
          </cell>
        </row>
        <row r="190">
          <cell r="E190" t="str">
            <v>OBSRVD_AGNT_ID</v>
          </cell>
          <cell r="Z190" t="str">
            <v>Y</v>
          </cell>
          <cell r="AA190" t="str">
            <v>N</v>
          </cell>
          <cell r="AB190" t="str">
            <v>N</v>
          </cell>
          <cell r="AC190" t="str">
            <v>N</v>
          </cell>
          <cell r="AD190" t="str">
            <v>N</v>
          </cell>
          <cell r="AE190" t="str">
            <v>Y</v>
          </cell>
        </row>
        <row r="191">
          <cell r="E191" t="str">
            <v>OBSRVD_AGNT_NM</v>
          </cell>
          <cell r="Z191" t="str">
            <v>Y</v>
          </cell>
          <cell r="AA191" t="str">
            <v>N</v>
          </cell>
          <cell r="AB191" t="str">
            <v>N</v>
          </cell>
          <cell r="AC191" t="str">
            <v>N</v>
          </cell>
          <cell r="AD191" t="str">
            <v>N</v>
          </cell>
          <cell r="AE191" t="str">
            <v>Y</v>
          </cell>
        </row>
        <row r="192">
          <cell r="E192" t="str">
            <v>PRDCT</v>
          </cell>
          <cell r="Z192" t="str">
            <v>Y</v>
          </cell>
          <cell r="AA192" t="str">
            <v>N</v>
          </cell>
          <cell r="AB192" t="str">
            <v>N</v>
          </cell>
          <cell r="AC192" t="str">
            <v>Y</v>
          </cell>
          <cell r="AD192" t="str">
            <v>N</v>
          </cell>
          <cell r="AE192" t="str">
            <v>N</v>
          </cell>
        </row>
        <row r="193">
          <cell r="E193" t="str">
            <v>BRCHD_CVNNTS</v>
          </cell>
          <cell r="Z193" t="str">
            <v>Y</v>
          </cell>
          <cell r="AA193" t="str">
            <v>N</v>
          </cell>
          <cell r="AB193" t="str">
            <v>N</v>
          </cell>
          <cell r="AC193" t="str">
            <v>N</v>
          </cell>
          <cell r="AD193" t="str">
            <v>N</v>
          </cell>
          <cell r="AE193" t="str">
            <v>Y</v>
          </cell>
        </row>
        <row r="194">
          <cell r="E194" t="str">
            <v>CHNNL_ORGNTN</v>
          </cell>
          <cell r="Z194" t="str">
            <v>Y</v>
          </cell>
          <cell r="AA194" t="str">
            <v>N</v>
          </cell>
          <cell r="AB194" t="str">
            <v>N</v>
          </cell>
          <cell r="AC194" t="str">
            <v>Y</v>
          </cell>
          <cell r="AD194" t="str">
            <v>N</v>
          </cell>
          <cell r="AE194" t="str">
            <v>N</v>
          </cell>
        </row>
        <row r="195">
          <cell r="E195" t="str">
            <v>CSH_SWP_TRP</v>
          </cell>
          <cell r="Z195" t="str">
            <v>Y</v>
          </cell>
          <cell r="AA195" t="str">
            <v>N</v>
          </cell>
          <cell r="AB195" t="str">
            <v>N</v>
          </cell>
          <cell r="AC195" t="str">
            <v>N</v>
          </cell>
          <cell r="AD195" t="str">
            <v>N</v>
          </cell>
          <cell r="AE195" t="str">
            <v>Y</v>
          </cell>
        </row>
        <row r="196">
          <cell r="E196" t="str">
            <v>CVNNT_STTS</v>
          </cell>
          <cell r="Z196" t="str">
            <v>Y</v>
          </cell>
          <cell r="AA196" t="str">
            <v>N</v>
          </cell>
          <cell r="AB196" t="str">
            <v>N</v>
          </cell>
          <cell r="AC196" t="str">
            <v>N</v>
          </cell>
          <cell r="AD196" t="str">
            <v>N</v>
          </cell>
          <cell r="AE196" t="str">
            <v>Y</v>
          </cell>
        </row>
        <row r="197">
          <cell r="E197" t="str">
            <v>CVNNT_TYP</v>
          </cell>
          <cell r="Z197" t="str">
            <v>Y</v>
          </cell>
          <cell r="AA197" t="str">
            <v>N</v>
          </cell>
          <cell r="AB197" t="str">
            <v>N</v>
          </cell>
          <cell r="AC197" t="str">
            <v>N</v>
          </cell>
          <cell r="AD197" t="str">
            <v>N</v>
          </cell>
          <cell r="AE197" t="str">
            <v>Y</v>
          </cell>
        </row>
        <row r="198">
          <cell r="E198" t="str">
            <v>DFLT_STTS_INSTRMNT</v>
          </cell>
          <cell r="Z198" t="str">
            <v>Y</v>
          </cell>
          <cell r="AA198" t="str">
            <v>Y</v>
          </cell>
          <cell r="AB198" t="str">
            <v>Y</v>
          </cell>
          <cell r="AC198" t="str">
            <v>Y</v>
          </cell>
          <cell r="AD198" t="str">
            <v>N</v>
          </cell>
          <cell r="AE198" t="str">
            <v>Y</v>
          </cell>
        </row>
        <row r="199">
          <cell r="E199" t="str">
            <v>DT_DFLT_STTS_INSTRMNT</v>
          </cell>
          <cell r="Z199" t="str">
            <v>Y</v>
          </cell>
          <cell r="AA199" t="str">
            <v>N</v>
          </cell>
          <cell r="AB199" t="str">
            <v>N</v>
          </cell>
          <cell r="AC199" t="str">
            <v>N</v>
          </cell>
          <cell r="AD199" t="str">
            <v>N</v>
          </cell>
          <cell r="AE199" t="str">
            <v>Y</v>
          </cell>
        </row>
        <row r="200">
          <cell r="E200" t="str">
            <v>DT_END_GP_PPAL</v>
          </cell>
          <cell r="Z200" t="str">
            <v>Y</v>
          </cell>
          <cell r="AA200" t="str">
            <v>N</v>
          </cell>
          <cell r="AB200" t="str">
            <v>N</v>
          </cell>
          <cell r="AC200" t="str">
            <v>N</v>
          </cell>
          <cell r="AD200" t="str">
            <v>N</v>
          </cell>
          <cell r="AE200" t="str">
            <v>N</v>
          </cell>
        </row>
        <row r="201">
          <cell r="E201" t="str">
            <v>DT_END_INTRST_ONLY</v>
          </cell>
          <cell r="Z201" t="str">
            <v>Y</v>
          </cell>
          <cell r="AA201" t="str">
            <v>N</v>
          </cell>
          <cell r="AB201" t="str">
            <v>N</v>
          </cell>
          <cell r="AC201" t="str">
            <v>N</v>
          </cell>
          <cell r="AD201" t="str">
            <v>N</v>
          </cell>
          <cell r="AE201" t="str">
            <v>N</v>
          </cell>
        </row>
        <row r="202">
          <cell r="E202" t="str">
            <v>DT_FRBRNC_STTS</v>
          </cell>
          <cell r="Z202" t="str">
            <v>Y</v>
          </cell>
          <cell r="AA202" t="str">
            <v>N</v>
          </cell>
          <cell r="AB202" t="str">
            <v>N</v>
          </cell>
          <cell r="AC202" t="str">
            <v>N</v>
          </cell>
          <cell r="AD202" t="str">
            <v>N</v>
          </cell>
          <cell r="AE202" t="str">
            <v>Y</v>
          </cell>
        </row>
        <row r="203">
          <cell r="E203" t="str">
            <v>DT_FRBRNC_STTS_PRVS</v>
          </cell>
          <cell r="Z203" t="str">
            <v>Y</v>
          </cell>
          <cell r="AA203" t="str">
            <v>N</v>
          </cell>
          <cell r="AB203" t="str">
            <v>N</v>
          </cell>
          <cell r="AC203" t="str">
            <v>N</v>
          </cell>
          <cell r="AD203" t="str">
            <v>N</v>
          </cell>
          <cell r="AE203" t="str">
            <v>N</v>
          </cell>
        </row>
        <row r="204">
          <cell r="E204" t="str">
            <v>DT_INTRNL_RTNG</v>
          </cell>
          <cell r="Z204" t="str">
            <v>Y</v>
          </cell>
          <cell r="AA204" t="str">
            <v>N</v>
          </cell>
          <cell r="AB204" t="str">
            <v>N</v>
          </cell>
          <cell r="AC204" t="str">
            <v>N</v>
          </cell>
          <cell r="AD204" t="str">
            <v>N</v>
          </cell>
          <cell r="AE204" t="str">
            <v>Y</v>
          </cell>
        </row>
        <row r="205">
          <cell r="E205" t="str">
            <v>DT_PRFRMNG_STTS</v>
          </cell>
          <cell r="Z205" t="str">
            <v>Y</v>
          </cell>
          <cell r="AA205" t="str">
            <v>N</v>
          </cell>
          <cell r="AB205" t="str">
            <v>N</v>
          </cell>
          <cell r="AC205" t="str">
            <v>N</v>
          </cell>
          <cell r="AD205" t="str">
            <v>N</v>
          </cell>
          <cell r="AE205" t="str">
            <v>Y</v>
          </cell>
        </row>
        <row r="206">
          <cell r="E206" t="str">
            <v>DT_PRFRMNG_STTS_PRVS</v>
          </cell>
          <cell r="Z206" t="str">
            <v>Y</v>
          </cell>
          <cell r="AA206" t="str">
            <v>N</v>
          </cell>
          <cell r="AB206" t="str">
            <v>N</v>
          </cell>
          <cell r="AC206" t="str">
            <v>N</v>
          </cell>
          <cell r="AD206" t="str">
            <v>N</v>
          </cell>
          <cell r="AE206" t="str">
            <v>Y</v>
          </cell>
        </row>
        <row r="207">
          <cell r="E207" t="str">
            <v>DT_STRT_INTRST_ONLY</v>
          </cell>
          <cell r="Z207" t="str">
            <v>Y</v>
          </cell>
          <cell r="AA207" t="str">
            <v>N</v>
          </cell>
          <cell r="AB207" t="str">
            <v>N</v>
          </cell>
          <cell r="AC207" t="str">
            <v>N</v>
          </cell>
          <cell r="AD207" t="str">
            <v>N</v>
          </cell>
          <cell r="AE207" t="str">
            <v>N</v>
          </cell>
        </row>
        <row r="208">
          <cell r="E208" t="str">
            <v>EXPSR_IN_SCP</v>
          </cell>
          <cell r="Z208" t="str">
            <v>Y</v>
          </cell>
          <cell r="AA208" t="str">
            <v>N</v>
          </cell>
          <cell r="AB208" t="str">
            <v>N</v>
          </cell>
          <cell r="AC208" t="str">
            <v>N</v>
          </cell>
          <cell r="AD208" t="str">
            <v>N</v>
          </cell>
          <cell r="AE208" t="str">
            <v>Y</v>
          </cell>
        </row>
        <row r="209">
          <cell r="E209" t="str">
            <v>FLD_SYNDCTN</v>
          </cell>
          <cell r="Z209" t="str">
            <v>Y</v>
          </cell>
          <cell r="AA209" t="str">
            <v>N</v>
          </cell>
          <cell r="AB209" t="str">
            <v>N</v>
          </cell>
          <cell r="AC209" t="str">
            <v>N</v>
          </cell>
          <cell r="AD209" t="str">
            <v>N</v>
          </cell>
          <cell r="AE209" t="str">
            <v>Y</v>
          </cell>
        </row>
        <row r="210">
          <cell r="E210" t="str">
            <v>FLG_LBO</v>
          </cell>
          <cell r="Z210" t="str">
            <v>Y</v>
          </cell>
          <cell r="AA210" t="str">
            <v>N</v>
          </cell>
          <cell r="AB210" t="str">
            <v>N</v>
          </cell>
          <cell r="AC210" t="str">
            <v>N</v>
          </cell>
          <cell r="AD210" t="str">
            <v>N</v>
          </cell>
          <cell r="AE210" t="str">
            <v>Y</v>
          </cell>
        </row>
        <row r="211">
          <cell r="E211" t="str">
            <v>FRBRNC_STTS_INSTRMNT</v>
          </cell>
          <cell r="Z211" t="str">
            <v>Y</v>
          </cell>
          <cell r="AA211" t="str">
            <v>N</v>
          </cell>
          <cell r="AB211" t="str">
            <v>Y</v>
          </cell>
          <cell r="AC211" t="str">
            <v>N</v>
          </cell>
          <cell r="AD211" t="str">
            <v>N</v>
          </cell>
          <cell r="AE211" t="str">
            <v>Y</v>
          </cell>
        </row>
        <row r="212">
          <cell r="E212" t="str">
            <v>IMPRMNT_STTS</v>
          </cell>
          <cell r="Z212" t="str">
            <v>Y</v>
          </cell>
          <cell r="AA212" t="str">
            <v>Y</v>
          </cell>
          <cell r="AB212" t="str">
            <v>Y</v>
          </cell>
          <cell r="AC212" t="str">
            <v>N</v>
          </cell>
          <cell r="AD212" t="str">
            <v>N</v>
          </cell>
          <cell r="AE212" t="str">
            <v>Y</v>
          </cell>
        </row>
        <row r="213">
          <cell r="E213" t="str">
            <v>IMPRMNT_STTS_PRVS</v>
          </cell>
          <cell r="Z213" t="str">
            <v>Y</v>
          </cell>
          <cell r="AA213" t="str">
            <v>N</v>
          </cell>
          <cell r="AB213" t="str">
            <v>N</v>
          </cell>
          <cell r="AC213" t="str">
            <v>N</v>
          </cell>
          <cell r="AD213" t="str">
            <v>N</v>
          </cell>
          <cell r="AE213" t="str">
            <v>Y</v>
          </cell>
        </row>
        <row r="214">
          <cell r="E214" t="str">
            <v>INTRNL_RTNG</v>
          </cell>
          <cell r="Z214" t="str">
            <v>Y</v>
          </cell>
          <cell r="AA214" t="str">
            <v>N</v>
          </cell>
          <cell r="AB214" t="str">
            <v>N</v>
          </cell>
          <cell r="AC214" t="str">
            <v>N</v>
          </cell>
          <cell r="AD214" t="str">
            <v>N</v>
          </cell>
          <cell r="AE214" t="str">
            <v>Y</v>
          </cell>
        </row>
        <row r="215">
          <cell r="E215" t="str">
            <v>INTRNL_RTNG_INCPTN</v>
          </cell>
          <cell r="Z215" t="str">
            <v>Y</v>
          </cell>
          <cell r="AA215" t="str">
            <v>N</v>
          </cell>
          <cell r="AB215" t="str">
            <v>N</v>
          </cell>
          <cell r="AC215" t="str">
            <v>N</v>
          </cell>
          <cell r="AD215" t="str">
            <v>N</v>
          </cell>
          <cell r="AE215" t="str">
            <v>Y</v>
          </cell>
        </row>
        <row r="216">
          <cell r="E216" t="str">
            <v>INTRNL_SGMNT</v>
          </cell>
          <cell r="Z216" t="str">
            <v>Y</v>
          </cell>
          <cell r="AA216" t="str">
            <v>N</v>
          </cell>
          <cell r="AB216" t="str">
            <v>N</v>
          </cell>
          <cell r="AC216" t="str">
            <v>N</v>
          </cell>
          <cell r="AD216" t="str">
            <v>Y</v>
          </cell>
          <cell r="AE216" t="str">
            <v>Y</v>
          </cell>
        </row>
        <row r="217">
          <cell r="E217" t="str">
            <v>INTRNL_UNT</v>
          </cell>
          <cell r="Z217" t="str">
            <v>Y</v>
          </cell>
          <cell r="AA217" t="str">
            <v>N</v>
          </cell>
          <cell r="AB217" t="str">
            <v>N</v>
          </cell>
          <cell r="AC217" t="str">
            <v>N</v>
          </cell>
          <cell r="AD217" t="str">
            <v>N</v>
          </cell>
          <cell r="AE217" t="str">
            <v>Y</v>
          </cell>
        </row>
        <row r="218">
          <cell r="E218" t="str">
            <v>LCRE</v>
          </cell>
          <cell r="Z218" t="str">
            <v>Y</v>
          </cell>
          <cell r="AA218" t="str">
            <v>N</v>
          </cell>
          <cell r="AB218" t="str">
            <v>N</v>
          </cell>
          <cell r="AC218" t="str">
            <v>N</v>
          </cell>
          <cell r="AD218" t="str">
            <v>N</v>
          </cell>
          <cell r="AE218" t="str">
            <v>N</v>
          </cell>
        </row>
        <row r="219">
          <cell r="E219" t="str">
            <v>LGL_PRCDNG_STTS</v>
          </cell>
          <cell r="Z219" t="str">
            <v>Y</v>
          </cell>
          <cell r="AA219" t="str">
            <v>N</v>
          </cell>
          <cell r="AB219" t="str">
            <v>N</v>
          </cell>
          <cell r="AC219" t="str">
            <v>N</v>
          </cell>
          <cell r="AD219" t="str">
            <v>N</v>
          </cell>
          <cell r="AE219" t="str">
            <v>N</v>
          </cell>
        </row>
        <row r="220">
          <cell r="E220" t="str">
            <v>LND_DRGTN</v>
          </cell>
          <cell r="Z220" t="str">
            <v>Y</v>
          </cell>
          <cell r="AA220" t="str">
            <v>N</v>
          </cell>
          <cell r="AB220" t="str">
            <v>N</v>
          </cell>
          <cell r="AC220" t="str">
            <v>N</v>
          </cell>
          <cell r="AD220" t="str">
            <v>N</v>
          </cell>
          <cell r="AE220" t="str">
            <v>N</v>
          </cell>
        </row>
        <row r="221">
          <cell r="E221" t="str">
            <v>POCI</v>
          </cell>
          <cell r="Z221" t="str">
            <v>Y</v>
          </cell>
          <cell r="AA221" t="str">
            <v>N</v>
          </cell>
          <cell r="AB221" t="str">
            <v>N</v>
          </cell>
          <cell r="AC221" t="str">
            <v>N</v>
          </cell>
          <cell r="AD221" t="str">
            <v>N</v>
          </cell>
          <cell r="AE221" t="str">
            <v>N</v>
          </cell>
        </row>
        <row r="222">
          <cell r="E222" t="str">
            <v>PRFRMNG_STTS</v>
          </cell>
          <cell r="Z222" t="str">
            <v>Y</v>
          </cell>
          <cell r="AA222" t="str">
            <v>Y</v>
          </cell>
          <cell r="AB222" t="str">
            <v>Y</v>
          </cell>
          <cell r="AC222" t="str">
            <v>N</v>
          </cell>
          <cell r="AD222" t="str">
            <v>N</v>
          </cell>
          <cell r="AE222" t="str">
            <v>Y</v>
          </cell>
        </row>
        <row r="223">
          <cell r="E223" t="str">
            <v>PRFRMNG_STTS_PRVS</v>
          </cell>
          <cell r="Z223" t="str">
            <v>Y</v>
          </cell>
          <cell r="AA223" t="str">
            <v>N</v>
          </cell>
          <cell r="AB223" t="str">
            <v>N</v>
          </cell>
          <cell r="AC223" t="str">
            <v>N</v>
          </cell>
          <cell r="AD223" t="str">
            <v>N</v>
          </cell>
          <cell r="AE223" t="str">
            <v>Y</v>
          </cell>
        </row>
        <row r="224">
          <cell r="E224" t="str">
            <v>PRJCT_FNNC_LN</v>
          </cell>
          <cell r="Z224" t="str">
            <v>Y</v>
          </cell>
          <cell r="AA224" t="str">
            <v>N</v>
          </cell>
          <cell r="AB224" t="str">
            <v>Y</v>
          </cell>
          <cell r="AC224" t="str">
            <v>N</v>
          </cell>
          <cell r="AD224" t="str">
            <v>N</v>
          </cell>
          <cell r="AE224" t="str">
            <v>N</v>
          </cell>
        </row>
        <row r="225">
          <cell r="E225" t="str">
            <v>PRPS</v>
          </cell>
          <cell r="Z225" t="str">
            <v>Y</v>
          </cell>
          <cell r="AA225" t="str">
            <v>N</v>
          </cell>
          <cell r="AB225" t="str">
            <v>N</v>
          </cell>
          <cell r="AC225" t="str">
            <v>N</v>
          </cell>
          <cell r="AD225" t="str">
            <v>N</v>
          </cell>
          <cell r="AE225" t="str">
            <v>Y</v>
          </cell>
        </row>
        <row r="226">
          <cell r="E226" t="str">
            <v>PYMNT_INTRST_ONLY</v>
          </cell>
          <cell r="Z226" t="str">
            <v>Y</v>
          </cell>
          <cell r="AA226" t="str">
            <v>N</v>
          </cell>
          <cell r="AB226" t="str">
            <v>N</v>
          </cell>
          <cell r="AC226" t="str">
            <v>N</v>
          </cell>
          <cell r="AD226" t="str">
            <v>N</v>
          </cell>
          <cell r="AE226" t="str">
            <v>Y</v>
          </cell>
        </row>
        <row r="227">
          <cell r="E227" t="str">
            <v>RCRS</v>
          </cell>
          <cell r="Z227" t="str">
            <v>Y</v>
          </cell>
          <cell r="AA227" t="str">
            <v>N</v>
          </cell>
          <cell r="AB227" t="str">
            <v>N</v>
          </cell>
          <cell r="AC227" t="str">
            <v>N</v>
          </cell>
          <cell r="AD227" t="str">
            <v>N</v>
          </cell>
          <cell r="AE227" t="str">
            <v>N</v>
          </cell>
        </row>
        <row r="228">
          <cell r="E228" t="str">
            <v>RFNNC_PRPS</v>
          </cell>
          <cell r="Z228" t="str">
            <v>Y</v>
          </cell>
          <cell r="AA228" t="str">
            <v>N</v>
          </cell>
          <cell r="AB228" t="str">
            <v>N</v>
          </cell>
          <cell r="AC228" t="str">
            <v>N</v>
          </cell>
          <cell r="AD228" t="str">
            <v>N</v>
          </cell>
          <cell r="AE228" t="str">
            <v>N</v>
          </cell>
        </row>
        <row r="229">
          <cell r="E229" t="str">
            <v>SPCLTV_LNDNG</v>
          </cell>
          <cell r="Z229" t="str">
            <v>Y</v>
          </cell>
          <cell r="AA229" t="str">
            <v>N</v>
          </cell>
          <cell r="AB229" t="str">
            <v>N</v>
          </cell>
          <cell r="AC229" t="str">
            <v>N</v>
          </cell>
          <cell r="AD229" t="str">
            <v>N</v>
          </cell>
          <cell r="AE229" t="str">
            <v>N</v>
          </cell>
        </row>
        <row r="230">
          <cell r="E230" t="str">
            <v>STTS_UNDRWRTTN_TRNSCTN</v>
          </cell>
          <cell r="Z230" t="str">
            <v>Y</v>
          </cell>
          <cell r="AA230" t="str">
            <v>N</v>
          </cell>
          <cell r="AB230" t="str">
            <v>N</v>
          </cell>
          <cell r="AC230" t="str">
            <v>N</v>
          </cell>
          <cell r="AD230" t="str">
            <v>N</v>
          </cell>
          <cell r="AE230" t="str">
            <v>Y</v>
          </cell>
        </row>
        <row r="231">
          <cell r="E231" t="str">
            <v>TRNCH</v>
          </cell>
          <cell r="Z231" t="str">
            <v>Y</v>
          </cell>
          <cell r="AA231" t="str">
            <v>N</v>
          </cell>
          <cell r="AB231" t="str">
            <v>N</v>
          </cell>
          <cell r="AC231" t="str">
            <v>N</v>
          </cell>
          <cell r="AD231" t="str">
            <v>N</v>
          </cell>
          <cell r="AE231" t="str">
            <v>Y</v>
          </cell>
        </row>
        <row r="232">
          <cell r="E232" t="str">
            <v>TYP_AMRTSTN</v>
          </cell>
          <cell r="Z232" t="str">
            <v>Y</v>
          </cell>
          <cell r="AA232" t="str">
            <v>N</v>
          </cell>
          <cell r="AB232" t="str">
            <v>N</v>
          </cell>
          <cell r="AC232" t="str">
            <v>N</v>
          </cell>
          <cell r="AD232" t="str">
            <v>N</v>
          </cell>
          <cell r="AE232" t="str">
            <v>Y</v>
          </cell>
        </row>
        <row r="233">
          <cell r="E233" t="str">
            <v>TYP_INSTRMNT</v>
          </cell>
          <cell r="Z233" t="str">
            <v>Y</v>
          </cell>
          <cell r="AA233" t="str">
            <v>Y</v>
          </cell>
          <cell r="AB233" t="str">
            <v>Y</v>
          </cell>
          <cell r="AC233" t="str">
            <v>N</v>
          </cell>
          <cell r="AD233" t="str">
            <v>N</v>
          </cell>
          <cell r="AE233" t="str">
            <v>Y</v>
          </cell>
        </row>
        <row r="234">
          <cell r="E234" t="str">
            <v>TYP_INTRST_RT</v>
          </cell>
          <cell r="Z234" t="str">
            <v>Y</v>
          </cell>
          <cell r="AA234" t="str">
            <v>N</v>
          </cell>
          <cell r="AB234" t="str">
            <v>N</v>
          </cell>
          <cell r="AC234" t="str">
            <v>N</v>
          </cell>
          <cell r="AD234" t="str">
            <v>N</v>
          </cell>
          <cell r="AE234" t="str">
            <v>N</v>
          </cell>
        </row>
        <row r="235">
          <cell r="E235" t="str">
            <v>TYP_MRTGG</v>
          </cell>
          <cell r="Z235" t="str">
            <v>Y</v>
          </cell>
          <cell r="AA235" t="str">
            <v>N</v>
          </cell>
          <cell r="AB235" t="str">
            <v>N</v>
          </cell>
          <cell r="AC235" t="str">
            <v>N</v>
          </cell>
          <cell r="AD235" t="str">
            <v>N</v>
          </cell>
          <cell r="AE235" t="str">
            <v>N</v>
          </cell>
        </row>
        <row r="236">
          <cell r="E236" t="str">
            <v>TYP_CRE_OPRTN</v>
          </cell>
          <cell r="Z236" t="str">
            <v>Y</v>
          </cell>
          <cell r="AA236" t="str">
            <v>N</v>
          </cell>
          <cell r="AB236" t="str">
            <v>N</v>
          </cell>
          <cell r="AC236" t="str">
            <v>N</v>
          </cell>
          <cell r="AD236" t="str">
            <v>N</v>
          </cell>
          <cell r="AE236" t="str">
            <v>N</v>
          </cell>
        </row>
        <row r="237">
          <cell r="E237" t="str">
            <v>DT_STRT_GP_PPAL</v>
          </cell>
          <cell r="Z237" t="str">
            <v>Y</v>
          </cell>
          <cell r="AA237" t="str">
            <v>N</v>
          </cell>
          <cell r="AB237" t="str">
            <v>N</v>
          </cell>
          <cell r="AC237" t="str">
            <v>N</v>
          </cell>
          <cell r="AD237" t="str">
            <v>N</v>
          </cell>
          <cell r="AE237" t="str">
            <v>N</v>
          </cell>
        </row>
        <row r="238">
          <cell r="E238" t="str">
            <v>GRSS_CRRYNG_AMNT_INSTRMNT</v>
          </cell>
          <cell r="Z238" t="str">
            <v>Y</v>
          </cell>
          <cell r="AA238" t="str">
            <v>Y</v>
          </cell>
          <cell r="AB238" t="str">
            <v>Y</v>
          </cell>
          <cell r="AC238" t="str">
            <v>Y</v>
          </cell>
          <cell r="AD238" t="str">
            <v>Y</v>
          </cell>
          <cell r="AE238" t="str">
            <v>Y</v>
          </cell>
        </row>
        <row r="239">
          <cell r="E239" t="str">
            <v>ACCMLTD_CHNGS_FV_CR_INSTRMNT</v>
          </cell>
          <cell r="Z239" t="str">
            <v>Y</v>
          </cell>
          <cell r="AA239" t="str">
            <v>Y</v>
          </cell>
          <cell r="AB239" t="str">
            <v>Y</v>
          </cell>
          <cell r="AC239" t="str">
            <v>Y</v>
          </cell>
          <cell r="AD239" t="str">
            <v>N</v>
          </cell>
          <cell r="AE239" t="str">
            <v>Y</v>
          </cell>
        </row>
        <row r="240">
          <cell r="E240" t="str">
            <v>ACCNTNG_CLSSFCTN</v>
          </cell>
          <cell r="Z240" t="str">
            <v>Y</v>
          </cell>
          <cell r="AA240" t="str">
            <v>Y</v>
          </cell>
          <cell r="AB240" t="str">
            <v>Y</v>
          </cell>
          <cell r="AC240" t="str">
            <v>N</v>
          </cell>
          <cell r="AD240" t="str">
            <v>N</v>
          </cell>
          <cell r="AE240" t="str">
            <v>Y</v>
          </cell>
        </row>
        <row r="241">
          <cell r="E241" t="str">
            <v>ACCRD_INTRST_INSTRMNT</v>
          </cell>
          <cell r="Z241" t="str">
            <v>Y</v>
          </cell>
          <cell r="AA241" t="str">
            <v>N</v>
          </cell>
          <cell r="AB241" t="str">
            <v>N</v>
          </cell>
          <cell r="AC241" t="str">
            <v>N</v>
          </cell>
          <cell r="AD241" t="str">
            <v>N</v>
          </cell>
          <cell r="AE241" t="str">
            <v>Y</v>
          </cell>
        </row>
        <row r="242">
          <cell r="E242" t="str">
            <v>AMNT_D_AT_MTRTY</v>
          </cell>
          <cell r="Z242" t="str">
            <v>Y</v>
          </cell>
          <cell r="AA242" t="str">
            <v>N</v>
          </cell>
          <cell r="AB242" t="str">
            <v>N</v>
          </cell>
          <cell r="AC242" t="str">
            <v>N</v>
          </cell>
          <cell r="AD242" t="str">
            <v>N</v>
          </cell>
          <cell r="AE242" t="str">
            <v>Y</v>
          </cell>
        </row>
        <row r="243">
          <cell r="E243" t="str">
            <v>CCF</v>
          </cell>
          <cell r="Z243" t="str">
            <v>Y</v>
          </cell>
          <cell r="AA243" t="str">
            <v>Y</v>
          </cell>
          <cell r="AB243" t="str">
            <v>N</v>
          </cell>
          <cell r="AC243" t="str">
            <v>N</v>
          </cell>
          <cell r="AD243" t="str">
            <v>N</v>
          </cell>
          <cell r="AE243" t="str">
            <v>Y</v>
          </cell>
        </row>
        <row r="244">
          <cell r="E244" t="str">
            <v>CMMTMNT_INCPTN_INSTRMNT</v>
          </cell>
          <cell r="Z244" t="str">
            <v>Y</v>
          </cell>
          <cell r="AA244" t="str">
            <v>N</v>
          </cell>
          <cell r="AB244" t="str">
            <v>N</v>
          </cell>
          <cell r="AC244" t="str">
            <v>Y</v>
          </cell>
          <cell r="AD244" t="str">
            <v>N</v>
          </cell>
          <cell r="AE244" t="str">
            <v>Y</v>
          </cell>
        </row>
        <row r="245">
          <cell r="E245" t="str">
            <v>CMMTMNT_INSTRMNT</v>
          </cell>
          <cell r="Z245" t="str">
            <v>Y</v>
          </cell>
          <cell r="AA245" t="str">
            <v>N</v>
          </cell>
          <cell r="AB245" t="str">
            <v>N</v>
          </cell>
          <cell r="AC245" t="str">
            <v>Y</v>
          </cell>
          <cell r="AD245" t="str">
            <v>N</v>
          </cell>
          <cell r="AE245" t="str">
            <v>Y</v>
          </cell>
        </row>
        <row r="246">
          <cell r="E246" t="str">
            <v>CRRYNG_AMNT_INSTRMNT</v>
          </cell>
          <cell r="Z246" t="str">
            <v>Y</v>
          </cell>
          <cell r="AA246" t="str">
            <v>N</v>
          </cell>
          <cell r="AB246" t="str">
            <v>N</v>
          </cell>
          <cell r="AC246" t="str">
            <v>N</v>
          </cell>
          <cell r="AD246" t="str">
            <v>N</v>
          </cell>
          <cell r="AE246" t="str">
            <v>Y</v>
          </cell>
        </row>
        <row r="247">
          <cell r="E247" t="str">
            <v>DBT_YLD</v>
          </cell>
          <cell r="Z247" t="str">
            <v>Y</v>
          </cell>
          <cell r="AA247" t="str">
            <v>N</v>
          </cell>
          <cell r="AB247" t="str">
            <v>N</v>
          </cell>
          <cell r="AC247" t="str">
            <v>N</v>
          </cell>
          <cell r="AD247" t="str">
            <v>N</v>
          </cell>
          <cell r="AE247" t="str">
            <v>N</v>
          </cell>
        </row>
        <row r="248">
          <cell r="E248" t="str">
            <v>DT_LGL_FNL_MTRTY</v>
          </cell>
          <cell r="Z248" t="str">
            <v>Y</v>
          </cell>
          <cell r="AA248" t="str">
            <v>N</v>
          </cell>
          <cell r="AB248" t="str">
            <v>Y</v>
          </cell>
          <cell r="AC248" t="str">
            <v>Y</v>
          </cell>
          <cell r="AD248" t="str">
            <v>N</v>
          </cell>
          <cell r="AE248" t="str">
            <v>Y</v>
          </cell>
        </row>
        <row r="249">
          <cell r="E249" t="str">
            <v>DT_NXT_INTRST_RT_RST</v>
          </cell>
          <cell r="Z249" t="str">
            <v>Y</v>
          </cell>
          <cell r="AA249" t="str">
            <v>N</v>
          </cell>
          <cell r="AB249" t="str">
            <v>N</v>
          </cell>
          <cell r="AC249" t="str">
            <v>N</v>
          </cell>
          <cell r="AD249" t="str">
            <v>N</v>
          </cell>
          <cell r="AE249" t="str">
            <v>N</v>
          </cell>
        </row>
        <row r="250">
          <cell r="E250" t="str">
            <v>DT_ORGNL_MTRTY</v>
          </cell>
          <cell r="Z250" t="str">
            <v>Y</v>
          </cell>
          <cell r="AA250" t="str">
            <v>N</v>
          </cell>
          <cell r="AB250" t="str">
            <v>Y</v>
          </cell>
          <cell r="AC250" t="str">
            <v>Y</v>
          </cell>
          <cell r="AD250" t="str">
            <v>N</v>
          </cell>
          <cell r="AE250" t="str">
            <v>Y</v>
          </cell>
        </row>
        <row r="251">
          <cell r="E251" t="str">
            <v>IFRS9_BHVRL_MTRTY</v>
          </cell>
          <cell r="Z251" t="str">
            <v>Y</v>
          </cell>
          <cell r="AA251" t="str">
            <v>N</v>
          </cell>
          <cell r="AB251" t="str">
            <v>N</v>
          </cell>
          <cell r="AC251" t="str">
            <v>N</v>
          </cell>
          <cell r="AD251" t="str">
            <v>N</v>
          </cell>
          <cell r="AE251" t="str">
            <v>Y</v>
          </cell>
        </row>
        <row r="252">
          <cell r="E252" t="str">
            <v>EAD</v>
          </cell>
          <cell r="Z252" t="str">
            <v>Y</v>
          </cell>
          <cell r="AA252" t="str">
            <v>Y</v>
          </cell>
          <cell r="AB252" t="str">
            <v>N</v>
          </cell>
          <cell r="AC252" t="str">
            <v>N</v>
          </cell>
          <cell r="AD252" t="str">
            <v>Y</v>
          </cell>
          <cell r="AE252" t="str">
            <v>Y</v>
          </cell>
        </row>
        <row r="253">
          <cell r="E253" t="str">
            <v>IFRS9_CCF</v>
          </cell>
          <cell r="Z253" t="str">
            <v>Y</v>
          </cell>
          <cell r="AA253" t="str">
            <v>N</v>
          </cell>
          <cell r="AB253" t="str">
            <v>N</v>
          </cell>
          <cell r="AC253" t="str">
            <v>N</v>
          </cell>
          <cell r="AD253" t="str">
            <v>N</v>
          </cell>
          <cell r="AE253" t="str">
            <v>N</v>
          </cell>
        </row>
        <row r="254">
          <cell r="E254" t="str">
            <v>IFRS9_EAD</v>
          </cell>
          <cell r="Z254" t="str">
            <v>Y</v>
          </cell>
          <cell r="AA254" t="str">
            <v>N</v>
          </cell>
          <cell r="AB254" t="str">
            <v>N</v>
          </cell>
          <cell r="AC254" t="str">
            <v>N</v>
          </cell>
          <cell r="AD254" t="str">
            <v>N</v>
          </cell>
          <cell r="AE254" t="str">
            <v>N</v>
          </cell>
        </row>
        <row r="255">
          <cell r="E255" t="str">
            <v>INSTLMNT_PAY</v>
          </cell>
          <cell r="Z255" t="str">
            <v>Y</v>
          </cell>
          <cell r="AA255" t="str">
            <v>N</v>
          </cell>
          <cell r="AB255" t="str">
            <v>N</v>
          </cell>
          <cell r="AC255" t="str">
            <v>N</v>
          </cell>
          <cell r="AD255" t="str">
            <v>N</v>
          </cell>
          <cell r="AE255" t="str">
            <v>N</v>
          </cell>
        </row>
        <row r="256">
          <cell r="E256" t="str">
            <v>OFF_BLNC_SHT_AMNT_INSTRMNT</v>
          </cell>
          <cell r="Z256" t="str">
            <v>Y</v>
          </cell>
          <cell r="AA256" t="str">
            <v>Y</v>
          </cell>
          <cell r="AB256" t="str">
            <v>N</v>
          </cell>
          <cell r="AC256" t="str">
            <v>Y</v>
          </cell>
          <cell r="AD256" t="str">
            <v>Y</v>
          </cell>
          <cell r="AE256" t="str">
            <v>Y</v>
          </cell>
        </row>
        <row r="257">
          <cell r="E257" t="str">
            <v>OFF_BLNC_SHT_AMNT_INSTRMNT_PRVS</v>
          </cell>
          <cell r="Z257" t="str">
            <v>Y</v>
          </cell>
          <cell r="AA257" t="str">
            <v>N</v>
          </cell>
          <cell r="AB257" t="str">
            <v>N</v>
          </cell>
          <cell r="AC257" t="str">
            <v>N</v>
          </cell>
          <cell r="AD257" t="str">
            <v>N</v>
          </cell>
          <cell r="AE257" t="str">
            <v>N</v>
          </cell>
        </row>
        <row r="258">
          <cell r="E258" t="str">
            <v>OTSTNDNG_NMNL_AMNT_INSTRMNT</v>
          </cell>
          <cell r="Z258" t="str">
            <v>Y</v>
          </cell>
          <cell r="AA258" t="str">
            <v>N</v>
          </cell>
          <cell r="AB258" t="str">
            <v>N</v>
          </cell>
          <cell r="AC258" t="str">
            <v>N</v>
          </cell>
          <cell r="AD258" t="str">
            <v>N</v>
          </cell>
          <cell r="AE258" t="str">
            <v>Y</v>
          </cell>
        </row>
        <row r="259">
          <cell r="E259" t="str">
            <v>OTSTNDNG_NMNL_AMNT_INSTRMNT_PRVS</v>
          </cell>
          <cell r="Z259" t="str">
            <v>Y</v>
          </cell>
          <cell r="AA259" t="str">
            <v>N</v>
          </cell>
          <cell r="AB259" t="str">
            <v>N</v>
          </cell>
          <cell r="AC259" t="str">
            <v>N</v>
          </cell>
          <cell r="AD259" t="str">
            <v>N</v>
          </cell>
          <cell r="AE259" t="str">
            <v>N</v>
          </cell>
        </row>
        <row r="260">
          <cell r="E260" t="str">
            <v>PRVSNS_OFF_BLNC_SHT</v>
          </cell>
          <cell r="Z260" t="str">
            <v>Y</v>
          </cell>
          <cell r="AA260" t="str">
            <v>Y</v>
          </cell>
          <cell r="AB260" t="str">
            <v>N</v>
          </cell>
          <cell r="AC260" t="str">
            <v>Y</v>
          </cell>
          <cell r="AD260" t="str">
            <v>N</v>
          </cell>
          <cell r="AE260" t="str">
            <v>Y</v>
          </cell>
        </row>
        <row r="261">
          <cell r="E261" t="str">
            <v>PYMNT_FRQNCY</v>
          </cell>
          <cell r="Z261" t="str">
            <v>Y</v>
          </cell>
          <cell r="AA261" t="str">
            <v>N</v>
          </cell>
          <cell r="AB261" t="str">
            <v>N</v>
          </cell>
          <cell r="AC261" t="str">
            <v>N</v>
          </cell>
          <cell r="AD261" t="str">
            <v>N</v>
          </cell>
          <cell r="AE261" t="str">
            <v>N</v>
          </cell>
        </row>
        <row r="262">
          <cell r="E262" t="str">
            <v>RTNTN_SHR</v>
          </cell>
          <cell r="Z262" t="str">
            <v>Y</v>
          </cell>
          <cell r="AA262" t="str">
            <v>N</v>
          </cell>
          <cell r="AB262" t="str">
            <v>N</v>
          </cell>
          <cell r="AC262" t="str">
            <v>N</v>
          </cell>
          <cell r="AD262" t="str">
            <v>N</v>
          </cell>
          <cell r="AE262" t="str">
            <v>Y</v>
          </cell>
        </row>
        <row r="263">
          <cell r="E263" t="str">
            <v>RWA</v>
          </cell>
          <cell r="Z263" t="str">
            <v>Y</v>
          </cell>
          <cell r="AA263" t="str">
            <v>Y</v>
          </cell>
          <cell r="AB263" t="str">
            <v>Y</v>
          </cell>
          <cell r="AC263" t="str">
            <v>Y</v>
          </cell>
          <cell r="AD263" t="str">
            <v>N</v>
          </cell>
          <cell r="AE263" t="str">
            <v>Y</v>
          </cell>
        </row>
        <row r="264">
          <cell r="E264" t="str">
            <v>RWA_MTHD</v>
          </cell>
          <cell r="Z264" t="str">
            <v>Y</v>
          </cell>
          <cell r="AA264" t="str">
            <v>N</v>
          </cell>
          <cell r="AB264" t="str">
            <v>N</v>
          </cell>
          <cell r="AC264" t="str">
            <v>N</v>
          </cell>
          <cell r="AD264" t="str">
            <v>N</v>
          </cell>
          <cell r="AE264" t="str">
            <v>Y</v>
          </cell>
        </row>
        <row r="265">
          <cell r="E265" t="str">
            <v>SPNSR_NM</v>
          </cell>
          <cell r="Z265" t="str">
            <v>Y</v>
          </cell>
          <cell r="AA265" t="str">
            <v>N</v>
          </cell>
          <cell r="AB265" t="str">
            <v>N</v>
          </cell>
          <cell r="AC265" t="str">
            <v>N</v>
          </cell>
          <cell r="AD265" t="str">
            <v>N</v>
          </cell>
          <cell r="AE265" t="str">
            <v>Y</v>
          </cell>
        </row>
        <row r="266">
          <cell r="E266" t="str">
            <v>ACCMLTD_IMPRMNT_INSTRMNT</v>
          </cell>
          <cell r="Z266" t="str">
            <v>Y</v>
          </cell>
          <cell r="AA266" t="str">
            <v>Y</v>
          </cell>
          <cell r="AB266" t="str">
            <v>Y</v>
          </cell>
          <cell r="AC266" t="str">
            <v>Y</v>
          </cell>
          <cell r="AD266" t="str">
            <v>N</v>
          </cell>
          <cell r="AE266" t="str">
            <v>Y</v>
          </cell>
        </row>
        <row r="267">
          <cell r="E267" t="str">
            <v>ACCMLTD_IMPRMNT_INSTRMNT_PRVS</v>
          </cell>
          <cell r="Z267" t="str">
            <v>Y</v>
          </cell>
          <cell r="AA267" t="str">
            <v>N</v>
          </cell>
          <cell r="AB267" t="str">
            <v>N</v>
          </cell>
          <cell r="AC267" t="str">
            <v>N</v>
          </cell>
          <cell r="AD267" t="str">
            <v>N</v>
          </cell>
          <cell r="AE267" t="str">
            <v>Y</v>
          </cell>
        </row>
        <row r="268">
          <cell r="E268" t="str">
            <v>ACCMLTD_WRTFFS_INSTRMNT</v>
          </cell>
          <cell r="Z268" t="str">
            <v>Y</v>
          </cell>
          <cell r="AA268" t="str">
            <v>N</v>
          </cell>
          <cell r="AB268" t="str">
            <v>N</v>
          </cell>
          <cell r="AC268" t="str">
            <v>N</v>
          </cell>
          <cell r="AD268" t="str">
            <v>N</v>
          </cell>
          <cell r="AE268" t="str">
            <v>Y</v>
          </cell>
        </row>
        <row r="269">
          <cell r="E269" t="str">
            <v>ARRRS_INSTRMNT</v>
          </cell>
          <cell r="Z269" t="str">
            <v>Y</v>
          </cell>
          <cell r="AA269" t="str">
            <v>N</v>
          </cell>
          <cell r="AB269" t="str">
            <v>N</v>
          </cell>
          <cell r="AC269" t="str">
            <v>N</v>
          </cell>
          <cell r="AD269" t="str">
            <v>N</v>
          </cell>
          <cell r="AE269" t="str">
            <v>Y</v>
          </cell>
        </row>
        <row r="270">
          <cell r="E270" t="str">
            <v>ARRRS_INSTRMNT_12M</v>
          </cell>
          <cell r="Z270" t="str">
            <v>Y</v>
          </cell>
          <cell r="AA270" t="str">
            <v>N</v>
          </cell>
          <cell r="AB270" t="str">
            <v>N</v>
          </cell>
          <cell r="AC270" t="str">
            <v>N</v>
          </cell>
          <cell r="AD270" t="str">
            <v>N</v>
          </cell>
          <cell r="AE270" t="str">
            <v>N</v>
          </cell>
        </row>
        <row r="271">
          <cell r="E271" t="str">
            <v>CMLTV_RCVRS_SNC_DFLT_INSTRMNT</v>
          </cell>
          <cell r="Z271" t="str">
            <v>Y</v>
          </cell>
          <cell r="AA271" t="str">
            <v>N</v>
          </cell>
          <cell r="AB271" t="str">
            <v>N</v>
          </cell>
          <cell r="AC271" t="str">
            <v>N</v>
          </cell>
          <cell r="AD271" t="str">
            <v>N</v>
          </cell>
          <cell r="AE271" t="str">
            <v>N</v>
          </cell>
        </row>
        <row r="272">
          <cell r="E272" t="str">
            <v>DPD</v>
          </cell>
          <cell r="Z272" t="str">
            <v>Y</v>
          </cell>
          <cell r="AA272" t="str">
            <v>N</v>
          </cell>
          <cell r="AB272" t="str">
            <v>N</v>
          </cell>
          <cell r="AC272" t="str">
            <v>N</v>
          </cell>
          <cell r="AD272" t="str">
            <v>N</v>
          </cell>
          <cell r="AE272" t="str">
            <v>Y</v>
          </cell>
        </row>
        <row r="273">
          <cell r="E273" t="str">
            <v>DPD_12M</v>
          </cell>
          <cell r="Z273" t="str">
            <v>Y</v>
          </cell>
          <cell r="AA273" t="str">
            <v>N</v>
          </cell>
          <cell r="AB273" t="str">
            <v>N</v>
          </cell>
          <cell r="AC273" t="str">
            <v>N</v>
          </cell>
          <cell r="AD273" t="str">
            <v>N</v>
          </cell>
          <cell r="AE273" t="str">
            <v>N</v>
          </cell>
        </row>
        <row r="274">
          <cell r="E274" t="str">
            <v>DPD_12M_FRBRNC_STTS</v>
          </cell>
          <cell r="Z274" t="str">
            <v>Y</v>
          </cell>
          <cell r="AA274" t="str">
            <v>N</v>
          </cell>
          <cell r="AB274" t="str">
            <v>N</v>
          </cell>
          <cell r="AC274" t="str">
            <v>N</v>
          </cell>
          <cell r="AD274" t="str">
            <v>N</v>
          </cell>
          <cell r="AE274" t="str">
            <v>N</v>
          </cell>
        </row>
        <row r="275">
          <cell r="E275" t="str">
            <v>DPD_12M_PRFRMNG_STTS</v>
          </cell>
          <cell r="Z275" t="str">
            <v>Y</v>
          </cell>
          <cell r="AA275" t="str">
            <v>N</v>
          </cell>
          <cell r="AB275" t="str">
            <v>N</v>
          </cell>
          <cell r="AC275" t="str">
            <v>N</v>
          </cell>
          <cell r="AD275" t="str">
            <v>N</v>
          </cell>
          <cell r="AE275" t="str">
            <v>N</v>
          </cell>
        </row>
        <row r="276">
          <cell r="E276" t="str">
            <v>DPD_24M_FRBRNC_STTS</v>
          </cell>
          <cell r="Z276" t="str">
            <v>Y</v>
          </cell>
          <cell r="AA276" t="str">
            <v>N</v>
          </cell>
          <cell r="AB276" t="str">
            <v>N</v>
          </cell>
          <cell r="AC276" t="str">
            <v>N</v>
          </cell>
          <cell r="AD276" t="str">
            <v>N</v>
          </cell>
          <cell r="AE276" t="str">
            <v>N</v>
          </cell>
        </row>
        <row r="277">
          <cell r="E277" t="str">
            <v>DPD_24M_PRFRMNG_STTS</v>
          </cell>
          <cell r="Z277" t="str">
            <v>Y</v>
          </cell>
          <cell r="AA277" t="str">
            <v>N</v>
          </cell>
          <cell r="AB277" t="str">
            <v>N</v>
          </cell>
          <cell r="AC277" t="str">
            <v>N</v>
          </cell>
          <cell r="AD277" t="str">
            <v>N</v>
          </cell>
          <cell r="AE277" t="str">
            <v>N</v>
          </cell>
        </row>
        <row r="278">
          <cell r="E278" t="str">
            <v>DPD_FRBRNC_STTS</v>
          </cell>
          <cell r="Z278" t="str">
            <v>Y</v>
          </cell>
          <cell r="AA278" t="str">
            <v>N</v>
          </cell>
          <cell r="AB278" t="str">
            <v>N</v>
          </cell>
          <cell r="AC278" t="str">
            <v>N</v>
          </cell>
          <cell r="AD278" t="str">
            <v>N</v>
          </cell>
          <cell r="AE278" t="str">
            <v>N</v>
          </cell>
        </row>
        <row r="279">
          <cell r="E279" t="str">
            <v>DPD_PRFRMNG_STTS</v>
          </cell>
          <cell r="Z279" t="str">
            <v>Y</v>
          </cell>
          <cell r="AA279" t="str">
            <v>N</v>
          </cell>
          <cell r="AB279" t="str">
            <v>N</v>
          </cell>
          <cell r="AC279" t="str">
            <v>N</v>
          </cell>
          <cell r="AD279" t="str">
            <v>N</v>
          </cell>
          <cell r="AE279" t="str">
            <v>N</v>
          </cell>
        </row>
        <row r="280">
          <cell r="E280" t="str">
            <v>DT_IMPRMNT_STTS</v>
          </cell>
          <cell r="Z280" t="str">
            <v>Y</v>
          </cell>
          <cell r="AA280" t="str">
            <v>N</v>
          </cell>
          <cell r="AB280" t="str">
            <v>N</v>
          </cell>
          <cell r="AC280" t="str">
            <v>N</v>
          </cell>
          <cell r="AD280" t="str">
            <v>N</v>
          </cell>
          <cell r="AE280" t="str">
            <v>Y</v>
          </cell>
        </row>
        <row r="281">
          <cell r="E281" t="str">
            <v>DT_IMPRMNT_STTS_PRVS</v>
          </cell>
          <cell r="Z281" t="str">
            <v>Y</v>
          </cell>
          <cell r="AA281" t="str">
            <v>N</v>
          </cell>
          <cell r="AB281" t="str">
            <v>N</v>
          </cell>
          <cell r="AC281" t="str">
            <v>N</v>
          </cell>
          <cell r="AD281" t="str">
            <v>N</v>
          </cell>
          <cell r="AE281" t="str">
            <v>N</v>
          </cell>
        </row>
        <row r="282">
          <cell r="E282" t="str">
            <v>DT_PST_D</v>
          </cell>
          <cell r="Z282" t="str">
            <v>Y</v>
          </cell>
          <cell r="AA282" t="str">
            <v>N</v>
          </cell>
          <cell r="AB282" t="str">
            <v>N</v>
          </cell>
          <cell r="AC282" t="str">
            <v>N</v>
          </cell>
          <cell r="AD282" t="str">
            <v>N</v>
          </cell>
          <cell r="AE282" t="str">
            <v>Y</v>
          </cell>
        </row>
        <row r="283">
          <cell r="E283" t="str">
            <v>IMPRMNT_ASSSSMNT_MTHD</v>
          </cell>
          <cell r="Z283" t="str">
            <v>Y</v>
          </cell>
          <cell r="AA283" t="str">
            <v>N</v>
          </cell>
          <cell r="AB283" t="str">
            <v>N</v>
          </cell>
          <cell r="AC283" t="str">
            <v>N</v>
          </cell>
          <cell r="AD283" t="str">
            <v>N</v>
          </cell>
          <cell r="AE283" t="str">
            <v>Y</v>
          </cell>
        </row>
        <row r="284">
          <cell r="E284" t="str">
            <v>IMPRMNT_CLCLTN_MTHD</v>
          </cell>
          <cell r="Z284" t="str">
            <v>Y</v>
          </cell>
          <cell r="AA284" t="str">
            <v>N</v>
          </cell>
          <cell r="AB284" t="str">
            <v>N</v>
          </cell>
          <cell r="AC284" t="str">
            <v>N</v>
          </cell>
          <cell r="AD284" t="str">
            <v>N</v>
          </cell>
          <cell r="AE284" t="str">
            <v>N</v>
          </cell>
        </row>
        <row r="285">
          <cell r="E285" t="str">
            <v>NMBR_FRBRNC_MSRS</v>
          </cell>
          <cell r="Z285" t="str">
            <v>Y</v>
          </cell>
          <cell r="AA285" t="str">
            <v>N</v>
          </cell>
          <cell r="AB285" t="str">
            <v>N</v>
          </cell>
          <cell r="AC285" t="str">
            <v>N</v>
          </cell>
          <cell r="AD285" t="str">
            <v>N</v>
          </cell>
          <cell r="AE285" t="str">
            <v>Y</v>
          </cell>
        </row>
        <row r="286">
          <cell r="E286" t="str">
            <v>IFRS9_LGD</v>
          </cell>
          <cell r="Z286" t="str">
            <v>Y</v>
          </cell>
          <cell r="AA286" t="str">
            <v>N</v>
          </cell>
          <cell r="AB286" t="str">
            <v>N</v>
          </cell>
          <cell r="AC286" t="str">
            <v>N</v>
          </cell>
          <cell r="AD286" t="str">
            <v>N</v>
          </cell>
          <cell r="AE286" t="str">
            <v>N</v>
          </cell>
        </row>
        <row r="287">
          <cell r="E287" t="str">
            <v>LGD</v>
          </cell>
          <cell r="Z287" t="str">
            <v>Y</v>
          </cell>
          <cell r="AA287" t="str">
            <v>N</v>
          </cell>
          <cell r="AB287" t="str">
            <v>N</v>
          </cell>
          <cell r="AC287" t="str">
            <v>N</v>
          </cell>
          <cell r="AD287" t="str">
            <v>N</v>
          </cell>
          <cell r="AE287" t="str">
            <v>Y</v>
          </cell>
        </row>
        <row r="288">
          <cell r="E288" t="str">
            <v>LTV</v>
          </cell>
          <cell r="Z288" t="str">
            <v>Y</v>
          </cell>
          <cell r="AA288" t="str">
            <v>N</v>
          </cell>
          <cell r="AB288" t="str">
            <v>Y</v>
          </cell>
          <cell r="AC288" t="str">
            <v>N</v>
          </cell>
          <cell r="AD288" t="str">
            <v>N</v>
          </cell>
          <cell r="AE288" t="str">
            <v>N</v>
          </cell>
        </row>
        <row r="289">
          <cell r="E289" t="str">
            <v>LTV_INCPTN</v>
          </cell>
          <cell r="Z289" t="str">
            <v>Y</v>
          </cell>
          <cell r="AA289" t="str">
            <v>N</v>
          </cell>
          <cell r="AB289" t="str">
            <v>Y</v>
          </cell>
          <cell r="AC289" t="str">
            <v>N</v>
          </cell>
          <cell r="AD289" t="str">
            <v>N</v>
          </cell>
          <cell r="AE289" t="str">
            <v>N</v>
          </cell>
        </row>
        <row r="290">
          <cell r="E290" t="str">
            <v>LTV_NPE</v>
          </cell>
          <cell r="Z290" t="str">
            <v>Y</v>
          </cell>
          <cell r="AA290" t="str">
            <v>N</v>
          </cell>
          <cell r="AB290" t="str">
            <v>N</v>
          </cell>
          <cell r="AC290" t="str">
            <v>N</v>
          </cell>
          <cell r="AD290" t="str">
            <v>N</v>
          </cell>
          <cell r="AE290" t="str">
            <v>N</v>
          </cell>
        </row>
        <row r="291">
          <cell r="E291" t="str">
            <v>PD_CRR_INCPTN</v>
          </cell>
          <cell r="Z291" t="str">
            <v>Y</v>
          </cell>
          <cell r="AA291" t="str">
            <v>N</v>
          </cell>
          <cell r="AB291" t="str">
            <v>N</v>
          </cell>
          <cell r="AC291" t="str">
            <v>N</v>
          </cell>
          <cell r="AD291" t="str">
            <v>N</v>
          </cell>
          <cell r="AE291" t="str">
            <v>Y</v>
          </cell>
        </row>
        <row r="292">
          <cell r="E292" t="str">
            <v>PD_CRR_RD</v>
          </cell>
          <cell r="Z292" t="str">
            <v>Y</v>
          </cell>
          <cell r="AA292" t="str">
            <v>N</v>
          </cell>
          <cell r="AB292" t="str">
            <v>N</v>
          </cell>
          <cell r="AC292" t="str">
            <v>N</v>
          </cell>
          <cell r="AD292" t="str">
            <v>N</v>
          </cell>
          <cell r="AE292" t="str">
            <v>Y</v>
          </cell>
        </row>
        <row r="293">
          <cell r="E293" t="str">
            <v>PD_CRR_RD_T1</v>
          </cell>
          <cell r="Z293" t="str">
            <v>Y</v>
          </cell>
          <cell r="AA293" t="str">
            <v>N</v>
          </cell>
          <cell r="AB293" t="str">
            <v>N</v>
          </cell>
          <cell r="AC293" t="str">
            <v>N</v>
          </cell>
          <cell r="AD293" t="str">
            <v>N</v>
          </cell>
          <cell r="AE293" t="str">
            <v>N</v>
          </cell>
        </row>
        <row r="294">
          <cell r="E294" t="str">
            <v>PD_IFRS9_12M_INCPTN</v>
          </cell>
          <cell r="Z294" t="str">
            <v>Y</v>
          </cell>
          <cell r="AA294" t="str">
            <v>N</v>
          </cell>
          <cell r="AB294" t="str">
            <v>N</v>
          </cell>
          <cell r="AC294" t="str">
            <v>N</v>
          </cell>
          <cell r="AD294" t="str">
            <v>N</v>
          </cell>
          <cell r="AE294" t="str">
            <v>Y</v>
          </cell>
        </row>
        <row r="295">
          <cell r="E295" t="str">
            <v>PD_IFRS9_12M_RD</v>
          </cell>
          <cell r="Z295" t="str">
            <v>Y</v>
          </cell>
          <cell r="AA295" t="str">
            <v>N</v>
          </cell>
          <cell r="AB295" t="str">
            <v>N</v>
          </cell>
          <cell r="AC295" t="str">
            <v>N</v>
          </cell>
          <cell r="AD295" t="str">
            <v>N</v>
          </cell>
          <cell r="AE295" t="str">
            <v>Y</v>
          </cell>
        </row>
        <row r="296">
          <cell r="E296" t="str">
            <v>PD_IFRS9_12M_RD_T1</v>
          </cell>
          <cell r="Z296" t="str">
            <v>Y</v>
          </cell>
          <cell r="AA296" t="str">
            <v>N</v>
          </cell>
          <cell r="AB296" t="str">
            <v>N</v>
          </cell>
          <cell r="AC296" t="str">
            <v>N</v>
          </cell>
          <cell r="AD296" t="str">
            <v>N</v>
          </cell>
          <cell r="AE296" t="str">
            <v>N</v>
          </cell>
        </row>
        <row r="297">
          <cell r="E297" t="str">
            <v>PD_IFRS9_LFTM_INCPTN</v>
          </cell>
          <cell r="Z297" t="str">
            <v>Y</v>
          </cell>
          <cell r="AA297" t="str">
            <v>N</v>
          </cell>
          <cell r="AB297" t="str">
            <v>N</v>
          </cell>
          <cell r="AC297" t="str">
            <v>N</v>
          </cell>
          <cell r="AD297" t="str">
            <v>N</v>
          </cell>
          <cell r="AE297" t="str">
            <v>Y</v>
          </cell>
        </row>
        <row r="298">
          <cell r="E298" t="str">
            <v>PD_IFRS9_RMNNG_LFTM_INCPTN</v>
          </cell>
          <cell r="Z298" t="str">
            <v>Y</v>
          </cell>
          <cell r="AA298" t="str">
            <v>N</v>
          </cell>
          <cell r="AB298" t="str">
            <v>N</v>
          </cell>
          <cell r="AC298" t="str">
            <v>N</v>
          </cell>
          <cell r="AD298" t="str">
            <v>N</v>
          </cell>
          <cell r="AE298" t="str">
            <v>Y</v>
          </cell>
        </row>
        <row r="299">
          <cell r="E299" t="str">
            <v>PD_IFRS9_RMNNG_LFTM_RD</v>
          </cell>
          <cell r="Z299" t="str">
            <v>Y</v>
          </cell>
          <cell r="AA299" t="str">
            <v>N</v>
          </cell>
          <cell r="AB299" t="str">
            <v>N</v>
          </cell>
          <cell r="AC299" t="str">
            <v>N</v>
          </cell>
          <cell r="AD299" t="str">
            <v>N</v>
          </cell>
          <cell r="AE299" t="str">
            <v>Y</v>
          </cell>
        </row>
        <row r="300">
          <cell r="E300" t="str">
            <v>RTNG_MTHD</v>
          </cell>
          <cell r="Z300" t="str">
            <v>Y</v>
          </cell>
          <cell r="AA300" t="str">
            <v>N</v>
          </cell>
          <cell r="AB300" t="str">
            <v>N</v>
          </cell>
          <cell r="AC300" t="str">
            <v>N</v>
          </cell>
          <cell r="AD300" t="str">
            <v>N</v>
          </cell>
          <cell r="AE300" t="str">
            <v>Y</v>
          </cell>
        </row>
        <row r="301">
          <cell r="E301" t="str">
            <v>RTNG_SCL</v>
          </cell>
          <cell r="Z301" t="str">
            <v>Y</v>
          </cell>
          <cell r="AA301" t="str">
            <v>N</v>
          </cell>
          <cell r="AB301" t="str">
            <v>N</v>
          </cell>
          <cell r="AC301" t="str">
            <v>N</v>
          </cell>
          <cell r="AD301" t="str">
            <v>N</v>
          </cell>
          <cell r="AE301" t="str">
            <v>Y</v>
          </cell>
        </row>
        <row r="302">
          <cell r="E302" t="str">
            <v>SICR_ASSSSMNT_MTHD</v>
          </cell>
          <cell r="Z302" t="str">
            <v>Y</v>
          </cell>
          <cell r="AA302" t="str">
            <v>N</v>
          </cell>
          <cell r="AB302" t="str">
            <v>N</v>
          </cell>
          <cell r="AC302" t="str">
            <v>N</v>
          </cell>
          <cell r="AD302" t="str">
            <v>N</v>
          </cell>
          <cell r="AE302" t="str">
            <v>Y</v>
          </cell>
        </row>
        <row r="303">
          <cell r="E303" t="str">
            <v>ANNLSD_AGRD_RT</v>
          </cell>
          <cell r="Z303" t="str">
            <v>Y</v>
          </cell>
          <cell r="AA303" t="str">
            <v>N</v>
          </cell>
          <cell r="AB303" t="str">
            <v>N</v>
          </cell>
          <cell r="AC303" t="str">
            <v>Y</v>
          </cell>
          <cell r="AD303" t="str">
            <v>N</v>
          </cell>
          <cell r="AE303" t="str">
            <v>N</v>
          </cell>
        </row>
        <row r="304">
          <cell r="E304" t="str">
            <v>EIR</v>
          </cell>
          <cell r="Z304" t="str">
            <v>Y</v>
          </cell>
          <cell r="AA304" t="str">
            <v>N</v>
          </cell>
          <cell r="AB304" t="str">
            <v>Y</v>
          </cell>
          <cell r="AC304" t="str">
            <v>N</v>
          </cell>
          <cell r="AD304" t="str">
            <v>N</v>
          </cell>
          <cell r="AE304" t="str">
            <v>Y</v>
          </cell>
        </row>
        <row r="305">
          <cell r="E305" t="str">
            <v>EIR_INCPTN</v>
          </cell>
          <cell r="Z305" t="str">
            <v>Y</v>
          </cell>
          <cell r="AA305" t="str">
            <v>N</v>
          </cell>
          <cell r="AB305" t="str">
            <v>Y</v>
          </cell>
          <cell r="AC305" t="str">
            <v>N</v>
          </cell>
          <cell r="AD305" t="str">
            <v>N</v>
          </cell>
          <cell r="AE305" t="str">
            <v>N</v>
          </cell>
        </row>
        <row r="306">
          <cell r="E306" t="str">
            <v>INTRST_RT_RST_FRQNCY</v>
          </cell>
          <cell r="Z306" t="str">
            <v>Y</v>
          </cell>
          <cell r="AA306" t="str">
            <v>N</v>
          </cell>
          <cell r="AB306" t="str">
            <v>N</v>
          </cell>
          <cell r="AC306" t="str">
            <v>N</v>
          </cell>
          <cell r="AD306" t="str">
            <v>N</v>
          </cell>
          <cell r="AE306" t="str">
            <v>N</v>
          </cell>
        </row>
        <row r="307">
          <cell r="E307" t="str">
            <v>RCVD_AMRTSTN_12M</v>
          </cell>
          <cell r="Z307" t="str">
            <v>Y</v>
          </cell>
          <cell r="AA307" t="str">
            <v>N</v>
          </cell>
          <cell r="AB307" t="str">
            <v>N</v>
          </cell>
          <cell r="AC307" t="str">
            <v>N</v>
          </cell>
          <cell r="AD307" t="str">
            <v>N</v>
          </cell>
          <cell r="AE307" t="str">
            <v>Y</v>
          </cell>
        </row>
        <row r="308">
          <cell r="E308" t="str">
            <v>RCVD_AMRTSTN_24M</v>
          </cell>
          <cell r="Z308" t="str">
            <v>Y</v>
          </cell>
          <cell r="AA308" t="str">
            <v>N</v>
          </cell>
          <cell r="AB308" t="str">
            <v>N</v>
          </cell>
          <cell r="AC308" t="str">
            <v>N</v>
          </cell>
          <cell r="AD308" t="str">
            <v>N</v>
          </cell>
          <cell r="AE308" t="str">
            <v>Y</v>
          </cell>
        </row>
        <row r="309">
          <cell r="E309" t="str">
            <v>RCVD_INTRST_12M</v>
          </cell>
          <cell r="Z309" t="str">
            <v>Y</v>
          </cell>
          <cell r="AA309" t="str">
            <v>N</v>
          </cell>
          <cell r="AB309" t="str">
            <v>N</v>
          </cell>
          <cell r="AC309" t="str">
            <v>N</v>
          </cell>
          <cell r="AD309" t="str">
            <v>N</v>
          </cell>
          <cell r="AE309" t="str">
            <v>Y</v>
          </cell>
        </row>
        <row r="310">
          <cell r="E310" t="str">
            <v>RCVD_INTRST_24M</v>
          </cell>
          <cell r="Z310" t="str">
            <v>Y</v>
          </cell>
          <cell r="AA310" t="str">
            <v>N</v>
          </cell>
          <cell r="AB310" t="str">
            <v>N</v>
          </cell>
          <cell r="AC310" t="str">
            <v>N</v>
          </cell>
          <cell r="AD310" t="str">
            <v>N</v>
          </cell>
          <cell r="AE310" t="str">
            <v>Y</v>
          </cell>
        </row>
        <row r="311">
          <cell r="E311" t="str">
            <v>SYNDCT_RL</v>
          </cell>
          <cell r="Z311" t="str">
            <v>Y</v>
          </cell>
          <cell r="AA311" t="str">
            <v>N</v>
          </cell>
          <cell r="AB311" t="str">
            <v>N</v>
          </cell>
          <cell r="AC311" t="str">
            <v>N</v>
          </cell>
          <cell r="AD311" t="str">
            <v>N</v>
          </cell>
          <cell r="AE311" t="str">
            <v>Y</v>
          </cell>
        </row>
        <row r="312">
          <cell r="E312" t="str">
            <v>SYNDCTD_AGNT</v>
          </cell>
          <cell r="Z312" t="str">
            <v>Y</v>
          </cell>
          <cell r="AA312" t="str">
            <v>N</v>
          </cell>
          <cell r="AB312" t="str">
            <v>N</v>
          </cell>
          <cell r="AC312" t="str">
            <v>Y</v>
          </cell>
          <cell r="AD312" t="str">
            <v>N</v>
          </cell>
          <cell r="AE312" t="str">
            <v>Y</v>
          </cell>
        </row>
        <row r="313">
          <cell r="E313" t="str">
            <v>SYNDCTD_CNTRCT_ID</v>
          </cell>
          <cell r="Z313" t="str">
            <v>Y</v>
          </cell>
          <cell r="AA313" t="str">
            <v>N</v>
          </cell>
          <cell r="AB313" t="str">
            <v>N</v>
          </cell>
          <cell r="AC313" t="str">
            <v>N</v>
          </cell>
          <cell r="AD313" t="str">
            <v>N</v>
          </cell>
          <cell r="AE313" t="str">
            <v>Y</v>
          </cell>
        </row>
        <row r="314">
          <cell r="E314" t="str">
            <v>SYNDCTD_LNDRS</v>
          </cell>
          <cell r="Z314" t="str">
            <v>Y</v>
          </cell>
          <cell r="AA314" t="str">
            <v>N</v>
          </cell>
          <cell r="AB314" t="str">
            <v>N</v>
          </cell>
          <cell r="AC314" t="str">
            <v>N</v>
          </cell>
          <cell r="AD314" t="str">
            <v>N</v>
          </cell>
          <cell r="AE314" t="str">
            <v>Y</v>
          </cell>
        </row>
        <row r="315">
          <cell r="E315" t="str">
            <v>SYNDCTD_SHR</v>
          </cell>
          <cell r="Z315" t="str">
            <v>Y</v>
          </cell>
          <cell r="AA315" t="str">
            <v>N</v>
          </cell>
          <cell r="AB315" t="str">
            <v>N</v>
          </cell>
          <cell r="AC315" t="str">
            <v>Y</v>
          </cell>
          <cell r="AD315" t="str">
            <v>N</v>
          </cell>
          <cell r="AE315" t="str">
            <v>Y</v>
          </cell>
        </row>
        <row r="316">
          <cell r="E316" t="str">
            <v>SYNDCTN_TYP</v>
          </cell>
          <cell r="Z316" t="str">
            <v>Y</v>
          </cell>
          <cell r="AA316" t="str">
            <v>N</v>
          </cell>
          <cell r="AB316" t="str">
            <v>N</v>
          </cell>
          <cell r="AC316" t="str">
            <v>Y</v>
          </cell>
          <cell r="AD316" t="str">
            <v>N</v>
          </cell>
          <cell r="AE316" t="str">
            <v>Y</v>
          </cell>
        </row>
        <row r="317">
          <cell r="E317" t="str">
            <v>EBA_CMPLNT_MRTR_ST_C19</v>
          </cell>
          <cell r="Z317" t="str">
            <v>Y</v>
          </cell>
          <cell r="AA317" t="str">
            <v>N</v>
          </cell>
          <cell r="AB317" t="str">
            <v>N</v>
          </cell>
          <cell r="AC317" t="str">
            <v>N</v>
          </cell>
          <cell r="AD317" t="str">
            <v>N</v>
          </cell>
          <cell r="AE317" t="str">
            <v>N</v>
          </cell>
        </row>
        <row r="318">
          <cell r="E318" t="str">
            <v>DT_CMPLNT_MRTR_STTS_C19</v>
          </cell>
          <cell r="Z318" t="str">
            <v>Y</v>
          </cell>
          <cell r="AA318" t="str">
            <v>N</v>
          </cell>
          <cell r="AB318" t="str">
            <v>N</v>
          </cell>
          <cell r="AC318" t="str">
            <v>N</v>
          </cell>
          <cell r="AD318" t="str">
            <v>N</v>
          </cell>
          <cell r="AE318" t="str">
            <v>N</v>
          </cell>
        </row>
        <row r="319">
          <cell r="E319" t="str">
            <v>DT_CMPLNT_MRTR_STTS_PRVS_C19</v>
          </cell>
          <cell r="Z319" t="str">
            <v>Y</v>
          </cell>
          <cell r="AA319" t="str">
            <v>N</v>
          </cell>
          <cell r="AB319" t="str">
            <v>N</v>
          </cell>
          <cell r="AC319" t="str">
            <v>N</v>
          </cell>
          <cell r="AD319" t="str">
            <v>N</v>
          </cell>
          <cell r="AE319" t="str">
            <v>N</v>
          </cell>
        </row>
        <row r="320">
          <cell r="E320" t="str">
            <v>MTRTY_LTST_MRTR_C19</v>
          </cell>
          <cell r="Z320" t="str">
            <v>Y</v>
          </cell>
          <cell r="AA320" t="str">
            <v>N</v>
          </cell>
          <cell r="AB320" t="str">
            <v>N</v>
          </cell>
          <cell r="AC320" t="str">
            <v>N</v>
          </cell>
          <cell r="AD320" t="str">
            <v>N</v>
          </cell>
          <cell r="AE320" t="str">
            <v>N</v>
          </cell>
        </row>
        <row r="321">
          <cell r="E321" t="str">
            <v>TYP_CMPLNT_MRTR_C19</v>
          </cell>
          <cell r="Z321" t="str">
            <v>Y</v>
          </cell>
          <cell r="AA321" t="str">
            <v>N</v>
          </cell>
          <cell r="AB321" t="str">
            <v>N</v>
          </cell>
          <cell r="AC321" t="str">
            <v>N</v>
          </cell>
          <cell r="AD321" t="str">
            <v>N</v>
          </cell>
          <cell r="AE321" t="str">
            <v>N</v>
          </cell>
        </row>
        <row r="322">
          <cell r="E322" t="str">
            <v>GRC_PRD_CPTL_INTRST_C19</v>
          </cell>
          <cell r="Z322" t="str">
            <v>Y</v>
          </cell>
          <cell r="AA322" t="str">
            <v>N</v>
          </cell>
          <cell r="AB322" t="str">
            <v>N</v>
          </cell>
          <cell r="AC322" t="str">
            <v>N</v>
          </cell>
          <cell r="AD322" t="str">
            <v>N</v>
          </cell>
          <cell r="AE322" t="str">
            <v>N</v>
          </cell>
        </row>
        <row r="323">
          <cell r="E323" t="str">
            <v>CMPLNT_MRTR_C19_NM</v>
          </cell>
          <cell r="Z323" t="str">
            <v>Y</v>
          </cell>
          <cell r="AA323" t="str">
            <v>N</v>
          </cell>
          <cell r="AB323" t="str">
            <v>N</v>
          </cell>
          <cell r="AC323" t="str">
            <v>N</v>
          </cell>
          <cell r="AD323" t="str">
            <v>N</v>
          </cell>
          <cell r="AE323" t="str">
            <v>N</v>
          </cell>
        </row>
        <row r="324">
          <cell r="E324" t="str">
            <v>FRBRNC_STTS_C19</v>
          </cell>
          <cell r="Z324" t="str">
            <v>Y</v>
          </cell>
          <cell r="AA324" t="str">
            <v>N</v>
          </cell>
          <cell r="AB324" t="str">
            <v>N</v>
          </cell>
          <cell r="AC324" t="str">
            <v>N</v>
          </cell>
          <cell r="AD324" t="str">
            <v>N</v>
          </cell>
          <cell r="AE324" t="str">
            <v>N</v>
          </cell>
        </row>
        <row r="325">
          <cell r="E325" t="str">
            <v>DT_FRBRNC_STTS_C19</v>
          </cell>
          <cell r="Z325" t="str">
            <v>Y</v>
          </cell>
          <cell r="AA325" t="str">
            <v>N</v>
          </cell>
          <cell r="AB325" t="str">
            <v>N</v>
          </cell>
          <cell r="AC325" t="str">
            <v>N</v>
          </cell>
          <cell r="AD325" t="str">
            <v>N</v>
          </cell>
          <cell r="AE325" t="str">
            <v>N</v>
          </cell>
        </row>
        <row r="326">
          <cell r="E326" t="str">
            <v>DT_FRBRNC_STTS_PRVS_C19</v>
          </cell>
          <cell r="Z326" t="str">
            <v>Y</v>
          </cell>
          <cell r="AA326" t="str">
            <v>N</v>
          </cell>
          <cell r="AB326" t="str">
            <v>N</v>
          </cell>
          <cell r="AC326" t="str">
            <v>N</v>
          </cell>
          <cell r="AD326" t="str">
            <v>N</v>
          </cell>
          <cell r="AE326" t="str">
            <v>N</v>
          </cell>
        </row>
        <row r="327">
          <cell r="E327" t="str">
            <v>MTRTY_LTST_FRBRNC_MSR_C19</v>
          </cell>
          <cell r="Z327" t="str">
            <v>Y</v>
          </cell>
          <cell r="AA327" t="str">
            <v>N</v>
          </cell>
          <cell r="AB327" t="str">
            <v>N</v>
          </cell>
          <cell r="AC327" t="str">
            <v>N</v>
          </cell>
          <cell r="AD327" t="str">
            <v>N</v>
          </cell>
          <cell r="AE327" t="str">
            <v>N</v>
          </cell>
        </row>
        <row r="328">
          <cell r="E328" t="str">
            <v>DT_END_GP_PPAL_C19</v>
          </cell>
          <cell r="Z328" t="str">
            <v>Y</v>
          </cell>
          <cell r="AA328" t="str">
            <v>N</v>
          </cell>
          <cell r="AB328" t="str">
            <v>N</v>
          </cell>
          <cell r="AC328" t="str">
            <v>N</v>
          </cell>
          <cell r="AD328" t="str">
            <v>N</v>
          </cell>
          <cell r="AE328" t="str">
            <v>N</v>
          </cell>
        </row>
        <row r="329">
          <cell r="E329" t="str">
            <v>DT_END_INTRST_ONLY_C19</v>
          </cell>
          <cell r="Z329" t="str">
            <v>Y</v>
          </cell>
          <cell r="AA329" t="str">
            <v>N</v>
          </cell>
          <cell r="AB329" t="str">
            <v>N</v>
          </cell>
          <cell r="AC329" t="str">
            <v>N</v>
          </cell>
          <cell r="AD329" t="str">
            <v>N</v>
          </cell>
          <cell r="AE329" t="str">
            <v>N</v>
          </cell>
        </row>
        <row r="330">
          <cell r="E330" t="str">
            <v>SBJCT_PBLC_GRNT_SCHM_C19</v>
          </cell>
          <cell r="Z330" t="str">
            <v>Y</v>
          </cell>
          <cell r="AA330" t="str">
            <v>N</v>
          </cell>
          <cell r="AB330" t="str">
            <v>N</v>
          </cell>
          <cell r="AC330" t="str">
            <v>N</v>
          </cell>
          <cell r="AD330" t="str">
            <v>N</v>
          </cell>
          <cell r="AE330" t="str">
            <v>N</v>
          </cell>
        </row>
        <row r="331">
          <cell r="E331" t="str">
            <v>PBLC_GRNT_SCHM_C19_NM</v>
          </cell>
          <cell r="Z331" t="str">
            <v>Y</v>
          </cell>
          <cell r="AA331" t="str">
            <v>N</v>
          </cell>
          <cell r="AB331" t="str">
            <v>N</v>
          </cell>
          <cell r="AC331" t="str">
            <v>N</v>
          </cell>
          <cell r="AD331" t="str">
            <v>N</v>
          </cell>
          <cell r="AE331" t="str">
            <v>N</v>
          </cell>
        </row>
        <row r="332">
          <cell r="E332" t="str">
            <v>PMNT_PBLC_GRNT_SCHM_C19</v>
          </cell>
          <cell r="Z332" t="str">
            <v>Y</v>
          </cell>
          <cell r="AA332" t="str">
            <v>N</v>
          </cell>
          <cell r="AB332" t="str">
            <v>N</v>
          </cell>
          <cell r="AC332" t="str">
            <v>N</v>
          </cell>
          <cell r="AD332" t="str">
            <v>N</v>
          </cell>
          <cell r="AE332" t="str">
            <v>N</v>
          </cell>
        </row>
        <row r="333">
          <cell r="E333" t="str">
            <v>ASST_SCRT_CLSS</v>
          </cell>
          <cell r="Z333" t="str">
            <v>Y</v>
          </cell>
          <cell r="AA333" t="str">
            <v>N</v>
          </cell>
          <cell r="AB333" t="str">
            <v>N</v>
          </cell>
          <cell r="AC333" t="str">
            <v>Y</v>
          </cell>
          <cell r="AD333" t="str">
            <v>N</v>
          </cell>
          <cell r="AE333" t="str">
            <v>N</v>
          </cell>
        </row>
        <row r="334">
          <cell r="E334" t="str">
            <v>CPN_CRRNCY</v>
          </cell>
          <cell r="Z334" t="str">
            <v>Y</v>
          </cell>
          <cell r="AA334" t="str">
            <v>N</v>
          </cell>
          <cell r="AB334" t="str">
            <v>N</v>
          </cell>
          <cell r="AC334" t="str">
            <v>N</v>
          </cell>
          <cell r="AD334" t="str">
            <v>N</v>
          </cell>
          <cell r="AE334" t="str">
            <v>N</v>
          </cell>
        </row>
        <row r="335">
          <cell r="E335" t="str">
            <v>CPN_RT_FXD</v>
          </cell>
          <cell r="Z335" t="str">
            <v>Y</v>
          </cell>
          <cell r="AA335" t="str">
            <v>N</v>
          </cell>
          <cell r="AB335" t="str">
            <v>N</v>
          </cell>
          <cell r="AC335" t="str">
            <v>N</v>
          </cell>
          <cell r="AD335" t="str">
            <v>N</v>
          </cell>
          <cell r="AE335" t="str">
            <v>N</v>
          </cell>
        </row>
        <row r="336">
          <cell r="E336" t="str">
            <v>DT_VLTN</v>
          </cell>
          <cell r="Z336" t="str">
            <v>Y</v>
          </cell>
          <cell r="AA336" t="str">
            <v>N</v>
          </cell>
          <cell r="AB336" t="str">
            <v>N</v>
          </cell>
          <cell r="AC336" t="str">
            <v>N</v>
          </cell>
          <cell r="AD336" t="str">
            <v>N</v>
          </cell>
          <cell r="AE336" t="str">
            <v>N</v>
          </cell>
        </row>
        <row r="337">
          <cell r="E337" t="str">
            <v>ELGBLTY_ECB</v>
          </cell>
          <cell r="Z337" t="str">
            <v>Y</v>
          </cell>
          <cell r="AA337" t="str">
            <v>N</v>
          </cell>
          <cell r="AB337" t="str">
            <v>N</v>
          </cell>
          <cell r="AC337" t="str">
            <v>N</v>
          </cell>
          <cell r="AD337" t="str">
            <v>N</v>
          </cell>
          <cell r="AE337" t="str">
            <v>N</v>
          </cell>
        </row>
        <row r="338">
          <cell r="E338" t="str">
            <v>GRNTR_ID</v>
          </cell>
          <cell r="Z338" t="str">
            <v>Y</v>
          </cell>
          <cell r="AA338" t="str">
            <v>N</v>
          </cell>
          <cell r="AB338" t="str">
            <v>N</v>
          </cell>
          <cell r="AC338" t="str">
            <v>N</v>
          </cell>
          <cell r="AD338" t="str">
            <v>N</v>
          </cell>
          <cell r="AE338" t="str">
            <v>N</v>
          </cell>
        </row>
        <row r="339">
          <cell r="E339" t="str">
            <v>GRNTR_ID_TYP</v>
          </cell>
          <cell r="Z339" t="str">
            <v>Y</v>
          </cell>
          <cell r="AA339" t="str">
            <v>N</v>
          </cell>
          <cell r="AB339" t="str">
            <v>N</v>
          </cell>
          <cell r="AC339" t="str">
            <v>N</v>
          </cell>
          <cell r="AD339" t="str">
            <v>N</v>
          </cell>
          <cell r="AE339" t="str">
            <v>N</v>
          </cell>
        </row>
        <row r="340">
          <cell r="E340" t="str">
            <v>HEDGE_ID</v>
          </cell>
          <cell r="Z340" t="str">
            <v>Y</v>
          </cell>
          <cell r="AA340" t="str">
            <v>N</v>
          </cell>
          <cell r="AB340" t="str">
            <v>N</v>
          </cell>
          <cell r="AC340" t="str">
            <v>N</v>
          </cell>
          <cell r="AD340" t="str">
            <v>N</v>
          </cell>
          <cell r="AE340" t="str">
            <v>N</v>
          </cell>
        </row>
        <row r="341">
          <cell r="E341" t="str">
            <v>INSTR_SNRTY_CLSS</v>
          </cell>
          <cell r="Z341" t="str">
            <v>Y</v>
          </cell>
          <cell r="AA341" t="str">
            <v>N</v>
          </cell>
          <cell r="AB341" t="str">
            <v>N</v>
          </cell>
          <cell r="AC341" t="str">
            <v>N</v>
          </cell>
          <cell r="AD341" t="str">
            <v>N</v>
          </cell>
          <cell r="AE341" t="str">
            <v>Y</v>
          </cell>
        </row>
        <row r="342">
          <cell r="E342" t="str">
            <v>INSTRMNT_CLSS</v>
          </cell>
          <cell r="Z342" t="str">
            <v>Y</v>
          </cell>
          <cell r="AA342" t="str">
            <v>N</v>
          </cell>
          <cell r="AB342" t="str">
            <v>N</v>
          </cell>
          <cell r="AC342" t="str">
            <v>N</v>
          </cell>
          <cell r="AD342" t="str">
            <v>N</v>
          </cell>
          <cell r="AE342" t="str">
            <v>N</v>
          </cell>
        </row>
        <row r="343">
          <cell r="E343" t="str">
            <v>ISIN</v>
          </cell>
          <cell r="Z343" t="str">
            <v>Y</v>
          </cell>
          <cell r="AA343" t="str">
            <v>N</v>
          </cell>
          <cell r="AB343" t="str">
            <v>N</v>
          </cell>
          <cell r="AC343" t="str">
            <v>N</v>
          </cell>
          <cell r="AD343" t="str">
            <v>N</v>
          </cell>
          <cell r="AE343" t="str">
            <v>N</v>
          </cell>
        </row>
        <row r="344">
          <cell r="E344" t="str">
            <v>ISSR_CNTRY</v>
          </cell>
          <cell r="Z344" t="str">
            <v>Y</v>
          </cell>
          <cell r="AA344" t="str">
            <v>N</v>
          </cell>
          <cell r="AB344" t="str">
            <v>Y</v>
          </cell>
          <cell r="AC344" t="str">
            <v>N</v>
          </cell>
          <cell r="AD344" t="str">
            <v>N</v>
          </cell>
          <cell r="AE344" t="str">
            <v>N</v>
          </cell>
        </row>
        <row r="345">
          <cell r="E345" t="str">
            <v>ISSR_ESA_2010</v>
          </cell>
          <cell r="Z345" t="str">
            <v>Y</v>
          </cell>
          <cell r="AA345" t="str">
            <v>N</v>
          </cell>
          <cell r="AB345" t="str">
            <v>N</v>
          </cell>
          <cell r="AC345" t="str">
            <v>N</v>
          </cell>
          <cell r="AD345" t="str">
            <v>N</v>
          </cell>
          <cell r="AE345" t="str">
            <v>N</v>
          </cell>
        </row>
        <row r="346">
          <cell r="E346" t="str">
            <v>ISSR_ID</v>
          </cell>
          <cell r="Z346" t="str">
            <v>Y</v>
          </cell>
          <cell r="AA346" t="str">
            <v>N</v>
          </cell>
          <cell r="AB346" t="str">
            <v>N</v>
          </cell>
          <cell r="AC346" t="str">
            <v>N</v>
          </cell>
          <cell r="AD346" t="str">
            <v>N</v>
          </cell>
          <cell r="AE346" t="str">
            <v>N</v>
          </cell>
        </row>
        <row r="347">
          <cell r="E347" t="str">
            <v>ISSR_ID_TYP</v>
          </cell>
          <cell r="Z347" t="str">
            <v>Y</v>
          </cell>
          <cell r="AA347" t="str">
            <v>N</v>
          </cell>
          <cell r="AB347" t="str">
            <v>N</v>
          </cell>
          <cell r="AC347" t="str">
            <v>N</v>
          </cell>
          <cell r="AD347" t="str">
            <v>N</v>
          </cell>
          <cell r="AE347" t="str">
            <v>N</v>
          </cell>
        </row>
        <row r="348">
          <cell r="E348" t="str">
            <v>ISSR_NACE_SCTR</v>
          </cell>
          <cell r="Z348" t="str">
            <v>Y</v>
          </cell>
          <cell r="AA348" t="str">
            <v>N</v>
          </cell>
          <cell r="AB348" t="str">
            <v>Y</v>
          </cell>
          <cell r="AC348" t="str">
            <v>N</v>
          </cell>
          <cell r="AD348" t="str">
            <v>N</v>
          </cell>
          <cell r="AE348" t="str">
            <v>N</v>
          </cell>
        </row>
        <row r="349">
          <cell r="E349" t="str">
            <v>ISSR_RTNG</v>
          </cell>
          <cell r="Z349" t="str">
            <v>Y</v>
          </cell>
          <cell r="AA349" t="str">
            <v>N</v>
          </cell>
          <cell r="AB349" t="str">
            <v>N</v>
          </cell>
          <cell r="AC349" t="str">
            <v>N</v>
          </cell>
          <cell r="AD349" t="str">
            <v>N</v>
          </cell>
          <cell r="AE349" t="str">
            <v>N</v>
          </cell>
        </row>
        <row r="350">
          <cell r="E350" t="str">
            <v>ISSR_RTNG_SRC</v>
          </cell>
          <cell r="Z350" t="str">
            <v>Y</v>
          </cell>
          <cell r="AA350" t="str">
            <v>N</v>
          </cell>
          <cell r="AB350" t="str">
            <v>N</v>
          </cell>
          <cell r="AC350" t="str">
            <v>N</v>
          </cell>
          <cell r="AD350" t="str">
            <v>N</v>
          </cell>
          <cell r="AE350" t="str">
            <v>N</v>
          </cell>
        </row>
        <row r="351">
          <cell r="E351" t="str">
            <v>ISSR_TYP</v>
          </cell>
          <cell r="Z351" t="str">
            <v>Y</v>
          </cell>
          <cell r="AA351" t="str">
            <v>N</v>
          </cell>
          <cell r="AB351" t="str">
            <v>N</v>
          </cell>
          <cell r="AC351" t="str">
            <v>N</v>
          </cell>
          <cell r="AD351" t="str">
            <v>N</v>
          </cell>
          <cell r="AE351" t="str">
            <v>N</v>
          </cell>
        </row>
        <row r="352">
          <cell r="E352" t="str">
            <v>LCR_BFFR_CTGRY</v>
          </cell>
          <cell r="Z352" t="str">
            <v>Y</v>
          </cell>
          <cell r="AA352" t="str">
            <v>N</v>
          </cell>
          <cell r="AB352" t="str">
            <v>N</v>
          </cell>
          <cell r="AC352" t="str">
            <v>N</v>
          </cell>
          <cell r="AD352" t="str">
            <v>N</v>
          </cell>
          <cell r="AE352" t="str">
            <v>N</v>
          </cell>
        </row>
        <row r="353">
          <cell r="E353" t="str">
            <v>PRCH_UNDR_RSL_AGR</v>
          </cell>
          <cell r="Z353" t="str">
            <v>Y</v>
          </cell>
          <cell r="AA353" t="str">
            <v>N</v>
          </cell>
          <cell r="AB353" t="str">
            <v>N</v>
          </cell>
          <cell r="AC353" t="str">
            <v>N</v>
          </cell>
          <cell r="AD353" t="str">
            <v>N</v>
          </cell>
          <cell r="AE353" t="str">
            <v>N</v>
          </cell>
        </row>
        <row r="354">
          <cell r="E354" t="str">
            <v>PRDNTL_PRTFL</v>
          </cell>
          <cell r="Z354" t="str">
            <v>Y</v>
          </cell>
          <cell r="AA354" t="str">
            <v>N</v>
          </cell>
          <cell r="AB354" t="str">
            <v>N</v>
          </cell>
          <cell r="AC354" t="str">
            <v>N</v>
          </cell>
          <cell r="AD354" t="str">
            <v>N</v>
          </cell>
          <cell r="AE354" t="str">
            <v>Y</v>
          </cell>
        </row>
        <row r="355">
          <cell r="E355" t="str">
            <v>PRMRY_ASST_CLSSF</v>
          </cell>
          <cell r="Z355" t="str">
            <v>Y</v>
          </cell>
          <cell r="AA355" t="str">
            <v>N</v>
          </cell>
          <cell r="AB355" t="str">
            <v>Y</v>
          </cell>
          <cell r="AC355" t="str">
            <v>N</v>
          </cell>
          <cell r="AD355" t="str">
            <v>N</v>
          </cell>
          <cell r="AE355" t="str">
            <v>N</v>
          </cell>
        </row>
        <row r="356">
          <cell r="E356" t="str">
            <v>PRT_LCR_BFFR</v>
          </cell>
          <cell r="Z356" t="str">
            <v>Y</v>
          </cell>
          <cell r="AA356" t="str">
            <v>N</v>
          </cell>
          <cell r="AB356" t="str">
            <v>N</v>
          </cell>
          <cell r="AC356" t="str">
            <v>N</v>
          </cell>
          <cell r="AD356" t="str">
            <v>N</v>
          </cell>
          <cell r="AE356" t="str">
            <v>N</v>
          </cell>
        </row>
        <row r="357">
          <cell r="E357" t="str">
            <v>CPN_RT_FLTNG</v>
          </cell>
          <cell r="Z357" t="str">
            <v>Y</v>
          </cell>
          <cell r="AA357" t="str">
            <v>N</v>
          </cell>
          <cell r="AB357" t="str">
            <v>N</v>
          </cell>
          <cell r="AC357" t="str">
            <v>N</v>
          </cell>
          <cell r="AD357" t="str">
            <v>N</v>
          </cell>
          <cell r="AE357" t="str">
            <v>N</v>
          </cell>
        </row>
        <row r="358">
          <cell r="E358" t="str">
            <v>SPRD</v>
          </cell>
          <cell r="Z358" t="str">
            <v>Y</v>
          </cell>
          <cell r="AA358" t="str">
            <v>N</v>
          </cell>
          <cell r="AB358" t="str">
            <v>N</v>
          </cell>
          <cell r="AC358" t="str">
            <v>N</v>
          </cell>
          <cell r="AD358" t="str">
            <v>N</v>
          </cell>
          <cell r="AE358" t="str">
            <v>N</v>
          </cell>
        </row>
        <row r="359">
          <cell r="E359" t="str">
            <v>SRCS_ENCMBRNC</v>
          </cell>
          <cell r="Z359" t="str">
            <v>Y</v>
          </cell>
          <cell r="AA359" t="str">
            <v>N</v>
          </cell>
          <cell r="AB359" t="str">
            <v>N</v>
          </cell>
          <cell r="AC359" t="str">
            <v>N</v>
          </cell>
          <cell r="AD359" t="str">
            <v>N</v>
          </cell>
          <cell r="AE359" t="str">
            <v>N</v>
          </cell>
        </row>
        <row r="360">
          <cell r="E360" t="str">
            <v>TYPE_OF_PLCMNT</v>
          </cell>
          <cell r="Z360" t="str">
            <v>Y</v>
          </cell>
          <cell r="AA360" t="str">
            <v>N</v>
          </cell>
          <cell r="AB360" t="str">
            <v>N</v>
          </cell>
          <cell r="AC360" t="str">
            <v>N</v>
          </cell>
          <cell r="AD360" t="str">
            <v>N</v>
          </cell>
          <cell r="AE360" t="str">
            <v>N</v>
          </cell>
        </row>
        <row r="361">
          <cell r="E361" t="str">
            <v>VLTN_CRRNCY</v>
          </cell>
          <cell r="Z361" t="str">
            <v>Y</v>
          </cell>
          <cell r="AA361" t="str">
            <v>N</v>
          </cell>
          <cell r="AB361" t="str">
            <v>N</v>
          </cell>
          <cell r="AC361" t="str">
            <v>N</v>
          </cell>
          <cell r="AD361" t="str">
            <v>N</v>
          </cell>
          <cell r="AE361" t="str">
            <v>N</v>
          </cell>
        </row>
        <row r="362">
          <cell r="E362" t="str">
            <v>VLTN_TYP</v>
          </cell>
          <cell r="Z362" t="str">
            <v>Y</v>
          </cell>
          <cell r="AA362" t="str">
            <v>N</v>
          </cell>
          <cell r="AB362" t="str">
            <v>N</v>
          </cell>
          <cell r="AC362" t="str">
            <v>N</v>
          </cell>
          <cell r="AD362" t="str">
            <v>N</v>
          </cell>
          <cell r="AE362" t="str">
            <v>N</v>
          </cell>
        </row>
        <row r="363">
          <cell r="E363" t="str">
            <v>LVRG_FNNC_FLG</v>
          </cell>
          <cell r="Z363" t="str">
            <v>Y</v>
          </cell>
          <cell r="AA363" t="str">
            <v>N</v>
          </cell>
          <cell r="AB363" t="str">
            <v>N</v>
          </cell>
          <cell r="AC363" t="str">
            <v>N</v>
          </cell>
          <cell r="AD363" t="str">
            <v>N</v>
          </cell>
          <cell r="AE363" t="str">
            <v>Y</v>
          </cell>
        </row>
        <row r="364">
          <cell r="E364" t="str">
            <v>INTRNL_SGMNT_IFRS9</v>
          </cell>
          <cell r="Z364" t="str">
            <v>Y</v>
          </cell>
          <cell r="AA364" t="str">
            <v>N</v>
          </cell>
          <cell r="AB364" t="str">
            <v>N</v>
          </cell>
          <cell r="AC364" t="str">
            <v>N</v>
          </cell>
          <cell r="AD364" t="str">
            <v>N</v>
          </cell>
          <cell r="AE364" t="str">
            <v>N</v>
          </cell>
        </row>
        <row r="365">
          <cell r="E365" t="str">
            <v>INTRNL_SGMNT_CAT_MSTA</v>
          </cell>
          <cell r="Z365" t="str">
            <v>Y</v>
          </cell>
          <cell r="AA365" t="str">
            <v>N</v>
          </cell>
          <cell r="AB365" t="str">
            <v>N</v>
          </cell>
          <cell r="AC365" t="str">
            <v>N</v>
          </cell>
          <cell r="AD365" t="str">
            <v>Y</v>
          </cell>
          <cell r="AE365" t="str">
            <v>N</v>
          </cell>
        </row>
        <row r="366">
          <cell r="E366" t="str">
            <v>INTRNL_SGMNT_CATGSUB</v>
          </cell>
          <cell r="Z366" t="str">
            <v>Y</v>
          </cell>
          <cell r="AA366" t="str">
            <v>N</v>
          </cell>
          <cell r="AB366" t="str">
            <v>N</v>
          </cell>
          <cell r="AC366" t="str">
            <v>N</v>
          </cell>
          <cell r="AD366" t="str">
            <v>Y</v>
          </cell>
          <cell r="AE366" t="str">
            <v>N</v>
          </cell>
        </row>
        <row r="367">
          <cell r="E367" t="str">
            <v>CRRLTN_CFFCNT</v>
          </cell>
          <cell r="Z367" t="str">
            <v>Y</v>
          </cell>
          <cell r="AA367" t="str">
            <v>N</v>
          </cell>
          <cell r="AB367" t="str">
            <v>N</v>
          </cell>
          <cell r="AC367" t="str">
            <v>N</v>
          </cell>
          <cell r="AD367" t="str">
            <v>N</v>
          </cell>
          <cell r="AE367" t="str">
            <v>N</v>
          </cell>
        </row>
        <row r="368">
          <cell r="E368" t="str">
            <v>ISIN_SCRTSTN</v>
          </cell>
          <cell r="Z368" t="str">
            <v>Y</v>
          </cell>
          <cell r="AA368" t="str">
            <v>N</v>
          </cell>
          <cell r="AB368" t="str">
            <v>N</v>
          </cell>
          <cell r="AC368" t="str">
            <v>N</v>
          </cell>
          <cell r="AD368" t="str">
            <v>N</v>
          </cell>
          <cell r="AE368" t="str">
            <v>N</v>
          </cell>
        </row>
        <row r="369">
          <cell r="E369" t="str">
            <v>CNTRCT_ID_BDR</v>
          </cell>
          <cell r="Z369" t="str">
            <v>Y</v>
          </cell>
          <cell r="AA369" t="str">
            <v>N</v>
          </cell>
          <cell r="AB369" t="str">
            <v>N</v>
          </cell>
          <cell r="AC369" t="str">
            <v>Y</v>
          </cell>
          <cell r="AD369" t="str">
            <v>N</v>
          </cell>
          <cell r="AE369" t="str">
            <v>N</v>
          </cell>
        </row>
        <row r="370">
          <cell r="E370" t="str">
            <v>COD_SOC_INTRGRP</v>
          </cell>
          <cell r="Z370" t="str">
            <v>Y</v>
          </cell>
          <cell r="AA370" t="str">
            <v>Y</v>
          </cell>
          <cell r="AB370" t="str">
            <v>Y</v>
          </cell>
          <cell r="AC370" t="str">
            <v>N</v>
          </cell>
          <cell r="AD370" t="str">
            <v>N</v>
          </cell>
          <cell r="AE370" t="str">
            <v>N</v>
          </cell>
        </row>
        <row r="371">
          <cell r="E371" t="str">
            <v>LCL_INSTMRNT_ID</v>
          </cell>
          <cell r="Z371" t="str">
            <v>Y</v>
          </cell>
          <cell r="AA371" t="str">
            <v>Y</v>
          </cell>
          <cell r="AB371" t="str">
            <v>Y</v>
          </cell>
          <cell r="AC371" t="str">
            <v>N</v>
          </cell>
          <cell r="AD371" t="str">
            <v>N</v>
          </cell>
          <cell r="AE371" t="str">
            <v>N</v>
          </cell>
        </row>
        <row r="372">
          <cell r="E372" t="str">
            <v>SSTNBL_INDCTR</v>
          </cell>
          <cell r="Z372" t="str">
            <v>N</v>
          </cell>
          <cell r="AA372" t="str">
            <v>Y</v>
          </cell>
          <cell r="AB372" t="str">
            <v>Y</v>
          </cell>
          <cell r="AC372" t="str">
            <v>Y</v>
          </cell>
          <cell r="AD372" t="str">
            <v>N</v>
          </cell>
          <cell r="AE372" t="str">
            <v>N</v>
          </cell>
        </row>
        <row r="373">
          <cell r="E373" t="str">
            <v>SSTNBL_CTGRY</v>
          </cell>
          <cell r="Z373" t="str">
            <v>N</v>
          </cell>
          <cell r="AA373" t="str">
            <v>Y</v>
          </cell>
          <cell r="AB373" t="str">
            <v>Y</v>
          </cell>
          <cell r="AC373" t="str">
            <v>Y</v>
          </cell>
          <cell r="AD373" t="str">
            <v>N</v>
          </cell>
          <cell r="AE373" t="str">
            <v>N</v>
          </cell>
        </row>
        <row r="374">
          <cell r="E374" t="str">
            <v>AVRG_BLNC</v>
          </cell>
          <cell r="Z374" t="str">
            <v>N</v>
          </cell>
          <cell r="AA374" t="str">
            <v>Y</v>
          </cell>
          <cell r="AB374" t="str">
            <v>N</v>
          </cell>
          <cell r="AC374" t="str">
            <v>Y</v>
          </cell>
          <cell r="AD374" t="str">
            <v>N</v>
          </cell>
          <cell r="AE374" t="str">
            <v>N</v>
          </cell>
        </row>
        <row r="375">
          <cell r="E375" t="str">
            <v>NW_BSNSS</v>
          </cell>
          <cell r="Z375" t="str">
            <v>N</v>
          </cell>
          <cell r="AA375" t="str">
            <v>Y</v>
          </cell>
          <cell r="AB375" t="str">
            <v>Y</v>
          </cell>
          <cell r="AC375" t="str">
            <v>Y</v>
          </cell>
          <cell r="AD375" t="str">
            <v>N</v>
          </cell>
          <cell r="AE375" t="str">
            <v>N</v>
          </cell>
        </row>
        <row r="376">
          <cell r="E376" t="str">
            <v>GRSS_INTRST_INCM</v>
          </cell>
          <cell r="Z376" t="str">
            <v>N</v>
          </cell>
          <cell r="AA376" t="str">
            <v>Y</v>
          </cell>
          <cell r="AB376" t="str">
            <v>Y</v>
          </cell>
          <cell r="AC376" t="str">
            <v>Y</v>
          </cell>
          <cell r="AD376" t="str">
            <v>N</v>
          </cell>
          <cell r="AE376" t="str">
            <v>N</v>
          </cell>
        </row>
        <row r="377">
          <cell r="E377" t="str">
            <v>GRSS_CMMSSN_INCM</v>
          </cell>
          <cell r="Z377" t="str">
            <v>N</v>
          </cell>
          <cell r="AA377" t="str">
            <v>Y</v>
          </cell>
          <cell r="AB377" t="str">
            <v>Y</v>
          </cell>
          <cell r="AC377" t="str">
            <v>Y</v>
          </cell>
          <cell r="AD377" t="str">
            <v>N</v>
          </cell>
          <cell r="AE377" t="str">
            <v>N</v>
          </cell>
        </row>
        <row r="378">
          <cell r="E378" t="str">
            <v>INTRNL_TRNSFR_RT</v>
          </cell>
          <cell r="Z378" t="str">
            <v>N</v>
          </cell>
          <cell r="AA378" t="str">
            <v>Y</v>
          </cell>
          <cell r="AB378" t="str">
            <v>N</v>
          </cell>
          <cell r="AC378" t="str">
            <v>Y</v>
          </cell>
          <cell r="AD378" t="str">
            <v>N</v>
          </cell>
          <cell r="AE378" t="str">
            <v>N</v>
          </cell>
        </row>
        <row r="379">
          <cell r="E379" t="str">
            <v>NT_LN_LSS_PRVSN</v>
          </cell>
          <cell r="Z379" t="str">
            <v>N</v>
          </cell>
          <cell r="AA379" t="str">
            <v>Y</v>
          </cell>
          <cell r="AB379" t="str">
            <v>N</v>
          </cell>
          <cell r="AC379" t="str">
            <v>Y</v>
          </cell>
          <cell r="AD379" t="str">
            <v>N</v>
          </cell>
          <cell r="AE379" t="str">
            <v>N</v>
          </cell>
        </row>
        <row r="380">
          <cell r="E380" t="str">
            <v>BSNSS_AREA</v>
          </cell>
          <cell r="Z380" t="str">
            <v>N</v>
          </cell>
          <cell r="AA380" t="str">
            <v>Y</v>
          </cell>
          <cell r="AB380" t="str">
            <v>N</v>
          </cell>
          <cell r="AC380" t="str">
            <v>Y</v>
          </cell>
          <cell r="AD380" t="str">
            <v>N</v>
          </cell>
          <cell r="AE380" t="str">
            <v>N</v>
          </cell>
        </row>
        <row r="381">
          <cell r="E381" t="str">
            <v>MNGMNT_PRDCT</v>
          </cell>
          <cell r="Z381" t="str">
            <v>N</v>
          </cell>
          <cell r="AA381" t="str">
            <v>Y</v>
          </cell>
          <cell r="AB381" t="str">
            <v>N</v>
          </cell>
          <cell r="AC381" t="str">
            <v>Y</v>
          </cell>
          <cell r="AD381" t="str">
            <v>N</v>
          </cell>
          <cell r="AE381" t="str">
            <v>N</v>
          </cell>
        </row>
        <row r="382">
          <cell r="E382" t="str">
            <v>GRSS_CMMSSN_EXPNS</v>
          </cell>
          <cell r="Z382" t="str">
            <v>N</v>
          </cell>
          <cell r="AA382" t="str">
            <v>Y</v>
          </cell>
          <cell r="AB382" t="str">
            <v>N</v>
          </cell>
          <cell r="AC382" t="str">
            <v>Y</v>
          </cell>
          <cell r="AD382" t="str">
            <v>N</v>
          </cell>
          <cell r="AE382" t="str">
            <v>N</v>
          </cell>
        </row>
        <row r="383">
          <cell r="E383" t="str">
            <v>GNS_FNNCL_TRNSCTN_EXCHNG_DFFRNCS</v>
          </cell>
          <cell r="Z383" t="str">
            <v>N</v>
          </cell>
          <cell r="AA383" t="str">
            <v>Y</v>
          </cell>
          <cell r="AB383" t="str">
            <v>N</v>
          </cell>
          <cell r="AC383" t="str">
            <v>Y</v>
          </cell>
          <cell r="AD383" t="str">
            <v>N</v>
          </cell>
          <cell r="AE383" t="str">
            <v>N</v>
          </cell>
        </row>
        <row r="384">
          <cell r="E384" t="str">
            <v>FLG_INTRBSNSS</v>
          </cell>
          <cell r="Z384" t="str">
            <v>N</v>
          </cell>
          <cell r="AA384" t="str">
            <v>Y</v>
          </cell>
          <cell r="AB384" t="str">
            <v>N</v>
          </cell>
          <cell r="AC384" t="str">
            <v>N</v>
          </cell>
          <cell r="AD384" t="str">
            <v>N</v>
          </cell>
          <cell r="AE384" t="str">
            <v>N</v>
          </cell>
        </row>
        <row r="385">
          <cell r="E385" t="str">
            <v>INTRBSNSS_ADJ_COD</v>
          </cell>
          <cell r="Z385" t="str">
            <v>N</v>
          </cell>
          <cell r="AA385" t="str">
            <v>Y</v>
          </cell>
          <cell r="AB385" t="str">
            <v>N</v>
          </cell>
          <cell r="AC385" t="str">
            <v>N</v>
          </cell>
          <cell r="AD385" t="str">
            <v>N</v>
          </cell>
          <cell r="AE385" t="str">
            <v>N</v>
          </cell>
        </row>
        <row r="386">
          <cell r="E386" t="str">
            <v>COD_SOC_DSTNTN</v>
          </cell>
          <cell r="Z386" t="str">
            <v>N</v>
          </cell>
          <cell r="AA386" t="str">
            <v>Y</v>
          </cell>
          <cell r="AB386" t="str">
            <v>N</v>
          </cell>
          <cell r="AC386" t="str">
            <v>N</v>
          </cell>
          <cell r="AD386" t="str">
            <v>N</v>
          </cell>
          <cell r="AE386" t="str">
            <v>N</v>
          </cell>
        </row>
        <row r="387">
          <cell r="E387" t="str">
            <v>BSNSS_AREA_DSTNTN</v>
          </cell>
          <cell r="Z387" t="str">
            <v>N</v>
          </cell>
          <cell r="AA387" t="str">
            <v>Y</v>
          </cell>
          <cell r="AB387" t="str">
            <v>N</v>
          </cell>
          <cell r="AC387" t="str">
            <v>N</v>
          </cell>
          <cell r="AD387" t="str">
            <v>N</v>
          </cell>
          <cell r="AE387" t="str">
            <v>N</v>
          </cell>
        </row>
        <row r="388">
          <cell r="E388" t="str">
            <v>AVRG_BLNC_OFF_BLNC</v>
          </cell>
          <cell r="Z388" t="str">
            <v>N</v>
          </cell>
          <cell r="AA388" t="str">
            <v>Y</v>
          </cell>
          <cell r="AB388" t="str">
            <v>N</v>
          </cell>
          <cell r="AC388" t="str">
            <v>N</v>
          </cell>
          <cell r="AD388" t="str">
            <v>N</v>
          </cell>
          <cell r="AE388" t="str">
            <v>N</v>
          </cell>
        </row>
        <row r="389">
          <cell r="E389" t="str">
            <v>INTRNL_TRNSFR_RT_OFF_BLNC</v>
          </cell>
          <cell r="Z389" t="str">
            <v>N</v>
          </cell>
          <cell r="AA389" t="str">
            <v>Y</v>
          </cell>
          <cell r="AB389" t="str">
            <v>N</v>
          </cell>
          <cell r="AC389" t="str">
            <v>Y</v>
          </cell>
          <cell r="AD389" t="str">
            <v>N</v>
          </cell>
          <cell r="AE389" t="str">
            <v>N</v>
          </cell>
        </row>
        <row r="390">
          <cell r="E390" t="str">
            <v>GRSS_CMMSSN_INCM_OFF_BLNC</v>
          </cell>
          <cell r="Z390" t="str">
            <v>N</v>
          </cell>
          <cell r="AA390" t="str">
            <v>Y</v>
          </cell>
          <cell r="AB390" t="str">
            <v>Y</v>
          </cell>
          <cell r="AC390" t="str">
            <v>Y</v>
          </cell>
          <cell r="AD390" t="str">
            <v>N</v>
          </cell>
          <cell r="AE390" t="str">
            <v>N</v>
          </cell>
        </row>
        <row r="391">
          <cell r="E391" t="str">
            <v>GRSS_CMMSSN_EXPNS_OFF_BLNC</v>
          </cell>
          <cell r="Z391" t="str">
            <v>N</v>
          </cell>
          <cell r="AA391" t="str">
            <v>Y</v>
          </cell>
          <cell r="AB391" t="str">
            <v>N</v>
          </cell>
          <cell r="AC391" t="str">
            <v>Y</v>
          </cell>
          <cell r="AD391" t="str">
            <v>N</v>
          </cell>
          <cell r="AE391" t="str">
            <v>N</v>
          </cell>
        </row>
        <row r="392">
          <cell r="E392" t="str">
            <v>RWA_OFF_BLNC</v>
          </cell>
          <cell r="Z392" t="str">
            <v>N</v>
          </cell>
          <cell r="AA392" t="str">
            <v>Y</v>
          </cell>
          <cell r="AB392" t="str">
            <v>N</v>
          </cell>
          <cell r="AC392" t="str">
            <v>N</v>
          </cell>
          <cell r="AD392" t="str">
            <v>N</v>
          </cell>
          <cell r="AE392" t="str">
            <v>N</v>
          </cell>
        </row>
        <row r="393">
          <cell r="E393" t="str">
            <v>GRSS_INTRST_EXPNS</v>
          </cell>
          <cell r="Z393" t="str">
            <v>N</v>
          </cell>
          <cell r="AA393" t="str">
            <v>Y</v>
          </cell>
          <cell r="AB393" t="str">
            <v>N</v>
          </cell>
          <cell r="AC393" t="str">
            <v>Y</v>
          </cell>
          <cell r="AD393" t="str">
            <v>N</v>
          </cell>
          <cell r="AE393" t="str">
            <v>N</v>
          </cell>
        </row>
        <row r="394">
          <cell r="E394" t="str">
            <v>NT_LN_LSS_PRVSN_OFF_BLNC</v>
          </cell>
          <cell r="Z394" t="str">
            <v>N</v>
          </cell>
          <cell r="AA394" t="str">
            <v>Y</v>
          </cell>
          <cell r="AB394" t="str">
            <v>N</v>
          </cell>
          <cell r="AC394" t="str">
            <v>Y</v>
          </cell>
          <cell r="AD394" t="str">
            <v>N</v>
          </cell>
          <cell r="AE394" t="str">
            <v>N</v>
          </cell>
        </row>
        <row r="395">
          <cell r="E395" t="str">
            <v>GRSS_INTRST_INCM_CCRR</v>
          </cell>
          <cell r="Z395" t="str">
            <v>N</v>
          </cell>
          <cell r="AA395" t="str">
            <v>Y</v>
          </cell>
          <cell r="AB395" t="str">
            <v>N</v>
          </cell>
          <cell r="AC395" t="str">
            <v>Y</v>
          </cell>
          <cell r="AD395" t="str">
            <v>N</v>
          </cell>
          <cell r="AE395" t="str">
            <v>N</v>
          </cell>
        </row>
        <row r="396">
          <cell r="E396" t="str">
            <v>GRSS_INTRST_EXPNS_CCRR</v>
          </cell>
          <cell r="Z396" t="str">
            <v>N</v>
          </cell>
          <cell r="AA396" t="str">
            <v>Y</v>
          </cell>
          <cell r="AB396" t="str">
            <v>N</v>
          </cell>
          <cell r="AC396" t="str">
            <v>Y</v>
          </cell>
          <cell r="AD396" t="str">
            <v>N</v>
          </cell>
          <cell r="AE396" t="str">
            <v>N</v>
          </cell>
        </row>
        <row r="397">
          <cell r="E397" t="str">
            <v>GRSS_CMMSSN_INCM_CCRR</v>
          </cell>
          <cell r="Z397" t="str">
            <v>N</v>
          </cell>
          <cell r="AA397" t="str">
            <v>Y</v>
          </cell>
          <cell r="AB397" t="str">
            <v>N</v>
          </cell>
          <cell r="AC397" t="str">
            <v>Y</v>
          </cell>
          <cell r="AD397" t="str">
            <v>N</v>
          </cell>
          <cell r="AE397" t="str">
            <v>N</v>
          </cell>
        </row>
        <row r="398">
          <cell r="E398" t="str">
            <v>GRSS_CMMSSN_EXPNS_CCRR</v>
          </cell>
          <cell r="Z398" t="str">
            <v>N</v>
          </cell>
          <cell r="AA398" t="str">
            <v>Y</v>
          </cell>
          <cell r="AB398" t="str">
            <v>N</v>
          </cell>
          <cell r="AC398" t="str">
            <v>Y</v>
          </cell>
          <cell r="AD398" t="str">
            <v>N</v>
          </cell>
          <cell r="AE398" t="str">
            <v>N</v>
          </cell>
        </row>
        <row r="399">
          <cell r="E399" t="str">
            <v>GNS_FNNCL_TRNSCTN_EXCHNG_CCRR</v>
          </cell>
          <cell r="Z399" t="str">
            <v>N</v>
          </cell>
          <cell r="AA399" t="str">
            <v>Y</v>
          </cell>
          <cell r="AB399" t="str">
            <v>N</v>
          </cell>
          <cell r="AC399" t="str">
            <v>Y</v>
          </cell>
          <cell r="AD399" t="str">
            <v>N</v>
          </cell>
          <cell r="AE399" t="str">
            <v>N</v>
          </cell>
        </row>
        <row r="400">
          <cell r="E400" t="str">
            <v>BSNSS_AREA_CCRR</v>
          </cell>
          <cell r="Z400" t="str">
            <v>N</v>
          </cell>
          <cell r="AA400" t="str">
            <v>Y</v>
          </cell>
          <cell r="AB400" t="str">
            <v>N</v>
          </cell>
          <cell r="AC400" t="str">
            <v>N</v>
          </cell>
          <cell r="AD400" t="str">
            <v>N</v>
          </cell>
          <cell r="AE400" t="str">
            <v>N</v>
          </cell>
        </row>
        <row r="401">
          <cell r="E401" t="str">
            <v>GRSS_CMMSSN_INCM_OFF_BLNC_CCRR</v>
          </cell>
          <cell r="Z401" t="str">
            <v>N</v>
          </cell>
          <cell r="AA401" t="str">
            <v>Y</v>
          </cell>
          <cell r="AB401" t="str">
            <v>N</v>
          </cell>
          <cell r="AC401" t="str">
            <v>Y</v>
          </cell>
          <cell r="AD401" t="str">
            <v>N</v>
          </cell>
          <cell r="AE401" t="str">
            <v>N</v>
          </cell>
        </row>
        <row r="402">
          <cell r="E402" t="str">
            <v>GRSS_CMMSSN_EXPNS_OFF_BLNC_CCRR</v>
          </cell>
          <cell r="Z402" t="str">
            <v>N</v>
          </cell>
          <cell r="AA402" t="str">
            <v>Y</v>
          </cell>
          <cell r="AB402" t="str">
            <v>N</v>
          </cell>
          <cell r="AC402" t="str">
            <v>Y</v>
          </cell>
          <cell r="AD402" t="str">
            <v>N</v>
          </cell>
          <cell r="AE402" t="str">
            <v>N</v>
          </cell>
        </row>
        <row r="403">
          <cell r="E403" t="str">
            <v>ENVRNMNTL_OBJCTV</v>
          </cell>
          <cell r="Z403" t="str">
            <v>N</v>
          </cell>
          <cell r="AA403" t="str">
            <v>N</v>
          </cell>
          <cell r="AB403" t="str">
            <v>Y</v>
          </cell>
          <cell r="AC403" t="str">
            <v>N</v>
          </cell>
          <cell r="AD403" t="str">
            <v>N</v>
          </cell>
          <cell r="AE403" t="str">
            <v>N</v>
          </cell>
        </row>
        <row r="404">
          <cell r="E404" t="str">
            <v>RSK_MTGTD_CCT</v>
          </cell>
          <cell r="Z404" t="str">
            <v>N</v>
          </cell>
          <cell r="AA404" t="str">
            <v>N</v>
          </cell>
          <cell r="AB404" t="str">
            <v>Y</v>
          </cell>
          <cell r="AC404" t="str">
            <v>N</v>
          </cell>
          <cell r="AD404" t="str">
            <v>N</v>
          </cell>
          <cell r="AE404" t="str">
            <v>N</v>
          </cell>
        </row>
        <row r="405">
          <cell r="E405" t="str">
            <v>RSK_MTGTD_CCP</v>
          </cell>
          <cell r="Z405" t="str">
            <v>N</v>
          </cell>
          <cell r="AA405" t="str">
            <v>N</v>
          </cell>
          <cell r="AB405" t="str">
            <v>Y</v>
          </cell>
          <cell r="AC405" t="str">
            <v>N</v>
          </cell>
          <cell r="AD405" t="str">
            <v>N</v>
          </cell>
          <cell r="AE405" t="str">
            <v>N</v>
          </cell>
        </row>
        <row r="406">
          <cell r="E406" t="str">
            <v>TYP_ACTVTY</v>
          </cell>
          <cell r="Z406" t="str">
            <v>N</v>
          </cell>
          <cell r="AA406" t="str">
            <v>N</v>
          </cell>
          <cell r="AB406" t="str">
            <v>Y</v>
          </cell>
          <cell r="AC406" t="str">
            <v>N</v>
          </cell>
          <cell r="AD406" t="str">
            <v>N</v>
          </cell>
          <cell r="AE406" t="str">
            <v>N</v>
          </cell>
        </row>
        <row r="407">
          <cell r="E407" t="str">
            <v>LNS_CLLTRLZD_CLSSFCTN</v>
          </cell>
          <cell r="Z407" t="str">
            <v>N</v>
          </cell>
          <cell r="AA407" t="str">
            <v>N</v>
          </cell>
          <cell r="AB407" t="str">
            <v>Y</v>
          </cell>
          <cell r="AC407" t="str">
            <v>N</v>
          </cell>
          <cell r="AD407" t="str">
            <v>N</v>
          </cell>
          <cell r="AE407" t="str">
            <v>N</v>
          </cell>
        </row>
        <row r="408">
          <cell r="E408" t="str">
            <v>MTHD_USD_INSTRMNT_SCP_1</v>
          </cell>
          <cell r="Z408" t="str">
            <v>N</v>
          </cell>
          <cell r="AA408" t="str">
            <v>N</v>
          </cell>
          <cell r="AB408" t="str">
            <v>Y</v>
          </cell>
          <cell r="AC408" t="str">
            <v>N</v>
          </cell>
          <cell r="AD408" t="str">
            <v>N</v>
          </cell>
          <cell r="AE408" t="str">
            <v>N</v>
          </cell>
        </row>
        <row r="409">
          <cell r="E409" t="str">
            <v>MTHD_USD_INSTRMNT_SCP_2</v>
          </cell>
          <cell r="Z409" t="str">
            <v>N</v>
          </cell>
          <cell r="AA409" t="str">
            <v>N</v>
          </cell>
          <cell r="AB409" t="str">
            <v>Y</v>
          </cell>
          <cell r="AC409" t="str">
            <v>N</v>
          </cell>
          <cell r="AD409" t="str">
            <v>N</v>
          </cell>
          <cell r="AE409" t="str">
            <v>N</v>
          </cell>
        </row>
        <row r="410">
          <cell r="E410" t="str">
            <v>MTHD_USD_INSTRMNT_SCP_3</v>
          </cell>
          <cell r="Z410" t="str">
            <v>N</v>
          </cell>
          <cell r="AA410" t="str">
            <v>N</v>
          </cell>
          <cell r="AB410" t="str">
            <v>Y</v>
          </cell>
          <cell r="AC410" t="str">
            <v>N</v>
          </cell>
          <cell r="AD410" t="str">
            <v>N</v>
          </cell>
          <cell r="AE410" t="str">
            <v>N</v>
          </cell>
        </row>
        <row r="411">
          <cell r="E411" t="str">
            <v>CNCLLD_INSTRMNT_STTS</v>
          </cell>
          <cell r="Z411" t="str">
            <v>N</v>
          </cell>
          <cell r="AA411" t="str">
            <v>Y</v>
          </cell>
          <cell r="AB411" t="str">
            <v>Y</v>
          </cell>
          <cell r="AC411" t="str">
            <v>Y</v>
          </cell>
          <cell r="AD411" t="str">
            <v>N</v>
          </cell>
          <cell r="AE411" t="str">
            <v>N</v>
          </cell>
        </row>
        <row r="412">
          <cell r="E412" t="str">
            <v>IDCMB</v>
          </cell>
          <cell r="Z412" t="str">
            <v>Y</v>
          </cell>
          <cell r="AA412" t="str">
            <v>Y</v>
          </cell>
          <cell r="AB412" t="str">
            <v>Y</v>
          </cell>
          <cell r="AC412" t="str">
            <v>Y</v>
          </cell>
          <cell r="AD412" t="str">
            <v>Y</v>
          </cell>
          <cell r="AE412" t="str">
            <v>Y</v>
          </cell>
        </row>
        <row r="413">
          <cell r="E413" t="str">
            <v>EXPCTD_LSS_CRR</v>
          </cell>
          <cell r="Z413" t="str">
            <v>Y</v>
          </cell>
          <cell r="AA413" t="str">
            <v>N</v>
          </cell>
          <cell r="AB413" t="str">
            <v>N</v>
          </cell>
          <cell r="AC413" t="str">
            <v>N</v>
          </cell>
          <cell r="AD413" t="str">
            <v>N</v>
          </cell>
          <cell r="AE413" t="str">
            <v>N</v>
          </cell>
        </row>
        <row r="414">
          <cell r="E414" t="str">
            <v>LSTI</v>
          </cell>
          <cell r="Z414" t="str">
            <v>Y</v>
          </cell>
          <cell r="AA414" t="str">
            <v>N</v>
          </cell>
          <cell r="AB414" t="str">
            <v>N</v>
          </cell>
          <cell r="AC414" t="str">
            <v>N</v>
          </cell>
          <cell r="AD414" t="str">
            <v>N</v>
          </cell>
          <cell r="AE414" t="str">
            <v>N</v>
          </cell>
        </row>
        <row r="415">
          <cell r="E415" t="str">
            <v>DSTI</v>
          </cell>
          <cell r="Z415" t="str">
            <v>Y</v>
          </cell>
          <cell r="AA415" t="str">
            <v>N</v>
          </cell>
          <cell r="AB415" t="str">
            <v>N</v>
          </cell>
          <cell r="AC415" t="str">
            <v>N</v>
          </cell>
          <cell r="AD415" t="str">
            <v>N</v>
          </cell>
          <cell r="AE415" t="str">
            <v>N</v>
          </cell>
        </row>
        <row r="416">
          <cell r="E416" t="str">
            <v>LTI_INSTRMNT</v>
          </cell>
          <cell r="Z416" t="str">
            <v>Y</v>
          </cell>
          <cell r="AA416" t="str">
            <v>N</v>
          </cell>
          <cell r="AB416" t="str">
            <v>N</v>
          </cell>
          <cell r="AC416" t="str">
            <v>N</v>
          </cell>
          <cell r="AD416" t="str">
            <v>N</v>
          </cell>
          <cell r="AE416" t="str">
            <v>N</v>
          </cell>
        </row>
        <row r="417">
          <cell r="E417" t="str">
            <v>SSTNBL_CTGRY_TXNMY</v>
          </cell>
          <cell r="Z417" t="str">
            <v>N</v>
          </cell>
          <cell r="AA417" t="str">
            <v>N</v>
          </cell>
          <cell r="AB417" t="str">
            <v>Y</v>
          </cell>
          <cell r="AC417" t="str">
            <v>N</v>
          </cell>
          <cell r="AD417" t="str">
            <v>N</v>
          </cell>
          <cell r="AE417" t="str">
            <v>N</v>
          </cell>
        </row>
        <row r="418">
          <cell r="E418" t="str">
            <v>INTRST_RT_CP</v>
          </cell>
          <cell r="Z418" t="str">
            <v>Y</v>
          </cell>
          <cell r="AA418" t="str">
            <v>N</v>
          </cell>
          <cell r="AB418" t="str">
            <v>N</v>
          </cell>
          <cell r="AC418" t="str">
            <v>N</v>
          </cell>
          <cell r="AD418" t="str">
            <v>N</v>
          </cell>
          <cell r="AE418" t="str">
            <v>N</v>
          </cell>
        </row>
        <row r="419">
          <cell r="E419" t="str">
            <v>INTRST_RT_FLR</v>
          </cell>
          <cell r="Z419" t="str">
            <v>Y</v>
          </cell>
          <cell r="AA419" t="str">
            <v>N</v>
          </cell>
          <cell r="AB419" t="str">
            <v>N</v>
          </cell>
          <cell r="AC419" t="str">
            <v>N</v>
          </cell>
          <cell r="AD419" t="str">
            <v>N</v>
          </cell>
          <cell r="AE419" t="str">
            <v>N</v>
          </cell>
        </row>
        <row r="420">
          <cell r="E420" t="str">
            <v>NMNL_INTRST_RT_FEE</v>
          </cell>
          <cell r="Z420" t="str">
            <v>Y</v>
          </cell>
          <cell r="AA420" t="str">
            <v>N</v>
          </cell>
          <cell r="AB420" t="str">
            <v>N</v>
          </cell>
          <cell r="AC420" t="str">
            <v>N</v>
          </cell>
          <cell r="AD420" t="str">
            <v>N</v>
          </cell>
          <cell r="AE420" t="str">
            <v>N</v>
          </cell>
        </row>
        <row r="421">
          <cell r="E421" t="str">
            <v>RFRNC_RT</v>
          </cell>
          <cell r="Z421" t="str">
            <v>Y</v>
          </cell>
          <cell r="AA421" t="str">
            <v>N</v>
          </cell>
          <cell r="AB421" t="str">
            <v>N</v>
          </cell>
          <cell r="AC421" t="str">
            <v>N</v>
          </cell>
          <cell r="AD421" t="str">
            <v>N</v>
          </cell>
          <cell r="AE421" t="str">
            <v>N</v>
          </cell>
        </row>
        <row r="422">
          <cell r="E422" t="str">
            <v>DT_STTLMNT</v>
          </cell>
          <cell r="Z422" t="str">
            <v>Y</v>
          </cell>
          <cell r="AA422" t="str">
            <v>N</v>
          </cell>
          <cell r="AB422" t="str">
            <v>N</v>
          </cell>
          <cell r="AC422" t="str">
            <v>N</v>
          </cell>
          <cell r="AD422" t="str">
            <v>N</v>
          </cell>
          <cell r="AE422" t="str">
            <v>N</v>
          </cell>
        </row>
        <row r="423">
          <cell r="E423" t="str">
            <v>TRNSFRRD_AMNT</v>
          </cell>
          <cell r="Z423" t="str">
            <v>Y</v>
          </cell>
          <cell r="AA423" t="str">
            <v>N</v>
          </cell>
          <cell r="AB423" t="str">
            <v>N</v>
          </cell>
          <cell r="AC423" t="str">
            <v>N</v>
          </cell>
          <cell r="AD423" t="str">
            <v>N</v>
          </cell>
          <cell r="AE423" t="str">
            <v>N</v>
          </cell>
        </row>
        <row r="424">
          <cell r="E424" t="str">
            <v>TYP_SCRTZTN</v>
          </cell>
          <cell r="Z424" t="str">
            <v>Y</v>
          </cell>
          <cell r="AA424" t="str">
            <v>N</v>
          </cell>
          <cell r="AB424" t="str">
            <v>N</v>
          </cell>
          <cell r="AC424" t="str">
            <v>Y</v>
          </cell>
          <cell r="AD424" t="str">
            <v>N</v>
          </cell>
          <cell r="AE424" t="str">
            <v>N</v>
          </cell>
        </row>
        <row r="425">
          <cell r="E425" t="str">
            <v>TYP_OFF_BLNC_PRDCT</v>
          </cell>
          <cell r="Z425" t="str">
            <v>Y</v>
          </cell>
          <cell r="AA425" t="str">
            <v>Y</v>
          </cell>
          <cell r="AB425" t="str">
            <v>Y</v>
          </cell>
          <cell r="AC425" t="str">
            <v>N</v>
          </cell>
          <cell r="AD425" t="str">
            <v>N</v>
          </cell>
          <cell r="AE425" t="str">
            <v>Y</v>
          </cell>
        </row>
        <row r="426">
          <cell r="E426" t="str">
            <v>BLNC_SHT_RCGNTN</v>
          </cell>
          <cell r="Z426" t="str">
            <v>Y</v>
          </cell>
          <cell r="AA426" t="str">
            <v>N</v>
          </cell>
          <cell r="AB426" t="str">
            <v>N</v>
          </cell>
          <cell r="AC426" t="str">
            <v>N</v>
          </cell>
          <cell r="AD426" t="str">
            <v>N</v>
          </cell>
          <cell r="AE426" t="str">
            <v>N</v>
          </cell>
        </row>
        <row r="427">
          <cell r="E427" t="str">
            <v>FLG_DFLT</v>
          </cell>
          <cell r="Z427" t="str">
            <v>Y</v>
          </cell>
          <cell r="AA427" t="str">
            <v>N</v>
          </cell>
          <cell r="AB427" t="str">
            <v>N</v>
          </cell>
          <cell r="AC427" t="str">
            <v>N</v>
          </cell>
          <cell r="AD427" t="str">
            <v>N</v>
          </cell>
          <cell r="AE427" t="str">
            <v>N</v>
          </cell>
        </row>
        <row r="428">
          <cell r="E428" t="str">
            <v>FLG_HGH_RSK</v>
          </cell>
          <cell r="Z428" t="str">
            <v>Y</v>
          </cell>
          <cell r="AA428" t="str">
            <v>N</v>
          </cell>
          <cell r="AB428" t="str">
            <v>N</v>
          </cell>
          <cell r="AC428" t="str">
            <v>N</v>
          </cell>
          <cell r="AD428" t="str">
            <v>N</v>
          </cell>
          <cell r="AE428" t="str">
            <v>N</v>
          </cell>
        </row>
        <row r="429">
          <cell r="E429" t="str">
            <v>EXCLDD_LF</v>
          </cell>
          <cell r="Z429" t="str">
            <v>N</v>
          </cell>
          <cell r="AA429" t="str">
            <v>N</v>
          </cell>
          <cell r="AB429" t="str">
            <v>N</v>
          </cell>
          <cell r="AC429" t="str">
            <v>N</v>
          </cell>
          <cell r="AD429" t="str">
            <v>N</v>
          </cell>
          <cell r="AE429" t="str">
            <v>Y</v>
          </cell>
        </row>
        <row r="430">
          <cell r="E430" t="str">
            <v>RWA_MTGTN</v>
          </cell>
          <cell r="Z430" t="str">
            <v>N</v>
          </cell>
          <cell r="AA430" t="str">
            <v>N</v>
          </cell>
          <cell r="AB430" t="str">
            <v>N</v>
          </cell>
          <cell r="AC430" t="str">
            <v>N</v>
          </cell>
          <cell r="AD430" t="str">
            <v>N</v>
          </cell>
          <cell r="AE430" t="str">
            <v>Y</v>
          </cell>
        </row>
        <row r="431">
          <cell r="E431" t="str">
            <v>RWA_PRMTGTN</v>
          </cell>
          <cell r="Z431" t="str">
            <v>N</v>
          </cell>
          <cell r="AA431" t="str">
            <v>N</v>
          </cell>
          <cell r="AB431" t="str">
            <v>N</v>
          </cell>
          <cell r="AC431" t="str">
            <v>N</v>
          </cell>
          <cell r="AD431" t="str">
            <v>N</v>
          </cell>
          <cell r="AE431" t="str">
            <v>Y</v>
          </cell>
        </row>
        <row r="432">
          <cell r="E432" t="str">
            <v>US_PRCDS</v>
          </cell>
          <cell r="Z432" t="str">
            <v>N</v>
          </cell>
          <cell r="AA432" t="str">
            <v>N</v>
          </cell>
          <cell r="AB432" t="str">
            <v>N</v>
          </cell>
          <cell r="AC432" t="str">
            <v>N</v>
          </cell>
          <cell r="AD432" t="str">
            <v>N</v>
          </cell>
          <cell r="AE432" t="str">
            <v>Y</v>
          </cell>
        </row>
        <row r="433">
          <cell r="E433" t="str">
            <v>TTL_LVRG_RT_INCPTN</v>
          </cell>
          <cell r="Z433" t="str">
            <v>N</v>
          </cell>
          <cell r="AA433" t="str">
            <v>N</v>
          </cell>
          <cell r="AB433" t="str">
            <v>N</v>
          </cell>
          <cell r="AC433" t="str">
            <v>N</v>
          </cell>
          <cell r="AD433" t="str">
            <v>N</v>
          </cell>
          <cell r="AE433" t="str">
            <v>Y</v>
          </cell>
        </row>
        <row r="434">
          <cell r="E434" t="str">
            <v>TYP_FCLTY</v>
          </cell>
          <cell r="Z434" t="str">
            <v>N</v>
          </cell>
          <cell r="AA434" t="str">
            <v>N</v>
          </cell>
          <cell r="AB434" t="str">
            <v>N</v>
          </cell>
          <cell r="AC434" t="str">
            <v>N</v>
          </cell>
          <cell r="AD434" t="str">
            <v>N</v>
          </cell>
          <cell r="AE434" t="str">
            <v>Y</v>
          </cell>
        </row>
        <row r="435">
          <cell r="E435" t="str">
            <v>TYP_CL</v>
          </cell>
          <cell r="Z435" t="str">
            <v>N</v>
          </cell>
          <cell r="AA435" t="str">
            <v>N</v>
          </cell>
          <cell r="AB435" t="str">
            <v>N</v>
          </cell>
          <cell r="AC435" t="str">
            <v>N</v>
          </cell>
          <cell r="AD435" t="str">
            <v>N</v>
          </cell>
          <cell r="AE435" t="str">
            <v>Y</v>
          </cell>
        </row>
        <row r="436">
          <cell r="E436" t="str">
            <v>FLG_MNMM_SFGRDS</v>
          </cell>
          <cell r="Z436" t="str">
            <v>N</v>
          </cell>
          <cell r="AA436" t="str">
            <v>N</v>
          </cell>
          <cell r="AB436" t="str">
            <v>Y</v>
          </cell>
          <cell r="AC436" t="str">
            <v>N</v>
          </cell>
          <cell r="AD436" t="str">
            <v>Y</v>
          </cell>
          <cell r="AE436" t="str">
            <v>N</v>
          </cell>
        </row>
        <row r="437">
          <cell r="E437" t="str">
            <v>RORAC</v>
          </cell>
          <cell r="Z437" t="str">
            <v>N</v>
          </cell>
          <cell r="AA437" t="str">
            <v>N</v>
          </cell>
          <cell r="AB437" t="str">
            <v>N</v>
          </cell>
          <cell r="AC437" t="str">
            <v>N</v>
          </cell>
          <cell r="AD437" t="str">
            <v>N</v>
          </cell>
          <cell r="AE437" t="str">
            <v>Y</v>
          </cell>
        </row>
        <row r="438">
          <cell r="E438" t="str">
            <v>RORWA</v>
          </cell>
          <cell r="Z438" t="str">
            <v>N</v>
          </cell>
          <cell r="AA438" t="str">
            <v>N</v>
          </cell>
          <cell r="AB438" t="str">
            <v>N</v>
          </cell>
          <cell r="AC438" t="str">
            <v>Y</v>
          </cell>
          <cell r="AD438" t="str">
            <v>N</v>
          </cell>
          <cell r="AE438" t="str">
            <v>Y</v>
          </cell>
        </row>
        <row r="439">
          <cell r="E439" t="str">
            <v>TYP_DL</v>
          </cell>
          <cell r="Z439" t="str">
            <v>N</v>
          </cell>
          <cell r="AA439" t="str">
            <v>N</v>
          </cell>
          <cell r="AB439" t="str">
            <v>N</v>
          </cell>
          <cell r="AC439" t="str">
            <v>N</v>
          </cell>
          <cell r="AD439" t="str">
            <v>N</v>
          </cell>
          <cell r="AE439" t="str">
            <v>Y</v>
          </cell>
        </row>
        <row r="440">
          <cell r="E440" t="str">
            <v>DSTNTN_FNDS</v>
          </cell>
          <cell r="Z440" t="str">
            <v>N</v>
          </cell>
          <cell r="AA440" t="str">
            <v>N</v>
          </cell>
          <cell r="AB440" t="str">
            <v>N</v>
          </cell>
          <cell r="AC440" t="str">
            <v>N</v>
          </cell>
          <cell r="AD440" t="str">
            <v>N</v>
          </cell>
          <cell r="AE440" t="str">
            <v>Y</v>
          </cell>
        </row>
        <row r="441">
          <cell r="E441" t="str">
            <v>PRTNR</v>
          </cell>
          <cell r="Z441" t="str">
            <v>N</v>
          </cell>
          <cell r="AA441" t="str">
            <v>N</v>
          </cell>
          <cell r="AB441" t="str">
            <v>N</v>
          </cell>
          <cell r="AC441" t="str">
            <v>Y</v>
          </cell>
          <cell r="AD441" t="str">
            <v>N</v>
          </cell>
          <cell r="AE441" t="str">
            <v>N</v>
          </cell>
        </row>
        <row r="442">
          <cell r="E442" t="str">
            <v>INCNTVS</v>
          </cell>
          <cell r="Z442" t="str">
            <v>N</v>
          </cell>
          <cell r="AA442" t="str">
            <v>N</v>
          </cell>
          <cell r="AB442" t="str">
            <v>N</v>
          </cell>
          <cell r="AC442" t="str">
            <v>Y</v>
          </cell>
          <cell r="AD442" t="str">
            <v>N</v>
          </cell>
          <cell r="AE442" t="str">
            <v>N</v>
          </cell>
        </row>
        <row r="443">
          <cell r="E443" t="str">
            <v>OTHR_OPRTNG_INCM</v>
          </cell>
          <cell r="Z443" t="str">
            <v>N</v>
          </cell>
          <cell r="AA443" t="str">
            <v>N</v>
          </cell>
          <cell r="AB443" t="str">
            <v>N</v>
          </cell>
          <cell r="AC443" t="str">
            <v>Y</v>
          </cell>
          <cell r="AD443" t="str">
            <v>N</v>
          </cell>
          <cell r="AE443" t="str">
            <v>N</v>
          </cell>
        </row>
        <row r="444">
          <cell r="E444" t="str">
            <v>RFRRL_FS</v>
          </cell>
          <cell r="Z444" t="str">
            <v>N</v>
          </cell>
          <cell r="AA444" t="str">
            <v>N</v>
          </cell>
          <cell r="AB444" t="str">
            <v>N</v>
          </cell>
          <cell r="AC444" t="str">
            <v>Y</v>
          </cell>
          <cell r="AD444" t="str">
            <v>N</v>
          </cell>
          <cell r="AE444" t="str">
            <v>N</v>
          </cell>
        </row>
        <row r="445">
          <cell r="E445" t="str">
            <v>INSRNC_CMSSNS</v>
          </cell>
          <cell r="Z445" t="str">
            <v>N</v>
          </cell>
          <cell r="AA445" t="str">
            <v>N</v>
          </cell>
          <cell r="AB445" t="str">
            <v>N</v>
          </cell>
          <cell r="AC445" t="str">
            <v>Y</v>
          </cell>
          <cell r="AD445" t="str">
            <v>N</v>
          </cell>
          <cell r="AE445" t="str">
            <v>N</v>
          </cell>
        </row>
        <row r="446">
          <cell r="E446" t="str">
            <v>OTHR_INCM_AND_CHRGS</v>
          </cell>
          <cell r="Z446" t="str">
            <v>N</v>
          </cell>
          <cell r="AA446" t="str">
            <v>N</v>
          </cell>
          <cell r="AB446" t="str">
            <v>N</v>
          </cell>
          <cell r="AC446" t="str">
            <v>Y</v>
          </cell>
          <cell r="AD446" t="str">
            <v>N</v>
          </cell>
          <cell r="AE446" t="str">
            <v>N</v>
          </cell>
        </row>
        <row r="447">
          <cell r="E447" t="str">
            <v>TX_ON_PRFT</v>
          </cell>
          <cell r="Z447" t="str">
            <v>N</v>
          </cell>
          <cell r="AA447" t="str">
            <v>N</v>
          </cell>
          <cell r="AB447" t="str">
            <v>N</v>
          </cell>
          <cell r="AC447" t="str">
            <v>Y</v>
          </cell>
          <cell r="AD447" t="str">
            <v>N</v>
          </cell>
          <cell r="AE447" t="str">
            <v>N</v>
          </cell>
        </row>
        <row r="448">
          <cell r="E448" t="str">
            <v>PD_EC_INCPTN PD_EC_MDFCTN</v>
          </cell>
          <cell r="Z448" t="str">
            <v>N</v>
          </cell>
          <cell r="AA448" t="str">
            <v>N</v>
          </cell>
          <cell r="AB448" t="str">
            <v>N</v>
          </cell>
          <cell r="AC448" t="str">
            <v>N</v>
          </cell>
          <cell r="AD448" t="str">
            <v>N</v>
          </cell>
          <cell r="AE448" t="str">
            <v>Y</v>
          </cell>
        </row>
        <row r="449">
          <cell r="E449" t="str">
            <v>PD_EC_RD</v>
          </cell>
          <cell r="Z449" t="str">
            <v>Y</v>
          </cell>
          <cell r="AA449" t="str">
            <v>N</v>
          </cell>
          <cell r="AB449" t="str">
            <v>N</v>
          </cell>
          <cell r="AC449" t="str">
            <v>N</v>
          </cell>
          <cell r="AD449" t="str">
            <v>N</v>
          </cell>
          <cell r="AE449" t="str">
            <v>Y</v>
          </cell>
        </row>
        <row r="450">
          <cell r="E450" t="str">
            <v>TTL_LVRG_RT_INCPTN_HLT</v>
          </cell>
          <cell r="Z450" t="str">
            <v>N</v>
          </cell>
          <cell r="AA450" t="str">
            <v>N</v>
          </cell>
          <cell r="AB450" t="str">
            <v>N</v>
          </cell>
          <cell r="AC450" t="str">
            <v>N</v>
          </cell>
          <cell r="AD450" t="str">
            <v>N</v>
          </cell>
          <cell r="AE450" t="str">
            <v>Y</v>
          </cell>
        </row>
        <row r="451">
          <cell r="E451" t="str">
            <v>DT_MDFCTN</v>
          </cell>
          <cell r="Z451" t="str">
            <v>Y</v>
          </cell>
          <cell r="AA451" t="str">
            <v>N</v>
          </cell>
          <cell r="AB451" t="str">
            <v>N</v>
          </cell>
          <cell r="AC451" t="str">
            <v>N</v>
          </cell>
          <cell r="AD451" t="str">
            <v>N</v>
          </cell>
          <cell r="AE451" t="str">
            <v>Y</v>
          </cell>
        </row>
        <row r="452">
          <cell r="E452" t="str">
            <v>ACCNTNG_SCTR</v>
          </cell>
          <cell r="Z452" t="str">
            <v>Y</v>
          </cell>
          <cell r="AA452" t="str">
            <v>Y</v>
          </cell>
          <cell r="AB452" t="str">
            <v>Y</v>
          </cell>
          <cell r="AC452" t="str">
            <v>Y</v>
          </cell>
          <cell r="AD452" t="str">
            <v>Y</v>
          </cell>
          <cell r="AE452" t="str">
            <v>Y</v>
          </cell>
        </row>
        <row r="453">
          <cell r="E453" t="str">
            <v>SSTNBL_CLSSFCTN_MTHD</v>
          </cell>
          <cell r="Z453" t="str">
            <v>N</v>
          </cell>
          <cell r="AA453" t="str">
            <v>N</v>
          </cell>
          <cell r="AB453" t="str">
            <v>N</v>
          </cell>
          <cell r="AC453" t="str">
            <v>Y</v>
          </cell>
          <cell r="AD453" t="str">
            <v>N</v>
          </cell>
          <cell r="AE453" t="str">
            <v>N</v>
          </cell>
        </row>
        <row r="454">
          <cell r="E454" t="str">
            <v>DT_SSTNBL_CLSSFCTN</v>
          </cell>
          <cell r="Z454" t="str">
            <v>N</v>
          </cell>
          <cell r="AA454" t="str">
            <v>N</v>
          </cell>
          <cell r="AB454" t="str">
            <v>N</v>
          </cell>
          <cell r="AC454" t="str">
            <v>Y</v>
          </cell>
          <cell r="AD454" t="str">
            <v>N</v>
          </cell>
          <cell r="AE454" t="str">
            <v>N</v>
          </cell>
        </row>
        <row r="455">
          <cell r="E455" t="str">
            <v>TTL_LVRG_RT_ MDFCTN</v>
          </cell>
          <cell r="Z455" t="str">
            <v>N</v>
          </cell>
          <cell r="AA455" t="str">
            <v>N</v>
          </cell>
          <cell r="AB455" t="str">
            <v>N</v>
          </cell>
          <cell r="AC455" t="str">
            <v>N</v>
          </cell>
          <cell r="AD455" t="str">
            <v>N</v>
          </cell>
          <cell r="AE455" t="str">
            <v>Y</v>
          </cell>
        </row>
        <row r="456">
          <cell r="E456" t="str">
            <v>TTL_LVRG_RT_ MDFCTN_HLT</v>
          </cell>
          <cell r="Z456" t="str">
            <v>N</v>
          </cell>
          <cell r="AA456" t="str">
            <v>N</v>
          </cell>
          <cell r="AB456" t="str">
            <v>N</v>
          </cell>
          <cell r="AC456" t="str">
            <v>N</v>
          </cell>
          <cell r="AD456" t="str">
            <v>N</v>
          </cell>
          <cell r="AE456" t="str">
            <v>Y</v>
          </cell>
        </row>
        <row r="457">
          <cell r="E457" t="str">
            <v>COD_SOC</v>
          </cell>
          <cell r="Z457" t="str">
            <v>Y</v>
          </cell>
          <cell r="AA457" t="str">
            <v>Y</v>
          </cell>
          <cell r="AB457" t="str">
            <v>Y</v>
          </cell>
          <cell r="AC457" t="str">
            <v>N</v>
          </cell>
          <cell r="AD457" t="str">
            <v>N</v>
          </cell>
          <cell r="AE457" t="str">
            <v>Y</v>
          </cell>
        </row>
        <row r="458">
          <cell r="E458" t="str">
            <v>DT_RFRNC</v>
          </cell>
          <cell r="Z458" t="str">
            <v>Y</v>
          </cell>
          <cell r="AA458" t="str">
            <v>Y</v>
          </cell>
          <cell r="AB458" t="str">
            <v>Y</v>
          </cell>
          <cell r="AC458" t="str">
            <v>N</v>
          </cell>
          <cell r="AD458" t="str">
            <v>N</v>
          </cell>
          <cell r="AE458" t="str">
            <v>Y</v>
          </cell>
        </row>
        <row r="459">
          <cell r="E459" t="str">
            <v>INSTRMNT_ID</v>
          </cell>
          <cell r="Z459" t="str">
            <v>Y</v>
          </cell>
          <cell r="AA459" t="str">
            <v>Y</v>
          </cell>
          <cell r="AB459" t="str">
            <v>Y</v>
          </cell>
          <cell r="AC459" t="str">
            <v>N</v>
          </cell>
          <cell r="AD459" t="str">
            <v>N</v>
          </cell>
          <cell r="AE459" t="str">
            <v>Y</v>
          </cell>
        </row>
        <row r="460">
          <cell r="E460" t="str">
            <v>PRTCTN_ID</v>
          </cell>
          <cell r="Z460" t="str">
            <v>Y</v>
          </cell>
          <cell r="AA460" t="str">
            <v>Y</v>
          </cell>
          <cell r="AB460" t="str">
            <v>Y</v>
          </cell>
          <cell r="AC460" t="str">
            <v>N</v>
          </cell>
          <cell r="AD460" t="str">
            <v>N</v>
          </cell>
          <cell r="AE460" t="str">
            <v>Y</v>
          </cell>
        </row>
        <row r="461">
          <cell r="E461" t="str">
            <v>PRTCTN_ALLCTD_VL</v>
          </cell>
          <cell r="Z461" t="str">
            <v>Y</v>
          </cell>
          <cell r="AA461" t="str">
            <v>N</v>
          </cell>
          <cell r="AB461" t="str">
            <v>Y</v>
          </cell>
          <cell r="AC461" t="str">
            <v>N</v>
          </cell>
          <cell r="AD461" t="str">
            <v>N</v>
          </cell>
          <cell r="AE461" t="str">
            <v>N</v>
          </cell>
        </row>
        <row r="462">
          <cell r="E462" t="str">
            <v>THRD_PRTY_PRRTY_CLMS</v>
          </cell>
          <cell r="Z462" t="str">
            <v>Y</v>
          </cell>
          <cell r="AA462" t="str">
            <v>N</v>
          </cell>
          <cell r="AB462" t="str">
            <v>N</v>
          </cell>
          <cell r="AC462" t="str">
            <v>N</v>
          </cell>
          <cell r="AD462" t="str">
            <v>N</v>
          </cell>
          <cell r="AE462" t="str">
            <v>N</v>
          </cell>
        </row>
        <row r="463">
          <cell r="E463" t="str">
            <v>TYP_RLTN</v>
          </cell>
          <cell r="Z463" t="str">
            <v>N</v>
          </cell>
          <cell r="AA463" t="str">
            <v>Y</v>
          </cell>
          <cell r="AB463" t="str">
            <v>Y</v>
          </cell>
          <cell r="AC463" t="str">
            <v>N</v>
          </cell>
          <cell r="AD463" t="str">
            <v>N</v>
          </cell>
          <cell r="AE463" t="str">
            <v>N</v>
          </cell>
        </row>
        <row r="464">
          <cell r="E464" t="str">
            <v>GRP_SPPRT</v>
          </cell>
          <cell r="Z464" t="str">
            <v>Y</v>
          </cell>
          <cell r="AA464" t="str">
            <v>N</v>
          </cell>
          <cell r="AB464" t="str">
            <v>N</v>
          </cell>
          <cell r="AC464" t="str">
            <v>N</v>
          </cell>
          <cell r="AD464" t="str">
            <v>N</v>
          </cell>
          <cell r="AE464" t="str">
            <v>Y</v>
          </cell>
        </row>
        <row r="465">
          <cell r="E465" t="str">
            <v>COD_SOC</v>
          </cell>
          <cell r="Z465" t="str">
            <v>Y</v>
          </cell>
          <cell r="AA465" t="str">
            <v>Y</v>
          </cell>
          <cell r="AB465" t="str">
            <v>Y</v>
          </cell>
          <cell r="AC465" t="str">
            <v>N</v>
          </cell>
          <cell r="AD465" t="str">
            <v>Y</v>
          </cell>
          <cell r="AE465" t="str">
            <v>N</v>
          </cell>
        </row>
        <row r="466">
          <cell r="E466" t="str">
            <v>DT_MTRTY_PRTCTN</v>
          </cell>
          <cell r="Z466" t="str">
            <v>Y</v>
          </cell>
          <cell r="AA466" t="str">
            <v>N</v>
          </cell>
          <cell r="AB466" t="str">
            <v>N</v>
          </cell>
          <cell r="AC466" t="str">
            <v>N</v>
          </cell>
          <cell r="AD466" t="str">
            <v>N</v>
          </cell>
          <cell r="AE466" t="str">
            <v>N</v>
          </cell>
        </row>
        <row r="467">
          <cell r="E467" t="str">
            <v>DT_RFRNC</v>
          </cell>
          <cell r="Z467" t="str">
            <v>Y</v>
          </cell>
          <cell r="AA467" t="str">
            <v>Y</v>
          </cell>
          <cell r="AB467" t="str">
            <v>Y</v>
          </cell>
          <cell r="AC467" t="str">
            <v>N</v>
          </cell>
          <cell r="AD467" t="str">
            <v>Y</v>
          </cell>
          <cell r="AE467" t="str">
            <v>N</v>
          </cell>
        </row>
        <row r="468">
          <cell r="E468" t="str">
            <v>NTNL_ID</v>
          </cell>
          <cell r="Z468" t="str">
            <v>Y</v>
          </cell>
          <cell r="AA468" t="str">
            <v>N</v>
          </cell>
          <cell r="AB468" t="str">
            <v>N</v>
          </cell>
          <cell r="AC468" t="str">
            <v>N</v>
          </cell>
          <cell r="AD468" t="str">
            <v>N</v>
          </cell>
          <cell r="AE468" t="str">
            <v>N</v>
          </cell>
        </row>
        <row r="469">
          <cell r="E469" t="str">
            <v>PRTCTN_ID</v>
          </cell>
          <cell r="Z469" t="str">
            <v>Y</v>
          </cell>
          <cell r="AA469" t="str">
            <v>Y</v>
          </cell>
          <cell r="AB469" t="str">
            <v>Y</v>
          </cell>
          <cell r="AC469" t="str">
            <v>N</v>
          </cell>
          <cell r="AD469" t="str">
            <v>Y</v>
          </cell>
          <cell r="AE469" t="str">
            <v>N</v>
          </cell>
        </row>
        <row r="470">
          <cell r="E470" t="str">
            <v>PRTCTN_PRVDR_ID</v>
          </cell>
          <cell r="Z470" t="str">
            <v>Y</v>
          </cell>
          <cell r="AA470" t="str">
            <v>N</v>
          </cell>
          <cell r="AB470" t="str">
            <v>N</v>
          </cell>
          <cell r="AC470" t="str">
            <v>N</v>
          </cell>
          <cell r="AD470" t="str">
            <v>N</v>
          </cell>
          <cell r="AE470" t="str">
            <v>N</v>
          </cell>
        </row>
        <row r="471">
          <cell r="E471" t="str">
            <v>RL_ESTT_ADDRSS</v>
          </cell>
          <cell r="Z471" t="str">
            <v>Y</v>
          </cell>
          <cell r="AA471" t="str">
            <v>N</v>
          </cell>
          <cell r="AB471" t="str">
            <v>N</v>
          </cell>
          <cell r="AC471" t="str">
            <v>N</v>
          </cell>
          <cell r="AD471" t="str">
            <v>Y</v>
          </cell>
          <cell r="AE471" t="str">
            <v>N</v>
          </cell>
        </row>
        <row r="472">
          <cell r="E472" t="str">
            <v>RL_ESTT_CLLTRL_LCTN</v>
          </cell>
          <cell r="Z472" t="str">
            <v>Y</v>
          </cell>
          <cell r="AA472" t="str">
            <v>N</v>
          </cell>
          <cell r="AB472" t="str">
            <v>Y</v>
          </cell>
          <cell r="AC472" t="str">
            <v>N</v>
          </cell>
          <cell r="AD472" t="str">
            <v>Y</v>
          </cell>
          <cell r="AE472" t="str">
            <v>N</v>
          </cell>
        </row>
        <row r="473">
          <cell r="E473" t="str">
            <v>RL_ESTT_CLLTRL_LCTN_INT</v>
          </cell>
          <cell r="Z473" t="str">
            <v>Y</v>
          </cell>
          <cell r="AA473" t="str">
            <v>N</v>
          </cell>
          <cell r="AB473" t="str">
            <v>N</v>
          </cell>
          <cell r="AC473" t="str">
            <v>N</v>
          </cell>
          <cell r="AD473" t="str">
            <v>Y</v>
          </cell>
          <cell r="AE473" t="str">
            <v>N</v>
          </cell>
        </row>
        <row r="474">
          <cell r="E474" t="str">
            <v>RL_ESTT_CTY</v>
          </cell>
          <cell r="Z474" t="str">
            <v>Y</v>
          </cell>
          <cell r="AA474" t="str">
            <v>N</v>
          </cell>
          <cell r="AB474" t="str">
            <v>N</v>
          </cell>
          <cell r="AC474" t="str">
            <v>N</v>
          </cell>
          <cell r="AD474" t="str">
            <v>Y</v>
          </cell>
          <cell r="AE474" t="str">
            <v>N</v>
          </cell>
        </row>
        <row r="475">
          <cell r="E475" t="str">
            <v>RL_ESTT_PST_CD</v>
          </cell>
          <cell r="Z475" t="str">
            <v>Y</v>
          </cell>
          <cell r="AA475" t="str">
            <v>N</v>
          </cell>
          <cell r="AB475" t="str">
            <v>Y</v>
          </cell>
          <cell r="AC475" t="str">
            <v>N</v>
          </cell>
          <cell r="AD475" t="str">
            <v>Y</v>
          </cell>
          <cell r="AE475" t="str">
            <v>N</v>
          </cell>
        </row>
        <row r="476">
          <cell r="E476" t="str">
            <v>HRCT_MV</v>
          </cell>
          <cell r="Z476" t="str">
            <v>Y</v>
          </cell>
          <cell r="AA476" t="str">
            <v>N</v>
          </cell>
          <cell r="AB476" t="str">
            <v>N</v>
          </cell>
          <cell r="AC476" t="str">
            <v>N</v>
          </cell>
          <cell r="AD476" t="str">
            <v>N</v>
          </cell>
          <cell r="AE476" t="str">
            <v>N</v>
          </cell>
        </row>
        <row r="477">
          <cell r="E477" t="str">
            <v>PRTCTN_CLLD</v>
          </cell>
          <cell r="Z477" t="str">
            <v>Y</v>
          </cell>
          <cell r="AA477" t="str">
            <v>N</v>
          </cell>
          <cell r="AB477" t="str">
            <v>N</v>
          </cell>
          <cell r="AC477" t="str">
            <v>N</v>
          </cell>
          <cell r="AD477" t="str">
            <v>N</v>
          </cell>
          <cell r="AE477" t="str">
            <v>N</v>
          </cell>
        </row>
        <row r="478">
          <cell r="E478" t="str">
            <v>TYP_PRTCTN</v>
          </cell>
          <cell r="Z478" t="str">
            <v>Y</v>
          </cell>
          <cell r="AA478" t="str">
            <v>Y</v>
          </cell>
          <cell r="AB478" t="str">
            <v>Y</v>
          </cell>
          <cell r="AC478" t="str">
            <v>N</v>
          </cell>
          <cell r="AD478" t="str">
            <v>Y</v>
          </cell>
          <cell r="AE478" t="str">
            <v>N</v>
          </cell>
        </row>
        <row r="479">
          <cell r="E479" t="str">
            <v>TYP_PRTCTN_INTRNL</v>
          </cell>
          <cell r="Z479" t="str">
            <v>Y</v>
          </cell>
          <cell r="AA479" t="str">
            <v>N</v>
          </cell>
          <cell r="AB479" t="str">
            <v>N</v>
          </cell>
          <cell r="AC479" t="str">
            <v>N</v>
          </cell>
          <cell r="AD479" t="str">
            <v>N</v>
          </cell>
          <cell r="AE479" t="str">
            <v>N</v>
          </cell>
        </row>
        <row r="480">
          <cell r="E480" t="str">
            <v>TYP_PRTCTN_VL</v>
          </cell>
          <cell r="Z480" t="str">
            <v>Y</v>
          </cell>
          <cell r="AA480" t="str">
            <v>N</v>
          </cell>
          <cell r="AB480" t="str">
            <v>N</v>
          </cell>
          <cell r="AC480" t="str">
            <v>N</v>
          </cell>
          <cell r="AD480" t="str">
            <v>N</v>
          </cell>
          <cell r="AE480" t="str">
            <v>N</v>
          </cell>
        </row>
        <row r="481">
          <cell r="E481" t="str">
            <v>APPRSL_CRRNCY</v>
          </cell>
          <cell r="Z481" t="str">
            <v>Y</v>
          </cell>
          <cell r="AA481" t="str">
            <v>N</v>
          </cell>
          <cell r="AB481" t="str">
            <v>N</v>
          </cell>
          <cell r="AC481" t="str">
            <v>N</v>
          </cell>
          <cell r="AD481" t="str">
            <v>N</v>
          </cell>
          <cell r="AE481" t="str">
            <v>N</v>
          </cell>
        </row>
        <row r="482">
          <cell r="E482" t="str">
            <v>APPRSR</v>
          </cell>
          <cell r="Z482" t="str">
            <v>Y</v>
          </cell>
          <cell r="AA482" t="str">
            <v>N</v>
          </cell>
          <cell r="AB482" t="str">
            <v>N</v>
          </cell>
          <cell r="AC482" t="str">
            <v>N</v>
          </cell>
          <cell r="AD482" t="str">
            <v>N</v>
          </cell>
          <cell r="AE482" t="str">
            <v>N</v>
          </cell>
        </row>
        <row r="483">
          <cell r="E483" t="str">
            <v>DT_LST_FLL_APPRSL</v>
          </cell>
          <cell r="Z483" t="str">
            <v>Y</v>
          </cell>
          <cell r="AA483" t="str">
            <v>N</v>
          </cell>
          <cell r="AB483" t="str">
            <v>N</v>
          </cell>
          <cell r="AC483" t="str">
            <v>N</v>
          </cell>
          <cell r="AD483" t="str">
            <v>N</v>
          </cell>
          <cell r="AE483" t="str">
            <v>N</v>
          </cell>
        </row>
        <row r="484">
          <cell r="E484" t="str">
            <v>DT_ORGNL_PRTCTN_VL</v>
          </cell>
          <cell r="Z484" t="str">
            <v>Y</v>
          </cell>
          <cell r="AA484" t="str">
            <v>N</v>
          </cell>
          <cell r="AB484" t="str">
            <v>N</v>
          </cell>
          <cell r="AC484" t="str">
            <v>N</v>
          </cell>
          <cell r="AD484" t="str">
            <v>N</v>
          </cell>
          <cell r="AE484" t="str">
            <v>N</v>
          </cell>
        </row>
        <row r="485">
          <cell r="E485" t="str">
            <v>DT_PRTCTN_VL</v>
          </cell>
          <cell r="Z485" t="str">
            <v>Y</v>
          </cell>
          <cell r="AA485" t="str">
            <v>N</v>
          </cell>
          <cell r="AB485" t="str">
            <v>N</v>
          </cell>
          <cell r="AC485" t="str">
            <v>N</v>
          </cell>
          <cell r="AD485" t="str">
            <v>N</v>
          </cell>
          <cell r="AE485" t="str">
            <v>N</v>
          </cell>
        </row>
        <row r="486">
          <cell r="E486" t="str">
            <v>ORGNL_PRTCTN_VL</v>
          </cell>
          <cell r="Z486" t="str">
            <v>Y</v>
          </cell>
          <cell r="AA486" t="str">
            <v>N</v>
          </cell>
          <cell r="AB486" t="str">
            <v>Y</v>
          </cell>
          <cell r="AC486" t="str">
            <v>N</v>
          </cell>
          <cell r="AD486" t="str">
            <v>N</v>
          </cell>
          <cell r="AE486" t="str">
            <v>N</v>
          </cell>
        </row>
        <row r="487">
          <cell r="E487" t="str">
            <v>PRTCTN_FRCD_SL_VL</v>
          </cell>
          <cell r="Z487" t="str">
            <v>Y</v>
          </cell>
          <cell r="AA487" t="str">
            <v>N</v>
          </cell>
          <cell r="AB487" t="str">
            <v>N</v>
          </cell>
          <cell r="AC487" t="str">
            <v>N</v>
          </cell>
          <cell r="AD487" t="str">
            <v>N</v>
          </cell>
          <cell r="AE487" t="str">
            <v>N</v>
          </cell>
        </row>
        <row r="488">
          <cell r="E488" t="str">
            <v>PRTCTN_VL</v>
          </cell>
          <cell r="Z488" t="str">
            <v>Y</v>
          </cell>
          <cell r="AA488" t="str">
            <v>Y</v>
          </cell>
          <cell r="AB488" t="str">
            <v>Y</v>
          </cell>
          <cell r="AC488" t="str">
            <v>N</v>
          </cell>
          <cell r="AD488" t="str">
            <v>N</v>
          </cell>
          <cell r="AE488" t="str">
            <v>N</v>
          </cell>
        </row>
        <row r="489">
          <cell r="E489" t="str">
            <v>PRTCTN_VL_NPE</v>
          </cell>
          <cell r="Z489" t="str">
            <v>Y</v>
          </cell>
          <cell r="AA489" t="str">
            <v>N</v>
          </cell>
          <cell r="AB489" t="str">
            <v>N</v>
          </cell>
          <cell r="AC489" t="str">
            <v>N</v>
          </cell>
          <cell r="AD489" t="str">
            <v>N</v>
          </cell>
          <cell r="AE489" t="str">
            <v>N</v>
          </cell>
        </row>
        <row r="490">
          <cell r="E490" t="str">
            <v>PRTCTN_VLTN_APPRCH</v>
          </cell>
          <cell r="Z490" t="str">
            <v>Y</v>
          </cell>
          <cell r="AA490" t="str">
            <v>N</v>
          </cell>
          <cell r="AB490" t="str">
            <v>N</v>
          </cell>
          <cell r="AC490" t="str">
            <v>N</v>
          </cell>
          <cell r="AD490" t="str">
            <v>N</v>
          </cell>
          <cell r="AE490" t="str">
            <v>N</v>
          </cell>
        </row>
        <row r="491">
          <cell r="E491" t="str">
            <v>DT_APPRSL_PRVS</v>
          </cell>
          <cell r="Z491" t="str">
            <v>Y</v>
          </cell>
          <cell r="AA491" t="str">
            <v>N</v>
          </cell>
          <cell r="AB491" t="str">
            <v>N</v>
          </cell>
          <cell r="AC491" t="str">
            <v>N</v>
          </cell>
          <cell r="AD491" t="str">
            <v>N</v>
          </cell>
          <cell r="AE491" t="str">
            <v>N</v>
          </cell>
        </row>
        <row r="492">
          <cell r="E492" t="str">
            <v>PRTCTN_VL_PRVS</v>
          </cell>
          <cell r="Z492" t="str">
            <v>Y</v>
          </cell>
          <cell r="AA492" t="str">
            <v>N</v>
          </cell>
          <cell r="AB492" t="str">
            <v>N</v>
          </cell>
          <cell r="AC492" t="str">
            <v>N</v>
          </cell>
          <cell r="AD492" t="str">
            <v>N</v>
          </cell>
          <cell r="AE492" t="str">
            <v>N</v>
          </cell>
        </row>
        <row r="493">
          <cell r="E493" t="str">
            <v>CNSTRCTN_STTS</v>
          </cell>
          <cell r="Z493" t="str">
            <v>Y</v>
          </cell>
          <cell r="AA493" t="str">
            <v>N</v>
          </cell>
          <cell r="AB493" t="str">
            <v>N</v>
          </cell>
          <cell r="AC493" t="str">
            <v>N</v>
          </cell>
          <cell r="AD493" t="str">
            <v>N</v>
          </cell>
          <cell r="AE493" t="str">
            <v>N</v>
          </cell>
        </row>
        <row r="494">
          <cell r="E494" t="str">
            <v>DT_CNSTRCTN_STTS</v>
          </cell>
          <cell r="Z494" t="str">
            <v>Y</v>
          </cell>
          <cell r="AA494" t="str">
            <v>N</v>
          </cell>
          <cell r="AB494" t="str">
            <v>N</v>
          </cell>
          <cell r="AC494" t="str">
            <v>N</v>
          </cell>
          <cell r="AD494" t="str">
            <v>N</v>
          </cell>
          <cell r="AE494" t="str">
            <v>N</v>
          </cell>
        </row>
        <row r="495">
          <cell r="E495" t="str">
            <v>DT_FRST_USG</v>
          </cell>
          <cell r="Z495" t="str">
            <v>Y</v>
          </cell>
          <cell r="AA495" t="str">
            <v>N</v>
          </cell>
          <cell r="AB495" t="str">
            <v>N</v>
          </cell>
          <cell r="AC495" t="str">
            <v>N</v>
          </cell>
          <cell r="AD495" t="str">
            <v>N</v>
          </cell>
          <cell r="AE495" t="str">
            <v>N</v>
          </cell>
        </row>
        <row r="496">
          <cell r="E496" t="str">
            <v>DVLPMNT_STTS</v>
          </cell>
          <cell r="Z496" t="str">
            <v>Y</v>
          </cell>
          <cell r="AA496" t="str">
            <v>N</v>
          </cell>
          <cell r="AB496" t="str">
            <v>N</v>
          </cell>
          <cell r="AC496" t="str">
            <v>N</v>
          </cell>
          <cell r="AD496" t="str">
            <v>N</v>
          </cell>
          <cell r="AE496" t="str">
            <v>N</v>
          </cell>
        </row>
        <row r="497">
          <cell r="E497" t="str">
            <v>MN_PRPS</v>
          </cell>
          <cell r="Z497" t="str">
            <v>Y</v>
          </cell>
          <cell r="AA497" t="str">
            <v>N</v>
          </cell>
          <cell r="AB497" t="str">
            <v>N</v>
          </cell>
          <cell r="AC497" t="str">
            <v>N</v>
          </cell>
          <cell r="AD497" t="str">
            <v>N</v>
          </cell>
          <cell r="AE497" t="str">
            <v>N</v>
          </cell>
        </row>
        <row r="498">
          <cell r="E498" t="str">
            <v>PRM_LCTN</v>
          </cell>
          <cell r="Z498" t="str">
            <v>Y</v>
          </cell>
          <cell r="AA498" t="str">
            <v>N</v>
          </cell>
          <cell r="AB498" t="str">
            <v>N</v>
          </cell>
          <cell r="AC498" t="str">
            <v>N</v>
          </cell>
          <cell r="AD498" t="str">
            <v>N</v>
          </cell>
          <cell r="AE498" t="str">
            <v>N</v>
          </cell>
        </row>
        <row r="499">
          <cell r="E499" t="str">
            <v>CRE_INCM_CRRNCY</v>
          </cell>
          <cell r="Z499" t="str">
            <v>Y</v>
          </cell>
          <cell r="AA499" t="str">
            <v>N</v>
          </cell>
          <cell r="AB499" t="str">
            <v>N</v>
          </cell>
          <cell r="AC499" t="str">
            <v>N</v>
          </cell>
          <cell r="AD499" t="str">
            <v>N</v>
          </cell>
          <cell r="AE499" t="str">
            <v>N</v>
          </cell>
        </row>
        <row r="500">
          <cell r="E500" t="str">
            <v>CRE_YRLY_EXPNSS</v>
          </cell>
          <cell r="Z500" t="str">
            <v>Y</v>
          </cell>
          <cell r="AA500" t="str">
            <v>N</v>
          </cell>
          <cell r="AB500" t="str">
            <v>N</v>
          </cell>
          <cell r="AC500" t="str">
            <v>N</v>
          </cell>
          <cell r="AD500" t="str">
            <v>N</v>
          </cell>
          <cell r="AE500" t="str">
            <v>N</v>
          </cell>
        </row>
        <row r="501">
          <cell r="E501" t="str">
            <v>CRE_YRLY_INCM</v>
          </cell>
          <cell r="Z501" t="str">
            <v>Y</v>
          </cell>
          <cell r="AA501" t="str">
            <v>N</v>
          </cell>
          <cell r="AB501" t="str">
            <v>N</v>
          </cell>
          <cell r="AC501" t="str">
            <v>N</v>
          </cell>
          <cell r="AD501" t="str">
            <v>N</v>
          </cell>
          <cell r="AE501" t="str">
            <v>N</v>
          </cell>
        </row>
        <row r="502">
          <cell r="E502" t="str">
            <v>PRTCTN_TYP_PBLC_GRNT_SCHM_C19</v>
          </cell>
          <cell r="Z502" t="str">
            <v>Y</v>
          </cell>
          <cell r="AA502" t="str">
            <v>N</v>
          </cell>
          <cell r="AB502" t="str">
            <v>N</v>
          </cell>
          <cell r="AC502" t="str">
            <v>N</v>
          </cell>
          <cell r="AD502" t="str">
            <v>N</v>
          </cell>
          <cell r="AE502" t="str">
            <v>N</v>
          </cell>
        </row>
        <row r="503">
          <cell r="E503" t="str">
            <v>TAX_ID</v>
          </cell>
          <cell r="Z503" t="str">
            <v>Y</v>
          </cell>
          <cell r="AA503" t="str">
            <v>N</v>
          </cell>
          <cell r="AB503" t="str">
            <v>N</v>
          </cell>
          <cell r="AC503" t="str">
            <v>N</v>
          </cell>
          <cell r="AD503" t="str">
            <v>N</v>
          </cell>
          <cell r="AE503" t="str">
            <v>N</v>
          </cell>
        </row>
        <row r="504">
          <cell r="E504" t="str">
            <v>TYP_EP_SCR</v>
          </cell>
          <cell r="Z504" t="str">
            <v>N</v>
          </cell>
          <cell r="AA504" t="str">
            <v>N</v>
          </cell>
          <cell r="AB504" t="str">
            <v>Y</v>
          </cell>
          <cell r="AC504" t="str">
            <v>N</v>
          </cell>
          <cell r="AD504" t="str">
            <v>Y</v>
          </cell>
          <cell r="AE504" t="str">
            <v>N</v>
          </cell>
        </row>
        <row r="505">
          <cell r="E505" t="str">
            <v>EP_SCR</v>
          </cell>
          <cell r="Z505" t="str">
            <v>N</v>
          </cell>
          <cell r="AA505" t="str">
            <v>N</v>
          </cell>
          <cell r="AB505" t="str">
            <v>Y</v>
          </cell>
          <cell r="AC505" t="str">
            <v>N</v>
          </cell>
          <cell r="AD505" t="str">
            <v>Y</v>
          </cell>
          <cell r="AE505" t="str">
            <v>N</v>
          </cell>
        </row>
        <row r="506">
          <cell r="E506" t="str">
            <v>TYP_EPC_LBL</v>
          </cell>
          <cell r="Z506" t="str">
            <v>N</v>
          </cell>
          <cell r="AA506" t="str">
            <v>N</v>
          </cell>
          <cell r="AB506" t="str">
            <v>Y</v>
          </cell>
          <cell r="AC506" t="str">
            <v>N</v>
          </cell>
          <cell r="AD506" t="str">
            <v>Y</v>
          </cell>
          <cell r="AE506" t="str">
            <v>N</v>
          </cell>
        </row>
        <row r="507">
          <cell r="E507" t="str">
            <v>EPC_LBL</v>
          </cell>
          <cell r="Z507" t="str">
            <v>N</v>
          </cell>
          <cell r="AA507" t="str">
            <v>N</v>
          </cell>
          <cell r="AB507" t="str">
            <v>Y</v>
          </cell>
          <cell r="AC507" t="str">
            <v>N</v>
          </cell>
          <cell r="AD507" t="str">
            <v>Y</v>
          </cell>
          <cell r="AE507" t="str">
            <v>N</v>
          </cell>
        </row>
        <row r="508">
          <cell r="E508" t="str">
            <v>TYP_EMSSNS_LBL</v>
          </cell>
          <cell r="Z508" t="str">
            <v>N</v>
          </cell>
          <cell r="AA508" t="str">
            <v>N</v>
          </cell>
          <cell r="AB508" t="str">
            <v>N</v>
          </cell>
          <cell r="AC508" t="str">
            <v>N</v>
          </cell>
          <cell r="AD508" t="str">
            <v>Y</v>
          </cell>
          <cell r="AE508" t="str">
            <v>N</v>
          </cell>
        </row>
        <row r="509">
          <cell r="E509" t="str">
            <v>EPC_EMSSNS_LBL</v>
          </cell>
          <cell r="Z509" t="str">
            <v>N</v>
          </cell>
          <cell r="AA509" t="str">
            <v>N</v>
          </cell>
          <cell r="AB509" t="str">
            <v>N</v>
          </cell>
          <cell r="AC509" t="str">
            <v>N</v>
          </cell>
          <cell r="AD509" t="str">
            <v>Y</v>
          </cell>
          <cell r="AE509" t="str">
            <v>N</v>
          </cell>
        </row>
        <row r="510">
          <cell r="E510" t="str">
            <v>VHCL_EMSSNS_LBL</v>
          </cell>
          <cell r="Z510" t="str">
            <v>N</v>
          </cell>
          <cell r="AA510" t="str">
            <v>N</v>
          </cell>
          <cell r="AB510" t="str">
            <v>N</v>
          </cell>
          <cell r="AC510" t="str">
            <v>N</v>
          </cell>
          <cell r="AD510" t="str">
            <v>Y</v>
          </cell>
          <cell r="AE510" t="str">
            <v>N</v>
          </cell>
        </row>
        <row r="511">
          <cell r="E511" t="str">
            <v>TYP_EMSSNS_SCR</v>
          </cell>
          <cell r="Z511" t="str">
            <v>N</v>
          </cell>
          <cell r="AA511" t="str">
            <v>N</v>
          </cell>
          <cell r="AB511" t="str">
            <v>N</v>
          </cell>
          <cell r="AC511" t="str">
            <v>N</v>
          </cell>
          <cell r="AD511" t="str">
            <v>Y</v>
          </cell>
          <cell r="AE511" t="str">
            <v>N</v>
          </cell>
        </row>
        <row r="512">
          <cell r="E512" t="str">
            <v>EPC_EMSSNS_SCR</v>
          </cell>
          <cell r="Z512" t="str">
            <v>N</v>
          </cell>
          <cell r="AA512" t="str">
            <v>N</v>
          </cell>
          <cell r="AB512" t="str">
            <v>N</v>
          </cell>
          <cell r="AC512" t="str">
            <v>N</v>
          </cell>
          <cell r="AD512" t="str">
            <v>Y</v>
          </cell>
          <cell r="AE512" t="str">
            <v>N</v>
          </cell>
        </row>
        <row r="513">
          <cell r="E513" t="str">
            <v>VHCL_EMSSNS_SCR</v>
          </cell>
          <cell r="Z513" t="str">
            <v>N</v>
          </cell>
          <cell r="AA513" t="str">
            <v>N</v>
          </cell>
          <cell r="AB513" t="str">
            <v>N</v>
          </cell>
          <cell r="AC513" t="str">
            <v>N</v>
          </cell>
          <cell r="AD513" t="str">
            <v>Y</v>
          </cell>
          <cell r="AE513" t="str">
            <v>N</v>
          </cell>
        </row>
        <row r="514">
          <cell r="E514" t="str">
            <v>EMSSNS_SCP1_PRTCTN</v>
          </cell>
          <cell r="Z514" t="str">
            <v>N</v>
          </cell>
          <cell r="AA514" t="str">
            <v>N</v>
          </cell>
          <cell r="AB514" t="str">
            <v>Y</v>
          </cell>
          <cell r="AC514" t="str">
            <v>N</v>
          </cell>
          <cell r="AD514" t="str">
            <v>Y</v>
          </cell>
          <cell r="AE514" t="str">
            <v>N</v>
          </cell>
        </row>
        <row r="515">
          <cell r="E515" t="str">
            <v>EMSSNS_SCP2_PRTCTN</v>
          </cell>
          <cell r="Z515" t="str">
            <v>N</v>
          </cell>
          <cell r="AA515" t="str">
            <v>N</v>
          </cell>
          <cell r="AB515" t="str">
            <v>Y</v>
          </cell>
          <cell r="AC515" t="str">
            <v>N</v>
          </cell>
          <cell r="AD515" t="str">
            <v>Y</v>
          </cell>
          <cell r="AE515" t="str">
            <v>N</v>
          </cell>
        </row>
        <row r="516">
          <cell r="E516" t="str">
            <v>EMSSNS_SCP3_PRTCTN</v>
          </cell>
          <cell r="Z516" t="str">
            <v>N</v>
          </cell>
          <cell r="AA516" t="str">
            <v>N</v>
          </cell>
          <cell r="AB516" t="str">
            <v>Y</v>
          </cell>
          <cell r="AC516" t="str">
            <v>N</v>
          </cell>
          <cell r="AD516" t="str">
            <v>Y</v>
          </cell>
          <cell r="AE516" t="str">
            <v>N</v>
          </cell>
        </row>
        <row r="517">
          <cell r="E517" t="str">
            <v>MTHD_USD_PRTCTN_SCP_1</v>
          </cell>
          <cell r="Z517" t="str">
            <v>N</v>
          </cell>
          <cell r="AA517" t="str">
            <v>N</v>
          </cell>
          <cell r="AB517" t="str">
            <v>Y</v>
          </cell>
          <cell r="AC517" t="str">
            <v>N</v>
          </cell>
          <cell r="AD517" t="str">
            <v>Y</v>
          </cell>
          <cell r="AE517" t="str">
            <v>N</v>
          </cell>
        </row>
        <row r="518">
          <cell r="E518" t="str">
            <v>MTHD_USD_PRTCTN_SCP_2</v>
          </cell>
          <cell r="Z518" t="str">
            <v>N</v>
          </cell>
          <cell r="AA518" t="str">
            <v>N</v>
          </cell>
          <cell r="AB518" t="str">
            <v>Y</v>
          </cell>
          <cell r="AC518" t="str">
            <v>N</v>
          </cell>
          <cell r="AD518" t="str">
            <v>Y</v>
          </cell>
          <cell r="AE518" t="str">
            <v>N</v>
          </cell>
        </row>
        <row r="519">
          <cell r="E519" t="str">
            <v>MTHD_USD_PRTCTN_SCP_3</v>
          </cell>
          <cell r="Z519" t="str">
            <v>N</v>
          </cell>
          <cell r="AA519" t="str">
            <v>N</v>
          </cell>
          <cell r="AB519" t="str">
            <v>Y</v>
          </cell>
          <cell r="AC519" t="str">
            <v>N</v>
          </cell>
          <cell r="AD519" t="str">
            <v>Y</v>
          </cell>
          <cell r="AE519" t="str">
            <v>N</v>
          </cell>
        </row>
        <row r="520">
          <cell r="E520" t="str">
            <v>FLG_ACT_PHYSCL_RSK</v>
          </cell>
          <cell r="Z520" t="str">
            <v>N</v>
          </cell>
          <cell r="AA520" t="str">
            <v>N</v>
          </cell>
          <cell r="AB520" t="str">
            <v>Y</v>
          </cell>
          <cell r="AC520" t="str">
            <v>N</v>
          </cell>
          <cell r="AD520" t="str">
            <v>N</v>
          </cell>
          <cell r="AE520" t="str">
            <v>N</v>
          </cell>
        </row>
        <row r="521">
          <cell r="E521" t="str">
            <v>FLG_CHRNC_PHYSCL_RSK</v>
          </cell>
          <cell r="Z521" t="str">
            <v>N</v>
          </cell>
          <cell r="AA521" t="str">
            <v>N</v>
          </cell>
          <cell r="AB521" t="str">
            <v>Y</v>
          </cell>
          <cell r="AC521" t="str">
            <v>N</v>
          </cell>
          <cell r="AD521" t="str">
            <v>N</v>
          </cell>
          <cell r="AE521" t="str">
            <v>N</v>
          </cell>
        </row>
        <row r="522">
          <cell r="E522" t="str">
            <v>INSRNC_ID</v>
          </cell>
          <cell r="Z522" t="str">
            <v>N</v>
          </cell>
          <cell r="AA522" t="str">
            <v>N</v>
          </cell>
          <cell r="AB522" t="str">
            <v>N</v>
          </cell>
          <cell r="AC522" t="str">
            <v>N</v>
          </cell>
          <cell r="AD522" t="str">
            <v>Y</v>
          </cell>
          <cell r="AE522" t="str">
            <v>N</v>
          </cell>
        </row>
        <row r="523">
          <cell r="E523" t="str">
            <v>TYP_HZRDS_INSRD</v>
          </cell>
          <cell r="Z523" t="str">
            <v>N</v>
          </cell>
          <cell r="AA523" t="str">
            <v>N</v>
          </cell>
          <cell r="AB523" t="str">
            <v>N</v>
          </cell>
          <cell r="AC523" t="str">
            <v>N</v>
          </cell>
          <cell r="AD523" t="str">
            <v>Y</v>
          </cell>
          <cell r="AE523" t="str">
            <v>N</v>
          </cell>
        </row>
        <row r="524">
          <cell r="E524" t="str">
            <v>AMNT_CVRD_INSRNC</v>
          </cell>
          <cell r="Z524" t="str">
            <v>N</v>
          </cell>
          <cell r="AA524" t="str">
            <v>N</v>
          </cell>
          <cell r="AB524" t="str">
            <v>N</v>
          </cell>
          <cell r="AC524" t="str">
            <v>N</v>
          </cell>
          <cell r="AD524" t="str">
            <v>Y</v>
          </cell>
          <cell r="AE524" t="str">
            <v>N</v>
          </cell>
        </row>
        <row r="525">
          <cell r="E525" t="str">
            <v>DT_MTRTY_INSRNC</v>
          </cell>
          <cell r="Z525" t="str">
            <v>N</v>
          </cell>
          <cell r="AA525" t="str">
            <v>N</v>
          </cell>
          <cell r="AB525" t="str">
            <v>N</v>
          </cell>
          <cell r="AC525" t="str">
            <v>N</v>
          </cell>
          <cell r="AD525" t="str">
            <v>Y</v>
          </cell>
          <cell r="AE525" t="str">
            <v>N</v>
          </cell>
        </row>
        <row r="526">
          <cell r="E526" t="str">
            <v>FLG_FRST_HM</v>
          </cell>
          <cell r="Z526" t="str">
            <v>N</v>
          </cell>
          <cell r="AA526" t="str">
            <v>N</v>
          </cell>
          <cell r="AB526" t="str">
            <v>N</v>
          </cell>
          <cell r="AC526" t="str">
            <v>N</v>
          </cell>
          <cell r="AD526" t="str">
            <v>Y</v>
          </cell>
          <cell r="AE526" t="str">
            <v>N</v>
          </cell>
        </row>
        <row r="527">
          <cell r="E527" t="str">
            <v>YR_CNSTRCTN</v>
          </cell>
          <cell r="Z527" t="str">
            <v>Y</v>
          </cell>
          <cell r="AA527" t="str">
            <v>N</v>
          </cell>
          <cell r="AB527" t="str">
            <v>Y</v>
          </cell>
          <cell r="AC527" t="str">
            <v>N</v>
          </cell>
          <cell r="AD527" t="str">
            <v>Y</v>
          </cell>
          <cell r="AE527" t="str">
            <v>N</v>
          </cell>
        </row>
        <row r="528">
          <cell r="E528" t="str">
            <v>BLDNG_AR</v>
          </cell>
          <cell r="Z528" t="str">
            <v>N</v>
          </cell>
          <cell r="AA528" t="str">
            <v>N</v>
          </cell>
          <cell r="AB528" t="str">
            <v>Y</v>
          </cell>
          <cell r="AC528" t="str">
            <v>N</v>
          </cell>
          <cell r="AD528" t="str">
            <v>Y</v>
          </cell>
          <cell r="AE528" t="str">
            <v>N</v>
          </cell>
        </row>
        <row r="529">
          <cell r="E529" t="str">
            <v>LND_AR</v>
          </cell>
          <cell r="Z529" t="str">
            <v>Y</v>
          </cell>
          <cell r="AA529" t="str">
            <v>N</v>
          </cell>
          <cell r="AB529" t="str">
            <v>N</v>
          </cell>
          <cell r="AC529" t="str">
            <v>N</v>
          </cell>
          <cell r="AD529" t="str">
            <v>N</v>
          </cell>
          <cell r="AE529" t="str">
            <v>N</v>
          </cell>
        </row>
        <row r="530">
          <cell r="E530" t="str">
            <v>LN_PSTN</v>
          </cell>
          <cell r="Z530" t="str">
            <v>Y</v>
          </cell>
          <cell r="AA530" t="str">
            <v>N</v>
          </cell>
          <cell r="AB530" t="str">
            <v>N</v>
          </cell>
          <cell r="AC530" t="str">
            <v>N</v>
          </cell>
          <cell r="AD530" t="str">
            <v>N</v>
          </cell>
          <cell r="AE530" t="str">
            <v>N</v>
          </cell>
        </row>
        <row r="531">
          <cell r="E531" t="str">
            <v>RL_ESTT_CRTFCTN</v>
          </cell>
          <cell r="Z531" t="str">
            <v>N</v>
          </cell>
          <cell r="AA531" t="str">
            <v>N</v>
          </cell>
          <cell r="AB531" t="str">
            <v>Y</v>
          </cell>
          <cell r="AC531" t="str">
            <v>N</v>
          </cell>
          <cell r="AD531" t="str">
            <v>Y</v>
          </cell>
          <cell r="AE531" t="str">
            <v>N</v>
          </cell>
        </row>
        <row r="532">
          <cell r="E532" t="str">
            <v>TYP_VHCL</v>
          </cell>
          <cell r="Z532" t="str">
            <v>N</v>
          </cell>
          <cell r="AA532" t="str">
            <v>Y</v>
          </cell>
          <cell r="AB532" t="str">
            <v>Y</v>
          </cell>
          <cell r="AC532" t="str">
            <v>N</v>
          </cell>
          <cell r="AD532" t="str">
            <v>Y</v>
          </cell>
          <cell r="AE532" t="str">
            <v>N</v>
          </cell>
        </row>
        <row r="533">
          <cell r="E533" t="str">
            <v>DT_RGSTRTN</v>
          </cell>
          <cell r="Z533" t="str">
            <v>N</v>
          </cell>
          <cell r="AA533" t="str">
            <v>N</v>
          </cell>
          <cell r="AB533" t="str">
            <v>Y</v>
          </cell>
          <cell r="AC533" t="str">
            <v>N</v>
          </cell>
          <cell r="AD533" t="str">
            <v>Y</v>
          </cell>
          <cell r="AE533" t="str">
            <v>N</v>
          </cell>
        </row>
        <row r="534">
          <cell r="E534" t="str">
            <v>PRMRY_ENRGY_DMND_NN_RNWBL</v>
          </cell>
          <cell r="Z534" t="str">
            <v>N</v>
          </cell>
          <cell r="AA534" t="str">
            <v>N</v>
          </cell>
          <cell r="AB534" t="str">
            <v>Y</v>
          </cell>
          <cell r="AC534" t="str">
            <v>N</v>
          </cell>
          <cell r="AD534" t="str">
            <v>Y</v>
          </cell>
          <cell r="AE534" t="str">
            <v>N</v>
          </cell>
        </row>
        <row r="535">
          <cell r="E535" t="str">
            <v>PRMRY_ENRGY_DMND_TTL</v>
          </cell>
          <cell r="Z535" t="str">
            <v>N</v>
          </cell>
          <cell r="AA535" t="str">
            <v>N</v>
          </cell>
          <cell r="AB535" t="str">
            <v>Y</v>
          </cell>
          <cell r="AC535" t="str">
            <v>N</v>
          </cell>
          <cell r="AD535" t="str">
            <v>Y</v>
          </cell>
          <cell r="AE535" t="str">
            <v>N</v>
          </cell>
        </row>
        <row r="536">
          <cell r="E536" t="str">
            <v>PRMRY_ENRGY_DMND_RFRNC_VL</v>
          </cell>
          <cell r="Z536" t="str">
            <v>N</v>
          </cell>
          <cell r="AA536" t="str">
            <v>N</v>
          </cell>
          <cell r="AB536" t="str">
            <v>Y</v>
          </cell>
          <cell r="AC536" t="str">
            <v>N</v>
          </cell>
          <cell r="AD536" t="str">
            <v>Y</v>
          </cell>
          <cell r="AE536" t="str">
            <v>N</v>
          </cell>
        </row>
        <row r="537">
          <cell r="E537" t="str">
            <v>RL_ESTT_CLMT_ZN</v>
          </cell>
          <cell r="Z537" t="str">
            <v>N</v>
          </cell>
          <cell r="AA537" t="str">
            <v>N</v>
          </cell>
          <cell r="AB537" t="str">
            <v>Y</v>
          </cell>
          <cell r="AC537" t="str">
            <v>N</v>
          </cell>
          <cell r="AD537" t="str">
            <v>Y</v>
          </cell>
          <cell r="AE537" t="str">
            <v>N</v>
          </cell>
        </row>
        <row r="538">
          <cell r="E538" t="str">
            <v>RL_ESTT_LNGTD</v>
          </cell>
          <cell r="Z538" t="str">
            <v>Y</v>
          </cell>
          <cell r="AA538" t="str">
            <v>N</v>
          </cell>
          <cell r="AB538" t="str">
            <v>N</v>
          </cell>
          <cell r="AC538" t="str">
            <v>N</v>
          </cell>
          <cell r="AD538" t="str">
            <v>N</v>
          </cell>
          <cell r="AE538" t="str">
            <v>N</v>
          </cell>
        </row>
        <row r="539">
          <cell r="E539" t="str">
            <v>RL_ESTT_LTTD</v>
          </cell>
          <cell r="Z539" t="str">
            <v>Y</v>
          </cell>
          <cell r="AA539" t="str">
            <v>N</v>
          </cell>
          <cell r="AB539" t="str">
            <v>N</v>
          </cell>
          <cell r="AC539" t="str">
            <v>N</v>
          </cell>
          <cell r="AD539" t="str">
            <v>N</v>
          </cell>
          <cell r="AE539" t="str">
            <v>N</v>
          </cell>
        </row>
        <row r="540">
          <cell r="E540" t="str">
            <v>FLG_ELCTRC_VHCL</v>
          </cell>
          <cell r="Z540" t="str">
            <v>N</v>
          </cell>
          <cell r="AA540" t="str">
            <v>Y</v>
          </cell>
          <cell r="AB540" t="str">
            <v>N</v>
          </cell>
          <cell r="AC540" t="str">
            <v>N</v>
          </cell>
          <cell r="AD540" t="str">
            <v>N</v>
          </cell>
          <cell r="AE540" t="str">
            <v>N</v>
          </cell>
        </row>
        <row r="541">
          <cell r="E541" t="str">
            <v>COD_SOC</v>
          </cell>
          <cell r="Z541" t="str">
            <v>N</v>
          </cell>
          <cell r="AA541" t="str">
            <v>Y</v>
          </cell>
          <cell r="AB541" t="str">
            <v>Y</v>
          </cell>
          <cell r="AC541" t="str">
            <v>Y</v>
          </cell>
          <cell r="AD541" t="str">
            <v>N</v>
          </cell>
          <cell r="AE541" t="str">
            <v>N</v>
          </cell>
        </row>
        <row r="542">
          <cell r="E542" t="str">
            <v>DT_RFRNC</v>
          </cell>
          <cell r="Z542" t="str">
            <v>N</v>
          </cell>
          <cell r="AA542" t="str">
            <v>Y</v>
          </cell>
          <cell r="AB542" t="str">
            <v>Y</v>
          </cell>
          <cell r="AC542" t="str">
            <v>Y</v>
          </cell>
          <cell r="AD542" t="str">
            <v>N</v>
          </cell>
          <cell r="AE542" t="str">
            <v>N</v>
          </cell>
        </row>
        <row r="543">
          <cell r="E543" t="str">
            <v>INSTRMNT_ID</v>
          </cell>
          <cell r="Z543" t="str">
            <v>N</v>
          </cell>
          <cell r="AA543" t="str">
            <v>Y</v>
          </cell>
          <cell r="AB543" t="str">
            <v>Y</v>
          </cell>
          <cell r="AC543" t="str">
            <v>Y</v>
          </cell>
          <cell r="AD543" t="str">
            <v>N</v>
          </cell>
          <cell r="AE543" t="str">
            <v>N</v>
          </cell>
        </row>
        <row r="544">
          <cell r="E544" t="str">
            <v>SSTNBL_CTGRY</v>
          </cell>
          <cell r="Z544" t="str">
            <v>N</v>
          </cell>
          <cell r="AA544" t="str">
            <v>Y</v>
          </cell>
          <cell r="AB544" t="str">
            <v>Y</v>
          </cell>
          <cell r="AC544" t="str">
            <v>Y</v>
          </cell>
          <cell r="AD544" t="str">
            <v>N</v>
          </cell>
          <cell r="AE544" t="str">
            <v>N</v>
          </cell>
        </row>
        <row r="545">
          <cell r="E545" t="str">
            <v>PRCNTG_ACTVTY</v>
          </cell>
          <cell r="Z545" t="str">
            <v>N</v>
          </cell>
          <cell r="AA545" t="str">
            <v>Y</v>
          </cell>
          <cell r="AB545" t="str">
            <v>Y</v>
          </cell>
          <cell r="AC545" t="str">
            <v>Y</v>
          </cell>
          <cell r="AD545" t="str">
            <v>N</v>
          </cell>
          <cell r="AE545" t="str">
            <v>N</v>
          </cell>
        </row>
        <row r="546">
          <cell r="E546" t="str">
            <v>ENVRNMNTL_OBJCTV</v>
          </cell>
          <cell r="Z546" t="str">
            <v>N</v>
          </cell>
          <cell r="AA546" t="str">
            <v>N</v>
          </cell>
          <cell r="AB546" t="str">
            <v>Y</v>
          </cell>
          <cell r="AC546" t="str">
            <v>N</v>
          </cell>
          <cell r="AD546" t="str">
            <v>N</v>
          </cell>
          <cell r="AE546" t="str">
            <v>N</v>
          </cell>
        </row>
        <row r="547">
          <cell r="E547" t="str">
            <v>TYP_ACTVTY</v>
          </cell>
          <cell r="Z547" t="str">
            <v>N</v>
          </cell>
          <cell r="AA547" t="str">
            <v>N</v>
          </cell>
          <cell r="AB547" t="str">
            <v>Y</v>
          </cell>
          <cell r="AC547" t="str">
            <v>N</v>
          </cell>
          <cell r="AD547" t="str">
            <v>N</v>
          </cell>
          <cell r="AE547" t="str">
            <v>N</v>
          </cell>
        </row>
        <row r="548">
          <cell r="E548" t="str">
            <v>SSTNBL_INDCTR</v>
          </cell>
          <cell r="Z548" t="str">
            <v>N</v>
          </cell>
          <cell r="AA548" t="str">
            <v>Y</v>
          </cell>
          <cell r="AB548" t="str">
            <v>Y</v>
          </cell>
          <cell r="AC548" t="str">
            <v>Y</v>
          </cell>
          <cell r="AD548" t="str">
            <v>N</v>
          </cell>
          <cell r="AE548" t="str">
            <v>N</v>
          </cell>
        </row>
        <row r="549">
          <cell r="E549" t="str">
            <v>FLG_SBSTNTL_CNTRBTN</v>
          </cell>
          <cell r="Z549" t="str">
            <v>N</v>
          </cell>
          <cell r="AA549" t="str">
            <v>N</v>
          </cell>
          <cell r="AB549" t="str">
            <v>Y</v>
          </cell>
          <cell r="AC549" t="str">
            <v>N</v>
          </cell>
          <cell r="AD549" t="str">
            <v>N</v>
          </cell>
          <cell r="AE549" t="str">
            <v>N</v>
          </cell>
        </row>
        <row r="550">
          <cell r="E550" t="str">
            <v>FLG_DNSH_CMPLNC</v>
          </cell>
          <cell r="Z550" t="str">
            <v>N</v>
          </cell>
          <cell r="AA550" t="str">
            <v>N</v>
          </cell>
          <cell r="AB550" t="str">
            <v>Y</v>
          </cell>
          <cell r="AC550" t="str">
            <v>N</v>
          </cell>
          <cell r="AD550" t="str">
            <v>N</v>
          </cell>
          <cell r="AE550" t="str">
            <v>N</v>
          </cell>
        </row>
        <row r="551">
          <cell r="E551" t="str">
            <v>DNSH_DTL</v>
          </cell>
          <cell r="Z551" t="str">
            <v>N</v>
          </cell>
          <cell r="AA551" t="str">
            <v>N</v>
          </cell>
          <cell r="AB551" t="str">
            <v>Y</v>
          </cell>
          <cell r="AC551" t="str">
            <v>N</v>
          </cell>
          <cell r="AD551" t="str">
            <v>N</v>
          </cell>
          <cell r="AE551" t="str">
            <v>N</v>
          </cell>
        </row>
      </sheetData>
      <sheetData sheetId="3"/>
      <sheetData sheetId="4"/>
      <sheetData sheetId="5"/>
      <sheetData sheetId="6"/>
      <sheetData sheetId="7"/>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nçalo Mendes Baptista Filipe" refreshedDate="45674.446598495371" createdVersion="8" refreshedVersion="8" minRefreshableVersion="3" recordCount="379" xr:uid="{CF0CA261-5F75-4F99-8352-670AEF063F36}">
  <cacheSource type="worksheet">
    <worksheetSource ref="B5:X384" sheet="Detalhe"/>
  </cacheSource>
  <cacheFields count="23">
    <cacheField name="TABLE_NAME" numFmtId="0">
      <sharedItems/>
    </cacheField>
    <cacheField name="COLUMN_NAME" numFmtId="0">
      <sharedItems/>
    </cacheField>
    <cacheField name="ÂMBITO" numFmtId="0">
      <sharedItems count="2">
        <s v="OSI"/>
        <s v="Fora OSI"/>
      </sharedItems>
    </cacheField>
    <cacheField name="Status" numFmtId="0">
      <sharedItems/>
    </cacheField>
    <cacheField name="Controlos e Completude" numFmtId="0">
      <sharedItems containsBlank="1"/>
    </cacheField>
    <cacheField name="Descrição" numFmtId="0">
      <sharedItems containsBlank="1" longText="1"/>
    </cacheField>
    <cacheField name="Detalhe" numFmtId="0">
      <sharedItems containsBlank="1" longText="1"/>
    </cacheField>
    <cacheField name="Quick-win" numFmtId="0">
      <sharedItems count="3">
        <s v="Campo Fechado"/>
        <s v="Sim"/>
        <s v="Não"/>
      </sharedItems>
    </cacheField>
    <cacheField name="Data alteração status" numFmtId="14">
      <sharedItems containsSemiMixedTypes="0" containsNonDate="0" containsDate="1" containsString="0" minDate="2024-06-07T00:00:00" maxDate="2025-01-14T00:00:00"/>
    </cacheField>
    <cacheField name="Status Atual" numFmtId="0">
      <sharedItems count="10">
        <s v="9. Concluído"/>
        <s v="5.2 Em testes - Incidência"/>
        <s v="2. Alterar especificação"/>
        <s v="1. Especificar"/>
        <s v="3. Pendente de decisão"/>
        <s v="7. Analisar controlos e completude"/>
        <s v="8. Concluído - sem dados"/>
        <s v="4.1 Em implementação - Re-especificação"/>
        <s v="5.1 Em testes - Re-especificação"/>
        <s v="6. Outros Desenvolvimentos"/>
      </sharedItems>
    </cacheField>
    <cacheField name="Controlos e Completuade atual" numFmtId="0">
      <sharedItems containsBlank="1"/>
    </cacheField>
    <cacheField name="Comentários" numFmtId="0">
      <sharedItems containsBlank="1" longText="1"/>
    </cacheField>
    <cacheField name="Data envio para IT" numFmtId="0">
      <sharedItems containsNonDate="0" containsDate="1" containsString="0" containsBlank="1" minDate="2022-04-28T00:00:00" maxDate="2024-09-28T00:00:00"/>
    </cacheField>
    <cacheField name="Data Implementação" numFmtId="0">
      <sharedItems containsDate="1" containsBlank="1" containsMixedTypes="1" minDate="2022-05-19T00:00:00" maxDate="2024-12-21T00:00:00"/>
    </cacheField>
    <cacheField name="Categorização" numFmtId="0">
      <sharedItems containsBlank="1"/>
    </cacheField>
    <cacheField name="Structural _x000a_ECB Loan Tape" numFmtId="0">
      <sharedItems/>
    </cacheField>
    <cacheField name="Green _x000a_Dashboard" numFmtId="0">
      <sharedItems/>
    </cacheField>
    <cacheField name="Pillar III ESG" numFmtId="0">
      <sharedItems/>
    </cacheField>
    <cacheField name="Green Finance" numFmtId="0">
      <sharedItems/>
    </cacheField>
    <cacheField name="ESG Risks" numFmtId="0">
      <sharedItems/>
    </cacheField>
    <cacheField name="Leveraged Finance" numFmtId="0">
      <sharedItems/>
    </cacheField>
    <cacheField name="Âmbito (Projeto) " numFmtId="0">
      <sharedItems count="4">
        <s v="PM"/>
        <s v="LF"/>
        <s v="PM &amp; LF"/>
        <s v="PM - Novos Campos"/>
      </sharedItems>
    </cacheField>
    <cacheField name="STREAM" numFmtId="0">
      <sharedItems containsMixedTypes="1"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nçalo Mendes Baptista Filipe" refreshedDate="45674.446600115742" createdVersion="8" refreshedVersion="8" minRefreshableVersion="3" recordCount="346" xr:uid="{00000000-000A-0000-FFFF-FFFF06000000}">
  <cacheSource type="worksheet">
    <worksheetSource ref="B5:P351" sheet="Detalhe"/>
  </cacheSource>
  <cacheFields count="15">
    <cacheField name="TABLE_NAME" numFmtId="0">
      <sharedItems/>
    </cacheField>
    <cacheField name="COLUMN_NAME" numFmtId="0">
      <sharedItems/>
    </cacheField>
    <cacheField name="ÂMBITO" numFmtId="0">
      <sharedItems count="2">
        <s v="OSI"/>
        <s v="Fora OSI"/>
      </sharedItems>
    </cacheField>
    <cacheField name="Status" numFmtId="0">
      <sharedItems/>
    </cacheField>
    <cacheField name="Controlos e Completude" numFmtId="0">
      <sharedItems/>
    </cacheField>
    <cacheField name="Descrição" numFmtId="0">
      <sharedItems containsBlank="1" longText="1"/>
    </cacheField>
    <cacheField name="Detalhe" numFmtId="0">
      <sharedItems containsBlank="1" longText="1"/>
    </cacheField>
    <cacheField name="Quick-win" numFmtId="0">
      <sharedItems/>
    </cacheField>
    <cacheField name="Data alteração status" numFmtId="14">
      <sharedItems containsSemiMixedTypes="0" containsNonDate="0" containsDate="1" containsString="0" minDate="2024-06-07T00:00:00" maxDate="2025-01-14T00:00:00"/>
    </cacheField>
    <cacheField name="Status Atual" numFmtId="0">
      <sharedItems count="15">
        <s v="9. Concluído"/>
        <s v="5.2 Em testes - Incidência"/>
        <s v="2. Alterar especificação"/>
        <s v="1. Especificar"/>
        <s v="3. Pendente de decisão"/>
        <s v="7. Analisar controlos e completude"/>
        <s v="8. Concluído - sem dados"/>
        <s v="4.1 Em implementação - Re-especificação"/>
        <s v="5.1 Em testes - Re-especificação"/>
        <s v="6. Outros Desenvolvimentos"/>
        <s v="4.2 Em implementação - Incidência" u="1"/>
        <s v="6. Incidência" u="1"/>
        <s v="4. Em implementação" u="1"/>
        <s v="5. Em testes" u="1"/>
        <s v="10. Em correção de incidência" u="1"/>
      </sharedItems>
    </cacheField>
    <cacheField name="Controlos e Completuade atual" numFmtId="0">
      <sharedItems containsBlank="1"/>
    </cacheField>
    <cacheField name="Comentários" numFmtId="0">
      <sharedItems containsBlank="1" longText="1"/>
    </cacheField>
    <cacheField name="Data envio para IT" numFmtId="0">
      <sharedItems containsNonDate="0" containsDate="1" containsString="0" containsBlank="1" minDate="2022-04-28T00:00:00" maxDate="2024-09-28T00:00:00"/>
    </cacheField>
    <cacheField name="Data Implementação" numFmtId="0">
      <sharedItems containsDate="1" containsBlank="1" containsMixedTypes="1" minDate="2022-05-19T00:00:00" maxDate="2024-12-21T00:00:00"/>
    </cacheField>
    <cacheField name="Categorização" numFmtId="0">
      <sharedItems count="20">
        <s v="Campo concluido"/>
        <s v="Necessidade de correção de erros"/>
        <s v="Melhorias estruturais (garantir coerência entre campos)"/>
        <s v="Alteração de especificação por parte do BCE"/>
        <s v="Novo campo"/>
        <s v="Pendente de decisão"/>
        <s v="Analisar controlos NOK"/>
        <s v="Campo concluído, mas sem ou pouca informação na fonte"/>
        <s v="-" u="1"/>
        <s v="Campo concluído, sem informação na fonte" u="1"/>
        <s v="Campo concluído, mas com pouca qualidade de dados" u="1"/>
        <s v="?" u="1"/>
        <s v="Alteração de especificação por parte da área" u="1"/>
        <s v="Especificar, informação começou a ser produzida em 2024" u="1"/>
        <s v="Avaliar necessidade de alteração da fonte para fins de reconciliação" u="1"/>
        <s v="Avaliar necessidade de alteração da fonte dos 1ºs titulares para fins de reconciliação" u="1"/>
        <s v="Alteração de especificação com base nas melhorias efetuadas ao MUG" u="1"/>
        <s v=" Alteração de especificação com base nas melhorias efetuadas ao MUG" u="1"/>
        <s v="Necessidade de correção de incidências" u="1"/>
        <s v="Em implementação"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9">
  <r>
    <s v="INSTRUMENT"/>
    <s v="ACCMLTD_CHNGS_FV_CR_INSTRMNT"/>
    <x v="0"/>
    <s v="9. Concluído"/>
    <s v="OK"/>
    <s v="Concluido, controlos OK"/>
    <m/>
    <x v="0"/>
    <d v="2024-06-07T00:00:00"/>
    <x v="0"/>
    <s v="OK"/>
    <m/>
    <m/>
    <m/>
    <s v="Campo concluido"/>
    <s v="Y"/>
    <s v="Y"/>
    <s v="Y"/>
    <s v="N"/>
    <s v="N"/>
    <s v="N"/>
    <x v="0"/>
    <n v="0"/>
  </r>
  <r>
    <s v="INSTRUMENT"/>
    <s v="ACCMLTD_IMPRMNT_INSTRMNT"/>
    <x v="0"/>
    <s v="9. Concluído"/>
    <s v="OK"/>
    <s v="Concluido, controlos OK"/>
    <m/>
    <x v="0"/>
    <d v="2024-06-07T00:00:00"/>
    <x v="0"/>
    <s v="OK"/>
    <m/>
    <m/>
    <m/>
    <s v="Campo concluido"/>
    <s v="Y"/>
    <s v="Y"/>
    <s v="Y"/>
    <s v="N"/>
    <s v="N"/>
    <s v="Y"/>
    <x v="0"/>
    <s v="6.1. Fora âmbito | Campos concluídos - Sem necessidade de espec."/>
  </r>
  <r>
    <s v="INSTRUMENT"/>
    <s v="ACCMLTD_IMPRMNT_INSTRMNT_PRVS"/>
    <x v="0"/>
    <s v="5.2 Em testes - Incidência"/>
    <s v="OK"/>
    <s v="Campo com incidência. Verificar fonte LT"/>
    <m/>
    <x v="1"/>
    <d v="2024-06-07T00:00:00"/>
    <x v="1"/>
    <s v="OK"/>
    <m/>
    <m/>
    <m/>
    <s v="Necessidade de correção de erros"/>
    <s v="Y"/>
    <s v="N"/>
    <s v="N"/>
    <s v="N"/>
    <s v="N"/>
    <s v="Y"/>
    <x v="1"/>
    <s v="3. Campos em testes ou c/ incidências"/>
  </r>
  <r>
    <s v="INSTRUMENT"/>
    <s v="ACCMLTD_WRTFFS_INSTRMNT"/>
    <x v="0"/>
    <s v="9. Concluído"/>
    <s v="OK"/>
    <s v="Concluido, controlos OK"/>
    <m/>
    <x v="0"/>
    <d v="2024-06-07T00:00:00"/>
    <x v="0"/>
    <s v="OK"/>
    <m/>
    <m/>
    <m/>
    <s v="Campo concluido"/>
    <s v="Y"/>
    <s v="N"/>
    <s v="N"/>
    <s v="N"/>
    <s v="N"/>
    <s v="Y"/>
    <x v="0"/>
    <s v="6.1. Fora âmbito | Campos concluídos - Sem necessidade de espec."/>
  </r>
  <r>
    <s v="INSTRUMENT"/>
    <s v="ACCNTNG_CLSSFCTN"/>
    <x v="0"/>
    <s v="9. Concluído"/>
    <s v="OK"/>
    <s v="Concluido, controlos OK"/>
    <m/>
    <x v="0"/>
    <d v="2024-06-07T00:00:00"/>
    <x v="0"/>
    <s v="OK"/>
    <m/>
    <m/>
    <m/>
    <s v="Campo concluido"/>
    <s v="Y"/>
    <s v="Y"/>
    <s v="Y"/>
    <s v="N"/>
    <s v="N"/>
    <s v="Y"/>
    <x v="0"/>
    <s v="6.1. Fora âmbito | Campos concluídos - Sem necessidade de espec."/>
  </r>
  <r>
    <s v="ENTITY"/>
    <s v="ACCNTNG_FRMWRK_SL"/>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Y"/>
    <x v="2"/>
    <s v="6.4. Fora âmbito | Re-especificação de campos complexos - Dem. Fin. CIB"/>
  </r>
  <r>
    <s v="INSTRUMENT"/>
    <s v="TYP_MRTGG"/>
    <x v="0"/>
    <s v="3. Pendente de decisão"/>
    <s v="NOK"/>
    <s v="Alteração da Code list por parte do BCE"/>
    <m/>
    <x v="1"/>
    <d v="2024-10-03T00:00:00"/>
    <x v="2"/>
    <s v="NOK"/>
    <s v="Alterar especificação de acordo com codelist atual. No MUG existem apenas garantias elegiveis para cálculo de capital? Se sim, TYP_MRTGG irá assumir os valores 1, 5 e N/A. Caso contrário assumirá os valores  1, 5, 6 e N/A."/>
    <m/>
    <m/>
    <s v="Alteração de especificação por parte do BCE"/>
    <s v="Y"/>
    <s v="N"/>
    <s v="N"/>
    <s v="N"/>
    <s v="N"/>
    <s v="N"/>
    <x v="0"/>
    <n v="0"/>
  </r>
  <r>
    <s v="INSTRUMENT"/>
    <s v="AMNT_D_AT_MTRTY"/>
    <x v="0"/>
    <s v="1. Especificar"/>
    <s v="NOK"/>
    <s v="Em especificação"/>
    <m/>
    <x v="2"/>
    <d v="2024-06-07T00:00:00"/>
    <x v="3"/>
    <s v="NOK"/>
    <m/>
    <m/>
    <m/>
    <s v="Novo campo"/>
    <s v="Y"/>
    <s v="N"/>
    <s v="N"/>
    <s v="N"/>
    <s v="N"/>
    <s v="Y"/>
    <x v="1"/>
    <s v="2.2 Re-especificação de campos complexos - Resto"/>
  </r>
  <r>
    <s v="ENTITY"/>
    <s v="ANNL_TRNVR_LE"/>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Y"/>
    <s v="N"/>
    <s v="N"/>
    <s v="Y"/>
    <x v="2"/>
    <s v="6.4. Fora âmbito | Re-especificação de campos complexos - Dem. Fin. CIB"/>
  </r>
  <r>
    <s v="ENTITY"/>
    <s v="ANNL_TRNVR_LE_BDR"/>
    <x v="1"/>
    <s v="9. Concluído"/>
    <s v="OK"/>
    <s v="Concluido, controlos OK"/>
    <m/>
    <x v="0"/>
    <d v="2024-06-07T00:00:00"/>
    <x v="0"/>
    <s v="OK"/>
    <m/>
    <m/>
    <m/>
    <s v="Campo concluido"/>
    <s v="Y"/>
    <s v="N"/>
    <s v="N"/>
    <s v="N"/>
    <s v="N"/>
    <s v="N"/>
    <x v="0"/>
    <n v="0"/>
  </r>
  <r>
    <s v="ENTITY"/>
    <s v="ANNL_TRNVR_PRVS"/>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Y"/>
    <x v="2"/>
    <s v="6.4. Fora âmbito | Re-especificação de campos complexos - Dem. Fin. CIB"/>
  </r>
  <r>
    <s v="ENTITY"/>
    <s v="ANNL_TRNVR_PRVS_BDR"/>
    <x v="1"/>
    <s v="9. Concluído"/>
    <s v="OK"/>
    <s v="Concluido, controlos OK"/>
    <m/>
    <x v="0"/>
    <d v="2024-06-07T00:00:00"/>
    <x v="0"/>
    <s v="OK"/>
    <m/>
    <m/>
    <m/>
    <s v="Campo concluido"/>
    <s v="Y"/>
    <s v="N"/>
    <s v="N"/>
    <s v="N"/>
    <s v="N"/>
    <s v="N"/>
    <x v="0"/>
    <n v="0"/>
  </r>
  <r>
    <s v="INSTRUMENT"/>
    <s v="ANNLSD_AGRD_RT"/>
    <x v="0"/>
    <s v="3. Pendente de decisão"/>
    <s v="OK"/>
    <s v="Verificar necessidade de alteração da fonte para fins de reconciliação. Rever Fonte"/>
    <s v="Rever se devemos utilizar a informação de IFRS9 ou manter a de alm"/>
    <x v="1"/>
    <d v="2024-06-07T00:00:00"/>
    <x v="4"/>
    <s v="OK"/>
    <m/>
    <m/>
    <m/>
    <s v="Pendente de decisão"/>
    <s v="Y"/>
    <s v="N"/>
    <s v="Y"/>
    <s v="N"/>
    <s v="N"/>
    <s v="N"/>
    <x v="0"/>
    <n v="0"/>
  </r>
  <r>
    <s v="PROTECTION"/>
    <s v="APPRSL_CRRNCY"/>
    <x v="0"/>
    <s v="7. Analisar controlos e completude"/>
    <s v="NOK"/>
    <s v="Controlos NOK"/>
    <m/>
    <x v="2"/>
    <d v="2024-06-07T00:00:00"/>
    <x v="5"/>
    <s v="NOK"/>
    <m/>
    <m/>
    <m/>
    <s v="Analisar controlos NOK"/>
    <s v="Y"/>
    <s v="N"/>
    <s v="N"/>
    <s v="N"/>
    <s v="N"/>
    <s v="N"/>
    <x v="0"/>
    <n v="0"/>
  </r>
  <r>
    <s v="PROTECTION"/>
    <s v="APPRSR"/>
    <x v="0"/>
    <s v="7. Analisar controlos e completude"/>
    <s v="NOK"/>
    <s v="Controlos NOK"/>
    <m/>
    <x v="2"/>
    <d v="2024-06-07T00:00:00"/>
    <x v="5"/>
    <s v="NOK"/>
    <m/>
    <m/>
    <m/>
    <s v="Analisar controlos NOK"/>
    <s v="Y"/>
    <s v="N"/>
    <s v="N"/>
    <s v="N"/>
    <s v="N"/>
    <s v="N"/>
    <x v="0"/>
    <n v="0"/>
  </r>
  <r>
    <s v="INSTRUMENT"/>
    <s v="ARRRS_INSTRMNT"/>
    <x v="0"/>
    <s v="7. Analisar controlos e completude"/>
    <s v="NOK"/>
    <s v="Controlos NOK"/>
    <m/>
    <x v="2"/>
    <d v="2024-06-07T00:00:00"/>
    <x v="5"/>
    <s v="NOK"/>
    <m/>
    <m/>
    <m/>
    <s v="Analisar controlos NOK"/>
    <s v="Y"/>
    <s v="N"/>
    <s v="N"/>
    <s v="N"/>
    <s v="N"/>
    <s v="Y"/>
    <x v="1"/>
    <s v="4. Campos com NOK controlos Corporativos"/>
  </r>
  <r>
    <s v="INSTRUMENT"/>
    <s v="ARRRS_INSTRMNT_12M"/>
    <x v="0"/>
    <s v="7. Analisar controlos e completude"/>
    <s v="NOK"/>
    <s v="Controlos NOK"/>
    <m/>
    <x v="2"/>
    <d v="2024-06-07T00:00:00"/>
    <x v="5"/>
    <s v="NOK"/>
    <m/>
    <m/>
    <m/>
    <s v="Analisar controlos NOK"/>
    <s v="Y"/>
    <s v="N"/>
    <s v="N"/>
    <s v="N"/>
    <s v="N"/>
    <s v="N"/>
    <x v="0"/>
    <n v="0"/>
  </r>
  <r>
    <s v="INSTRUMENT"/>
    <s v="ASST_SCRT_CLSS"/>
    <x v="1"/>
    <s v="9. Concluído"/>
    <s v="OK"/>
    <s v="Concluido, controlos OK"/>
    <m/>
    <x v="0"/>
    <d v="2024-06-07T00:00:00"/>
    <x v="0"/>
    <s v="OK"/>
    <m/>
    <m/>
    <m/>
    <s v="Campo concluido"/>
    <s v="Y"/>
    <s v="N"/>
    <s v="N"/>
    <s v="N"/>
    <s v="N"/>
    <s v="N"/>
    <x v="0"/>
    <n v="0"/>
  </r>
  <r>
    <s v="INSTRUMENT"/>
    <s v="BRCHD_CVNNTS"/>
    <x v="0"/>
    <s v="8. Concluído - sem dados"/>
    <s v="OK"/>
    <s v="Campo especificado, mas sem dados. Campo marcado com MISS ou NA"/>
    <m/>
    <x v="0"/>
    <d v="2024-06-07T00:00:00"/>
    <x v="6"/>
    <s v="OK"/>
    <m/>
    <m/>
    <m/>
    <s v="Campo concluído, mas sem ou pouca informação na fonte"/>
    <s v="Y"/>
    <s v="N"/>
    <s v="N"/>
    <s v="N"/>
    <s v="N"/>
    <s v="Y"/>
    <x v="0"/>
    <s v="6.1. Fora âmbito | Campos concluídos - Sem necessidade de espec."/>
  </r>
  <r>
    <s v="ENTITY"/>
    <s v="CAPEX"/>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N"/>
    <x v="0"/>
    <n v="0"/>
  </r>
  <r>
    <s v="ENTITY"/>
    <s v="CAPEX_PRVS"/>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N"/>
    <x v="0"/>
    <n v="0"/>
  </r>
  <r>
    <s v="INSTRUMENT"/>
    <s v="CCF"/>
    <x v="0"/>
    <s v="9. Concluído"/>
    <s v="OK"/>
    <s v="Concluido, controlos OK"/>
    <m/>
    <x v="0"/>
    <d v="2024-06-07T00:00:00"/>
    <x v="0"/>
    <s v="OK"/>
    <m/>
    <m/>
    <m/>
    <s v="Campo concluido"/>
    <s v="Y"/>
    <s v="Y"/>
    <s v="N"/>
    <s v="N"/>
    <s v="N"/>
    <s v="Y"/>
    <x v="0"/>
    <s v="6.1. Fora âmbito | Campos concluídos - Sem necessidade de espec."/>
  </r>
  <r>
    <s v="INSTRUMENT"/>
    <s v="CHNNL_ORGNTN"/>
    <x v="1"/>
    <s v="4.1 Em implementação - Re-especificação"/>
    <s v="NOK"/>
    <s v="Aguarda implementação de IT"/>
    <m/>
    <x v="2"/>
    <d v="2024-06-07T00:00:00"/>
    <x v="7"/>
    <s v="NOK"/>
    <m/>
    <d v="2024-01-05T00:00:00"/>
    <m/>
    <s v="Melhorias estruturais (garantir coerência entre campos)"/>
    <s v="Y"/>
    <s v="N"/>
    <s v="N"/>
    <s v="N"/>
    <s v="N"/>
    <s v="N"/>
    <x v="0"/>
    <n v="0"/>
  </r>
  <r>
    <s v="ENTITY"/>
    <s v="CLLCTN_MD"/>
    <x v="1"/>
    <s v="9. Concluído"/>
    <s v="OK"/>
    <s v="Concluido, controlos OK"/>
    <m/>
    <x v="0"/>
    <d v="2024-06-07T00:00:00"/>
    <x v="0"/>
    <s v="OK"/>
    <m/>
    <m/>
    <m/>
    <s v="Campo concluido"/>
    <s v="Y"/>
    <s v="N"/>
    <s v="N"/>
    <s v="N"/>
    <s v="N"/>
    <s v="N"/>
    <x v="0"/>
    <n v="0"/>
  </r>
  <r>
    <s v="ENTITY"/>
    <s v="TTL_INTRST_PD"/>
    <x v="1"/>
    <s v="2. Alterar especificação"/>
    <s v="NOK"/>
    <s v="Em especificação (Amortizações Capital/ Juros)"/>
    <m/>
    <x v="2"/>
    <d v="2024-06-07T00:00:00"/>
    <x v="2"/>
    <s v="NOK"/>
    <m/>
    <m/>
    <m/>
    <s v="Melhorias estruturais (garantir coerência entre campos)"/>
    <s v="Y"/>
    <s v="N"/>
    <s v="N"/>
    <s v="N"/>
    <s v="N"/>
    <s v="Y"/>
    <x v="1"/>
    <s v="2.2 Re-especificação de campos complexos - Resto"/>
  </r>
  <r>
    <s v="INSTRUMENT"/>
    <s v="CMMTMNT_INCPTN_INSTRMNT"/>
    <x v="0"/>
    <s v="7. Analisar controlos e completude"/>
    <s v="NOK"/>
    <s v="Analisar controlos e completude"/>
    <m/>
    <x v="2"/>
    <d v="2024-06-07T00:00:00"/>
    <x v="5"/>
    <s v="NOK"/>
    <m/>
    <m/>
    <m/>
    <s v="Analisar controlos NOK"/>
    <s v="Y"/>
    <s v="N"/>
    <s v="N"/>
    <s v="N"/>
    <s v="N"/>
    <s v="N"/>
    <x v="0"/>
    <n v="0"/>
  </r>
  <r>
    <s v="PROTECTION"/>
    <s v="RL_ESTT_CLLTRL_LCTN"/>
    <x v="0"/>
    <s v="2. Alterar especificação"/>
    <s v="NOK"/>
    <s v="Alterados 3 casos. Campo está a devolver PT para todas as proteções, no entanto estas não estão localizadas em PT e alterou-se a localização para os respetivos paises."/>
    <m/>
    <x v="2"/>
    <d v="2024-06-07T00:00:00"/>
    <x v="2"/>
    <s v="NOK"/>
    <m/>
    <m/>
    <m/>
    <s v="Melhorias estruturais (garantir coerência entre campos)"/>
    <s v="Y"/>
    <s v="N"/>
    <s v="Y"/>
    <s v="N"/>
    <s v="Y"/>
    <s v="N"/>
    <x v="0"/>
    <n v="0"/>
  </r>
  <r>
    <s v="INSTRUMENT"/>
    <s v="CMPLNT_MRTR_C19_NM"/>
    <x v="1"/>
    <s v="9. Concluído"/>
    <s v="OK"/>
    <s v="Concluido, controlos OK"/>
    <m/>
    <x v="0"/>
    <d v="2024-06-07T00:00:00"/>
    <x v="0"/>
    <s v="OK"/>
    <m/>
    <m/>
    <m/>
    <s v="Campo concluido"/>
    <s v="Y"/>
    <s v="N"/>
    <s v="N"/>
    <s v="N"/>
    <s v="N"/>
    <s v="N"/>
    <x v="0"/>
    <n v="0"/>
  </r>
  <r>
    <s v="INSTRUMENT"/>
    <s v="CNSMPTN_FNRP18"/>
    <x v="1"/>
    <s v="9. Concluído"/>
    <s v="OK"/>
    <s v="Concluido, controlos OK"/>
    <m/>
    <x v="0"/>
    <d v="2024-06-07T00:00:00"/>
    <x v="0"/>
    <s v="OK"/>
    <m/>
    <m/>
    <m/>
    <s v="Campo concluido"/>
    <s v="Y"/>
    <s v="N"/>
    <s v="N"/>
    <s v="N"/>
    <s v="N"/>
    <s v="N"/>
    <x v="0"/>
    <n v="0"/>
  </r>
  <r>
    <s v="PROTECTION"/>
    <s v="DT_APPRSL_PRVS"/>
    <x v="0"/>
    <s v="5.2 Em testes - Incidência"/>
    <s v="NOK"/>
    <s v="Campo com incidência e controlos NOK"/>
    <s v="1) Campo com incidência, data igual à data da protection_vl 2) Alteração de formatos MISS"/>
    <x v="0"/>
    <d v="2025-01-13T00:00:00"/>
    <x v="0"/>
    <s v="OK"/>
    <s v="Alteraração da definição do campo no Guia da Corporação. Campo passou a reportar a data da avaliação completa anterior à data da última avaliação  completa._x000a_"/>
    <d v="2024-07-12T00:00:00"/>
    <d v="2024-12-20T00:00:00"/>
    <s v="Alteração de especificação por parte do BCE"/>
    <s v="Y"/>
    <s v="N"/>
    <s v="N"/>
    <s v="N"/>
    <s v="N"/>
    <s v="N"/>
    <x v="0"/>
    <n v="0"/>
  </r>
  <r>
    <s v="INSTRUMENT"/>
    <s v="CNTRCT_ID"/>
    <x v="0"/>
    <s v="9. Concluído"/>
    <s v="OK"/>
    <s v="Concluido, controlos OK"/>
    <m/>
    <x v="0"/>
    <d v="2024-06-07T00:00:00"/>
    <x v="0"/>
    <s v="OK"/>
    <m/>
    <m/>
    <m/>
    <s v="Campo concluido"/>
    <s v="Y"/>
    <s v="N"/>
    <s v="N"/>
    <s v="N"/>
    <s v="N"/>
    <s v="N"/>
    <x v="0"/>
    <n v="0"/>
  </r>
  <r>
    <s v="INSTRUMENT"/>
    <s v="CNTRCT_ID_BDR"/>
    <x v="1"/>
    <s v="9. Concluído"/>
    <s v="OK"/>
    <s v="Concluido, controlos OK"/>
    <m/>
    <x v="0"/>
    <d v="2024-06-07T00:00:00"/>
    <x v="0"/>
    <s v="OK"/>
    <m/>
    <m/>
    <m/>
    <s v="Campo concluido"/>
    <s v="Y"/>
    <s v="N"/>
    <s v="N"/>
    <s v="N"/>
    <s v="N"/>
    <s v="N"/>
    <x v="0"/>
    <n v="0"/>
  </r>
  <r>
    <s v="ENTITY"/>
    <s v="CNTRY"/>
    <x v="0"/>
    <s v="9. Concluído"/>
    <s v="OK"/>
    <s v="Concluido, controlos OK"/>
    <m/>
    <x v="0"/>
    <d v="2024-06-07T00:00:00"/>
    <x v="0"/>
    <s v="OK"/>
    <m/>
    <m/>
    <m/>
    <s v="Campo concluido"/>
    <s v="Y"/>
    <s v="N"/>
    <s v="Y"/>
    <s v="N"/>
    <s v="Y"/>
    <s v="Y"/>
    <x v="0"/>
    <s v="6.1. Fora âmbito | Campos concluídos - Sem necessidade de espec."/>
  </r>
  <r>
    <s v="ENTITY"/>
    <s v="COD_SOC"/>
    <x v="0"/>
    <s v="9. Concluído"/>
    <s v="OK"/>
    <s v="Concluido, controlos OK"/>
    <m/>
    <x v="0"/>
    <d v="2024-06-07T00:00:00"/>
    <x v="0"/>
    <s v="OK"/>
    <m/>
    <m/>
    <m/>
    <s v="Campo concluido"/>
    <s v="Y"/>
    <s v="N"/>
    <s v="Y"/>
    <s v="N"/>
    <s v="Y"/>
    <s v="Y"/>
    <x v="0"/>
    <s v="6.1. Fora âmbito | Campos concluídos - Sem necessidade de espec."/>
  </r>
  <r>
    <s v="INSTR_ENTITY"/>
    <s v="COD_SOC"/>
    <x v="0"/>
    <s v="9. Concluído"/>
    <s v="OK"/>
    <s v="Concluido, controlos OK"/>
    <m/>
    <x v="0"/>
    <d v="2024-06-07T00:00:00"/>
    <x v="0"/>
    <s v="OK"/>
    <m/>
    <m/>
    <m/>
    <s v="Campo concluido"/>
    <s v="Y"/>
    <s v="N"/>
    <s v="Y"/>
    <s v="N"/>
    <s v="N"/>
    <s v="Y"/>
    <x v="0"/>
    <s v="6.1. Fora âmbito | Campos concluídos - Sem necessidade de espec."/>
  </r>
  <r>
    <s v="INSTR_PROTECTION"/>
    <s v="COD_SOC"/>
    <x v="0"/>
    <s v="9. Concluído"/>
    <s v="OK"/>
    <s v="Concluido, controlos OK"/>
    <m/>
    <x v="0"/>
    <d v="2024-06-07T00:00:00"/>
    <x v="0"/>
    <s v="OK"/>
    <m/>
    <m/>
    <m/>
    <s v="Campo concluido"/>
    <s v="Y"/>
    <s v="Y"/>
    <s v="Y"/>
    <s v="N"/>
    <s v="N"/>
    <s v="N"/>
    <x v="0"/>
    <n v="0"/>
  </r>
  <r>
    <s v="INSTRUMENT"/>
    <s v="COD_SOC"/>
    <x v="0"/>
    <s v="9. Concluído"/>
    <s v="OK"/>
    <s v="Concluido, controlos OK"/>
    <m/>
    <x v="0"/>
    <d v="2024-06-07T00:00:00"/>
    <x v="0"/>
    <s v="OK"/>
    <m/>
    <m/>
    <m/>
    <s v="Campo concluido"/>
    <s v="Y"/>
    <s v="Y"/>
    <s v="Y"/>
    <s v="N"/>
    <s v="Y"/>
    <s v="Y"/>
    <x v="0"/>
    <s v="6.1. Fora âmbito | Campos concluídos - Sem necessidade de espec."/>
  </r>
  <r>
    <s v="PROTECTION"/>
    <s v="COD_SOC"/>
    <x v="0"/>
    <s v="9. Concluído"/>
    <s v="OK"/>
    <s v="Concluido, controlos OK"/>
    <m/>
    <x v="0"/>
    <d v="2024-06-07T00:00:00"/>
    <x v="0"/>
    <s v="OK"/>
    <m/>
    <m/>
    <m/>
    <s v="Campo concluido"/>
    <s v="Y"/>
    <s v="Y"/>
    <s v="Y"/>
    <s v="N"/>
    <s v="Y"/>
    <s v="N"/>
    <x v="0"/>
    <n v="0"/>
  </r>
  <r>
    <s v="INSTRUMENT"/>
    <s v="COD_SOC_INTRGRP"/>
    <x v="0"/>
    <s v="4.1 Em implementação - Re-especificação"/>
    <s v="NOK"/>
    <s v="Aguarda implementação de IT"/>
    <m/>
    <x v="2"/>
    <d v="2024-06-17T00:00:00"/>
    <x v="8"/>
    <s v="NOK"/>
    <m/>
    <d v="2024-01-12T00:00:00"/>
    <d v="2024-03-28T00:00:00"/>
    <s v="Novo campo"/>
    <s v="Y"/>
    <s v="Y"/>
    <s v="N"/>
    <s v="N"/>
    <s v="N"/>
    <s v="N"/>
    <x v="0"/>
    <n v="0"/>
  </r>
  <r>
    <s v="INSTRUMENT"/>
    <s v="CPN_CRRNCY"/>
    <x v="1"/>
    <s v="9. Concluído"/>
    <s v="OK"/>
    <s v="Concluido, controlos OK"/>
    <m/>
    <x v="0"/>
    <d v="2024-06-07T00:00:00"/>
    <x v="0"/>
    <s v="OK"/>
    <m/>
    <m/>
    <m/>
    <s v="Campo concluido"/>
    <s v="Y"/>
    <s v="N"/>
    <s v="N"/>
    <s v="N"/>
    <s v="N"/>
    <s v="N"/>
    <x v="0"/>
    <n v="0"/>
  </r>
  <r>
    <s v="INSTRUMENT"/>
    <s v="CPN_RT_FXD"/>
    <x v="1"/>
    <s v="9. Concluído"/>
    <s v="OK"/>
    <s v="Concluido, controlos OK"/>
    <m/>
    <x v="0"/>
    <d v="2024-06-07T00:00:00"/>
    <x v="0"/>
    <s v="OK"/>
    <m/>
    <m/>
    <m/>
    <s v="Campo concluido"/>
    <s v="Y"/>
    <s v="N"/>
    <s v="N"/>
    <s v="N"/>
    <s v="N"/>
    <s v="N"/>
    <x v="0"/>
    <n v="0"/>
  </r>
  <r>
    <s v="ENTITY"/>
    <s v="CR_FLG"/>
    <x v="1"/>
    <s v="7. Analisar controlos e completude"/>
    <s v="NOK"/>
    <s v="Controlos NOK"/>
    <m/>
    <x v="2"/>
    <d v="2024-06-07T00:00:00"/>
    <x v="5"/>
    <s v="NOK"/>
    <m/>
    <m/>
    <m/>
    <s v="Analisar controlos NOK"/>
    <s v="Y"/>
    <s v="N"/>
    <s v="N"/>
    <s v="N"/>
    <s v="N"/>
    <s v="N"/>
    <x v="0"/>
    <n v="0"/>
  </r>
  <r>
    <s v="INSTRUMENT"/>
    <s v="CRE_FNRP18"/>
    <x v="0"/>
    <s v="9. Concluído"/>
    <s v="OK"/>
    <s v="Concluido, controlos OK"/>
    <m/>
    <x v="0"/>
    <d v="2024-06-07T00:00:00"/>
    <x v="0"/>
    <s v="OK"/>
    <m/>
    <m/>
    <m/>
    <s v="Campo concluido"/>
    <s v="Y"/>
    <s v="N"/>
    <s v="N"/>
    <s v="N"/>
    <s v="N"/>
    <s v="N"/>
    <x v="0"/>
    <n v="0"/>
  </r>
  <r>
    <s v="PROTECTION"/>
    <s v="CRE_INCM_CRRNCY"/>
    <x v="1"/>
    <s v="8. Concluído - sem dados"/>
    <s v="NOK"/>
    <s v="Campo sem mapeamento, para análise da área  de Riscos"/>
    <m/>
    <x v="0"/>
    <d v="2024-06-07T00:00:00"/>
    <x v="6"/>
    <s v="NOK"/>
    <m/>
    <m/>
    <m/>
    <s v="Campo concluído, mas sem ou pouca informação na fonte"/>
    <s v="Y"/>
    <s v="N"/>
    <s v="N"/>
    <s v="N"/>
    <s v="N"/>
    <s v="N"/>
    <x v="0"/>
    <n v="0"/>
  </r>
  <r>
    <s v="PROTECTION"/>
    <s v="CRE_YRLY_EXPNSS"/>
    <x v="1"/>
    <s v="8. Concluído - sem dados"/>
    <s v="OK"/>
    <s v="Campo sem mapeamento, para análise da área  de Riscos"/>
    <m/>
    <x v="0"/>
    <d v="2024-06-07T00:00:00"/>
    <x v="6"/>
    <s v="OK"/>
    <m/>
    <m/>
    <m/>
    <s v="Campo concluído, mas sem ou pouca informação na fonte"/>
    <s v="Y"/>
    <s v="N"/>
    <s v="N"/>
    <s v="N"/>
    <s v="N"/>
    <s v="N"/>
    <x v="0"/>
    <n v="0"/>
  </r>
  <r>
    <s v="PROTECTION"/>
    <s v="CRE_YRLY_INCM"/>
    <x v="1"/>
    <s v="8. Concluído - sem dados"/>
    <s v="OK"/>
    <s v="Campo sem mapeamento, para análise da área  de Riscos"/>
    <m/>
    <x v="0"/>
    <d v="2024-06-07T00:00:00"/>
    <x v="6"/>
    <s v="OK"/>
    <m/>
    <m/>
    <m/>
    <s v="Campo concluído, mas sem ou pouca informação na fonte"/>
    <s v="Y"/>
    <s v="N"/>
    <s v="N"/>
    <s v="N"/>
    <s v="N"/>
    <s v="N"/>
    <x v="0"/>
    <n v="0"/>
  </r>
  <r>
    <s v="INSTRUMENT"/>
    <s v="CRRLTN_CFFCNT"/>
    <x v="1"/>
    <s v="7. Analisar controlos e completude"/>
    <s v="NOK"/>
    <s v="Controlos NOK"/>
    <m/>
    <x v="2"/>
    <d v="2024-06-07T00:00:00"/>
    <x v="5"/>
    <s v="NOK"/>
    <m/>
    <m/>
    <m/>
    <s v="Analisar controlos NOK"/>
    <s v="Y"/>
    <s v="N"/>
    <s v="N"/>
    <s v="N"/>
    <s v="N"/>
    <s v="N"/>
    <x v="0"/>
    <n v="0"/>
  </r>
  <r>
    <s v="INSTRUMENT"/>
    <s v="CRRNCY_DNMNTN"/>
    <x v="0"/>
    <s v="9. Concluído"/>
    <s v="OK"/>
    <s v="Concluido, controlos OK"/>
    <m/>
    <x v="0"/>
    <d v="2024-06-07T00:00:00"/>
    <x v="0"/>
    <s v="OK"/>
    <m/>
    <m/>
    <m/>
    <s v="Campo concluido"/>
    <s v="Y"/>
    <s v="N"/>
    <s v="N"/>
    <s v="N"/>
    <s v="N"/>
    <s v="Y"/>
    <x v="0"/>
    <s v="6.1. Fora âmbito | Campos concluídos - Sem necessidade de espec."/>
  </r>
  <r>
    <s v="INSTRUMENT"/>
    <s v="CRRYNG_AMNT_INSTRMNT"/>
    <x v="0"/>
    <s v="9. Concluído"/>
    <s v="OK"/>
    <s v="Concluido, controlos OK"/>
    <m/>
    <x v="0"/>
    <d v="2024-06-07T00:00:00"/>
    <x v="0"/>
    <s v="OK"/>
    <m/>
    <m/>
    <m/>
    <s v="Campo concluido"/>
    <s v="Y"/>
    <s v="N"/>
    <s v="N"/>
    <s v="N"/>
    <s v="N"/>
    <s v="Y"/>
    <x v="0"/>
    <s v="6.1. Fora âmbito | Campos concluídos - Sem necessidade de espec."/>
  </r>
  <r>
    <s v="ENTITY"/>
    <s v="CSH"/>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N"/>
    <x v="0"/>
    <n v="0"/>
  </r>
  <r>
    <s v="ENTITY"/>
    <s v="CSH_PRVS"/>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N"/>
    <x v="0"/>
    <n v="0"/>
  </r>
  <r>
    <s v="INSTRUMENT"/>
    <s v="CSH_SWP_TRP"/>
    <x v="0"/>
    <s v="9. Concluído"/>
    <s v="OK"/>
    <s v="Concluido, controlos OK"/>
    <m/>
    <x v="0"/>
    <d v="2024-06-07T00:00:00"/>
    <x v="0"/>
    <s v="OK"/>
    <m/>
    <m/>
    <m/>
    <s v="Campo concluido"/>
    <s v="Y"/>
    <s v="N"/>
    <s v="N"/>
    <s v="N"/>
    <s v="N"/>
    <s v="Y"/>
    <x v="0"/>
    <s v="6.1. Fora âmbito | Campos concluídos - Sem necessidade de espec."/>
  </r>
  <r>
    <s v="INSTRUMENT"/>
    <s v="CVNNT_STTS"/>
    <x v="1"/>
    <s v="8. Concluído - sem dados"/>
    <s v="OK"/>
    <s v="Campo especificado, mas sem dados. Campo marcado com MISS ou NA"/>
    <m/>
    <x v="0"/>
    <d v="2024-06-07T00:00:00"/>
    <x v="6"/>
    <s v="OK"/>
    <m/>
    <m/>
    <m/>
    <s v="Campo concluído, mas sem ou pouca informação na fonte"/>
    <s v="Y"/>
    <s v="N"/>
    <s v="N"/>
    <s v="N"/>
    <s v="N"/>
    <s v="Y"/>
    <x v="2"/>
    <s v="6.3. Fora âmbito | Fonte Manual LF"/>
  </r>
  <r>
    <s v="INSTRUMENT"/>
    <s v="CVNNT_TYP"/>
    <x v="1"/>
    <s v="9. Concluído"/>
    <s v="OK"/>
    <s v="Concluido, controlos OK"/>
    <m/>
    <x v="0"/>
    <d v="2024-06-07T00:00:00"/>
    <x v="0"/>
    <s v="OK"/>
    <m/>
    <m/>
    <m/>
    <s v="Campo concluido"/>
    <s v="Y"/>
    <s v="N"/>
    <s v="N"/>
    <s v="N"/>
    <s v="N"/>
    <s v="Y"/>
    <x v="2"/>
    <s v="6.3. Fora âmbito | Fonte Manual LF"/>
  </r>
  <r>
    <s v="ENTITY"/>
    <s v="DBT_RPYMNT_CPCTY_SNR_DBT"/>
    <x v="1"/>
    <s v="8. Concluído - sem dados"/>
    <s v="OK"/>
    <s v="Campo especificado, mas sem dados. Campo marcado com MISS ou NA"/>
    <m/>
    <x v="0"/>
    <d v="2024-06-07T00:00:00"/>
    <x v="6"/>
    <s v="OK"/>
    <m/>
    <m/>
    <m/>
    <s v="Campo concluído, mas sem ou pouca informação na fonte"/>
    <s v="Y"/>
    <s v="N"/>
    <s v="N"/>
    <s v="N"/>
    <s v="N"/>
    <s v="Y"/>
    <x v="2"/>
    <s v="6.3. Fora âmbito | Fonte Manual LF"/>
  </r>
  <r>
    <s v="ENTITY"/>
    <s v="DBT_RPYMNT_CPCTY_TTL"/>
    <x v="1"/>
    <s v="9. Concluído"/>
    <s v="OK"/>
    <s v="Concluido, controlos OK"/>
    <m/>
    <x v="0"/>
    <d v="2024-06-07T00:00:00"/>
    <x v="0"/>
    <s v="OK"/>
    <m/>
    <m/>
    <m/>
    <s v="Campo concluido"/>
    <s v="Y"/>
    <s v="N"/>
    <s v="N"/>
    <s v="N"/>
    <s v="N"/>
    <s v="Y"/>
    <x v="0"/>
    <s v="6.1. Fora âmbito | Campos concluídos - Sem necessidade de espec."/>
  </r>
  <r>
    <s v="ENTITY"/>
    <s v="DBT_SRVC_RT"/>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N"/>
    <x v="0"/>
    <n v="0"/>
  </r>
  <r>
    <s v="ENTITY"/>
    <s v="DBT_SRVC_RT_12M"/>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N"/>
    <x v="0"/>
    <n v="0"/>
  </r>
  <r>
    <s v="INSTRUMENT"/>
    <s v="DBT_YLD"/>
    <x v="1"/>
    <s v="8. Concluído - sem dados"/>
    <s v="OK"/>
    <s v="Concluido, controlos OK"/>
    <m/>
    <x v="0"/>
    <d v="2024-06-07T00:00:00"/>
    <x v="6"/>
    <s v="OK"/>
    <m/>
    <m/>
    <m/>
    <s v="Campo concluído, mas sem ou pouca informação na fonte"/>
    <s v="Y"/>
    <s v="N"/>
    <s v="N"/>
    <s v="N"/>
    <s v="N"/>
    <s v="N"/>
    <x v="0"/>
    <n v="0"/>
  </r>
  <r>
    <s v="ENTITY"/>
    <s v="DCSD"/>
    <x v="1"/>
    <s v="9. Concluído"/>
    <s v="OK"/>
    <s v="Concluido, controlos OK"/>
    <m/>
    <x v="0"/>
    <d v="2024-06-07T00:00:00"/>
    <x v="0"/>
    <s v="OK"/>
    <m/>
    <m/>
    <m/>
    <s v="Campo concluido"/>
    <s v="Y"/>
    <s v="N"/>
    <s v="N"/>
    <s v="N"/>
    <s v="N"/>
    <s v="N"/>
    <x v="0"/>
    <n v="0"/>
  </r>
  <r>
    <s v="ENTITY"/>
    <s v="DFLT_STTS"/>
    <x v="0"/>
    <s v="3. Pendente de decisão"/>
    <s v="NOK"/>
    <s v="Alterar especificação  caso a LT passe a reportar os 1os titulares da Contabilidade."/>
    <s v="Na OSI foram reportados os 1os titulares da Contabilidade, o que para alguns casos, são diferentes do que está na CL01. Apenas será necessário ajustar este campo caso a LT passe a reportar os 1os titulares da Contabilidade. Campo com incidência: Para os casos em que o cliente tem operações titularizadas (flag consumo capital = 0) e tem pelo menos uma não titularizada (N/A), a LT está atualmente a reporta N/A."/>
    <x v="1"/>
    <d v="2024-06-07T00:00:00"/>
    <x v="4"/>
    <s v="NOK"/>
    <m/>
    <m/>
    <m/>
    <s v="Pendente de decisão"/>
    <s v="Y"/>
    <s v="N"/>
    <s v="N"/>
    <s v="N"/>
    <s v="N"/>
    <s v="Y"/>
    <x v="1"/>
    <s v="5. Campos com outras possíveis alterações - Dependente de decisões OSI "/>
  </r>
  <r>
    <s v="INSTRUMENT"/>
    <s v="RFNNC_PRPS"/>
    <x v="0"/>
    <s v="2. Alterar especificação"/>
    <s v="OK"/>
    <s v="Alterar especificação. Campo depende do FRBRNC_STTS_INSTRMNT"/>
    <s v="Sempre que o campo FRBRNC_STTS_INSTRMNT =3 o campo RFNNC_PRPS deve estar marcado como Y. Reespecificar, implementar e testar."/>
    <x v="2"/>
    <d v="2024-06-07T00:00:00"/>
    <x v="2"/>
    <s v="OK"/>
    <m/>
    <m/>
    <m/>
    <s v="Melhorias estruturais (garantir coerência entre campos)"/>
    <s v="Y"/>
    <s v="N"/>
    <s v="N"/>
    <s v="N"/>
    <s v="N"/>
    <s v="N"/>
    <x v="0"/>
    <n v="0"/>
  </r>
  <r>
    <s v="INSTRUMENT"/>
    <s v="DPD"/>
    <x v="0"/>
    <s v="7. Analisar controlos e completude"/>
    <s v="NOK"/>
    <s v="Controlos NOK"/>
    <m/>
    <x v="2"/>
    <d v="2024-06-07T00:00:00"/>
    <x v="5"/>
    <s v="NOK"/>
    <m/>
    <m/>
    <m/>
    <s v="Analisar controlos NOK"/>
    <s v="Y"/>
    <s v="N"/>
    <s v="N"/>
    <s v="N"/>
    <s v="N"/>
    <s v="Y"/>
    <x v="1"/>
    <s v="4. Campos com NOK controlos Corporativos"/>
  </r>
  <r>
    <s v="INSTRUMENT"/>
    <s v="DPD_12M"/>
    <x v="0"/>
    <s v="7. Analisar controlos e completude"/>
    <s v="NOK"/>
    <s v="Controlos NOK"/>
    <m/>
    <x v="2"/>
    <d v="2024-06-07T00:00:00"/>
    <x v="5"/>
    <s v="NOK"/>
    <m/>
    <m/>
    <m/>
    <s v="Analisar controlos NOK"/>
    <s v="Y"/>
    <s v="N"/>
    <s v="N"/>
    <s v="N"/>
    <s v="N"/>
    <s v="N"/>
    <x v="0"/>
    <n v="0"/>
  </r>
  <r>
    <s v="INSTRUMENT"/>
    <s v="DPD_12M_FRBRNC_STTS"/>
    <x v="0"/>
    <s v="5.1 Em testes - Re-especificação"/>
    <s v="NOK"/>
    <s v="Em testes. Campo depende do FRBRNC_STTS que está com incidência nos formatos. Não é necessário alterar a especificação do mesmo, apenas testar quando o campo FRBRNC_STTS estiver corrigido."/>
    <m/>
    <x v="2"/>
    <d v="2024-06-07T00:00:00"/>
    <x v="8"/>
    <s v="NOK"/>
    <m/>
    <d v="2022-04-28T00:00:00"/>
    <d v="2022-05-19T00:00:00"/>
    <s v="Melhorias estruturais (garantir coerência entre campos)"/>
    <s v="Y"/>
    <s v="N"/>
    <s v="N"/>
    <s v="N"/>
    <s v="N"/>
    <s v="N"/>
    <x v="0"/>
    <n v="0"/>
  </r>
  <r>
    <s v="INSTRUMENT"/>
    <s v="DPD_12M_PRFRMNG_STTS"/>
    <x v="0"/>
    <s v="5.1 Em testes - Re-especificação"/>
    <s v="NOK"/>
    <s v="Campo depende do histórico do PRFRMNG_STTS. Não é necessário alterar a especificação do mesmo, apenas testar se a metodologia do campo PRFRMNG_STTS for alterada."/>
    <m/>
    <x v="1"/>
    <d v="2025-01-13T00:00:00"/>
    <x v="8"/>
    <s v="OK"/>
    <s v="Alteração da fonte das tabela de Imparidade Reporting para as 8_7 e alteração da data a partir da qual a fonte passa a ser as tabelas de Contabilidade ( 2019 para Dez 2022)"/>
    <d v="2024-09-27T00:00:00"/>
    <m/>
    <s v="Pendente de decisão"/>
    <s v="Y"/>
    <s v="N"/>
    <s v="N"/>
    <s v="N"/>
    <s v="N"/>
    <s v="N"/>
    <x v="0"/>
    <n v="0"/>
  </r>
  <r>
    <s v="INSTRUMENT"/>
    <s v="DPD_24M_FRBRNC_STTS"/>
    <x v="0"/>
    <s v="7. Analisar controlos e completude"/>
    <s v="NOK"/>
    <s v="Controlos NOK"/>
    <m/>
    <x v="2"/>
    <d v="2024-06-07T00:00:00"/>
    <x v="5"/>
    <s v="NOK"/>
    <m/>
    <m/>
    <m/>
    <s v="Analisar controlos NOK"/>
    <s v="Y"/>
    <s v="N"/>
    <s v="N"/>
    <s v="N"/>
    <s v="N"/>
    <s v="N"/>
    <x v="0"/>
    <n v="0"/>
  </r>
  <r>
    <s v="INSTRUMENT"/>
    <s v="DPD_24M_PRFRMNG_STTS"/>
    <x v="0"/>
    <s v="5.1 Em testes - Re-especificação"/>
    <s v="NOK"/>
    <s v="Em testes. Campo depende do campo PRFRMNG_STTS. Não é necessário alterar a especificação do mesmo, apenas testar  se o campo PRFRMNG_STTS for alterado."/>
    <m/>
    <x v="1"/>
    <d v="2025-01-13T00:00:00"/>
    <x v="8"/>
    <s v="OK"/>
    <s v="Alteração da fonte das tabela de Imparidade Reporting para as 8_7 e alteração da data a partir da qual a fonte passa a ser as tabelas de Contabilidade ( 2019 para Dez 2022)"/>
    <d v="2024-09-27T00:00:00"/>
    <m/>
    <s v="Pendente de decisão"/>
    <s v="Y"/>
    <s v="N"/>
    <s v="N"/>
    <s v="N"/>
    <s v="N"/>
    <s v="N"/>
    <x v="0"/>
    <n v="0"/>
  </r>
  <r>
    <s v="INSTRUMENT"/>
    <s v="DPD_FRBRNC_STTS"/>
    <x v="0"/>
    <s v="7. Analisar controlos e completude"/>
    <s v="NOK"/>
    <s v="Controlos NOK"/>
    <m/>
    <x v="2"/>
    <d v="2024-06-07T00:00:00"/>
    <x v="5"/>
    <s v="NOK"/>
    <m/>
    <m/>
    <m/>
    <s v="Analisar controlos NOK"/>
    <s v="Y"/>
    <s v="N"/>
    <s v="N"/>
    <s v="N"/>
    <s v="N"/>
    <s v="N"/>
    <x v="0"/>
    <n v="0"/>
  </r>
  <r>
    <s v="INSTRUMENT"/>
    <s v="DPD_PRFRMNG_STTS"/>
    <x v="0"/>
    <s v="5.1 Em testes - Re-especificação"/>
    <s v="OK"/>
    <s v="Em testes. Campo depende do campo PRFRMNG_STTS. Não é necessário alterar a especificação do mesmo, apenas testar  se o campo PRFRMNG_STTS for alterado."/>
    <m/>
    <x v="1"/>
    <d v="2025-01-13T00:00:00"/>
    <x v="8"/>
    <s v="OK"/>
    <s v="Alteração da fonte das tabela de Imparidade Reporting para as 8_7 e alteração da data a partir da qual a fonte passa a ser as tabelas de Contabilidade ( 2019 para Dez 2022)"/>
    <d v="2024-09-27T00:00:00"/>
    <m/>
    <s v="Pendente de decisão"/>
    <s v="Y"/>
    <s v="N"/>
    <s v="N"/>
    <s v="N"/>
    <s v="N"/>
    <s v="N"/>
    <x v="0"/>
    <n v="0"/>
  </r>
  <r>
    <s v="INSTRUMENT"/>
    <s v="DSTI"/>
    <x v="1"/>
    <s v="1. Especificar"/>
    <s v="OK"/>
    <s v="Em especificação (Campos Novos)"/>
    <m/>
    <x v="2"/>
    <d v="2024-06-07T00:00:00"/>
    <x v="3"/>
    <s v="OK"/>
    <m/>
    <m/>
    <m/>
    <s v="Novo campo"/>
    <s v="Y"/>
    <s v="N"/>
    <s v="N"/>
    <s v="N"/>
    <s v="N"/>
    <s v="N"/>
    <x v="0"/>
    <n v="0"/>
  </r>
  <r>
    <s v="PROTECTION"/>
    <s v="TYP_PRTCTN"/>
    <x v="0"/>
    <s v="2. Alterar especificação"/>
    <s v="NOK"/>
    <s v="Alterar especificação (alteração da fonte para MUG)"/>
    <s v="Campo depende do campo 'cgarant' do MUG"/>
    <x v="0"/>
    <d v="2025-01-13T00:00:00"/>
    <x v="0"/>
    <s v="OK"/>
    <s v="Alteração de especificação com base no campo cgarant_bem e cgarant_rpt do MUG. Controlo NOK - A Corporação ajustou o controlo e estes casos passarão a estar OK_x000a_"/>
    <d v="2024-07-19T00:00:00"/>
    <d v="2024-12-20T00:00:00"/>
    <s v="Necessidade de correção de erros"/>
    <s v="Y"/>
    <s v="Y"/>
    <s v="Y"/>
    <s v="N"/>
    <s v="Y"/>
    <s v="N"/>
    <x v="0"/>
    <n v="0"/>
  </r>
  <r>
    <s v="ENTITY"/>
    <s v="DT_BRTH"/>
    <x v="1"/>
    <s v="7. Analisar controlos e completude"/>
    <s v="NOK"/>
    <s v="Controlos NOK"/>
    <m/>
    <x v="2"/>
    <d v="2024-06-07T00:00:00"/>
    <x v="5"/>
    <s v="NOK"/>
    <m/>
    <m/>
    <m/>
    <s v="Analisar controlos NOK"/>
    <s v="Y"/>
    <s v="N"/>
    <s v="N"/>
    <s v="N"/>
    <s v="N"/>
    <s v="N"/>
    <x v="0"/>
    <n v="0"/>
  </r>
  <r>
    <s v="INSTRUMENT"/>
    <s v="DT_CMPLNT_MRTR_STTS_C19"/>
    <x v="1"/>
    <s v="9. Concluído"/>
    <s v="OK"/>
    <s v="Concluido, controlos OK"/>
    <m/>
    <x v="0"/>
    <d v="2024-06-07T00:00:00"/>
    <x v="0"/>
    <s v="OK"/>
    <m/>
    <m/>
    <m/>
    <s v="Campo concluido"/>
    <s v="Y"/>
    <s v="N"/>
    <s v="N"/>
    <s v="N"/>
    <s v="N"/>
    <s v="N"/>
    <x v="0"/>
    <n v="0"/>
  </r>
  <r>
    <s v="INSTRUMENT"/>
    <s v="DT_CMPLNT_MRTR_STTS_PRVS_C19"/>
    <x v="1"/>
    <s v="9. Concluído"/>
    <s v="OK"/>
    <s v="Concluido, controlos OK"/>
    <m/>
    <x v="0"/>
    <d v="2024-06-07T00:00:00"/>
    <x v="0"/>
    <s v="OK"/>
    <m/>
    <m/>
    <m/>
    <s v="Campo concluido"/>
    <s v="Y"/>
    <s v="N"/>
    <s v="N"/>
    <s v="N"/>
    <s v="N"/>
    <s v="N"/>
    <x v="0"/>
    <n v="0"/>
  </r>
  <r>
    <s v="PROTECTION"/>
    <s v="DT_PRTCTN_VL"/>
    <x v="0"/>
    <s v="5.2 Em testes - Incidência"/>
    <s v="NOK"/>
    <s v="Campo com incidência e controlos NOK. "/>
    <s v="Alteração formato de 0001-01-01 para 0000-00-00"/>
    <x v="0"/>
    <d v="2025-01-13T00:00:00"/>
    <x v="0"/>
    <s v="OK"/>
    <s v="Incidência corrigida. Especificação alterada para campo da GT018, de modo a estar coerente com a especificação do campo PRTCTN_VL_x000a_Controlo NOK (ver caderno de testes a 03/12/2023)"/>
    <d v="2024-07-19T00:00:00"/>
    <d v="2024-12-20T00:00:00"/>
    <s v="Necessidade de correção de erros"/>
    <s v="Y"/>
    <s v="N"/>
    <s v="N"/>
    <s v="N"/>
    <s v="N"/>
    <s v="N"/>
    <x v="0"/>
    <n v="0"/>
  </r>
  <r>
    <s v="ENTITY"/>
    <s v="DT_DFLT_STTS"/>
    <x v="0"/>
    <s v="3. Pendente de decisão"/>
    <s v="NOK"/>
    <s v="Alterar especificação  caso a LT passe a reportar os 1os titulares da Contabilidade."/>
    <s v="Na OSI foram reportados os 1os titulares da Contabilidade, o que para alguns casos, são diferentes do que está na CL01. Apenas será necessário ajustar este campo caso a LT passe a reportar os 1os titulares da Contabilidade."/>
    <x v="1"/>
    <d v="2024-06-07T00:00:00"/>
    <x v="4"/>
    <s v="NOK"/>
    <m/>
    <m/>
    <m/>
    <s v="Pendente de decisão"/>
    <s v="Y"/>
    <s v="N"/>
    <s v="N"/>
    <s v="N"/>
    <s v="N"/>
    <s v="Y"/>
    <x v="1"/>
    <s v="5. Campos com outras possíveis alterações - Dependente de decisões OSI "/>
  </r>
  <r>
    <s v="INSTRUMENT"/>
    <s v="DT_DFLT_STTS_INSTRMNT"/>
    <x v="0"/>
    <s v="5.2 Em testes - Incidência"/>
    <s v="NOK"/>
    <s v="Campo com incidência. É necessário adicionar a data de inception sempre que os contratos não estejam em default_x000a_Campo entregue por IT durante a OSI, no entanto foi detatada a incidência identificada supra"/>
    <s v="Na OSI foram reportados os 1os titulares da Contabilidade, o que para alguns casos, são diferentes do que está na CL01. Apenas será necessário ajustar este campo caso a LT passe a reportar os 1os titulares da Contabilidade."/>
    <x v="2"/>
    <d v="2024-06-07T00:00:00"/>
    <x v="1"/>
    <s v="NOK"/>
    <m/>
    <m/>
    <m/>
    <s v="Melhorias estruturais (garantir coerência entre campos)"/>
    <s v="Y"/>
    <s v="N"/>
    <s v="N"/>
    <s v="N"/>
    <s v="N"/>
    <s v="Y"/>
    <x v="1"/>
    <s v="3. Campos em testes ou c/ incidências"/>
  </r>
  <r>
    <s v="INSTRUMENT"/>
    <s v="DT_END_GP_PPAL"/>
    <x v="0"/>
    <s v="7. Analisar controlos e completude"/>
    <s v="NOK"/>
    <s v="Controlos NOK"/>
    <m/>
    <x v="2"/>
    <d v="2024-06-07T00:00:00"/>
    <x v="5"/>
    <s v="NOK"/>
    <m/>
    <m/>
    <m/>
    <s v="Analisar controlos NOK"/>
    <s v="Y"/>
    <s v="N"/>
    <s v="N"/>
    <s v="N"/>
    <s v="N"/>
    <s v="N"/>
    <x v="0"/>
    <n v="0"/>
  </r>
  <r>
    <s v="INSTRUMENT"/>
    <s v="DT_END_GP_PPAL_C19"/>
    <x v="1"/>
    <s v="9. Concluído"/>
    <s v="OK"/>
    <s v="Concluido, controlos OK"/>
    <m/>
    <x v="0"/>
    <d v="2024-06-07T00:00:00"/>
    <x v="0"/>
    <s v="OK"/>
    <m/>
    <m/>
    <m/>
    <s v="Campo concluido"/>
    <s v="Y"/>
    <s v="N"/>
    <s v="N"/>
    <s v="N"/>
    <s v="N"/>
    <s v="N"/>
    <x v="0"/>
    <n v="0"/>
  </r>
  <r>
    <s v="INSTRUMENT"/>
    <s v="DT_END_INTRST_ONLY"/>
    <x v="0"/>
    <s v="7. Analisar controlos e completude"/>
    <s v="NOK"/>
    <s v="Controlos NOK"/>
    <m/>
    <x v="2"/>
    <d v="2024-06-07T00:00:00"/>
    <x v="5"/>
    <s v="NOK"/>
    <m/>
    <m/>
    <m/>
    <s v="Analisar controlos NOK"/>
    <s v="Y"/>
    <s v="N"/>
    <s v="N"/>
    <s v="N"/>
    <s v="N"/>
    <s v="N"/>
    <x v="0"/>
    <n v="0"/>
  </r>
  <r>
    <s v="INSTRUMENT"/>
    <s v="DT_END_INTRST_ONLY_C19"/>
    <x v="1"/>
    <s v="9. Concluído"/>
    <s v="OK"/>
    <s v="Concluido, controlos OK"/>
    <m/>
    <x v="0"/>
    <d v="2024-06-07T00:00:00"/>
    <x v="0"/>
    <s v="OK"/>
    <m/>
    <m/>
    <m/>
    <s v="Campo concluido"/>
    <s v="Y"/>
    <s v="N"/>
    <s v="N"/>
    <s v="N"/>
    <s v="N"/>
    <s v="N"/>
    <x v="0"/>
    <n v="0"/>
  </r>
  <r>
    <s v="PROTECTION"/>
    <s v="CNSTRCTN_STTS"/>
    <x v="1"/>
    <s v="2. Alterar especificação"/>
    <s v="NOK"/>
    <s v="Campo dependente do MUG"/>
    <s v="Campo depende do campo 'cgarant' do MUG"/>
    <x v="0"/>
    <d v="2025-01-13T00:00:00"/>
    <x v="0"/>
    <s v="OK"/>
    <m/>
    <d v="2024-08-09T00:00:00"/>
    <d v="2024-12-20T00:00:00"/>
    <s v="Necessidade de correção de erros"/>
    <s v="Y"/>
    <s v="N"/>
    <s v="N"/>
    <s v="N"/>
    <s v="N"/>
    <s v="N"/>
    <x v="0"/>
    <n v="0"/>
  </r>
  <r>
    <s v="ENTITY"/>
    <s v="DT_FNNCL_STTMTS"/>
    <x v="0"/>
    <s v="2. Alterar especificação"/>
    <s v="NOK"/>
    <s v="Em especificação (Financial Statments CIB)"/>
    <s v="Campo implementação, mas com falta de informação para o segmento de clientes CIB"/>
    <x v="2"/>
    <d v="2024-06-07T00:00:00"/>
    <x v="2"/>
    <s v="NOK"/>
    <m/>
    <m/>
    <m/>
    <s v="Melhorias estruturais (garantir coerência entre campos)"/>
    <s v="Y"/>
    <s v="N"/>
    <s v="N"/>
    <s v="N"/>
    <s v="N"/>
    <s v="Y"/>
    <x v="2"/>
    <s v="6.4. Fora âmbito | Re-especificação de campos complexos - Dem. Fin. CIB"/>
  </r>
  <r>
    <s v="ENTITY"/>
    <s v="DT_FNNCL_STTMTS_PRVS"/>
    <x v="0"/>
    <s v="2. Alterar especificação"/>
    <s v="NOK"/>
    <s v="Em especificação (Financial Statments CIB)"/>
    <s v="Campo implementação, mas com falta de informação para o segmento de clientes CIB"/>
    <x v="2"/>
    <d v="2024-06-07T00:00:00"/>
    <x v="2"/>
    <s v="NOK"/>
    <m/>
    <m/>
    <m/>
    <s v="Melhorias estruturais (garantir coerência entre campos)"/>
    <s v="Y"/>
    <s v="N"/>
    <s v="N"/>
    <s v="N"/>
    <s v="N"/>
    <s v="Y"/>
    <x v="2"/>
    <s v="6.4. Fora âmbito | Re-especificação de campos complexos - Dem. Fin. CIB"/>
  </r>
  <r>
    <s v="INSTRUMENT"/>
    <s v="RCVD_INTRST_24M"/>
    <x v="0"/>
    <s v="2. Alterar especificação"/>
    <s v="OK"/>
    <s v="Em especificação (Amortizações Capital/ Juros). Campo com dados mas pouca qualidade"/>
    <m/>
    <x v="2"/>
    <d v="2024-06-07T00:00:00"/>
    <x v="2"/>
    <s v="OK"/>
    <m/>
    <m/>
    <m/>
    <s v="Melhorias estruturais (garantir coerência entre campos)"/>
    <s v="Y"/>
    <s v="N"/>
    <s v="N"/>
    <s v="N"/>
    <s v="N"/>
    <s v="Y"/>
    <x v="1"/>
    <s v="2.2 Re-especificação de campos complexos - Resto"/>
  </r>
  <r>
    <s v="INSTRUMENT"/>
    <s v="DT_FRBRNC_STTS_C19"/>
    <x v="1"/>
    <s v="9. Concluído"/>
    <s v="OK"/>
    <s v="Concluido, controlos OK"/>
    <m/>
    <x v="0"/>
    <d v="2024-06-07T00:00:00"/>
    <x v="0"/>
    <s v="OK"/>
    <m/>
    <m/>
    <m/>
    <s v="Campo concluido"/>
    <s v="Y"/>
    <s v="N"/>
    <s v="N"/>
    <s v="N"/>
    <s v="N"/>
    <s v="N"/>
    <x v="0"/>
    <n v="0"/>
  </r>
  <r>
    <s v="INSTRUMENT"/>
    <s v="RCVD_INTRST_12M"/>
    <x v="0"/>
    <s v="2. Alterar especificação"/>
    <s v="NOK"/>
    <s v="Em especificação (Amortizações Capital/ Juros)"/>
    <m/>
    <x v="2"/>
    <d v="2024-06-07T00:00:00"/>
    <x v="2"/>
    <s v="NOK"/>
    <m/>
    <m/>
    <m/>
    <s v="Melhorias estruturais (garantir coerência entre campos)"/>
    <s v="Y"/>
    <s v="N"/>
    <s v="N"/>
    <s v="N"/>
    <s v="N"/>
    <s v="Y"/>
    <x v="1"/>
    <s v="2.2 Re-especificação de campos complexos - Resto"/>
  </r>
  <r>
    <s v="INSTRUMENT"/>
    <s v="DT_FRBRNC_STTS_PRVS_C19"/>
    <x v="1"/>
    <s v="9. Concluído"/>
    <s v="OK"/>
    <s v="Concluido, controlos OK"/>
    <m/>
    <x v="0"/>
    <d v="2024-06-07T00:00:00"/>
    <x v="0"/>
    <s v="OK"/>
    <m/>
    <m/>
    <m/>
    <s v="Campo concluido"/>
    <s v="Y"/>
    <s v="N"/>
    <s v="N"/>
    <s v="N"/>
    <s v="N"/>
    <s v="N"/>
    <x v="0"/>
    <n v="0"/>
  </r>
  <r>
    <s v="PROTECTION"/>
    <s v="DT_FRST_USG"/>
    <x v="1"/>
    <s v="7. Analisar controlos e completude"/>
    <s v="NOK"/>
    <s v="Controlos NOK por parte de Riscos"/>
    <m/>
    <x v="2"/>
    <d v="2024-06-07T00:00:00"/>
    <x v="5"/>
    <s v="NOK"/>
    <m/>
    <m/>
    <m/>
    <s v="Analisar controlos NOK"/>
    <s v="Y"/>
    <s v="N"/>
    <s v="N"/>
    <s v="N"/>
    <s v="N"/>
    <s v="N"/>
    <x v="0"/>
    <n v="0"/>
  </r>
  <r>
    <s v="INSTRUMENT"/>
    <s v="DT_IMPRMNT_STTS"/>
    <x v="0"/>
    <s v="3. Pendente de decisão"/>
    <s v="NOK"/>
    <s v="Verificar necessidade de alteração da fonte para fins de reconciliação. Rever Fonte"/>
    <s v="Rever fonte. Confirmar com LCM que a informação deverá estar de acordo com IFRS9/Imparidade, mantendo a metodologia da OSI (ir apenas à tabela FR004 na data de referência, as restantes datas ir à tabela de IFRS9)"/>
    <x v="1"/>
    <d v="2025-01-13T00:00:00"/>
    <x v="8"/>
    <s v="NOK"/>
    <s v="Alteração da fonte das tabela de Imparidade Reporting para as 8_7 e alteração da data a partir da qual a fonte passa a ser as tabelas de Contabilidade"/>
    <d v="2024-09-27T00:00:00"/>
    <m/>
    <s v="Pendente de decisão"/>
    <s v="Y"/>
    <s v="N"/>
    <s v="N"/>
    <s v="N"/>
    <s v="N"/>
    <s v="Y"/>
    <x v="0"/>
    <s v="6.2.  Fora âmbito | Campos em testes ou c/ incidências (LT - PM)"/>
  </r>
  <r>
    <s v="INSTRUMENT"/>
    <s v="DT_IMPRMNT_STTS_PRVS"/>
    <x v="0"/>
    <s v="3. Pendente de decisão"/>
    <s v="NOK"/>
    <s v="Verificar necessidade de alteração da fonte para fins de reconciliação. Rever Fonte"/>
    <s v="Rever fonte. Confirmar com LCM que a informação deverá estar de acordo com IFRS9/Imparidade, mantendo a metodologia da OSI (ir apenas à tabela FR004 na data de referência, as restantes datas ir à tabela de IFRS9)"/>
    <x v="1"/>
    <d v="2025-01-13T00:00:00"/>
    <x v="8"/>
    <s v="NOK"/>
    <s v="Alteração da fonte das tabela de Imparidade Reporting para as 8_7 e alteração da data a partir da qual a fonte passa a ser as tabelas de Contabilidade"/>
    <d v="2024-09-27T00:00:00"/>
    <m/>
    <s v="Pendente de decisão"/>
    <s v="Y"/>
    <s v="N"/>
    <s v="N"/>
    <s v="N"/>
    <s v="N"/>
    <s v="N"/>
    <x v="0"/>
    <n v="0"/>
  </r>
  <r>
    <s v="INSTRUMENT"/>
    <s v="DT_INCPTN"/>
    <x v="0"/>
    <s v="7. Analisar controlos e completude"/>
    <s v="NOK"/>
    <s v="Controlos NOK"/>
    <m/>
    <x v="2"/>
    <d v="2024-06-07T00:00:00"/>
    <x v="5"/>
    <s v="NOK"/>
    <m/>
    <m/>
    <m/>
    <s v="Analisar controlos NOK"/>
    <s v="Y"/>
    <s v="N"/>
    <s v="Y"/>
    <s v="N"/>
    <s v="N"/>
    <s v="Y"/>
    <x v="1"/>
    <s v="4. Campos com NOK controlos Corporativos"/>
  </r>
  <r>
    <s v="ENTITY"/>
    <s v="DT_INTRNL_RTNG"/>
    <x v="0"/>
    <s v="5.1 Em testes - Re-especificação"/>
    <s v="NOK"/>
    <s v="Em testes, campo entregue por IT durante a OSI. Incidência nos formatos. Testar e validar controlos NOK"/>
    <m/>
    <x v="1"/>
    <d v="2024-06-07T00:00:00"/>
    <x v="8"/>
    <s v="NOK"/>
    <s v="Campo entregue durante a OSI"/>
    <d v="2024-02-16T00:00:00"/>
    <d v="2024-05-24T00:00:00"/>
    <s v="Necessidade de correção de erros"/>
    <s v="Y"/>
    <s v="N"/>
    <s v="N"/>
    <s v="N"/>
    <s v="N"/>
    <s v="Y"/>
    <x v="1"/>
    <s v="3. Campos em testes ou c/ incidências"/>
  </r>
  <r>
    <s v="INSTRUMENT"/>
    <s v="DT_INTRNL_RTNG"/>
    <x v="0"/>
    <s v="5.1 Em testes - Re-especificação"/>
    <s v="NOK"/>
    <s v="Em testes, campo entregue por IT durante a OSI. Testar e validar controlos"/>
    <m/>
    <x v="1"/>
    <d v="2024-06-07T00:00:00"/>
    <x v="8"/>
    <s v="NOK"/>
    <s v="Campo entregue durante a OSI"/>
    <d v="2024-02-16T00:00:00"/>
    <d v="2024-05-24T00:00:00"/>
    <s v="Necessidade de correção de erros"/>
    <s v="Y"/>
    <s v="N"/>
    <s v="N"/>
    <s v="N"/>
    <s v="N"/>
    <s v="Y"/>
    <x v="1"/>
    <s v="3. Campos em testes ou c/ incidências"/>
  </r>
  <r>
    <s v="ENTITY"/>
    <s v="DT_INTTN_LGL_PRCDNGS_LE"/>
    <x v="0"/>
    <s v="9. Concluído"/>
    <s v="OK"/>
    <s v="Concluido, controlos OK"/>
    <m/>
    <x v="0"/>
    <d v="2024-06-07T00:00:00"/>
    <x v="0"/>
    <s v="OK"/>
    <m/>
    <m/>
    <m/>
    <s v="Campo concluido"/>
    <s v="Y"/>
    <s v="N"/>
    <s v="N"/>
    <s v="N"/>
    <s v="N"/>
    <s v="Y"/>
    <x v="0"/>
    <s v="6.1. Fora âmbito | Campos concluídos - Sem necessidade de espec."/>
  </r>
  <r>
    <s v="PROTECTION"/>
    <s v="DVLPMNT_STTS"/>
    <x v="0"/>
    <s v="2. Alterar especificação"/>
    <s v="NOK"/>
    <s v="Alterar especificação. Campo dependente do MUG"/>
    <s v="Campo depende do campo 'cgarant' do MUG"/>
    <x v="0"/>
    <d v="2025-01-13T00:00:00"/>
    <x v="0"/>
    <s v="OK"/>
    <s v="Mapeamento de acordo com o CNSTRCTN_STTS"/>
    <d v="2024-08-09T00:00:00"/>
    <d v="2024-12-20T00:00:00"/>
    <s v="Necessidade de correção de erros"/>
    <s v="Y"/>
    <s v="N"/>
    <s v="N"/>
    <s v="N"/>
    <s v="N"/>
    <s v="N"/>
    <x v="0"/>
    <n v="0"/>
  </r>
  <r>
    <s v="PROTECTION"/>
    <s v="DT_LST_FLL_APPRSL"/>
    <x v="0"/>
    <s v="5.2 Em testes - Incidência"/>
    <s v="NOK"/>
    <s v="Campo com incidência e controlos NOK"/>
    <s v="1) Campo com incidência, data igual à data da protection_vl 2) Alteração de formatos MISS"/>
    <x v="0"/>
    <d v="2025-01-13T00:00:00"/>
    <x v="0"/>
    <s v="OK"/>
    <s v="Campo está a reportar a data da última avaliação e não a data da última avaliação in person. Implementação não está a aplicar a metodologia de cálculo de acordo com a especificação"/>
    <d v="2024-06-28T00:00:00"/>
    <d v="2024-12-20T00:00:00"/>
    <s v="Necessidade de correção de erros"/>
    <s v="Y"/>
    <s v="N"/>
    <s v="N"/>
    <s v="N"/>
    <s v="N"/>
    <s v="N"/>
    <x v="0"/>
    <n v="0"/>
  </r>
  <r>
    <s v="PROTECTION"/>
    <s v="DT_MTRTY_PRTCTN"/>
    <x v="0"/>
    <s v="7. Analisar controlos e completude"/>
    <s v="NOK"/>
    <s v="Controlos NOK por parte de Riscos"/>
    <m/>
    <x v="2"/>
    <d v="2024-06-07T00:00:00"/>
    <x v="5"/>
    <s v="NOK"/>
    <m/>
    <m/>
    <m/>
    <s v="Analisar controlos NOK"/>
    <s v="Y"/>
    <s v="N"/>
    <s v="N"/>
    <s v="N"/>
    <s v="N"/>
    <s v="N"/>
    <x v="0"/>
    <n v="0"/>
  </r>
  <r>
    <s v="INSTRUMENT"/>
    <s v="SICR_ASSSSMNT_MTHD"/>
    <x v="0"/>
    <s v="3. Pendente de decisão"/>
    <s v="OK"/>
    <s v="Rever com Corporação se a codelist do IMPRMNT_STTS alterou, caso não tenha alterado não é necessário alterar o campo."/>
    <m/>
    <x v="0"/>
    <d v="2024-06-28T00:00:00"/>
    <x v="0"/>
    <s v="OK"/>
    <s v="E-mail enviado para Corporação. Codelist IMPRMNT_STTS não alterou"/>
    <m/>
    <s v="-"/>
    <s v="Campo concluido"/>
    <s v="Y"/>
    <s v="N"/>
    <s v="N"/>
    <s v="N"/>
    <s v="N"/>
    <s v="Y"/>
    <x v="0"/>
    <s v="6.1. Fora âmbito | Campos concluídos - Sem necessidade de espec."/>
  </r>
  <r>
    <s v="INSTRUMENT"/>
    <s v="DT_ORGNL_MTRTY"/>
    <x v="0"/>
    <s v="7. Analisar controlos e completude"/>
    <s v="NOK"/>
    <s v="Controlos NOK"/>
    <m/>
    <x v="2"/>
    <d v="2024-06-07T00:00:00"/>
    <x v="5"/>
    <s v="NOK"/>
    <m/>
    <m/>
    <m/>
    <s v="Analisar controlos NOK"/>
    <s v="Y"/>
    <s v="N"/>
    <s v="N"/>
    <s v="N"/>
    <s v="N"/>
    <s v="Y"/>
    <x v="1"/>
    <s v="4. Campos com NOK controlos Corporativos"/>
  </r>
  <r>
    <s v="PROTECTION"/>
    <s v="NTNL_ID"/>
    <x v="0"/>
    <s v="5.2 Em testes - Incidência"/>
    <s v="NOK"/>
    <s v="Campo com incidência (Formatos). Remover aspas"/>
    <m/>
    <x v="0"/>
    <d v="2025-01-13T00:00:00"/>
    <x v="0"/>
    <s v="OK"/>
    <m/>
    <d v="2024-08-09T00:00:00"/>
    <d v="2024-12-20T00:00:00"/>
    <s v="Necessidade de correção de erros"/>
    <s v="Y"/>
    <s v="N"/>
    <s v="N"/>
    <s v="N"/>
    <s v="N"/>
    <s v="N"/>
    <x v="0"/>
    <n v="0"/>
  </r>
  <r>
    <s v="INSTRUMENT"/>
    <s v="DT_PRFRMNG_STTS"/>
    <x v="0"/>
    <s v="3. Pendente de decisão"/>
    <s v="OK"/>
    <s v="Verificar necessidade de alteração da fonte para fins de reconciliação. Rever Fonte"/>
    <s v="Rever fonte. Confirmar com LCM que a informação deverá estar de acordo com IFRS9/Imparidade, mantendo a metodologia da OSI (ir apenas à tabela FR004 na data de referência, as restantes datas ir à tabela de IFRS9)"/>
    <x v="1"/>
    <d v="2025-01-13T00:00:00"/>
    <x v="8"/>
    <s v="OK"/>
    <s v="Alteração da fonte das tabela de Imparidade Reporting para as 8_7 e alteração da data a partir da qual a fonte passa a ser as tabelas de Contabilidade"/>
    <d v="2024-09-27T00:00:00"/>
    <m/>
    <s v="Pendente de decisão"/>
    <s v="Y"/>
    <s v="N"/>
    <s v="N"/>
    <s v="N"/>
    <s v="N"/>
    <s v="Y"/>
    <x v="0"/>
    <s v="6.2.  Fora âmbito | Campos em testes ou c/ incidências (LT - PM)"/>
  </r>
  <r>
    <s v="ENTITY"/>
    <s v="DT_PRFRMNG_STTS_LE"/>
    <x v="0"/>
    <s v="3. Pendente de decisão"/>
    <s v="NOK"/>
    <s v="Alterar especificação  caso a LT passe a reportar os 1os titulares da Contabilidade."/>
    <s v="Na OSI foram reportados os 1os titulares da Contabilidade, o que para alguns casos, são diferentes do que está na CL01. Apenas será necessário ajustar este campo caso a LT passe a reportar os 1os titulares da Contabilidade."/>
    <x v="1"/>
    <d v="2024-06-07T00:00:00"/>
    <x v="4"/>
    <s v="NOK"/>
    <m/>
    <m/>
    <m/>
    <s v="Pendente de decisão"/>
    <s v="Y"/>
    <s v="N"/>
    <s v="N"/>
    <s v="N"/>
    <s v="N"/>
    <s v="Y"/>
    <x v="1"/>
    <s v="5. Campos com outras possíveis alterações - Dependente de decisões OSI "/>
  </r>
  <r>
    <s v="INSTRUMENT"/>
    <s v="DT_PRFRMNG_STTS_PRVS"/>
    <x v="0"/>
    <s v="3. Pendente de decisão"/>
    <s v="OK"/>
    <s v="Verificar necessidade de alteração da fonte para fins de reconciliação. Rever Fonte"/>
    <s v="Rever fonte. Confirmar com LCM que a informação deverá estar de acordo com IFRS9/Imparidade, mantendo a metodologia da OSI (ir apenas à tabela FR004 na data de referência, as restantes datas ir à tabela de IFRS9)"/>
    <x v="1"/>
    <d v="2025-01-13T00:00:00"/>
    <x v="8"/>
    <s v="OK"/>
    <s v="Alteração da fonte das tabela de Imparidade Reporting para as 8_7 e alteração da data a partir da qual a fonte passa a ser as tabelas de Contabilidade"/>
    <d v="2024-09-27T00:00:00"/>
    <m/>
    <s v="Pendente de decisão"/>
    <s v="Y"/>
    <s v="N"/>
    <s v="N"/>
    <s v="N"/>
    <s v="N"/>
    <s v="Y"/>
    <x v="0"/>
    <s v="6.2.  Fora âmbito | Campos em testes ou c/ incidências (LT - PM)"/>
  </r>
  <r>
    <s v="INSTRUMENT"/>
    <s v="IFRS9_BHVRL_MTRTY"/>
    <x v="0"/>
    <s v="2. Alterar especificação"/>
    <s v="OK"/>
    <s v="Alterar especificação. Necessidade de alteração da fonte para fins de reconciliação"/>
    <s v="Em curso. Aguardamos resposta da equipa de Imparidade. Sempre que o campo for nulo colocar 111111111 valor de NA"/>
    <x v="1"/>
    <d v="2025-01-13T00:00:00"/>
    <x v="8"/>
    <s v="OK"/>
    <s v="Alteração de fonte e tabelas reporting para tabelas terminadas em 7_8_x000a_"/>
    <d v="2024-08-30T00:00:00"/>
    <m/>
    <s v="Necessidade de correção de erros"/>
    <s v="Y"/>
    <s v="N"/>
    <s v="Y"/>
    <s v="N"/>
    <s v="N"/>
    <s v="Y"/>
    <x v="0"/>
    <s v="6.2.  Fora âmbito | Campos em testes ou c/ incidências (LT - PM)"/>
  </r>
  <r>
    <s v="INSTRUMENT"/>
    <s v="DT_PST_D"/>
    <x v="0"/>
    <s v="7. Analisar controlos e completude"/>
    <s v="NOK"/>
    <s v="Controlos NOK"/>
    <m/>
    <x v="2"/>
    <d v="2024-06-07T00:00:00"/>
    <x v="5"/>
    <s v="NOK"/>
    <m/>
    <m/>
    <m/>
    <s v="Analisar controlos NOK"/>
    <s v="Y"/>
    <s v="N"/>
    <s v="N"/>
    <s v="N"/>
    <s v="N"/>
    <s v="Y"/>
    <x v="1"/>
    <s v="4. Campos com NOK controlos Corporativos"/>
  </r>
  <r>
    <s v="ENTITY"/>
    <s v="DT_RFRNC"/>
    <x v="0"/>
    <s v="9. Concluído"/>
    <s v="OK"/>
    <s v="Concluido, controlos OK"/>
    <m/>
    <x v="0"/>
    <d v="2024-06-07T00:00:00"/>
    <x v="0"/>
    <s v="OK"/>
    <m/>
    <m/>
    <m/>
    <s v="Campo concluido"/>
    <s v="Y"/>
    <s v="N"/>
    <s v="Y"/>
    <s v="N"/>
    <s v="N"/>
    <s v="Y"/>
    <x v="0"/>
    <s v="6.1. Fora âmbito | Campos concluídos - Sem necessidade de espec."/>
  </r>
  <r>
    <s v="INSTR_ENTITY"/>
    <s v="DT_RFRNC"/>
    <x v="0"/>
    <s v="9. Concluído"/>
    <s v="OK"/>
    <s v="Concluido, controlos OK"/>
    <m/>
    <x v="0"/>
    <d v="2024-06-07T00:00:00"/>
    <x v="0"/>
    <s v="OK"/>
    <m/>
    <m/>
    <m/>
    <s v="Campo concluido"/>
    <s v="Y"/>
    <s v="N"/>
    <s v="Y"/>
    <s v="N"/>
    <s v="N"/>
    <s v="Y"/>
    <x v="0"/>
    <s v="6.1. Fora âmbito | Campos concluídos - Sem necessidade de espec."/>
  </r>
  <r>
    <s v="INSTR_PROTECTION"/>
    <s v="DT_RFRNC"/>
    <x v="0"/>
    <s v="9. Concluído"/>
    <s v="OK"/>
    <s v="Concluido, controlos OK"/>
    <m/>
    <x v="0"/>
    <d v="2024-06-07T00:00:00"/>
    <x v="0"/>
    <s v="OK"/>
    <m/>
    <m/>
    <m/>
    <s v="Campo concluido"/>
    <s v="Y"/>
    <s v="Y"/>
    <s v="Y"/>
    <s v="N"/>
    <s v="N"/>
    <s v="N"/>
    <x v="0"/>
    <n v="0"/>
  </r>
  <r>
    <s v="INSTRUMENT"/>
    <s v="DT_RFRNC"/>
    <x v="0"/>
    <s v="9. Concluído"/>
    <s v="OK"/>
    <s v="Concluido, controlos OK"/>
    <m/>
    <x v="0"/>
    <d v="2024-06-07T00:00:00"/>
    <x v="0"/>
    <s v="OK"/>
    <m/>
    <m/>
    <m/>
    <s v="Campo concluido"/>
    <s v="Y"/>
    <s v="Y"/>
    <s v="Y"/>
    <s v="N"/>
    <s v="Y"/>
    <s v="Y"/>
    <x v="0"/>
    <s v="6.1. Fora âmbito | Campos concluídos - Sem necessidade de espec."/>
  </r>
  <r>
    <s v="PROTECTION"/>
    <s v="DT_RFRNC"/>
    <x v="0"/>
    <s v="9. Concluído"/>
    <s v="OK"/>
    <s v="Concluido, controlos OK"/>
    <m/>
    <x v="0"/>
    <d v="2024-06-07T00:00:00"/>
    <x v="0"/>
    <s v="OK"/>
    <m/>
    <m/>
    <m/>
    <s v="Campo concluido"/>
    <s v="Y"/>
    <s v="Y"/>
    <s v="Y"/>
    <s v="N"/>
    <s v="Y"/>
    <s v="N"/>
    <x v="0"/>
    <n v="0"/>
  </r>
  <r>
    <s v="INSTRUMENT"/>
    <s v="DT_STRT_GP_PPAL"/>
    <x v="0"/>
    <s v="7. Analisar controlos e completude"/>
    <s v="NOK"/>
    <s v="Controlos NOK"/>
    <m/>
    <x v="2"/>
    <d v="2024-06-07T00:00:00"/>
    <x v="5"/>
    <s v="NOK"/>
    <m/>
    <m/>
    <m/>
    <s v="Analisar controlos NOK"/>
    <s v="Y"/>
    <s v="N"/>
    <s v="N"/>
    <s v="N"/>
    <s v="N"/>
    <s v="N"/>
    <x v="0"/>
    <n v="0"/>
  </r>
  <r>
    <s v="INSTRUMENT"/>
    <s v="DT_STRT_INTRST_ONLY"/>
    <x v="0"/>
    <s v="7. Analisar controlos e completude"/>
    <s v="NOK"/>
    <s v="Controlos NOK"/>
    <m/>
    <x v="2"/>
    <d v="2024-06-07T00:00:00"/>
    <x v="5"/>
    <s v="NOK"/>
    <m/>
    <m/>
    <m/>
    <s v="Analisar controlos NOK"/>
    <s v="Y"/>
    <s v="N"/>
    <s v="N"/>
    <s v="N"/>
    <s v="N"/>
    <s v="N"/>
    <x v="0"/>
    <n v="0"/>
  </r>
  <r>
    <s v="INSTRUMENT"/>
    <s v="DT_VLTN"/>
    <x v="1"/>
    <s v="9. Concluído"/>
    <s v="OK"/>
    <s v="Concluido, controlos OK"/>
    <m/>
    <x v="0"/>
    <d v="2024-06-07T00:00:00"/>
    <x v="0"/>
    <s v="OK"/>
    <m/>
    <m/>
    <m/>
    <s v="Campo concluido"/>
    <s v="Y"/>
    <s v="N"/>
    <s v="N"/>
    <s v="N"/>
    <s v="N"/>
    <s v="N"/>
    <x v="0"/>
    <n v="0"/>
  </r>
  <r>
    <s v="INSTRUMENT"/>
    <s v="POCI"/>
    <x v="0"/>
    <s v="9. Concluído"/>
    <s v="OK"/>
    <s v="Concluido, controlos OK"/>
    <m/>
    <x v="0"/>
    <d v="2024-08-16T00:00:00"/>
    <x v="2"/>
    <m/>
    <s v="Alterar especificação para a tabela de Contabilidade FR004 campo Flag_POCI. Campo estava a mapear informação das tabelas de Imparidade, no entanto ficou definido que o Owner da informação deveria ser Contabilidade, neste sentido é necessário alterar a fonte para a tabela da Contabilidade"/>
    <m/>
    <m/>
    <s v="Campo concluido"/>
    <s v="Y"/>
    <s v="N"/>
    <s v="N"/>
    <s v="N"/>
    <s v="N"/>
    <s v="N"/>
    <x v="0"/>
    <n v="0"/>
  </r>
  <r>
    <s v="INSTRUMENT"/>
    <s v="EAD"/>
    <x v="0"/>
    <s v="5.1 Em testes - Re-especificação"/>
    <s v="OK"/>
    <s v="Em testes. Campo com incidências, mas corrigida na LT no âmbito da OSI."/>
    <m/>
    <x v="1"/>
    <d v="2024-06-20T00:00:00"/>
    <x v="8"/>
    <s v="NOK"/>
    <s v="Campo com incidência para um contrato que tem valores de ead e rwa negativos._x000a_A fonte (CT013) tem um valor muito superior, isto significa que provavelmente existem várias chaves FR para uma chave BDR. Fomos ao tradutor verificar e de facto existem 10 chaves FR para uma BDR_x000a_Sabemos que os campos EAD e RWA são desagragados pelo &quot;saldo capital &quot;nas várias chaves FR, onde &quot;saldo capital&quot; é obtido através das contas cargabal, cruzamento fr802 e cruzamento com matriz de contas 805 para o nome perimentro corporativo_x000a_Verificamos que o aprovisionamento do campo está correto de acordo com as regras especificadas"/>
    <d v="2024-02-16T00:00:00"/>
    <d v="2024-05-24T00:00:00"/>
    <s v="Necessidade de correção de erros"/>
    <s v="Y"/>
    <s v="Y"/>
    <s v="N"/>
    <s v="N"/>
    <s v="Y"/>
    <s v="Y"/>
    <x v="1"/>
    <s v="3. Campos em testes ou c/ incidências"/>
  </r>
  <r>
    <s v="INSTRUMENT"/>
    <s v="EBA_CMPLNT_MRTR_ST_C19"/>
    <x v="1"/>
    <s v="9. Concluído"/>
    <s v="OK"/>
    <s v="Concluido, controlos OK"/>
    <m/>
    <x v="0"/>
    <d v="2024-06-07T00:00:00"/>
    <x v="0"/>
    <s v="OK"/>
    <m/>
    <m/>
    <m/>
    <s v="Campo concluido"/>
    <s v="Y"/>
    <s v="N"/>
    <s v="N"/>
    <s v="N"/>
    <s v="N"/>
    <s v="N"/>
    <x v="0"/>
    <n v="0"/>
  </r>
  <r>
    <s v="INSTRUMENT"/>
    <s v="OTSTNDNG_NMNL_AMNT_INSTRMNT_PRVS"/>
    <x v="0"/>
    <s v="5.2 Em testes - Incidência"/>
    <s v="OK"/>
    <s v="Campo com incidência"/>
    <s v="Diferenças na fonte_x000a__x000a_Regra utilizada na OSI:_x000a_cast(NVL((LT02_PRVS.GRSS_CRRYNG_AMNT_INSTRMNT_PRVS - NVL(ACCRD_T1.ACCRD_INTRST_INSTRMNT_PRVS,0)) ,11111111111.00) as decimal(21,2)) as  OTSTNDNG_NMNL_AMNT_INSTRMNT_PRVS"/>
    <x v="1"/>
    <d v="2024-06-28T00:00:00"/>
    <x v="2"/>
    <s v="NOK"/>
    <s v="Campo está a assumir apenas valores negativos, 0.00, MISS ou N/A. É necessário replicar o cálculo da LT001 para um ano atrás. LCM pediu para que o campo fonte fosse criado diretamente na LT001, eliminando a necessidade de replicar o calculo da LT001 para um ano antes da data de referência._x000a_Alteração de especificação aquando da entrega dos campos da LT001 da equipa de IT"/>
    <m/>
    <m/>
    <s v="Pendente de decisão"/>
    <s v="Y"/>
    <s v="N"/>
    <s v="N"/>
    <s v="N"/>
    <s v="N"/>
    <s v="N"/>
    <x v="0"/>
    <n v="0"/>
  </r>
  <r>
    <s v="INSTRUMENT"/>
    <s v="INSTLMNT_PAY"/>
    <x v="1"/>
    <s v="2. Alterar especificação"/>
    <s v="OK"/>
    <s v="Campo especificado, mas com pouca qualidade de dados"/>
    <m/>
    <x v="2"/>
    <d v="2024-06-07T00:00:00"/>
    <x v="2"/>
    <s v="OK"/>
    <m/>
    <m/>
    <m/>
    <s v="Campo concluído, mas sem ou pouca informação na fonte"/>
    <s v="Y"/>
    <s v="N"/>
    <s v="N"/>
    <s v="N"/>
    <s v="N"/>
    <s v="N"/>
    <x v="0"/>
    <n v="0"/>
  </r>
  <r>
    <s v="ENTITY"/>
    <s v="EC_GRP_ID"/>
    <x v="1"/>
    <s v="1. Especificar"/>
    <s v="OK"/>
    <s v="Em especificação (Campos Novos)"/>
    <m/>
    <x v="2"/>
    <d v="2024-06-07T00:00:00"/>
    <x v="3"/>
    <s v="OK"/>
    <m/>
    <m/>
    <m/>
    <s v="Novo campo"/>
    <s v="Y"/>
    <s v="N"/>
    <s v="N"/>
    <s v="N"/>
    <s v="N"/>
    <s v="Y"/>
    <x v="1"/>
    <s v="2.2 Re-especificação de campos complexos - Resto"/>
  </r>
  <r>
    <s v="ENTITY"/>
    <s v="EC_GRP_NM"/>
    <x v="1"/>
    <s v="1. Especificar"/>
    <s v="OK"/>
    <s v="Em especificação (Campos Novos)"/>
    <m/>
    <x v="2"/>
    <d v="2024-06-07T00:00:00"/>
    <x v="3"/>
    <s v="OK"/>
    <m/>
    <m/>
    <m/>
    <s v="Novo campo"/>
    <s v="Y"/>
    <s v="N"/>
    <s v="Y"/>
    <s v="N"/>
    <s v="N"/>
    <s v="Y"/>
    <x v="1"/>
    <s v="2.2 Re-especificação de campos complexos - Resto"/>
  </r>
  <r>
    <s v="ENTITY"/>
    <s v="ECNMC_ACTVTY"/>
    <x v="0"/>
    <s v="9. Concluído"/>
    <s v="OK"/>
    <s v="Concluido, controlos OK"/>
    <m/>
    <x v="0"/>
    <d v="2024-06-07T00:00:00"/>
    <x v="0"/>
    <s v="OK"/>
    <m/>
    <m/>
    <m/>
    <s v="Campo concluido"/>
    <s v="Y"/>
    <s v="N"/>
    <s v="Y"/>
    <s v="N"/>
    <s v="Y"/>
    <s v="Y"/>
    <x v="0"/>
    <s v="6.1. Fora âmbito | Campos concluídos - Sem necessidade de espec."/>
  </r>
  <r>
    <s v="INSTRUMENT"/>
    <s v="EIR"/>
    <x v="0"/>
    <s v="7. Analisar controlos e completude"/>
    <s v="NOK"/>
    <s v="Controlos NOK"/>
    <m/>
    <x v="2"/>
    <d v="2024-06-07T00:00:00"/>
    <x v="5"/>
    <s v="NOK"/>
    <m/>
    <m/>
    <m/>
    <s v="Analisar controlos NOK"/>
    <s v="Y"/>
    <s v="N"/>
    <s v="N"/>
    <s v="N"/>
    <s v="N"/>
    <s v="Y"/>
    <x v="1"/>
    <s v="4. Campos com NOK controlos Corporativos"/>
  </r>
  <r>
    <s v="INSTRUMENT"/>
    <s v="EIR_INCPTN"/>
    <x v="0"/>
    <s v="7. Analisar controlos e completude"/>
    <s v="NOK"/>
    <s v="Controlos NOK"/>
    <m/>
    <x v="2"/>
    <d v="2024-06-07T00:00:00"/>
    <x v="5"/>
    <s v="NOK"/>
    <m/>
    <m/>
    <m/>
    <s v="Analisar controlos NOK"/>
    <s v="Y"/>
    <s v="N"/>
    <s v="Y"/>
    <s v="N"/>
    <s v="N"/>
    <s v="N"/>
    <x v="0"/>
    <n v="0"/>
  </r>
  <r>
    <s v="INSTRUMENT"/>
    <s v="ELGBLTY_ECB"/>
    <x v="1"/>
    <s v="9. Concluído"/>
    <s v="OK"/>
    <s v="Concluido, controlos OK"/>
    <m/>
    <x v="0"/>
    <d v="2024-06-07T00:00:00"/>
    <x v="0"/>
    <s v="OK"/>
    <m/>
    <m/>
    <m/>
    <s v="Campo concluido"/>
    <s v="Y"/>
    <s v="N"/>
    <s v="N"/>
    <s v="N"/>
    <s v="N"/>
    <s v="N"/>
    <x v="0"/>
    <n v="0"/>
  </r>
  <r>
    <s v="ENTITY"/>
    <s v="EMPLYMNT_STTS"/>
    <x v="1"/>
    <s v="9. Concluído"/>
    <s v="OK"/>
    <s v="Concluido, controlos OK"/>
    <m/>
    <x v="0"/>
    <d v="2024-06-07T00:00:00"/>
    <x v="0"/>
    <s v="OK"/>
    <m/>
    <m/>
    <m/>
    <s v="Campo concluido"/>
    <s v="Y"/>
    <s v="N"/>
    <s v="N"/>
    <s v="N"/>
    <s v="N"/>
    <s v="N"/>
    <x v="0"/>
    <n v="0"/>
  </r>
  <r>
    <s v="ENTITY"/>
    <s v="EMPLYMNT_STTS_INTRNL"/>
    <x v="1"/>
    <s v="9. Concluído"/>
    <s v="OK"/>
    <s v="Concluido, controlos OK"/>
    <m/>
    <x v="0"/>
    <d v="2024-06-07T00:00:00"/>
    <x v="0"/>
    <s v="OK"/>
    <m/>
    <m/>
    <m/>
    <s v="Campo concluido"/>
    <s v="Y"/>
    <s v="N"/>
    <s v="N"/>
    <s v="N"/>
    <s v="N"/>
    <s v="N"/>
    <x v="0"/>
    <n v="0"/>
  </r>
  <r>
    <s v="ENTITY"/>
    <s v="ENTRPRS_SZ_LE"/>
    <x v="0"/>
    <s v="7. Analisar controlos e completude"/>
    <s v="NOK"/>
    <s v="Controlos NOK"/>
    <m/>
    <x v="2"/>
    <d v="2024-06-07T00:00:00"/>
    <x v="5"/>
    <s v="NOK"/>
    <m/>
    <m/>
    <m/>
    <s v="Analisar controlos NOK"/>
    <s v="Y"/>
    <s v="N"/>
    <s v="N"/>
    <s v="N"/>
    <s v="N"/>
    <s v="N"/>
    <x v="0"/>
    <n v="0"/>
  </r>
  <r>
    <s v="ENTITY"/>
    <s v="ENTTY_ID"/>
    <x v="0"/>
    <s v="7. Analisar controlos e completude"/>
    <s v="NOK"/>
    <s v="Controlos NOK"/>
    <m/>
    <x v="2"/>
    <d v="2024-06-07T00:00:00"/>
    <x v="5"/>
    <s v="NOK"/>
    <m/>
    <m/>
    <m/>
    <s v="Analisar controlos NOK"/>
    <s v="Y"/>
    <s v="N"/>
    <s v="Y"/>
    <s v="N"/>
    <s v="Y"/>
    <s v="Y"/>
    <x v="1"/>
    <s v="4. Campos com NOK controlos Corporativos"/>
  </r>
  <r>
    <s v="INSTR_ENTITY"/>
    <s v="ENTTY_ID"/>
    <x v="0"/>
    <s v="7. Analisar controlos e completude"/>
    <s v="NOK"/>
    <s v="Controlos NOK"/>
    <m/>
    <x v="2"/>
    <d v="2024-06-07T00:00:00"/>
    <x v="5"/>
    <s v="NOK"/>
    <m/>
    <m/>
    <m/>
    <s v="Analisar controlos NOK"/>
    <s v="Y"/>
    <s v="N"/>
    <s v="Y"/>
    <s v="N"/>
    <s v="N"/>
    <s v="Y"/>
    <x v="1"/>
    <s v="4. Campos com NOK controlos Corporativos"/>
  </r>
  <r>
    <s v="ENTITY"/>
    <s v="ENTTY_NM"/>
    <x v="0"/>
    <s v="9. Concluído"/>
    <s v="OK"/>
    <s v="Concluido, controlos OK"/>
    <m/>
    <x v="0"/>
    <d v="2024-06-07T00:00:00"/>
    <x v="0"/>
    <s v="OK"/>
    <m/>
    <m/>
    <m/>
    <s v="Campo concluido"/>
    <s v="Y"/>
    <s v="N"/>
    <s v="Y"/>
    <s v="N"/>
    <s v="N"/>
    <s v="Y"/>
    <x v="0"/>
    <s v="6.1. Fora âmbito | Campos concluídos - Sem necessidade de espec."/>
  </r>
  <r>
    <s v="ENTITY"/>
    <s v="EQTY"/>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Y"/>
    <s v="N"/>
    <s v="N"/>
    <s v="Y"/>
    <x v="2"/>
    <s v="6.4. Fora âmbito | Re-especificação de campos complexos - Dem. Fin. CIB"/>
  </r>
  <r>
    <s v="ENTITY"/>
    <s v="EQTY_PRVS"/>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Y"/>
    <x v="2"/>
    <s v="6.4. Fora âmbito | Re-especificação de campos complexos - Dem. Fin. CIB"/>
  </r>
  <r>
    <s v="INSTRUMENT"/>
    <s v="EXPCTD_LSS_CRR"/>
    <x v="1"/>
    <s v="4.1 Em implementação - Re-especificação"/>
    <s v="OK"/>
    <s v="Aguarda implementação de IT"/>
    <m/>
    <x v="2"/>
    <d v="2024-06-17T00:00:00"/>
    <x v="8"/>
    <s v="OK"/>
    <m/>
    <d v="2024-02-02T00:00:00"/>
    <d v="2024-03-28T00:00:00"/>
    <s v="Novo campo"/>
    <s v="Y"/>
    <s v="N"/>
    <s v="N"/>
    <s v="N"/>
    <s v="N"/>
    <s v="N"/>
    <x v="0"/>
    <n v="0"/>
  </r>
  <r>
    <s v="INSTRUMENT"/>
    <s v="EXPSR_IN_SCP"/>
    <x v="0"/>
    <s v="9. Concluído"/>
    <s v="OK"/>
    <s v="Concluido, controlos OK"/>
    <m/>
    <x v="0"/>
    <d v="2024-06-07T00:00:00"/>
    <x v="0"/>
    <s v="OK"/>
    <m/>
    <m/>
    <m/>
    <s v="Campo concluido"/>
    <s v="Y"/>
    <s v="N"/>
    <s v="N"/>
    <s v="N"/>
    <s v="N"/>
    <s v="Y"/>
    <x v="0"/>
    <s v="6.1. Fora âmbito | Campos concluídos - Sem necessidade de espec."/>
  </r>
  <r>
    <s v="INSTRUMENT"/>
    <s v="FRBRNC_STTS_INSTRMNT"/>
    <x v="0"/>
    <s v="2. Alterar especificação"/>
    <s v="OK"/>
    <s v="Alterar especificação (alteração da fonte para a FR004)"/>
    <s v="Na OSI fomos diretamente à RMN85, em âmbito da LT foi alinhado que iriamos à FR004 e que esta por sua vez iria à RMN85.  Na OSI foram adicionados os contratos com FRBRNC_STTS='9' (ficheiro com os ACC disponibilizado por Graça Vale), atualmente não existe esta informação automatizada."/>
    <x v="2"/>
    <d v="2024-06-07T00:00:00"/>
    <x v="2"/>
    <s v="OK"/>
    <m/>
    <m/>
    <m/>
    <s v="Melhorias estruturais (garantir coerência entre campos)"/>
    <s v="Y"/>
    <s v="N"/>
    <s v="Y"/>
    <s v="N"/>
    <s v="N"/>
    <s v="Y"/>
    <x v="1"/>
    <s v="2.2 Re-especificação de campos complexos - Resto"/>
  </r>
  <r>
    <s v="ENTITY"/>
    <s v="EXTRNL_RTNG_PRVS"/>
    <x v="0"/>
    <s v="2. Alterar especificação"/>
    <s v="OK"/>
    <s v="Alterar especificação para casos em informação na fonte."/>
    <s v="Quando não existe informação na fonte em vez de MISS substituir por NA"/>
    <x v="1"/>
    <d v="2024-06-07T00:00:00"/>
    <x v="2"/>
    <s v="OK"/>
    <m/>
    <m/>
    <m/>
    <s v="Alteração de especificação por parte do BCE"/>
    <s v="Y"/>
    <s v="N"/>
    <s v="N"/>
    <s v="N"/>
    <s v="N"/>
    <s v="Y"/>
    <x v="1"/>
    <s v="2.2 Re-especificação de campos complexos - Resto"/>
  </r>
  <r>
    <s v="ENTITY"/>
    <s v="EXTRNL_RTNG_NM"/>
    <x v="0"/>
    <s v="2. Alterar especificação"/>
    <s v="NOK"/>
    <s v="Alterar especificação para casos em informação na fonte."/>
    <s v="Quando não existe informação na fonte em vez de MISS substituir por NA"/>
    <x v="1"/>
    <d v="2024-06-07T00:00:00"/>
    <x v="2"/>
    <s v="NOK"/>
    <m/>
    <m/>
    <m/>
    <s v="Alteração de especificação por parte do BCE"/>
    <s v="Y"/>
    <s v="N"/>
    <s v="N"/>
    <s v="N"/>
    <s v="N"/>
    <s v="Y"/>
    <x v="1"/>
    <s v="2.2 Re-especificação de campos complexos - Resto"/>
  </r>
  <r>
    <s v="INSTRUMENT"/>
    <s v="FLD_SYNDCTN"/>
    <x v="1"/>
    <s v="6. Outros Desenvolvimentos"/>
    <s v="OK"/>
    <s v="Em implementação IT BST (Sindicados)"/>
    <s v="Aguarda desenvolvimentos nas plataformas Loan IQ e Mercurio"/>
    <x v="2"/>
    <d v="2024-06-07T00:00:00"/>
    <x v="9"/>
    <s v="OK"/>
    <m/>
    <m/>
    <m/>
    <s v="Melhorias estruturais (garantir coerência entre campos)"/>
    <s v="Y"/>
    <s v="N"/>
    <s v="N"/>
    <s v="N"/>
    <s v="N"/>
    <s v="Y"/>
    <x v="1"/>
    <s v="2.1. Re-especificação de campos complexos | Sindicados"/>
  </r>
  <r>
    <s v="ENTITY"/>
    <s v="FLG_BNKRPTCY_IN_GRP"/>
    <x v="0"/>
    <s v="9. Concluído"/>
    <s v="OK"/>
    <s v="Concluido, controlos OK"/>
    <m/>
    <x v="0"/>
    <d v="2024-06-07T00:00:00"/>
    <x v="0"/>
    <s v="OK"/>
    <m/>
    <m/>
    <m/>
    <s v="Campo concluido"/>
    <s v="Y"/>
    <s v="N"/>
    <s v="N"/>
    <s v="N"/>
    <s v="N"/>
    <s v="N"/>
    <x v="0"/>
    <n v="0"/>
  </r>
  <r>
    <s v="ENTITY"/>
    <s v="FLG_HGH_CDS"/>
    <x v="0"/>
    <s v="9. Concluído"/>
    <s v="OK"/>
    <s v="Concluido, controlos OK"/>
    <m/>
    <x v="0"/>
    <d v="2024-06-07T00:00:00"/>
    <x v="0"/>
    <s v="OK"/>
    <m/>
    <m/>
    <m/>
    <s v="Campo concluido"/>
    <s v="Y"/>
    <s v="N"/>
    <s v="N"/>
    <s v="N"/>
    <s v="N"/>
    <s v="N"/>
    <x v="0"/>
    <n v="0"/>
  </r>
  <r>
    <s v="ENTITY"/>
    <s v="FLG_ISDA_CRDT_EVNT"/>
    <x v="0"/>
    <s v="9. Concluído"/>
    <s v="OK"/>
    <s v="Concluido, controlos OK"/>
    <m/>
    <x v="0"/>
    <d v="2024-06-07T00:00:00"/>
    <x v="0"/>
    <s v="OK"/>
    <m/>
    <m/>
    <m/>
    <s v="Campo concluido"/>
    <s v="Y"/>
    <s v="N"/>
    <s v="N"/>
    <s v="N"/>
    <s v="N"/>
    <s v="N"/>
    <x v="0"/>
    <n v="0"/>
  </r>
  <r>
    <s v="INSTRUMENT"/>
    <s v="FLG_LBO"/>
    <x v="1"/>
    <s v="9. Concluído"/>
    <s v="OK"/>
    <s v="Concluido, controlos OK"/>
    <m/>
    <x v="0"/>
    <d v="2024-06-07T00:00:00"/>
    <x v="0"/>
    <s v="OK"/>
    <m/>
    <m/>
    <m/>
    <s v="Campo concluido"/>
    <s v="Y"/>
    <s v="N"/>
    <s v="N"/>
    <s v="N"/>
    <s v="N"/>
    <s v="Y"/>
    <x v="2"/>
    <s v="6.3. Fora âmbito | Fonte Manual LF"/>
  </r>
  <r>
    <s v="ENTITY"/>
    <s v="FLG_NN_ACCRL"/>
    <x v="0"/>
    <s v="9. Concluído"/>
    <s v="OK"/>
    <s v="Concluido, controlos OK"/>
    <m/>
    <x v="0"/>
    <d v="2024-06-07T00:00:00"/>
    <x v="0"/>
    <s v="OK"/>
    <m/>
    <m/>
    <m/>
    <s v="Campo concluido"/>
    <s v="Y"/>
    <s v="N"/>
    <s v="N"/>
    <s v="N"/>
    <s v="N"/>
    <s v="N"/>
    <x v="0"/>
    <n v="0"/>
  </r>
  <r>
    <s v="ENTITY"/>
    <s v="FLG_RQST_BNKRPTCY"/>
    <x v="0"/>
    <s v="9. Concluído"/>
    <s v="OK"/>
    <s v="Concluido, controlos OK"/>
    <m/>
    <x v="0"/>
    <d v="2024-06-07T00:00:00"/>
    <x v="0"/>
    <s v="OK"/>
    <m/>
    <m/>
    <m/>
    <s v="Campo concluido"/>
    <s v="Y"/>
    <s v="N"/>
    <s v="N"/>
    <s v="N"/>
    <s v="N"/>
    <s v="N"/>
    <x v="0"/>
    <n v="0"/>
  </r>
  <r>
    <s v="ENTITY"/>
    <s v="FLG_RQST_DSTRSSD_RSTRCTRNG"/>
    <x v="0"/>
    <s v="1. Especificar"/>
    <s v="NOK"/>
    <s v="Em especificação, rever fonte"/>
    <m/>
    <x v="2"/>
    <d v="2024-06-07T00:00:00"/>
    <x v="3"/>
    <s v="NOK"/>
    <m/>
    <m/>
    <m/>
    <s v="Melhorias estruturais (garantir coerência entre campos)"/>
    <s v="Y"/>
    <s v="N"/>
    <s v="N"/>
    <s v="N"/>
    <s v="N"/>
    <s v="N"/>
    <x v="0"/>
    <n v="0"/>
  </r>
  <r>
    <s v="ENTITY"/>
    <s v="FLG_RQST_EMRGNCY_FNDNG"/>
    <x v="0"/>
    <s v="9. Concluído"/>
    <s v="OK"/>
    <s v="Concluido, controlos OK"/>
    <m/>
    <x v="0"/>
    <d v="2024-06-07T00:00:00"/>
    <x v="0"/>
    <s v="OK"/>
    <m/>
    <m/>
    <m/>
    <s v="Campo concluido"/>
    <s v="Y"/>
    <s v="N"/>
    <s v="N"/>
    <s v="N"/>
    <s v="N"/>
    <s v="Y"/>
    <x v="0"/>
    <s v="6.1. Fora âmbito | Campos concluídos - Sem necessidade de espec."/>
  </r>
  <r>
    <s v="ENTITY"/>
    <s v="FLG_SLL_WTH_LSS"/>
    <x v="0"/>
    <s v="9. Concluído"/>
    <s v="OK"/>
    <s v="Concluido, controlos OK"/>
    <m/>
    <x v="0"/>
    <d v="2024-06-07T00:00:00"/>
    <x v="0"/>
    <s v="OK"/>
    <m/>
    <m/>
    <m/>
    <s v="Campo concluido"/>
    <s v="Y"/>
    <s v="N"/>
    <s v="N"/>
    <s v="N"/>
    <s v="N"/>
    <s v="N"/>
    <x v="0"/>
    <n v="0"/>
  </r>
  <r>
    <s v="ENTITY"/>
    <s v="FR_CSH_FLW"/>
    <x v="0"/>
    <s v="1. Especificar"/>
    <s v="OK"/>
    <s v="Em especificação (Campos Novos)"/>
    <m/>
    <x v="2"/>
    <d v="2024-06-07T00:00:00"/>
    <x v="3"/>
    <s v="OK"/>
    <m/>
    <m/>
    <m/>
    <s v="Novo campo"/>
    <s v="Y"/>
    <s v="N"/>
    <s v="N"/>
    <s v="N"/>
    <s v="N"/>
    <s v="Y"/>
    <x v="1"/>
    <s v="2.2 Re-especificação de campos complexos - Resto"/>
  </r>
  <r>
    <s v="ENTITY"/>
    <s v="FR_CSH_FLW_T1"/>
    <x v="0"/>
    <s v="1. Especificar"/>
    <s v="OK"/>
    <s v="Em especificação (Campos Novos)"/>
    <m/>
    <x v="2"/>
    <d v="2024-06-07T00:00:00"/>
    <x v="3"/>
    <s v="OK"/>
    <m/>
    <m/>
    <m/>
    <s v="Novo campo"/>
    <s v="Y"/>
    <s v="N"/>
    <s v="N"/>
    <s v="N"/>
    <s v="N"/>
    <s v="Y"/>
    <x v="1"/>
    <s v="2.2 Re-especificação de campos complexos - Resto"/>
  </r>
  <r>
    <s v="ENTITY"/>
    <s v="FR_CSH_FLW_T2"/>
    <x v="0"/>
    <s v="1. Especificar"/>
    <s v="OK"/>
    <s v="Em especificação (Campos Novos)"/>
    <m/>
    <x v="2"/>
    <d v="2024-06-07T00:00:00"/>
    <x v="3"/>
    <s v="OK"/>
    <m/>
    <m/>
    <m/>
    <s v="Novo campo"/>
    <s v="Y"/>
    <s v="N"/>
    <s v="N"/>
    <s v="N"/>
    <s v="N"/>
    <s v="Y"/>
    <x v="1"/>
    <s v="2.2 Re-especificação de campos complexos - Resto"/>
  </r>
  <r>
    <s v="ENTITY"/>
    <s v="FR_CSH_FLW_T3"/>
    <x v="0"/>
    <s v="1. Especificar"/>
    <s v="OK"/>
    <s v="Em especificação (Campos Novos)"/>
    <m/>
    <x v="2"/>
    <d v="2024-06-07T00:00:00"/>
    <x v="3"/>
    <s v="OK"/>
    <m/>
    <m/>
    <m/>
    <s v="Novo campo"/>
    <s v="Y"/>
    <s v="N"/>
    <s v="N"/>
    <s v="N"/>
    <s v="N"/>
    <s v="Y"/>
    <x v="1"/>
    <s v="2.2 Re-especificação de campos complexos - Resto"/>
  </r>
  <r>
    <s v="INSTRUMENT"/>
    <s v="FRBRNC_STTS_C19"/>
    <x v="1"/>
    <s v="9. Concluído"/>
    <s v="OK"/>
    <s v="Concluido, controlos OK"/>
    <m/>
    <x v="0"/>
    <d v="2024-06-07T00:00:00"/>
    <x v="0"/>
    <s v="OK"/>
    <m/>
    <m/>
    <m/>
    <s v="Campo concluido"/>
    <s v="Y"/>
    <s v="N"/>
    <s v="N"/>
    <s v="N"/>
    <s v="N"/>
    <s v="N"/>
    <x v="0"/>
    <n v="0"/>
  </r>
  <r>
    <s v="ENTITY"/>
    <s v="EXTRNL_RTNG"/>
    <x v="0"/>
    <s v="2. Alterar especificação"/>
    <s v="OK"/>
    <s v="Alterar especificação para casos em informação na fonte."/>
    <s v="Quando não existe informação na fonte em vez de MISS substituir por NA"/>
    <x v="1"/>
    <d v="2024-06-07T00:00:00"/>
    <x v="2"/>
    <s v="OK"/>
    <m/>
    <m/>
    <m/>
    <s v="Alteração de especificação por parte do BCE"/>
    <s v="Y"/>
    <s v="N"/>
    <s v="N"/>
    <s v="N"/>
    <s v="N"/>
    <s v="Y"/>
    <x v="1"/>
    <s v="2.2 Re-especificação de campos complexos - Resto"/>
  </r>
  <r>
    <s v="ENTITY"/>
    <s v="GCC_PRNT_ID"/>
    <x v="0"/>
    <s v="9. Concluído"/>
    <s v="OK"/>
    <s v="Concluido, controlos OK"/>
    <m/>
    <x v="0"/>
    <d v="2024-06-07T00:00:00"/>
    <x v="0"/>
    <s v="OK"/>
    <m/>
    <m/>
    <m/>
    <s v="Campo concluido"/>
    <s v="Y"/>
    <s v="N"/>
    <s v="N"/>
    <s v="N"/>
    <s v="N"/>
    <s v="Y"/>
    <x v="0"/>
    <s v="6.1. Fora âmbito | Campos concluídos - Sem necessidade de espec."/>
  </r>
  <r>
    <s v="ENTITY"/>
    <s v="GCC_PRNT_NM"/>
    <x v="0"/>
    <s v="9. Concluído"/>
    <s v="OK"/>
    <s v="Concluido, controlos OK"/>
    <m/>
    <x v="0"/>
    <d v="2024-06-07T00:00:00"/>
    <x v="0"/>
    <s v="OK"/>
    <m/>
    <m/>
    <m/>
    <s v="Campo concluido"/>
    <s v="Y"/>
    <s v="N"/>
    <s v="N"/>
    <s v="N"/>
    <s v="N"/>
    <s v="Y"/>
    <x v="0"/>
    <s v="6.1. Fora âmbito | Campos concluídos - Sem necessidade de espec."/>
  </r>
  <r>
    <s v="ENTITY"/>
    <s v="GDWILL"/>
    <x v="0"/>
    <s v="9. Concluído"/>
    <s v="OK"/>
    <s v="Concluido, controlos OK"/>
    <m/>
    <x v="0"/>
    <d v="2024-06-07T00:00:00"/>
    <x v="0"/>
    <s v="OK"/>
    <m/>
    <m/>
    <m/>
    <s v="Campo concluido"/>
    <s v="Y"/>
    <s v="N"/>
    <s v="N"/>
    <s v="N"/>
    <s v="N"/>
    <s v="N"/>
    <x v="0"/>
    <n v="0"/>
  </r>
  <r>
    <s v="ENTITY"/>
    <s v="GDWILL_PRVS"/>
    <x v="0"/>
    <s v="9. Concluído"/>
    <s v="OK"/>
    <s v="Concluido, controlos OK"/>
    <m/>
    <x v="0"/>
    <d v="2024-06-07T00:00:00"/>
    <x v="0"/>
    <s v="OK"/>
    <m/>
    <m/>
    <m/>
    <s v="Campo concluido"/>
    <s v="Y"/>
    <s v="N"/>
    <s v="N"/>
    <s v="N"/>
    <s v="N"/>
    <s v="N"/>
    <x v="0"/>
    <n v="0"/>
  </r>
  <r>
    <s v="INSTRUMENT"/>
    <s v="GRC_PRD_CPTL_INTRST_C19"/>
    <x v="1"/>
    <s v="9. Concluído"/>
    <s v="OK"/>
    <s v="Concluido, controlos OK"/>
    <m/>
    <x v="0"/>
    <d v="2024-06-07T00:00:00"/>
    <x v="0"/>
    <s v="OK"/>
    <m/>
    <m/>
    <m/>
    <s v="Campo concluido"/>
    <s v="Y"/>
    <s v="N"/>
    <s v="N"/>
    <s v="N"/>
    <s v="N"/>
    <s v="N"/>
    <x v="0"/>
    <n v="0"/>
  </r>
  <r>
    <s v="INSTRUMENT"/>
    <s v="GRNTR_ID"/>
    <x v="1"/>
    <s v="9. Concluído"/>
    <s v="OK"/>
    <s v="Concluido, controlos OK"/>
    <m/>
    <x v="0"/>
    <d v="2024-06-07T00:00:00"/>
    <x v="0"/>
    <s v="OK"/>
    <m/>
    <m/>
    <m/>
    <s v="Campo concluido"/>
    <s v="Y"/>
    <s v="N"/>
    <s v="N"/>
    <s v="N"/>
    <s v="N"/>
    <s v="N"/>
    <x v="0"/>
    <n v="0"/>
  </r>
  <r>
    <s v="INSTRUMENT"/>
    <s v="GRNTR_ID_TYP"/>
    <x v="1"/>
    <s v="9. Concluído"/>
    <s v="OK"/>
    <s v="Concluido, controlos OK"/>
    <m/>
    <x v="0"/>
    <d v="2024-06-07T00:00:00"/>
    <x v="0"/>
    <s v="OK"/>
    <m/>
    <m/>
    <m/>
    <s v="Campo concluido"/>
    <s v="Y"/>
    <s v="N"/>
    <s v="N"/>
    <s v="N"/>
    <s v="N"/>
    <s v="N"/>
    <x v="0"/>
    <n v="0"/>
  </r>
  <r>
    <s v="ENTITY"/>
    <s v="GRP_EBITDA"/>
    <x v="0"/>
    <s v="9. Concluído"/>
    <s v="OK"/>
    <s v="Concluido, controlos OK"/>
    <m/>
    <x v="0"/>
    <d v="2024-06-07T00:00:00"/>
    <x v="0"/>
    <s v="OK"/>
    <m/>
    <m/>
    <m/>
    <s v="Campo concluido"/>
    <s v="Y"/>
    <s v="N"/>
    <s v="N"/>
    <s v="N"/>
    <s v="N"/>
    <s v="Y"/>
    <x v="0"/>
    <s v="6.1. Fora âmbito | Campos concluídos - Sem necessidade de espec."/>
  </r>
  <r>
    <s v="ENTITY"/>
    <s v="GRP_EQTY"/>
    <x v="0"/>
    <s v="9. Concluído"/>
    <s v="OK"/>
    <s v="Concluido, controlos OK"/>
    <m/>
    <x v="0"/>
    <d v="2024-06-07T00:00:00"/>
    <x v="0"/>
    <s v="OK"/>
    <m/>
    <m/>
    <m/>
    <s v="Campo concluido"/>
    <s v="Y"/>
    <s v="N"/>
    <s v="Y"/>
    <s v="N"/>
    <s v="N"/>
    <s v="Y"/>
    <x v="0"/>
    <s v="6.1. Fora âmbito | Campos concluídos - Sem necessidade de espec."/>
  </r>
  <r>
    <s v="ENTITY"/>
    <s v="GRP_NT_DBT"/>
    <x v="0"/>
    <s v="9. Concluído"/>
    <s v="OK"/>
    <s v="Concluido, controlos OK"/>
    <m/>
    <x v="0"/>
    <d v="2024-06-07T00:00:00"/>
    <x v="0"/>
    <s v="OK"/>
    <m/>
    <m/>
    <m/>
    <s v="Campo concluido"/>
    <s v="Y"/>
    <s v="N"/>
    <s v="N"/>
    <s v="N"/>
    <s v="N"/>
    <s v="Y"/>
    <x v="0"/>
    <s v="6.1. Fora âmbito | Campos concluídos - Sem necessidade de espec."/>
  </r>
  <r>
    <s v="ENTITY"/>
    <s v="GRP_TTL_DBT"/>
    <x v="1"/>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Y"/>
    <s v="N"/>
    <s v="N"/>
    <s v="N"/>
    <x v="0"/>
    <n v="0"/>
  </r>
  <r>
    <s v="INSTRUMENT"/>
    <s v="GRSS_CRRYNG_AMNT_INSTRMNT"/>
    <x v="0"/>
    <s v="9. Concluído"/>
    <s v="OK"/>
    <s v="Concluido, controlos OK"/>
    <m/>
    <x v="0"/>
    <d v="2024-06-07T00:00:00"/>
    <x v="0"/>
    <s v="OK"/>
    <m/>
    <m/>
    <m/>
    <s v="Campo concluido"/>
    <s v="Y"/>
    <s v="Y"/>
    <s v="Y"/>
    <s v="N"/>
    <s v="Y"/>
    <s v="Y"/>
    <x v="0"/>
    <s v="6.1. Fora âmbito | Campos concluídos - Sem necessidade de espec."/>
  </r>
  <r>
    <s v="INSTRUMENT"/>
    <s v="HEDGE_ID"/>
    <x v="1"/>
    <s v="9. Concluído"/>
    <s v="OK"/>
    <s v="Concluido, controlos OK"/>
    <m/>
    <x v="0"/>
    <d v="2024-06-07T00:00:00"/>
    <x v="0"/>
    <s v="OK"/>
    <m/>
    <m/>
    <m/>
    <s v="Campo concluido"/>
    <s v="Y"/>
    <s v="N"/>
    <s v="N"/>
    <s v="N"/>
    <s v="N"/>
    <s v="N"/>
    <x v="0"/>
    <n v="0"/>
  </r>
  <r>
    <s v="PROTECTION"/>
    <s v="HRCT_MV"/>
    <x v="0"/>
    <s v="9. Concluído"/>
    <s v="OK"/>
    <s v="Concluido, controlos OK"/>
    <m/>
    <x v="0"/>
    <d v="2024-06-07T00:00:00"/>
    <x v="0"/>
    <s v="OK"/>
    <m/>
    <m/>
    <m/>
    <s v="Campo concluido"/>
    <s v="Y"/>
    <s v="N"/>
    <s v="N"/>
    <s v="N"/>
    <s v="N"/>
    <s v="N"/>
    <x v="0"/>
    <n v="0"/>
  </r>
  <r>
    <s v="INSTRUMENT"/>
    <s v="IDCMB"/>
    <x v="1"/>
    <s v="5.1 Em testes - Re-especificação"/>
    <s v="NOK"/>
    <s v="Em testes pela equipa de CDO"/>
    <m/>
    <x v="1"/>
    <d v="2024-06-07T00:00:00"/>
    <x v="8"/>
    <s v="NOK"/>
    <m/>
    <d v="2024-02-06T00:00:00"/>
    <d v="2024-02-08T00:00:00"/>
    <s v="Novo campo"/>
    <s v="Y"/>
    <s v="Y"/>
    <s v="Y"/>
    <s v="N"/>
    <s v="Y"/>
    <s v="Y"/>
    <x v="1"/>
    <s v="3. Campos em testes ou c/ incidências"/>
  </r>
  <r>
    <s v="ENTITY"/>
    <s v="EBITDA_PRVS"/>
    <x v="0"/>
    <s v="2. Alterar especificação"/>
    <s v="OK"/>
    <s v="Alterar especificação (Luis Bastos enviou nova metodologia do campo)"/>
    <m/>
    <x v="2"/>
    <d v="2024-06-07T00:00:00"/>
    <x v="2"/>
    <s v="OK"/>
    <m/>
    <m/>
    <m/>
    <s v="Melhorias estruturais (garantir coerência entre campos)"/>
    <s v="Y"/>
    <s v="N"/>
    <s v="N"/>
    <s v="N"/>
    <s v="N"/>
    <s v="Y"/>
    <x v="2"/>
    <s v="6.4. Fora âmbito | Re-especificação de campos complexos - Dem. Fin. CIB"/>
  </r>
  <r>
    <s v="INSTRUMENT"/>
    <s v="IFRS9_CCF"/>
    <x v="0"/>
    <s v="9. Concluído"/>
    <s v="OK"/>
    <s v="Concluido, controlos OK"/>
    <m/>
    <x v="0"/>
    <d v="2024-06-07T00:00:00"/>
    <x v="0"/>
    <s v="OK"/>
    <s v="Campo Imparidade"/>
    <m/>
    <m/>
    <s v="Campo concluido"/>
    <s v="Y"/>
    <s v="N"/>
    <s v="N"/>
    <s v="N"/>
    <s v="N"/>
    <s v="N"/>
    <x v="0"/>
    <n v="0"/>
  </r>
  <r>
    <s v="INSTRUMENT"/>
    <s v="IFRS9_EAD"/>
    <x v="0"/>
    <s v="7. Analisar controlos e completude"/>
    <s v="NOK"/>
    <s v="Controlos NOK"/>
    <m/>
    <x v="2"/>
    <d v="2024-06-07T00:00:00"/>
    <x v="5"/>
    <s v="NOK"/>
    <s v="Campo Imparidade"/>
    <m/>
    <m/>
    <s v="Analisar controlos NOK"/>
    <s v="Y"/>
    <s v="N"/>
    <s v="N"/>
    <s v="N"/>
    <s v="N"/>
    <s v="N"/>
    <x v="0"/>
    <n v="0"/>
  </r>
  <r>
    <s v="INSTRUMENT"/>
    <s v="IFRS9_LGD"/>
    <x v="0"/>
    <s v="9. Concluído"/>
    <s v="OK"/>
    <s v="Concluido, controlos OK"/>
    <m/>
    <x v="0"/>
    <d v="2024-06-07T00:00:00"/>
    <x v="0"/>
    <s v="OK"/>
    <s v="Campo Imparidade"/>
    <m/>
    <m/>
    <s v="Campo concluido"/>
    <s v="Y"/>
    <s v="N"/>
    <s v="N"/>
    <s v="N"/>
    <s v="N"/>
    <s v="N"/>
    <x v="0"/>
    <n v="0"/>
  </r>
  <r>
    <s v="INSTRUMENT"/>
    <s v="IMPRMNT_ASSSSMNT_MTHD"/>
    <x v="0"/>
    <s v="9. Concluído"/>
    <s v="OK"/>
    <s v="Concluido, controlos OK"/>
    <m/>
    <x v="0"/>
    <d v="2024-06-07T00:00:00"/>
    <x v="0"/>
    <s v="OK"/>
    <m/>
    <m/>
    <m/>
    <s v="Campo concluido"/>
    <s v="Y"/>
    <s v="N"/>
    <s v="N"/>
    <s v="N"/>
    <s v="N"/>
    <s v="Y"/>
    <x v="0"/>
    <s v="6.1. Fora âmbito | Campos concluídos - Sem necessidade de espec."/>
  </r>
  <r>
    <s v="INSTRUMENT"/>
    <s v="IMPRMNT_CLCLTN_MTHD"/>
    <x v="0"/>
    <s v="7. Analisar controlos e completude"/>
    <s v="NOK"/>
    <s v="Controlos NOK"/>
    <m/>
    <x v="2"/>
    <d v="2024-06-07T00:00:00"/>
    <x v="5"/>
    <s v="NOK"/>
    <m/>
    <m/>
    <m/>
    <s v="Analisar controlos NOK"/>
    <s v="Y"/>
    <s v="N"/>
    <s v="N"/>
    <s v="N"/>
    <s v="N"/>
    <s v="N"/>
    <x v="0"/>
    <n v="0"/>
  </r>
  <r>
    <s v="INSTRUMENT"/>
    <s v="IMPRMNT_STTS"/>
    <x v="0"/>
    <s v="3. Pendente de decisão"/>
    <s v="NOK"/>
    <s v="Rever com a Corporação se a nova code list foi apenas para a OSI (relativamente ao tema dos POCI)."/>
    <m/>
    <x v="1"/>
    <d v="2025-01-13T00:00:00"/>
    <x v="8"/>
    <s v="NOK"/>
    <s v="Alteração da fonte das tabela de Imparidade Reporting para as 8_7 e alteração da data a partir da qual a fonte passa a ser as tabelas de Contabilidade"/>
    <d v="2024-09-27T00:00:00"/>
    <m/>
    <s v="Pendente de decisão"/>
    <s v="Y"/>
    <s v="Y"/>
    <s v="Y"/>
    <s v="N"/>
    <s v="N"/>
    <s v="Y"/>
    <x v="0"/>
    <s v="6.2.  Fora âmbito | Campos em testes ou c/ incidências (LT - PM)"/>
  </r>
  <r>
    <s v="INSTRUMENT"/>
    <s v="IMPRMNT_STTS_PRVS"/>
    <x v="0"/>
    <s v="3. Pendente de decisão"/>
    <s v="OK"/>
    <s v="Verificar necessidade de alteração da fonte para fins de reconciliação. Rever Fonte"/>
    <s v="Rever fonte. Confirmar com LCM que a informação deverá estar de acordo com IFRS9/Imparidade, mantendo a metodologia da OSI (ir apenas à tabela FR004 na data de referência, as restantes datas ir à tabela de IFRS9)"/>
    <x v="1"/>
    <d v="2025-01-13T00:00:00"/>
    <x v="8"/>
    <s v="OK"/>
    <s v="Alteração da fonte das tabela de Imparidade Reporting para as 8_7 e alteração da data a partir da qual a fonte passa a ser as tabelas de Contabilidade"/>
    <d v="2024-09-27T00:00:00"/>
    <m/>
    <s v="Pendente de decisão"/>
    <s v="Y"/>
    <s v="N"/>
    <s v="N"/>
    <s v="N"/>
    <s v="N"/>
    <s v="Y"/>
    <x v="0"/>
    <s v="6.2.  Fora âmbito | Campos em testes ou c/ incidências (LT - PM)"/>
  </r>
  <r>
    <s v="ENTITY"/>
    <s v="INCM_SC"/>
    <x v="1"/>
    <s v="1. Especificar"/>
    <s v="OK"/>
    <s v="Em especificação (Salários)"/>
    <m/>
    <x v="2"/>
    <d v="2024-06-07T00:00:00"/>
    <x v="3"/>
    <s v="OK"/>
    <m/>
    <m/>
    <m/>
    <s v="Melhorias estruturais (garantir coerência entre campos)"/>
    <s v="Y"/>
    <s v="N"/>
    <s v="N"/>
    <s v="N"/>
    <s v="N"/>
    <s v="N"/>
    <x v="0"/>
    <n v="0"/>
  </r>
  <r>
    <s v="ENTITY"/>
    <s v="EBITDA"/>
    <x v="0"/>
    <s v="2. Alterar especificação"/>
    <s v="OK"/>
    <s v="Alterar especificação (Luis Bastos enviou nova metodologia do campo)"/>
    <m/>
    <x v="2"/>
    <d v="2024-06-07T00:00:00"/>
    <x v="2"/>
    <s v="OK"/>
    <m/>
    <m/>
    <m/>
    <s v="Melhorias estruturais (garantir coerência entre campos)"/>
    <s v="Y"/>
    <s v="N"/>
    <s v="N"/>
    <s v="N"/>
    <s v="N"/>
    <s v="Y"/>
    <x v="2"/>
    <s v="6.4. Fora âmbito | Re-especificação de campos complexos - Dem. Fin. CIB"/>
  </r>
  <r>
    <s v="INSTRUMENT"/>
    <s v="INSTR_SNRTY_CLSS"/>
    <x v="1"/>
    <s v="9. Concluído"/>
    <s v="OK"/>
    <s v="Concluido, controlos OK"/>
    <m/>
    <x v="0"/>
    <d v="2024-06-07T00:00:00"/>
    <x v="0"/>
    <s v="OK"/>
    <m/>
    <m/>
    <m/>
    <s v="Campo concluido"/>
    <s v="Y"/>
    <s v="N"/>
    <s v="N"/>
    <s v="N"/>
    <s v="N"/>
    <s v="Y"/>
    <x v="0"/>
    <s v="6.1. Fora âmbito | Campos concluídos - Sem necessidade de espec."/>
  </r>
  <r>
    <s v="INSTRUMENT"/>
    <s v="INSTRMNT_CLSS"/>
    <x v="1"/>
    <s v="9. Concluído"/>
    <s v="OK"/>
    <s v="Concluido, controlos OK"/>
    <m/>
    <x v="0"/>
    <d v="2024-06-07T00:00:00"/>
    <x v="0"/>
    <s v="OK"/>
    <m/>
    <m/>
    <m/>
    <s v="Campo concluido"/>
    <s v="Y"/>
    <s v="N"/>
    <s v="N"/>
    <s v="N"/>
    <s v="N"/>
    <s v="N"/>
    <x v="0"/>
    <n v="0"/>
  </r>
  <r>
    <s v="INSTR_ENTITY"/>
    <s v="INSTRMNT_ID"/>
    <x v="0"/>
    <s v="9. Concluído"/>
    <s v="OK"/>
    <s v="Concluido, controlos OK"/>
    <m/>
    <x v="0"/>
    <d v="2024-06-07T00:00:00"/>
    <x v="0"/>
    <s v="OK"/>
    <m/>
    <m/>
    <m/>
    <s v="Campo concluido"/>
    <s v="Y"/>
    <s v="N"/>
    <s v="Y"/>
    <s v="N"/>
    <s v="N"/>
    <s v="Y"/>
    <x v="0"/>
    <s v="6.1. Fora âmbito | Campos concluídos - Sem necessidade de espec."/>
  </r>
  <r>
    <s v="INSTR_PROTECTION"/>
    <s v="INSTRMNT_ID"/>
    <x v="0"/>
    <s v="9. Concluído"/>
    <s v="OK"/>
    <s v="Concluido, controlos OK"/>
    <m/>
    <x v="0"/>
    <d v="2024-06-07T00:00:00"/>
    <x v="0"/>
    <s v="OK"/>
    <m/>
    <m/>
    <m/>
    <s v="Campo concluido"/>
    <s v="Y"/>
    <s v="Y"/>
    <s v="Y"/>
    <s v="N"/>
    <s v="N"/>
    <s v="N"/>
    <x v="0"/>
    <n v="0"/>
  </r>
  <r>
    <s v="INSTRUMENT"/>
    <s v="INSTRMNT_ID"/>
    <x v="0"/>
    <s v="9. Concluído"/>
    <s v="OK"/>
    <s v="Concluido, controlos OK"/>
    <m/>
    <x v="0"/>
    <d v="2024-06-07T00:00:00"/>
    <x v="0"/>
    <s v="OK"/>
    <m/>
    <m/>
    <m/>
    <s v="Campo concluido"/>
    <s v="Y"/>
    <s v="Y"/>
    <s v="Y"/>
    <s v="N"/>
    <s v="Y"/>
    <s v="Y"/>
    <x v="0"/>
    <s v="6.1. Fora âmbito | Campos concluídos - Sem necessidade de espec."/>
  </r>
  <r>
    <s v="ENTITY"/>
    <s v="INTRNL_RTNG"/>
    <x v="0"/>
    <s v="5.1 Em testes - Re-especificação"/>
    <s v="NOK"/>
    <s v="Em testes"/>
    <m/>
    <x v="1"/>
    <d v="2024-06-07T00:00:00"/>
    <x v="8"/>
    <s v="NOK"/>
    <s v="Campo entregue durante a OSI"/>
    <d v="2024-02-16T00:00:00"/>
    <d v="2024-05-24T00:00:00"/>
    <s v="Necessidade de correção de erros"/>
    <s v="Y"/>
    <s v="N"/>
    <s v="N"/>
    <s v="N"/>
    <s v="N"/>
    <s v="Y"/>
    <x v="1"/>
    <s v="3. Campos em testes ou c/ incidências"/>
  </r>
  <r>
    <s v="INSTRUMENT"/>
    <s v="INTRNL_RTNG"/>
    <x v="0"/>
    <s v="5.1 Em testes - Re-especificação"/>
    <s v="NOK"/>
    <s v="Em testes"/>
    <m/>
    <x v="1"/>
    <d v="2024-06-07T00:00:00"/>
    <x v="8"/>
    <s v="NOK"/>
    <s v="Campo entregue durante a OSI"/>
    <d v="2024-02-16T00:00:00"/>
    <d v="2024-05-24T00:00:00"/>
    <s v="Necessidade de correção de erros"/>
    <s v="Y"/>
    <s v="N"/>
    <s v="N"/>
    <s v="N"/>
    <s v="N"/>
    <s v="Y"/>
    <x v="1"/>
    <s v="3. Campos em testes ou c/ incidências"/>
  </r>
  <r>
    <s v="INSTRUMENT"/>
    <s v="INTRNL_RTNG_INCPTN"/>
    <x v="0"/>
    <s v="5.2 Em testes - Incidência"/>
    <s v="NOK"/>
    <s v="Alterar especificação, campo com incidência. Controlos NOK"/>
    <s v="Na LT apenas foi especifido os restantes internal ratings, estando em falta o internal rating à data de inception."/>
    <x v="2"/>
    <d v="2024-06-07T00:00:00"/>
    <x v="1"/>
    <s v="NOK"/>
    <m/>
    <m/>
    <m/>
    <s v="Melhorias estruturais (garantir coerência entre campos)"/>
    <s v="Y"/>
    <s v="N"/>
    <s v="N"/>
    <s v="N"/>
    <s v="N"/>
    <s v="Y"/>
    <x v="1"/>
    <s v="3. Campos em testes ou c/ incidências"/>
  </r>
  <r>
    <s v="ENTITY"/>
    <s v="INTRNL_RTNG_PRVS"/>
    <x v="0"/>
    <s v="5.1 Em testes - Re-especificação"/>
    <s v="OK"/>
    <s v="Em testes, campo entregue por IT durante a OSI. Testar e validar controlos"/>
    <m/>
    <x v="1"/>
    <d v="2024-06-07T00:00:00"/>
    <x v="8"/>
    <s v="OK"/>
    <s v="Campo entregue durante a OSI"/>
    <d v="2024-02-16T00:00:00"/>
    <d v="2024-05-24T00:00:00"/>
    <s v="Necessidade de correção de erros"/>
    <s v="Y"/>
    <s v="N"/>
    <s v="N"/>
    <s v="N"/>
    <s v="N"/>
    <s v="Y"/>
    <x v="1"/>
    <s v="3. Campos em testes ou c/ incidências"/>
  </r>
  <r>
    <s v="ENTITY"/>
    <s v="INTRNL_SGMNT"/>
    <x v="0"/>
    <s v="9. Concluído"/>
    <s v="OK"/>
    <s v="Concluido, controlos OK"/>
    <m/>
    <x v="0"/>
    <d v="2024-06-07T00:00:00"/>
    <x v="0"/>
    <s v="OK"/>
    <m/>
    <m/>
    <m/>
    <s v="Campo concluido"/>
    <s v="Y"/>
    <s v="N"/>
    <s v="N"/>
    <s v="N"/>
    <s v="N"/>
    <s v="Y"/>
    <x v="0"/>
    <s v="6.1. Fora âmbito | Campos concluídos - Sem necessidade de espec."/>
  </r>
  <r>
    <s v="INSTRUMENT"/>
    <s v="INTRNL_SGMNT"/>
    <x v="0"/>
    <s v="9. Concluído"/>
    <s v="OK"/>
    <s v="Concluido, controlos OK"/>
    <m/>
    <x v="0"/>
    <d v="2024-06-07T00:00:00"/>
    <x v="0"/>
    <s v="OK"/>
    <m/>
    <m/>
    <m/>
    <s v="Campo concluido"/>
    <s v="Y"/>
    <s v="N"/>
    <s v="N"/>
    <s v="N"/>
    <s v="Y"/>
    <s v="Y"/>
    <x v="0"/>
    <s v="6.1. Fora âmbito | Campos concluídos - Sem necessidade de espec."/>
  </r>
  <r>
    <s v="INSTRUMENT"/>
    <s v="INTRNL_SGMNT_CAT_MSTA"/>
    <x v="1"/>
    <s v="9. Concluído"/>
    <s v="OK"/>
    <s v="Concluido, controlos OK"/>
    <m/>
    <x v="0"/>
    <d v="2024-06-07T00:00:00"/>
    <x v="0"/>
    <s v="OK"/>
    <m/>
    <m/>
    <m/>
    <s v="Campo concluido"/>
    <s v="Y"/>
    <s v="N"/>
    <s v="N"/>
    <s v="N"/>
    <s v="Y"/>
    <s v="N"/>
    <x v="0"/>
    <n v="0"/>
  </r>
  <r>
    <s v="INSTRUMENT"/>
    <s v="INTRNL_SGMNT_CATGSUB"/>
    <x v="1"/>
    <s v="9. Concluído"/>
    <s v="OK"/>
    <s v="Concluido, controlos OK"/>
    <m/>
    <x v="0"/>
    <d v="2024-06-07T00:00:00"/>
    <x v="0"/>
    <s v="OK"/>
    <m/>
    <m/>
    <m/>
    <s v="Campo concluido"/>
    <s v="Y"/>
    <s v="N"/>
    <s v="N"/>
    <s v="N"/>
    <s v="Y"/>
    <s v="N"/>
    <x v="0"/>
    <n v="0"/>
  </r>
  <r>
    <s v="INSTRUMENT"/>
    <s v="INTRNL_SGMNT_IFRS9"/>
    <x v="1"/>
    <s v="9. Concluído"/>
    <s v="OK"/>
    <s v="Concluido, controlos OK"/>
    <m/>
    <x v="0"/>
    <d v="2024-06-07T00:00:00"/>
    <x v="0"/>
    <s v="OK"/>
    <s v="Campo Imparidade"/>
    <m/>
    <m/>
    <s v="Campo concluido"/>
    <s v="Y"/>
    <s v="N"/>
    <s v="N"/>
    <s v="N"/>
    <s v="N"/>
    <s v="N"/>
    <x v="0"/>
    <n v="0"/>
  </r>
  <r>
    <s v="ENTITY"/>
    <s v="INTRNL_UNT"/>
    <x v="0"/>
    <s v="9. Concluído"/>
    <s v="OK"/>
    <s v="Concluido, controlos OK"/>
    <m/>
    <x v="0"/>
    <d v="2024-06-07T00:00:00"/>
    <x v="0"/>
    <s v="OK"/>
    <m/>
    <m/>
    <m/>
    <s v="Campo concluido"/>
    <s v="Y"/>
    <s v="N"/>
    <s v="N"/>
    <s v="N"/>
    <s v="N"/>
    <s v="Y"/>
    <x v="0"/>
    <s v="6.1. Fora âmbito | Campos concluídos - Sem necessidade de espec."/>
  </r>
  <r>
    <s v="INSTRUMENT"/>
    <s v="INTRNL_UNT"/>
    <x v="0"/>
    <s v="9. Concluído"/>
    <s v="OK"/>
    <s v="Concluido, controlos OK"/>
    <m/>
    <x v="0"/>
    <d v="2024-06-07T00:00:00"/>
    <x v="0"/>
    <s v="OK"/>
    <m/>
    <m/>
    <m/>
    <s v="Campo concluido"/>
    <s v="Y"/>
    <s v="N"/>
    <s v="N"/>
    <s v="N"/>
    <s v="N"/>
    <s v="Y"/>
    <x v="0"/>
    <s v="6.1. Fora âmbito | Campos concluídos - Sem necessidade de espec."/>
  </r>
  <r>
    <s v="INSTRUMENT"/>
    <s v="INTRST_RT_RST_FRQNCY"/>
    <x v="0"/>
    <s v="9. Concluído"/>
    <s v="OK"/>
    <s v="Concluido, controlos OK"/>
    <m/>
    <x v="0"/>
    <d v="2024-06-07T00:00:00"/>
    <x v="0"/>
    <s v="OK"/>
    <m/>
    <m/>
    <m/>
    <s v="Campo concluido"/>
    <s v="Y"/>
    <s v="N"/>
    <s v="N"/>
    <s v="N"/>
    <s v="N"/>
    <s v="N"/>
    <x v="0"/>
    <n v="0"/>
  </r>
  <r>
    <s v="INSTRUMENT"/>
    <s v="ISIN"/>
    <x v="1"/>
    <s v="9. Concluído"/>
    <s v="OK"/>
    <s v="Concluido, controlos OK"/>
    <m/>
    <x v="0"/>
    <d v="2024-06-07T00:00:00"/>
    <x v="0"/>
    <s v="OK"/>
    <m/>
    <m/>
    <m/>
    <s v="Campo concluido"/>
    <s v="Y"/>
    <s v="N"/>
    <s v="N"/>
    <s v="N"/>
    <s v="N"/>
    <s v="N"/>
    <x v="0"/>
    <n v="0"/>
  </r>
  <r>
    <s v="INSTRUMENT"/>
    <s v="ISIN_SCRTSTN"/>
    <x v="1"/>
    <s v="9. Concluído"/>
    <s v="OK"/>
    <s v="Concluido, controlos OK"/>
    <m/>
    <x v="0"/>
    <d v="2024-06-07T00:00:00"/>
    <x v="0"/>
    <s v="OK"/>
    <m/>
    <m/>
    <m/>
    <s v="Campo concluido"/>
    <s v="Y"/>
    <s v="N"/>
    <s v="N"/>
    <s v="N"/>
    <s v="N"/>
    <s v="N"/>
    <x v="0"/>
    <n v="0"/>
  </r>
  <r>
    <s v="INSTRUMENT"/>
    <s v="ISSR_CNTRY"/>
    <x v="1"/>
    <s v="9. Concluído"/>
    <s v="OK"/>
    <s v="Concluido, controlos OK"/>
    <m/>
    <x v="0"/>
    <d v="2024-06-07T00:00:00"/>
    <x v="0"/>
    <s v="OK"/>
    <m/>
    <m/>
    <m/>
    <s v="Campo concluido"/>
    <s v="Y"/>
    <s v="N"/>
    <s v="Y"/>
    <s v="N"/>
    <s v="N"/>
    <s v="N"/>
    <x v="0"/>
    <n v="0"/>
  </r>
  <r>
    <s v="INSTRUMENT"/>
    <s v="ISSR_ESA_2010"/>
    <x v="1"/>
    <s v="7. Analisar controlos e completude"/>
    <s v="NOK"/>
    <s v="Controlos NOK"/>
    <m/>
    <x v="2"/>
    <d v="2024-06-07T00:00:00"/>
    <x v="5"/>
    <s v="NOK"/>
    <m/>
    <m/>
    <m/>
    <s v="Analisar controlos NOK"/>
    <s v="Y"/>
    <s v="N"/>
    <s v="N"/>
    <s v="N"/>
    <s v="N"/>
    <s v="N"/>
    <x v="0"/>
    <n v="0"/>
  </r>
  <r>
    <s v="INSTRUMENT"/>
    <s v="ISSR_ID"/>
    <x v="1"/>
    <s v="9. Concluído"/>
    <s v="OK"/>
    <s v="Concluido, controlos OK"/>
    <m/>
    <x v="0"/>
    <d v="2024-06-07T00:00:00"/>
    <x v="0"/>
    <s v="OK"/>
    <m/>
    <m/>
    <m/>
    <s v="Campo concluido"/>
    <s v="Y"/>
    <s v="N"/>
    <s v="N"/>
    <s v="N"/>
    <s v="N"/>
    <s v="N"/>
    <x v="0"/>
    <n v="0"/>
  </r>
  <r>
    <s v="INSTRUMENT"/>
    <s v="ISSR_ID_TYP"/>
    <x v="1"/>
    <s v="9. Concluído"/>
    <s v="OK"/>
    <s v="Concluido, controlos OK"/>
    <m/>
    <x v="0"/>
    <d v="2024-06-07T00:00:00"/>
    <x v="0"/>
    <s v="OK"/>
    <m/>
    <m/>
    <m/>
    <s v="Campo concluido"/>
    <s v="Y"/>
    <s v="N"/>
    <s v="N"/>
    <s v="N"/>
    <s v="N"/>
    <s v="N"/>
    <x v="0"/>
    <n v="0"/>
  </r>
  <r>
    <s v="INSTRUMENT"/>
    <s v="ISSR_NACE_SCTR"/>
    <x v="1"/>
    <s v="9. Concluído"/>
    <s v="OK"/>
    <s v="Concluido, controlos OK"/>
    <m/>
    <x v="0"/>
    <d v="2024-06-07T00:00:00"/>
    <x v="0"/>
    <s v="OK"/>
    <m/>
    <m/>
    <m/>
    <s v="Campo concluido"/>
    <s v="Y"/>
    <s v="N"/>
    <s v="Y"/>
    <s v="N"/>
    <s v="N"/>
    <s v="N"/>
    <x v="0"/>
    <n v="0"/>
  </r>
  <r>
    <s v="INSTRUMENT"/>
    <s v="ISSR_RTNG"/>
    <x v="1"/>
    <s v="8. Concluído - sem dados"/>
    <s v="OK"/>
    <s v="Campo especificado, mas sem dados. Campo marcado com MISS ou NA"/>
    <m/>
    <x v="0"/>
    <d v="2024-06-07T00:00:00"/>
    <x v="6"/>
    <s v="OK"/>
    <m/>
    <m/>
    <m/>
    <s v="Campo concluído, mas sem ou pouca informação na fonte"/>
    <s v="Y"/>
    <s v="N"/>
    <s v="N"/>
    <s v="N"/>
    <s v="N"/>
    <s v="N"/>
    <x v="0"/>
    <n v="0"/>
  </r>
  <r>
    <s v="INSTRUMENT"/>
    <s v="ISSR_RTNG_SRC"/>
    <x v="1"/>
    <s v="8. Concluído - sem dados"/>
    <s v="OK"/>
    <s v="Campo especificado, mas sem dados. Campo marcado com MISS ou NA"/>
    <m/>
    <x v="0"/>
    <d v="2024-06-07T00:00:00"/>
    <x v="6"/>
    <s v="OK"/>
    <m/>
    <m/>
    <m/>
    <s v="Campo concluído, mas sem ou pouca informação na fonte"/>
    <s v="Y"/>
    <s v="N"/>
    <s v="N"/>
    <s v="N"/>
    <s v="N"/>
    <s v="N"/>
    <x v="0"/>
    <n v="0"/>
  </r>
  <r>
    <s v="INSTRUMENT"/>
    <s v="ISSR_TYP"/>
    <x v="1"/>
    <s v="9. Concluído"/>
    <s v="OK"/>
    <s v="Concluido, controlos OK"/>
    <m/>
    <x v="0"/>
    <d v="2024-06-07T00:00:00"/>
    <x v="0"/>
    <s v="OK"/>
    <m/>
    <m/>
    <m/>
    <s v="Campo concluido"/>
    <s v="Y"/>
    <s v="N"/>
    <s v="N"/>
    <s v="N"/>
    <s v="N"/>
    <s v="N"/>
    <x v="0"/>
    <n v="0"/>
  </r>
  <r>
    <s v="INSTR_ENTITY"/>
    <s v="JNT_LBLTY_AMNT"/>
    <x v="0"/>
    <s v="9. Concluído"/>
    <s v="OK"/>
    <s v="Concluido, controlos OK"/>
    <m/>
    <x v="0"/>
    <d v="2024-06-07T00:00:00"/>
    <x v="0"/>
    <s v="OK"/>
    <m/>
    <m/>
    <m/>
    <s v="Campo concluido"/>
    <s v="Y"/>
    <s v="N"/>
    <s v="N"/>
    <s v="N"/>
    <s v="N"/>
    <s v="Y"/>
    <x v="0"/>
    <s v="6.1. Fora âmbito | Campos concluídos - Sem necessidade de espec."/>
  </r>
  <r>
    <s v="INSTRUMENT"/>
    <s v="LCL_INSTMRNT_ID"/>
    <x v="1"/>
    <s v="7. Analisar controlos e completude"/>
    <s v="NOK"/>
    <s v="Controlos NOK"/>
    <m/>
    <x v="2"/>
    <d v="2024-06-07T00:00:00"/>
    <x v="5"/>
    <s v="NOK"/>
    <m/>
    <m/>
    <m/>
    <s v="Analisar controlos NOK"/>
    <s v="Y"/>
    <s v="Y"/>
    <s v="Y"/>
    <s v="N"/>
    <s v="N"/>
    <s v="N"/>
    <x v="0"/>
    <n v="0"/>
  </r>
  <r>
    <s v="INSTRUMENT"/>
    <s v="LCR_BFFR_CTGRY"/>
    <x v="1"/>
    <s v="9. Concluído"/>
    <s v="OK"/>
    <s v="Concluido, controlos OK"/>
    <m/>
    <x v="0"/>
    <d v="2024-06-07T00:00:00"/>
    <x v="0"/>
    <s v="OK"/>
    <m/>
    <m/>
    <m/>
    <s v="Campo concluido"/>
    <s v="Y"/>
    <s v="N"/>
    <s v="N"/>
    <s v="N"/>
    <s v="N"/>
    <s v="N"/>
    <x v="0"/>
    <n v="0"/>
  </r>
  <r>
    <s v="INSTRUMENT"/>
    <s v="LCRE"/>
    <x v="0"/>
    <s v="3. Pendente de decisão"/>
    <s v="OK"/>
    <s v="Verificar necessidade de alteração da fonte para fins de reconciliação. Rever Fonte"/>
    <s v="Ficheiro enviado pela área. Rever se é necessário alterar a especificação de modo a estar de acordo com imparidade. Foi decisão que a informação a reportar deveria reconciliar com a informação de imparidade e por essa mesma razão não se utilizou os dados da LT"/>
    <x v="1"/>
    <d v="2024-06-07T00:00:00"/>
    <x v="4"/>
    <s v="OK"/>
    <m/>
    <m/>
    <m/>
    <s v="Pendente de decisão"/>
    <s v="Y"/>
    <s v="N"/>
    <s v="N"/>
    <s v="N"/>
    <s v="N"/>
    <s v="N"/>
    <x v="0"/>
    <n v="0"/>
  </r>
  <r>
    <s v="ENTITY"/>
    <s v="LEI"/>
    <x v="0"/>
    <s v="9. Concluído"/>
    <s v="OK"/>
    <s v="Concluido, controlos OK"/>
    <m/>
    <x v="0"/>
    <d v="2024-06-07T00:00:00"/>
    <x v="0"/>
    <s v="OK"/>
    <m/>
    <m/>
    <m/>
    <s v="Campo concluido"/>
    <s v="Y"/>
    <s v="N"/>
    <s v="Y"/>
    <s v="N"/>
    <s v="N"/>
    <s v="Y"/>
    <x v="0"/>
    <s v="6.1. Fora âmbito | Campos concluídos - Sem necessidade de espec."/>
  </r>
  <r>
    <s v="INSTRUMENT"/>
    <s v="LGD"/>
    <x v="0"/>
    <s v="9. Concluído"/>
    <s v="OK"/>
    <s v="Concluido, controlos OK"/>
    <m/>
    <x v="0"/>
    <d v="2024-06-07T00:00:00"/>
    <x v="0"/>
    <s v="OK"/>
    <m/>
    <m/>
    <m/>
    <s v="Campo concluido"/>
    <s v="Y"/>
    <s v="N"/>
    <s v="N"/>
    <s v="N"/>
    <s v="N"/>
    <s v="Y"/>
    <x v="0"/>
    <s v="6.1. Fora âmbito | Campos concluídos - Sem necessidade de espec."/>
  </r>
  <r>
    <s v="INSTRUMENT"/>
    <s v="LGL_PRCDNG_STTS"/>
    <x v="0"/>
    <s v="9. Concluído"/>
    <s v="OK"/>
    <s v="Concluido, controlos OK"/>
    <m/>
    <x v="0"/>
    <d v="2024-06-07T00:00:00"/>
    <x v="0"/>
    <s v="OK"/>
    <m/>
    <m/>
    <m/>
    <s v="Campo concluido"/>
    <s v="Y"/>
    <s v="N"/>
    <s v="N"/>
    <s v="N"/>
    <s v="N"/>
    <s v="N"/>
    <x v="0"/>
    <n v="0"/>
  </r>
  <r>
    <s v="ENTITY"/>
    <s v="LGL_PRCDNG_STTS_LE"/>
    <x v="0"/>
    <s v="7. Analisar controlos e completude"/>
    <s v="NOK"/>
    <s v="Controlos NOK"/>
    <m/>
    <x v="2"/>
    <d v="2024-06-07T00:00:00"/>
    <x v="5"/>
    <s v="NOK"/>
    <m/>
    <m/>
    <m/>
    <s v="Analisar controlos NOK"/>
    <s v="Y"/>
    <s v="N"/>
    <s v="N"/>
    <s v="N"/>
    <s v="N"/>
    <s v="Y"/>
    <x v="1"/>
    <s v="4. Campos com NOK controlos Corporativos"/>
  </r>
  <r>
    <s v="INSTRUMENT"/>
    <s v="LND_DRGTN"/>
    <x v="1"/>
    <s v="9. Concluído"/>
    <s v="OK"/>
    <s v="Concluido, controlos OK"/>
    <m/>
    <x v="0"/>
    <d v="2024-06-07T00:00:00"/>
    <x v="0"/>
    <s v="OK"/>
    <m/>
    <m/>
    <m/>
    <s v="Campo concluido"/>
    <s v="Y"/>
    <s v="N"/>
    <s v="N"/>
    <s v="N"/>
    <s v="N"/>
    <s v="N"/>
    <x v="0"/>
    <n v="0"/>
  </r>
  <r>
    <s v="INSTRUMENT"/>
    <s v="LSTI"/>
    <x v="1"/>
    <s v="1. Especificar"/>
    <s v="OK"/>
    <s v="Em especificação (Campos Novos)"/>
    <m/>
    <x v="2"/>
    <d v="2024-06-07T00:00:00"/>
    <x v="3"/>
    <s v="OK"/>
    <m/>
    <m/>
    <m/>
    <s v="Novo campo"/>
    <s v="Y"/>
    <s v="N"/>
    <s v="N"/>
    <s v="N"/>
    <s v="N"/>
    <s v="N"/>
    <x v="0"/>
    <n v="0"/>
  </r>
  <r>
    <s v="ENTITY"/>
    <s v="LTI"/>
    <x v="1"/>
    <s v="1. Especificar"/>
    <s v="NOK"/>
    <s v="Em especificação (Salários)"/>
    <m/>
    <x v="2"/>
    <d v="2024-06-07T00:00:00"/>
    <x v="3"/>
    <s v="NOK"/>
    <m/>
    <m/>
    <m/>
    <s v="Melhorias estruturais (garantir coerência entre campos)"/>
    <s v="Y"/>
    <s v="N"/>
    <s v="N"/>
    <s v="N"/>
    <s v="N"/>
    <s v="N"/>
    <x v="0"/>
    <n v="0"/>
  </r>
  <r>
    <s v="INSTRUMENT"/>
    <s v="LTI_INSTRMNT"/>
    <x v="1"/>
    <s v="1. Especificar"/>
    <s v="OK"/>
    <s v="Em especificação (Campos Novos)"/>
    <m/>
    <x v="2"/>
    <d v="2024-06-07T00:00:00"/>
    <x v="3"/>
    <s v="OK"/>
    <m/>
    <m/>
    <m/>
    <s v="Novo campo"/>
    <s v="Y"/>
    <s v="N"/>
    <s v="N"/>
    <s v="N"/>
    <s v="N"/>
    <s v="N"/>
    <x v="0"/>
    <n v="0"/>
  </r>
  <r>
    <s v="INSTRUMENT"/>
    <s v="LTV"/>
    <x v="0"/>
    <s v="7. Analisar controlos e completude"/>
    <s v="NOK"/>
    <s v="Controlos NOK"/>
    <m/>
    <x v="2"/>
    <d v="2024-06-07T00:00:00"/>
    <x v="5"/>
    <s v="NOK"/>
    <m/>
    <m/>
    <m/>
    <s v="Analisar controlos NOK"/>
    <s v="Y"/>
    <s v="N"/>
    <s v="Y"/>
    <s v="N"/>
    <s v="N"/>
    <s v="N"/>
    <x v="0"/>
    <n v="0"/>
  </r>
  <r>
    <s v="INSTRUMENT"/>
    <s v="LTV_INCPTN"/>
    <x v="0"/>
    <s v="9. Concluído"/>
    <s v="OK"/>
    <s v="Concluido, controlos OK"/>
    <m/>
    <x v="0"/>
    <d v="2024-06-07T00:00:00"/>
    <x v="0"/>
    <s v="OK"/>
    <m/>
    <m/>
    <m/>
    <s v="Campo concluido"/>
    <s v="Y"/>
    <s v="N"/>
    <s v="Y"/>
    <s v="N"/>
    <s v="N"/>
    <s v="N"/>
    <x v="0"/>
    <n v="0"/>
  </r>
  <r>
    <s v="INSTRUMENT"/>
    <s v="LTV_NPE"/>
    <x v="0"/>
    <s v="5.1 Em testes - Re-especificação"/>
    <s v="OK"/>
    <s v="Em testes. Campo depende do campo PRFRMNG_STTS. Não é necessário alterar a especificação do mesmo, apenas testar  se o campo PRFRMNG_STTS for alterado."/>
    <m/>
    <x v="1"/>
    <d v="2024-06-07T00:00:00"/>
    <x v="8"/>
    <s v="OK"/>
    <m/>
    <d v="2022-05-16T00:00:00"/>
    <d v="2022-05-27T00:00:00"/>
    <s v="Pendente de decisão"/>
    <s v="Y"/>
    <s v="N"/>
    <s v="N"/>
    <s v="N"/>
    <s v="N"/>
    <s v="N"/>
    <x v="0"/>
    <n v="0"/>
  </r>
  <r>
    <s v="ENTITY"/>
    <s v="LVRG"/>
    <x v="0"/>
    <s v="9. Concluído"/>
    <s v="OK"/>
    <s v="Concluido, controlos OK"/>
    <m/>
    <x v="0"/>
    <d v="2024-06-07T00:00:00"/>
    <x v="0"/>
    <s v="OK"/>
    <m/>
    <m/>
    <m/>
    <s v="Campo concluido"/>
    <s v="Y"/>
    <s v="N"/>
    <s v="N"/>
    <s v="N"/>
    <s v="N"/>
    <s v="Y"/>
    <x v="0"/>
    <s v="6.1. Fora âmbito | Campos concluídos - Sem necessidade de espec."/>
  </r>
  <r>
    <s v="INSTRUMENT"/>
    <s v="LVRG_FNNC_FLG"/>
    <x v="1"/>
    <s v="9. Concluído"/>
    <s v="OK"/>
    <s v="Concluido, controlos OK"/>
    <m/>
    <x v="0"/>
    <d v="2024-06-07T00:00:00"/>
    <x v="0"/>
    <s v="OK"/>
    <m/>
    <m/>
    <m/>
    <s v="Campo concluido"/>
    <s v="Y"/>
    <s v="N"/>
    <s v="N"/>
    <s v="N"/>
    <s v="N"/>
    <s v="Y"/>
    <x v="2"/>
    <s v="6.3. Fora âmbito | Fonte Manual LF"/>
  </r>
  <r>
    <s v="ENTITY"/>
    <s v="LVRG_PRVS"/>
    <x v="0"/>
    <s v="9. Concluído"/>
    <s v="OK"/>
    <s v="Concluido, controlos OK"/>
    <m/>
    <x v="0"/>
    <d v="2024-06-07T00:00:00"/>
    <x v="0"/>
    <s v="OK"/>
    <m/>
    <m/>
    <m/>
    <s v="Campo concluido"/>
    <s v="Y"/>
    <s v="N"/>
    <s v="N"/>
    <s v="N"/>
    <s v="N"/>
    <s v="Y"/>
    <x v="0"/>
    <s v="6.1. Fora âmbito | Campos concluídos - Sem necessidade de espec."/>
  </r>
  <r>
    <s v="INSTR_ENTITY"/>
    <s v="MN_ENTTY_ID"/>
    <x v="0"/>
    <s v="5.2 Em testes - Incidência"/>
    <s v="OK"/>
    <s v="Campo com incidências. Verificar necessidade de alteração da fonte para fins de reconciliação._x000a_Campo novo, enviado para especificação em Fevereiro e entregue por IT em Março (durante a OSI), no entanto campo está com incidências nas garantias prestadas (detetadas no decurso da OSI)"/>
    <s v="Rever se os 1os titulares devem ser os da FR ou os da CL001 (clientes)"/>
    <x v="1"/>
    <d v="2024-06-07T00:00:00"/>
    <x v="1"/>
    <s v="OK"/>
    <m/>
    <d v="2024-02-02T00:00:00"/>
    <d v="2024-03-21T00:00:00"/>
    <s v="Pendente de decisão"/>
    <s v="Y"/>
    <s v="N"/>
    <s v="Y"/>
    <s v="N"/>
    <s v="N"/>
    <s v="Y"/>
    <x v="1"/>
    <s v="3. Campos em testes ou c/ incidências"/>
  </r>
  <r>
    <s v="PROTECTION"/>
    <s v="MN_PRPS"/>
    <x v="1"/>
    <s v="7. Analisar controlos e completude"/>
    <s v="NOK"/>
    <s v="Controlos NOK"/>
    <m/>
    <x v="2"/>
    <d v="2024-06-07T00:00:00"/>
    <x v="5"/>
    <s v="NOK"/>
    <m/>
    <m/>
    <m/>
    <s v="Analisar controlos NOK"/>
    <s v="Y"/>
    <s v="N"/>
    <s v="N"/>
    <s v="N"/>
    <s v="N"/>
    <s v="N"/>
    <x v="0"/>
    <n v="0"/>
  </r>
  <r>
    <s v="ENTITY"/>
    <s v="MNTHL_INCM"/>
    <x v="1"/>
    <s v="1. Especificar"/>
    <s v="OK"/>
    <s v="Em especificação (Salários)"/>
    <m/>
    <x v="2"/>
    <d v="2024-06-07T00:00:00"/>
    <x v="3"/>
    <s v="OK"/>
    <m/>
    <m/>
    <m/>
    <s v="Melhorias estruturais (garantir coerência entre campos)"/>
    <s v="Y"/>
    <s v="N"/>
    <s v="N"/>
    <s v="N"/>
    <s v="N"/>
    <s v="N"/>
    <x v="0"/>
    <n v="0"/>
  </r>
  <r>
    <s v="ENTITY"/>
    <s v="MNTHL_INCM_SLR"/>
    <x v="1"/>
    <s v="1. Especificar"/>
    <s v="NOK"/>
    <s v="Em especificação (Salários)"/>
    <m/>
    <x v="2"/>
    <d v="2024-06-07T00:00:00"/>
    <x v="3"/>
    <s v="NOK"/>
    <m/>
    <m/>
    <m/>
    <s v="Melhorias estruturais (garantir coerência entre campos)"/>
    <s v="Y"/>
    <s v="N"/>
    <s v="N"/>
    <s v="N"/>
    <s v="N"/>
    <s v="N"/>
    <x v="0"/>
    <n v="0"/>
  </r>
  <r>
    <s v="ENTITY"/>
    <s v="MNTHL_TRNVR"/>
    <x v="1"/>
    <s v="1. Especificar"/>
    <s v="OK"/>
    <s v="Em especificação (Salários)"/>
    <m/>
    <x v="2"/>
    <d v="2024-06-07T00:00:00"/>
    <x v="3"/>
    <s v="OK"/>
    <m/>
    <m/>
    <m/>
    <s v="Melhorias estruturais (garantir coerência entre campos)"/>
    <s v="Y"/>
    <s v="N"/>
    <s v="N"/>
    <s v="N"/>
    <s v="N"/>
    <s v="N"/>
    <x v="0"/>
    <n v="0"/>
  </r>
  <r>
    <s v="INSTRUMENT"/>
    <s v="MTRTY_LTST_FRBRNC_MSR_C19"/>
    <x v="1"/>
    <s v="9. Concluído"/>
    <s v="OK"/>
    <s v="Concluido, controlos OK"/>
    <m/>
    <x v="0"/>
    <d v="2024-06-07T00:00:00"/>
    <x v="0"/>
    <s v="OK"/>
    <m/>
    <m/>
    <m/>
    <s v="Campo concluido"/>
    <s v="Y"/>
    <s v="N"/>
    <s v="N"/>
    <s v="N"/>
    <s v="N"/>
    <s v="N"/>
    <x v="0"/>
    <n v="0"/>
  </r>
  <r>
    <s v="INSTRUMENT"/>
    <s v="MTRTY_LTST_MRTR_C19"/>
    <x v="1"/>
    <s v="9. Concluído"/>
    <s v="OK"/>
    <s v="Concluido, controlos OK"/>
    <m/>
    <x v="0"/>
    <d v="2024-06-07T00:00:00"/>
    <x v="0"/>
    <s v="OK"/>
    <m/>
    <m/>
    <m/>
    <s v="Campo concluido"/>
    <s v="Y"/>
    <s v="N"/>
    <s v="N"/>
    <s v="N"/>
    <s v="N"/>
    <s v="N"/>
    <x v="0"/>
    <n v="0"/>
  </r>
  <r>
    <s v="INSTRUMENT"/>
    <s v="NMBR_FRBRNC_MSRS"/>
    <x v="0"/>
    <s v="9. Concluído"/>
    <s v="OK"/>
    <s v="Concluido, controlos OK"/>
    <m/>
    <x v="0"/>
    <d v="2024-06-07T00:00:00"/>
    <x v="0"/>
    <s v="OK"/>
    <m/>
    <m/>
    <m/>
    <s v="Campo concluido"/>
    <s v="Y"/>
    <s v="N"/>
    <s v="N"/>
    <s v="N"/>
    <s v="N"/>
    <s v="Y"/>
    <x v="0"/>
    <s v="6.1. Fora âmbito | Campos concluídos - Sem necessidade de espec."/>
  </r>
  <r>
    <s v="ENTITY"/>
    <s v="NT_INCM"/>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Y"/>
    <x v="2"/>
    <s v="6.4. Fora âmbito | Re-especificação de campos complexos - Dem. Fin. CIB"/>
  </r>
  <r>
    <s v="ENTITY"/>
    <s v="NT_INCM_PRVS"/>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Y"/>
    <x v="2"/>
    <s v="6.4. Fora âmbito | Re-especificação de campos complexos - Dem. Fin. CIB"/>
  </r>
  <r>
    <s v="INSTRUMENT"/>
    <s v="RWA_MTHD"/>
    <x v="0"/>
    <s v="5.1 Em testes - Re-especificação"/>
    <s v="OK"/>
    <s v="Em testes, campo entregue por IT durante a OSI. Testar e validar controlos"/>
    <s v="Alteração de formato de 11111111.00 para 11111111"/>
    <x v="0"/>
    <d v="2024-06-20T00:00:00"/>
    <x v="0"/>
    <s v="OK"/>
    <s v="Incidência relativamente ao formatos corrigida. Controlos testados e OK"/>
    <m/>
    <d v="2024-06-20T00:00:00"/>
    <s v="Campo concluido"/>
    <s v="Y"/>
    <s v="N"/>
    <s v="N"/>
    <s v="N"/>
    <s v="N"/>
    <s v="Y"/>
    <x v="0"/>
    <s v="6.1. Fora âmbito | Campos concluídos - Sem necessidade de espec."/>
  </r>
  <r>
    <s v="INSTRUMENT"/>
    <s v="OBSRVD_AGNT_ID"/>
    <x v="0"/>
    <s v="9. Concluído"/>
    <s v="OK"/>
    <s v="Concluido, controlos OK"/>
    <m/>
    <x v="0"/>
    <d v="2024-06-07T00:00:00"/>
    <x v="0"/>
    <s v="OK"/>
    <m/>
    <m/>
    <m/>
    <s v="Campo concluido"/>
    <s v="Y"/>
    <s v="N"/>
    <s v="N"/>
    <s v="N"/>
    <s v="N"/>
    <s v="Y"/>
    <x v="0"/>
    <s v="6.1. Fora âmbito | Campos concluídos - Sem necessidade de espec."/>
  </r>
  <r>
    <s v="INSTRUMENT"/>
    <s v="OBSRVD_AGNT_NM"/>
    <x v="0"/>
    <s v="9. Concluído"/>
    <s v="OK"/>
    <s v="Concluido, controlos OK"/>
    <m/>
    <x v="0"/>
    <d v="2024-06-07T00:00:00"/>
    <x v="0"/>
    <s v="OK"/>
    <m/>
    <m/>
    <m/>
    <s v="Campo concluido"/>
    <s v="Y"/>
    <s v="N"/>
    <s v="N"/>
    <s v="N"/>
    <s v="N"/>
    <s v="Y"/>
    <x v="0"/>
    <s v="6.1. Fora âmbito | Campos concluídos - Sem necessidade de espec."/>
  </r>
  <r>
    <s v="INSTRUMENT"/>
    <s v="OFF_BLNC_SHT_AMNT_INSTRMNT"/>
    <x v="0"/>
    <s v="7. Analisar controlos e completude"/>
    <s v="NOK"/>
    <s v="Controlos NOK"/>
    <m/>
    <x v="2"/>
    <d v="2024-06-07T00:00:00"/>
    <x v="5"/>
    <s v="NOK"/>
    <m/>
    <m/>
    <m/>
    <s v="Analisar controlos NOK"/>
    <s v="Y"/>
    <s v="Y"/>
    <s v="N"/>
    <s v="N"/>
    <s v="Y"/>
    <s v="Y"/>
    <x v="1"/>
    <s v="4. Campos com NOK controlos Corporativos"/>
  </r>
  <r>
    <s v="INSTRUMENT"/>
    <s v="OFF_BLNC_SHT_AMNT_INSTRMNT_PRVS"/>
    <x v="0"/>
    <s v="5.2 Em testes - Incidência"/>
    <s v="OK"/>
    <s v="Campo com incidência"/>
    <s v="MISS deviam estar a ser reportados como NA ou zero"/>
    <x v="1"/>
    <d v="2025-01-13T00:00:00"/>
    <x v="8"/>
    <s v="OK"/>
    <s v="Campo está a assumir apenas valores 0.00, MISS ou N/A. É necessário replicar o cálculo da LT001 para um ano atrás. LCM pediu para que o campo fonte fosse criado diretamente na LT001, eliminando a necessidade de replicar o calculo da LT001 para um ano antes da data de referência."/>
    <d v="2024-06-28T00:00:00"/>
    <m/>
    <s v="Necessidade de correção de erros"/>
    <s v="Y"/>
    <s v="N"/>
    <s v="N"/>
    <s v="N"/>
    <s v="N"/>
    <s v="N"/>
    <x v="0"/>
    <n v="0"/>
  </r>
  <r>
    <s v="PROTECTION"/>
    <s v="DT_ORGNL_PRTCTN_VL"/>
    <x v="0"/>
    <s v="5.2 Em testes - Incidência"/>
    <s v="NOK"/>
    <s v="Campo com incidência e controlos NOK"/>
    <s v="1) Campo com incidência, data igual à data da protection_vl 2) Alteração de formatos MISS"/>
    <x v="0"/>
    <d v="2025-01-13T00:00:00"/>
    <x v="0"/>
    <s v="OK"/>
    <m/>
    <d v="2024-09-20T00:00:00"/>
    <d v="2024-12-20T00:00:00"/>
    <s v="Necessidade de correção de erros"/>
    <s v="Y"/>
    <s v="N"/>
    <s v="N"/>
    <s v="N"/>
    <s v="N"/>
    <s v="N"/>
    <x v="0"/>
    <n v="0"/>
  </r>
  <r>
    <s v="ENTITY"/>
    <s v="OSI_ID"/>
    <x v="0"/>
    <s v="9. Concluído"/>
    <s v="OK"/>
    <s v="Concluido, controlos OK"/>
    <m/>
    <x v="0"/>
    <d v="2024-06-07T00:00:00"/>
    <x v="0"/>
    <s v="OK"/>
    <m/>
    <m/>
    <m/>
    <s v="Campo concluido"/>
    <s v="Y"/>
    <s v="N"/>
    <s v="N"/>
    <s v="N"/>
    <s v="N"/>
    <s v="Y"/>
    <x v="0"/>
    <s v="6.1. Fora âmbito | Campos concluídos - Sem necessidade de espec."/>
  </r>
  <r>
    <s v="INSTRUMENT"/>
    <s v="OTSTNDNG_NMNL_AMNT_INSTRMNT"/>
    <x v="0"/>
    <s v="7. Analisar controlos e completude"/>
    <s v="NOK"/>
    <s v="Controlos NOK"/>
    <m/>
    <x v="2"/>
    <d v="2024-06-07T00:00:00"/>
    <x v="5"/>
    <s v="NOK"/>
    <m/>
    <m/>
    <m/>
    <s v="Analisar controlos NOK"/>
    <s v="Y"/>
    <s v="N"/>
    <s v="N"/>
    <s v="N"/>
    <s v="N"/>
    <s v="Y"/>
    <x v="1"/>
    <s v="4. Campos com NOK controlos Corporativos"/>
  </r>
  <r>
    <s v="INSTRUMENT"/>
    <s v="DT_FRBRNC_STTS_PRVS"/>
    <x v="0"/>
    <s v="2. Alterar especificação"/>
    <s v="NOK"/>
    <s v="Alterar especificação (alteração da fonte para a FR004)"/>
    <s v="Na OSI fomos diretamente à RMN85, em âmbito da LT foi alinhado que iriamos à FR004 e que esta por sua vez iria à RMN85.  Na OSI foram adicionados os contratos com FRBRNC_STTS='9' (ficheiro com os ACC disponibilizado por Graça Vale), atualmente não existe esta informação automatizada."/>
    <x v="2"/>
    <d v="2024-06-07T00:00:00"/>
    <x v="2"/>
    <s v="NOK"/>
    <m/>
    <m/>
    <m/>
    <s v="Melhorias estruturais (garantir coerência entre campos)"/>
    <s v="Y"/>
    <s v="N"/>
    <s v="N"/>
    <s v="N"/>
    <s v="N"/>
    <s v="N"/>
    <x v="0"/>
    <n v="0"/>
  </r>
  <r>
    <s v="ENTITY"/>
    <s v="OWND_BY_SPNSR"/>
    <x v="1"/>
    <s v="9. Concluído"/>
    <s v="OK"/>
    <s v="Concluido, controlos OK"/>
    <m/>
    <x v="0"/>
    <d v="2024-06-07T00:00:00"/>
    <x v="0"/>
    <s v="OK"/>
    <m/>
    <m/>
    <m/>
    <s v="Campo concluido"/>
    <s v="Y"/>
    <s v="N"/>
    <s v="N"/>
    <s v="N"/>
    <s v="N"/>
    <s v="Y"/>
    <x v="2"/>
    <s v="6.3. Fora âmbito | Fonte Manual LF"/>
  </r>
  <r>
    <s v="INSTRUMENT"/>
    <s v="PBLC_GRNT_SCHM_C19_NM"/>
    <x v="1"/>
    <s v="9. Concluído"/>
    <s v="OK"/>
    <s v="Concluido, controlos OK"/>
    <m/>
    <x v="0"/>
    <d v="2024-06-07T00:00:00"/>
    <x v="0"/>
    <s v="OK"/>
    <m/>
    <m/>
    <m/>
    <s v="Campo concluido"/>
    <s v="Y"/>
    <s v="N"/>
    <s v="N"/>
    <s v="N"/>
    <s v="N"/>
    <s v="N"/>
    <x v="0"/>
    <n v="0"/>
  </r>
  <r>
    <s v="INSTRUMENT"/>
    <s v="PD_CRR_INCPTN"/>
    <x v="0"/>
    <s v="5.2 Em testes - Incidência"/>
    <s v="OK"/>
    <s v="Campo com incidência"/>
    <s v="Campo com incidência. Confirmar com Tecnologia que o campo está alterado com base no que foi identificado na OSI"/>
    <x v="2"/>
    <d v="2024-06-07T00:00:00"/>
    <x v="1"/>
    <s v="OK"/>
    <m/>
    <d v="2024-02-16T00:00:00"/>
    <d v="2024-05-27T00:00:00"/>
    <s v="Melhorias estruturais (garantir coerência entre campos)"/>
    <s v="Y"/>
    <s v="N"/>
    <s v="N"/>
    <s v="N"/>
    <s v="N"/>
    <s v="Y"/>
    <x v="1"/>
    <s v="3. Campos em testes ou c/ incidências"/>
  </r>
  <r>
    <s v="ENTITY"/>
    <s v="PD_CRR_RD"/>
    <x v="0"/>
    <s v="7. Analisar controlos e completude"/>
    <s v="NOK"/>
    <s v="Controlos NOK"/>
    <m/>
    <x v="2"/>
    <d v="2024-06-07T00:00:00"/>
    <x v="5"/>
    <s v="NOK"/>
    <m/>
    <m/>
    <m/>
    <s v="Analisar controlos NOK"/>
    <s v="Y"/>
    <s v="N"/>
    <s v="N"/>
    <s v="N"/>
    <s v="N"/>
    <s v="Y"/>
    <x v="1"/>
    <s v="4. Campos com NOK controlos Corporativos"/>
  </r>
  <r>
    <s v="INSTRUMENT"/>
    <s v="PD_CRR_RD"/>
    <x v="0"/>
    <s v="7. Analisar controlos e completude"/>
    <s v="NOK"/>
    <s v="Controlos NOK"/>
    <m/>
    <x v="2"/>
    <d v="2024-06-07T00:00:00"/>
    <x v="5"/>
    <s v="NOK"/>
    <m/>
    <m/>
    <m/>
    <s v="Analisar controlos NOK"/>
    <s v="Y"/>
    <s v="N"/>
    <s v="N"/>
    <s v="N"/>
    <s v="N"/>
    <s v="Y"/>
    <x v="1"/>
    <s v="4. Campos com NOK controlos Corporativos"/>
  </r>
  <r>
    <s v="ENTITY"/>
    <s v="PD_CRR_RD_T1"/>
    <x v="1"/>
    <s v="5.1 Em testes - Re-especificação"/>
    <s v="NOK"/>
    <s v="Em testes"/>
    <m/>
    <x v="1"/>
    <d v="2024-06-07T00:00:00"/>
    <x v="8"/>
    <s v="NOK"/>
    <m/>
    <d v="2022-07-08T00:00:00"/>
    <d v="2023-12-07T00:00:00"/>
    <s v="Necessidade de correção de erros"/>
    <s v="Y"/>
    <s v="N"/>
    <s v="N"/>
    <s v="N"/>
    <s v="N"/>
    <s v="N"/>
    <x v="0"/>
    <n v="0"/>
  </r>
  <r>
    <s v="INSTRUMENT"/>
    <s v="PD_CRR_RD_T1"/>
    <x v="1"/>
    <s v="5.1 Em testes - Re-especificação"/>
    <s v="NOK"/>
    <s v="Em testes"/>
    <m/>
    <x v="1"/>
    <d v="2024-06-07T00:00:00"/>
    <x v="8"/>
    <s v="NOK"/>
    <m/>
    <d v="2023-12-21T00:00:00"/>
    <d v="2024-02-08T00:00:00"/>
    <s v="Necessidade de correção de erros"/>
    <s v="Y"/>
    <s v="N"/>
    <s v="N"/>
    <s v="N"/>
    <s v="N"/>
    <s v="N"/>
    <x v="0"/>
    <n v="0"/>
  </r>
  <r>
    <s v="INSTRUMENT"/>
    <s v="PD_IFRS9_12M_INCPTN"/>
    <x v="0"/>
    <s v="9. Concluído"/>
    <s v="OK"/>
    <s v="Concluido, controlos OK"/>
    <m/>
    <x v="0"/>
    <d v="2024-06-07T00:00:00"/>
    <x v="0"/>
    <s v="OK"/>
    <s v="Campo Imparidade"/>
    <m/>
    <m/>
    <s v="Campo concluido"/>
    <s v="Y"/>
    <s v="N"/>
    <s v="N"/>
    <s v="N"/>
    <s v="N"/>
    <s v="Y"/>
    <x v="0"/>
    <s v="6.1. Fora âmbito | Campos concluídos - Sem necessidade de espec."/>
  </r>
  <r>
    <s v="ENTITY"/>
    <s v="PD_IFRS9_12M_RD"/>
    <x v="0"/>
    <s v="3. Pendente de decisão"/>
    <s v="NOK"/>
    <s v="Controlos NOK justificados no âmbito da OSI. _x000a_1) Contratos fora do universo de IFRS9 2) Clientes que não são primeiros titulares de nenhum contrato_x000a_Alterar especificação  caso a LT passe a reportar os 1os titulares da Contabilidade."/>
    <m/>
    <x v="2"/>
    <d v="2024-06-07T00:00:00"/>
    <x v="4"/>
    <s v="NOK"/>
    <s v="Campo Imparidade"/>
    <m/>
    <m/>
    <s v="Analisar controlos NOK"/>
    <s v="Y"/>
    <s v="N"/>
    <s v="N"/>
    <s v="N"/>
    <s v="N"/>
    <s v="Y"/>
    <x v="1"/>
    <s v="5. Campos com outras possíveis alterações - Dependente de decisões OSI "/>
  </r>
  <r>
    <s v="INSTRUMENT"/>
    <s v="PD_IFRS9_12M_RD"/>
    <x v="0"/>
    <s v="7. Analisar controlos e completude"/>
    <s v="NOK"/>
    <m/>
    <m/>
    <x v="1"/>
    <d v="2024-06-07T00:00:00"/>
    <x v="5"/>
    <s v="NOK"/>
    <s v="Campo Imparidade"/>
    <m/>
    <m/>
    <s v="Pendente de decisão"/>
    <s v="Y"/>
    <s v="N"/>
    <s v="N"/>
    <s v="N"/>
    <s v="N"/>
    <s v="Y"/>
    <x v="1"/>
    <s v="4. Campos com NOK controlos Corporativos"/>
  </r>
  <r>
    <s v="ENTITY"/>
    <s v="PD_IFRS9_12M_RD_T1"/>
    <x v="1"/>
    <s v="7. Analisar controlos e completude"/>
    <s v="NOK"/>
    <s v="Controlos NOK"/>
    <m/>
    <x v="2"/>
    <d v="2024-06-07T00:00:00"/>
    <x v="5"/>
    <s v="NOK"/>
    <s v="Campo Imparidade"/>
    <m/>
    <m/>
    <s v="Analisar controlos NOK"/>
    <s v="Y"/>
    <s v="N"/>
    <s v="N"/>
    <s v="N"/>
    <s v="N"/>
    <s v="N"/>
    <x v="0"/>
    <n v="0"/>
  </r>
  <r>
    <s v="INSTRUMENT"/>
    <s v="PD_IFRS9_12M_RD_T1"/>
    <x v="0"/>
    <s v="7. Analisar controlos e completude"/>
    <s v="NOK"/>
    <s v="Controlos NOK"/>
    <m/>
    <x v="2"/>
    <d v="2024-06-07T00:00:00"/>
    <x v="5"/>
    <s v="NOK"/>
    <s v="Campo Imparidade"/>
    <m/>
    <m/>
    <s v="Analisar controlos NOK"/>
    <s v="Y"/>
    <s v="N"/>
    <s v="N"/>
    <s v="N"/>
    <s v="N"/>
    <s v="N"/>
    <x v="0"/>
    <n v="0"/>
  </r>
  <r>
    <s v="INSTRUMENT"/>
    <s v="PD_IFRS9_LFTM_INCPTN"/>
    <x v="0"/>
    <s v="9. Concluído"/>
    <s v="OK"/>
    <s v="Concluido, controlos OK"/>
    <m/>
    <x v="0"/>
    <d v="2024-06-07T00:00:00"/>
    <x v="0"/>
    <s v="OK"/>
    <s v="Campo Imparidade"/>
    <m/>
    <m/>
    <s v="Campo concluido"/>
    <s v="Y"/>
    <s v="N"/>
    <s v="N"/>
    <s v="N"/>
    <s v="N"/>
    <s v="Y"/>
    <x v="0"/>
    <s v="6.1. Fora âmbito | Campos concluídos - Sem necessidade de espec."/>
  </r>
  <r>
    <s v="INSTRUMENT"/>
    <s v="PD_IFRS9_RMNNG_LFTM_INCPTN"/>
    <x v="0"/>
    <s v="9. Concluído"/>
    <s v="OK"/>
    <s v="Concluido, controlos OK"/>
    <m/>
    <x v="0"/>
    <d v="2024-06-07T00:00:00"/>
    <x v="0"/>
    <s v="OK"/>
    <s v="Campo Imparidade"/>
    <m/>
    <m/>
    <s v="Campo concluido"/>
    <s v="Y"/>
    <s v="N"/>
    <s v="N"/>
    <s v="N"/>
    <s v="N"/>
    <s v="Y"/>
    <x v="0"/>
    <s v="6.1. Fora âmbito | Campos concluídos - Sem necessidade de espec."/>
  </r>
  <r>
    <s v="INSTRUMENT"/>
    <s v="PD_IFRS9_RMNNG_LFTM_RD"/>
    <x v="0"/>
    <s v="9. Concluído"/>
    <s v="OK"/>
    <s v="Concluido, controlos OK"/>
    <m/>
    <x v="0"/>
    <d v="2024-06-07T00:00:00"/>
    <x v="0"/>
    <s v="OK"/>
    <s v="Campo Imparidade"/>
    <m/>
    <m/>
    <s v="Campo concluido"/>
    <s v="Y"/>
    <s v="N"/>
    <s v="N"/>
    <s v="N"/>
    <s v="N"/>
    <s v="Y"/>
    <x v="0"/>
    <s v="6.1. Fora âmbito | Campos concluídos - Sem necessidade de espec."/>
  </r>
  <r>
    <s v="INSTRUMENT"/>
    <s v="PMNT_PBLC_GRNT_SCHM_C19"/>
    <x v="1"/>
    <s v="9. Concluído"/>
    <s v="OK"/>
    <s v="Concluido, controlos OK"/>
    <m/>
    <x v="0"/>
    <d v="2024-06-07T00:00:00"/>
    <x v="0"/>
    <s v="OK"/>
    <m/>
    <m/>
    <m/>
    <s v="Campo concluido"/>
    <s v="Y"/>
    <s v="N"/>
    <s v="N"/>
    <s v="N"/>
    <s v="N"/>
    <s v="N"/>
    <x v="0"/>
    <n v="0"/>
  </r>
  <r>
    <s v="INSTRUMENT"/>
    <s v="DT_FRBRNC_STTS"/>
    <x v="0"/>
    <s v="2. Alterar especificação"/>
    <s v="NOK"/>
    <s v="Alterar especificação (alteração da fonte para a FR004)"/>
    <s v="Na OSI fomos diretamente à RMN85, em âmbito da LT foi alinhado que iriamos à FR004 e que esta por sua vez iria à RMN85.  Na OSI foram adicionados os contratos com FRBRNC_STTS='9' (ficheiro com os ACC disponibilizado por Graça Vale), atualmente não existe esta informação automatizada."/>
    <x v="2"/>
    <d v="2024-06-07T00:00:00"/>
    <x v="2"/>
    <s v="NOK"/>
    <m/>
    <m/>
    <m/>
    <s v="Melhorias estruturais (garantir coerência entre campos)"/>
    <s v="Y"/>
    <s v="N"/>
    <s v="N"/>
    <s v="N"/>
    <s v="N"/>
    <s v="Y"/>
    <x v="1"/>
    <s v="2.2 Re-especificação de campos complexos - Resto"/>
  </r>
  <r>
    <s v="INSTRUMENT"/>
    <s v="PRCH_UNDR_RSL_AGR"/>
    <x v="1"/>
    <s v="9. Concluído"/>
    <s v="OK"/>
    <s v="Concluido, controlos OK"/>
    <m/>
    <x v="0"/>
    <d v="2024-06-07T00:00:00"/>
    <x v="0"/>
    <s v="OK"/>
    <m/>
    <m/>
    <m/>
    <s v="Campo concluido"/>
    <s v="Y"/>
    <s v="N"/>
    <s v="N"/>
    <s v="N"/>
    <s v="N"/>
    <s v="N"/>
    <x v="0"/>
    <n v="0"/>
  </r>
  <r>
    <s v="INSTRUMENT"/>
    <s v="PRDCT"/>
    <x v="0"/>
    <s v="9. Concluído"/>
    <s v="OK"/>
    <s v="Concluido, controlos OK"/>
    <m/>
    <x v="0"/>
    <d v="2024-06-07T00:00:00"/>
    <x v="0"/>
    <s v="OK"/>
    <m/>
    <m/>
    <m/>
    <s v="Campo concluido"/>
    <s v="Y"/>
    <s v="N"/>
    <s v="N"/>
    <s v="Y"/>
    <s v="N"/>
    <s v="N"/>
    <x v="0"/>
    <n v="0"/>
  </r>
  <r>
    <s v="INSTRUMENT"/>
    <s v="PRDNTL_PRTFL"/>
    <x v="1"/>
    <s v="9. Concluído"/>
    <s v="OK"/>
    <s v="Concluido, controlos OK"/>
    <m/>
    <x v="0"/>
    <d v="2024-06-07T00:00:00"/>
    <x v="0"/>
    <s v="OK"/>
    <m/>
    <m/>
    <m/>
    <s v="Campo concluido"/>
    <s v="Y"/>
    <s v="N"/>
    <s v="N"/>
    <s v="N"/>
    <s v="N"/>
    <s v="Y"/>
    <x v="0"/>
    <s v="6.1. Fora âmbito | Campos concluídos - Sem necessidade de espec."/>
  </r>
  <r>
    <s v="INSTRUMENT"/>
    <s v="PRFRMNG_STTS"/>
    <x v="0"/>
    <s v="3. Pendente de decisão"/>
    <s v="NOK"/>
    <s v="Verificar necessidade de alteração da fonte para fins de reconciliação. Rever Fonte"/>
    <m/>
    <x v="1"/>
    <d v="2025-01-13T00:00:00"/>
    <x v="8"/>
    <s v="NOK"/>
    <s v="Alteração da fonte das tabela de Imparidade Reporting para as 8_7 e alteração da data a partir da qual a fonte passa a ser as tabelas de Contabilidade"/>
    <d v="2024-09-27T00:00:00"/>
    <m/>
    <s v="Pendente de decisão"/>
    <s v="Y"/>
    <s v="Y"/>
    <s v="Y"/>
    <s v="N"/>
    <s v="N"/>
    <s v="Y"/>
    <x v="0"/>
    <s v="6.2.  Fora âmbito | Campos em testes ou c/ incidências (LT - PM)"/>
  </r>
  <r>
    <s v="ENTITY"/>
    <s v="PRFRMNG_STTS_LE"/>
    <x v="0"/>
    <s v="9. Concluído"/>
    <s v="OK"/>
    <s v="Concluido, controlos OK"/>
    <m/>
    <x v="0"/>
    <d v="2024-06-07T00:00:00"/>
    <x v="0"/>
    <s v="OK"/>
    <m/>
    <m/>
    <m/>
    <s v="Campo concluido"/>
    <s v="Y"/>
    <s v="N"/>
    <s v="N"/>
    <s v="N"/>
    <s v="N"/>
    <s v="Y"/>
    <x v="0"/>
    <s v="6.1. Fora âmbito | Campos concluídos - Sem necessidade de espec."/>
  </r>
  <r>
    <s v="INSTRUMENT"/>
    <s v="PRFRMNG_STTS_PRVS"/>
    <x v="0"/>
    <s v="5.1 Em testes - Re-especificação"/>
    <s v="OK"/>
    <s v="Em testes. Campo depende do campo PRFRMNG_STTS. Não é necessário alterar a especificação do mesmo, apenas testar  se o campo PRFRMNG_STTS for alterado."/>
    <m/>
    <x v="1"/>
    <d v="2025-01-13T00:00:00"/>
    <x v="8"/>
    <s v="OK"/>
    <s v="Alteração da fonte das tabela de Imparidade Reporting para as 8_7 e alteração da data a partir da qual a fonte passa a ser as tabelas de Contabilidade"/>
    <d v="2024-09-27T00:00:00"/>
    <m/>
    <s v="Pendente de decisão"/>
    <s v="Y"/>
    <s v="N"/>
    <s v="N"/>
    <s v="N"/>
    <s v="N"/>
    <s v="Y"/>
    <x v="0"/>
    <s v="6.2.  Fora âmbito | Campos em testes ou c/ incidências (LT - PM)"/>
  </r>
  <r>
    <s v="INSTRUMENT"/>
    <s v="PRJCT_FNNC_LN"/>
    <x v="0"/>
    <s v="9. Concluído"/>
    <s v="OK"/>
    <s v="Concluido, controlos OK"/>
    <m/>
    <x v="0"/>
    <d v="2024-06-07T00:00:00"/>
    <x v="0"/>
    <s v="OK"/>
    <m/>
    <m/>
    <m/>
    <s v="Campo concluido"/>
    <s v="Y"/>
    <s v="N"/>
    <s v="Y"/>
    <s v="N"/>
    <s v="N"/>
    <s v="N"/>
    <x v="0"/>
    <n v="0"/>
  </r>
  <r>
    <s v="PROTECTION"/>
    <s v="PRM_LCTN"/>
    <x v="1"/>
    <s v="5.1 Em testes - Re-especificação"/>
    <s v="NOK"/>
    <s v="Em testes"/>
    <m/>
    <x v="0"/>
    <d v="2025-01-13T00:00:00"/>
    <x v="0"/>
    <s v="OK"/>
    <s v="100220 Casos que deviam ser N e estão a ser reportados MISS"/>
    <d v="2024-06-28T00:00:00"/>
    <d v="2024-12-20T00:00:00"/>
    <s v="Necessidade de correção de erros"/>
    <s v="Y"/>
    <s v="N"/>
    <s v="N"/>
    <s v="N"/>
    <s v="N"/>
    <s v="N"/>
    <x v="0"/>
    <n v="0"/>
  </r>
  <r>
    <s v="INSTRUMENT"/>
    <s v="PRMRY_ASST_CLSSF"/>
    <x v="1"/>
    <s v="9. Concluído"/>
    <s v="OK"/>
    <s v="Concluido, controlos OK"/>
    <m/>
    <x v="0"/>
    <d v="2024-06-07T00:00:00"/>
    <x v="0"/>
    <s v="OK"/>
    <m/>
    <m/>
    <m/>
    <s v="Campo concluido"/>
    <s v="Y"/>
    <s v="N"/>
    <s v="Y"/>
    <s v="N"/>
    <s v="N"/>
    <s v="N"/>
    <x v="0"/>
    <n v="0"/>
  </r>
  <r>
    <s v="INSTRUMENT"/>
    <s v="PRPS"/>
    <x v="0"/>
    <s v="9. Concluído"/>
    <s v="OK"/>
    <s v="Concluido, controlos OK"/>
    <m/>
    <x v="0"/>
    <d v="2024-06-07T00:00:00"/>
    <x v="0"/>
    <s v="OK"/>
    <m/>
    <m/>
    <m/>
    <s v="Campo concluido"/>
    <s v="Y"/>
    <s v="N"/>
    <s v="N"/>
    <s v="N"/>
    <s v="N"/>
    <s v="Y"/>
    <x v="0"/>
    <s v="6.1. Fora âmbito | Campos concluídos - Sem necessidade de espec."/>
  </r>
  <r>
    <s v="ENTITY"/>
    <s v="PRSN_TYP"/>
    <x v="1"/>
    <s v="4.1 Em implementação - Re-especificação"/>
    <s v="OK"/>
    <s v="Aguarda implementação de IT"/>
    <m/>
    <x v="2"/>
    <d v="2024-06-17T00:00:00"/>
    <x v="8"/>
    <s v="OK"/>
    <m/>
    <d v="2024-01-12T00:00:00"/>
    <d v="2024-03-21T00:00:00"/>
    <s v="Novo campo"/>
    <s v="Y"/>
    <s v="N"/>
    <s v="N"/>
    <s v="N"/>
    <s v="N"/>
    <s v="N"/>
    <x v="0"/>
    <n v="0"/>
  </r>
  <r>
    <s v="INSTRUMENT"/>
    <s v="PRT_LCR_BFFR"/>
    <x v="1"/>
    <s v="9. Concluído"/>
    <s v="OK"/>
    <s v="Concluido, controlos OK"/>
    <m/>
    <x v="0"/>
    <d v="2024-06-07T00:00:00"/>
    <x v="0"/>
    <s v="OK"/>
    <m/>
    <m/>
    <m/>
    <s v="Campo concluido"/>
    <s v="Y"/>
    <s v="N"/>
    <s v="N"/>
    <s v="N"/>
    <s v="N"/>
    <s v="N"/>
    <x v="0"/>
    <n v="0"/>
  </r>
  <r>
    <s v="INSTR_PROTECTION"/>
    <s v="PRTCTN_ALLCTD_VL"/>
    <x v="0"/>
    <s v="9. Concluído"/>
    <s v="OK"/>
    <s v="Concluido, controlos OK"/>
    <m/>
    <x v="0"/>
    <d v="2024-06-07T00:00:00"/>
    <x v="0"/>
    <s v="OK"/>
    <m/>
    <m/>
    <m/>
    <s v="Campo concluido"/>
    <s v="Y"/>
    <s v="N"/>
    <s v="Y"/>
    <s v="N"/>
    <s v="N"/>
    <s v="N"/>
    <x v="0"/>
    <n v="0"/>
  </r>
  <r>
    <s v="PROTECTION"/>
    <s v="PRTCTN_CLLD"/>
    <x v="0"/>
    <s v="7. Analisar controlos e completude"/>
    <s v="NOK"/>
    <s v="Controlos NOK"/>
    <m/>
    <x v="2"/>
    <d v="2024-06-07T00:00:00"/>
    <x v="5"/>
    <s v="NOK"/>
    <m/>
    <m/>
    <m/>
    <s v="Analisar controlos NOK"/>
    <s v="Y"/>
    <s v="N"/>
    <s v="N"/>
    <s v="N"/>
    <s v="N"/>
    <s v="N"/>
    <x v="0"/>
    <n v="0"/>
  </r>
  <r>
    <s v="PROTECTION"/>
    <s v="PRTCTN_FRCD_SL_VL"/>
    <x v="0"/>
    <s v="9. Concluído"/>
    <s v="OK"/>
    <s v="Concluido, controlos OK"/>
    <m/>
    <x v="0"/>
    <d v="2024-06-07T00:00:00"/>
    <x v="0"/>
    <s v="OK"/>
    <m/>
    <m/>
    <m/>
    <s v="Campo concluido"/>
    <s v="Y"/>
    <s v="N"/>
    <s v="N"/>
    <s v="N"/>
    <s v="N"/>
    <s v="N"/>
    <x v="0"/>
    <n v="0"/>
  </r>
  <r>
    <s v="INSTR_PROTECTION"/>
    <s v="PRTCTN_ID"/>
    <x v="0"/>
    <s v="7. Analisar controlos e completude"/>
    <s v="NOK"/>
    <s v="Controlos NOK"/>
    <m/>
    <x v="2"/>
    <d v="2024-06-07T00:00:00"/>
    <x v="5"/>
    <s v="NOK"/>
    <m/>
    <m/>
    <m/>
    <s v="Analisar controlos NOK"/>
    <s v="Y"/>
    <s v="Y"/>
    <s v="Y"/>
    <s v="N"/>
    <s v="N"/>
    <s v="N"/>
    <x v="0"/>
    <n v="0"/>
  </r>
  <r>
    <s v="PROTECTION"/>
    <s v="PRTCTN_ID"/>
    <x v="0"/>
    <s v="7. Analisar controlos e completude"/>
    <s v="NOK"/>
    <s v="Controlos NOK"/>
    <m/>
    <x v="2"/>
    <d v="2024-06-07T00:00:00"/>
    <x v="5"/>
    <s v="NOK"/>
    <m/>
    <m/>
    <m/>
    <s v="Analisar controlos NOK"/>
    <s v="Y"/>
    <s v="Y"/>
    <s v="Y"/>
    <s v="N"/>
    <s v="Y"/>
    <s v="N"/>
    <x v="0"/>
    <n v="0"/>
  </r>
  <r>
    <s v="PROTECTION"/>
    <s v="PRTCTN_PRVDR_ID"/>
    <x v="0"/>
    <s v="7. Analisar controlos e completude"/>
    <s v="NOK"/>
    <s v="Controlos NOK"/>
    <m/>
    <x v="2"/>
    <d v="2024-06-07T00:00:00"/>
    <x v="5"/>
    <s v="NOK"/>
    <m/>
    <m/>
    <m/>
    <s v="Analisar controlos NOK"/>
    <s v="Y"/>
    <s v="N"/>
    <s v="N"/>
    <s v="N"/>
    <s v="N"/>
    <s v="N"/>
    <x v="0"/>
    <n v="0"/>
  </r>
  <r>
    <s v="PROTECTION"/>
    <s v="PRTCTN_TYP_PBLC_GRNT_SCHM_C19"/>
    <x v="1"/>
    <s v="7. Analisar controlos e completude"/>
    <s v="NOK"/>
    <s v="Controlos NOK"/>
    <m/>
    <x v="2"/>
    <d v="2024-06-07T00:00:00"/>
    <x v="5"/>
    <s v="NOK"/>
    <m/>
    <m/>
    <m/>
    <s v="Analisar controlos NOK"/>
    <s v="Y"/>
    <s v="N"/>
    <s v="N"/>
    <s v="N"/>
    <s v="N"/>
    <s v="N"/>
    <x v="0"/>
    <n v="0"/>
  </r>
  <r>
    <s v="ENTITY"/>
    <s v="DT_EXTRNL_RTNG"/>
    <x v="0"/>
    <s v="2. Alterar especificação"/>
    <s v="OK"/>
    <s v="Alterar especificação para casos em informação na fonte."/>
    <s v="Quando não existe informação na fonte em vez de MISS substituir por NA"/>
    <x v="1"/>
    <d v="2024-06-07T00:00:00"/>
    <x v="2"/>
    <s v="OK"/>
    <m/>
    <m/>
    <m/>
    <s v="Alteração de especificação por parte do BCE"/>
    <s v="Y"/>
    <s v="N"/>
    <s v="N"/>
    <s v="N"/>
    <s v="N"/>
    <s v="Y"/>
    <x v="1"/>
    <s v="2.2 Re-especificação de campos complexos - Resto"/>
  </r>
  <r>
    <s v="PROTECTION"/>
    <s v="ORGNL_PRTCTN_VL"/>
    <x v="0"/>
    <s v="5.2 Em testes - Incidência"/>
    <s v="OK"/>
    <s v="Campo com incidência"/>
    <s v="1) Campo com incidência, está a reportar apenas valores de MISS e N/A"/>
    <x v="1"/>
    <d v="2025-01-13T00:00:00"/>
    <x v="8"/>
    <s v="NOK"/>
    <s v="14 casos com valor original da proteção a zero"/>
    <d v="2024-09-20T00:00:00"/>
    <m/>
    <s v="Necessidade de correção de erros"/>
    <s v="Y"/>
    <s v="N"/>
    <s v="Y"/>
    <s v="N"/>
    <s v="N"/>
    <s v="N"/>
    <x v="0"/>
    <n v="0"/>
  </r>
  <r>
    <s v="PROTECTION"/>
    <s v="PRTCTN_VL_PRVS"/>
    <x v="0"/>
    <s v="9. Concluído"/>
    <s v="OK"/>
    <s v="Concluido, controlos OK"/>
    <m/>
    <x v="0"/>
    <d v="2024-06-07T00:00:00"/>
    <x v="0"/>
    <s v="OK"/>
    <m/>
    <m/>
    <m/>
    <s v="Campo concluido"/>
    <s v="Y"/>
    <s v="N"/>
    <s v="N"/>
    <s v="N"/>
    <s v="N"/>
    <s v="N"/>
    <x v="0"/>
    <n v="0"/>
  </r>
  <r>
    <s v="PROTECTION"/>
    <s v="PRTCTN_VLTN_APPRCH"/>
    <x v="0"/>
    <s v="7. Analisar controlos e completude"/>
    <s v="NOK"/>
    <s v="Controlos NOK"/>
    <m/>
    <x v="2"/>
    <d v="2024-06-07T00:00:00"/>
    <x v="5"/>
    <s v="NOK"/>
    <m/>
    <m/>
    <m/>
    <s v="Analisar controlos NOK"/>
    <s v="Y"/>
    <s v="N"/>
    <s v="N"/>
    <s v="N"/>
    <s v="N"/>
    <s v="N"/>
    <x v="0"/>
    <n v="0"/>
  </r>
  <r>
    <s v="INSTRUMENT"/>
    <s v="PRVSNS_OFF_BLNC_SHT"/>
    <x v="0"/>
    <s v="9. Concluído"/>
    <s v="OK"/>
    <s v="Concluido, controlos OK"/>
    <m/>
    <x v="0"/>
    <d v="2024-06-07T00:00:00"/>
    <x v="0"/>
    <s v="OK"/>
    <m/>
    <m/>
    <m/>
    <s v="Campo concluido"/>
    <s v="Y"/>
    <s v="Y"/>
    <s v="N"/>
    <s v="N"/>
    <s v="N"/>
    <s v="N"/>
    <x v="0"/>
    <n v="0"/>
  </r>
  <r>
    <s v="INSTRUMENT"/>
    <s v="PYMNT_FRQNCY"/>
    <x v="0"/>
    <s v="5.2 Em testes - Incidência"/>
    <s v="OK"/>
    <s v="Campo com incidência. Verificar necessidade de alteração da fonte para fins de reconciliação"/>
    <s v="Utilizada informação de imparidade, sempre que não exista reportar info da LT, tendo em conta que caso TYP-AMRTSTN seja 4 este campo também deverá ser igual a 4. Este último critério não está atualmente a ser aplicado na LT. Rever se devemos utilizar a informação de IFRS9 ou manter a de alm"/>
    <x v="1"/>
    <d v="2024-06-07T00:00:00"/>
    <x v="1"/>
    <s v="OK"/>
    <m/>
    <m/>
    <m/>
    <s v="Pendente de decisão"/>
    <s v="Y"/>
    <s v="N"/>
    <s v="N"/>
    <s v="N"/>
    <s v="N"/>
    <s v="N"/>
    <x v="0"/>
    <n v="0"/>
  </r>
  <r>
    <s v="INSTRUMENT"/>
    <s v="PYMNT_INTRST_ONLY"/>
    <x v="0"/>
    <s v="3. Pendente de decisão"/>
    <s v="NOK"/>
    <s v="Verificar necessidade de alteração da fonte para fins de reconciliação. Rever Fonte"/>
    <s v="Foi decisão que a informação a reportar deveria reconciliar com a informação de imparidade e por essa mesma razão não se utilizou os dados da LT. Rever se devemos utilizar a informação de IFRS9 ou manter a de alm"/>
    <x v="1"/>
    <d v="2024-06-07T00:00:00"/>
    <x v="4"/>
    <s v="NOK"/>
    <m/>
    <m/>
    <m/>
    <s v="Pendente de decisão"/>
    <s v="Y"/>
    <s v="N"/>
    <s v="N"/>
    <s v="N"/>
    <s v="N"/>
    <s v="Y"/>
    <x v="1"/>
    <s v="5. Campos com outras possíveis alterações - Dependente de decisões OSI "/>
  </r>
  <r>
    <s v="INSTRUMENT"/>
    <s v="RCRS"/>
    <x v="0"/>
    <s v="9. Concluído"/>
    <s v="OK"/>
    <s v="Concluido, controlos OK"/>
    <m/>
    <x v="0"/>
    <d v="2024-06-07T00:00:00"/>
    <x v="0"/>
    <s v="OK"/>
    <m/>
    <m/>
    <m/>
    <s v="Campo concluido"/>
    <s v="Y"/>
    <s v="N"/>
    <s v="N"/>
    <s v="N"/>
    <s v="N"/>
    <s v="N"/>
    <x v="0"/>
    <n v="0"/>
  </r>
  <r>
    <s v="INSTRUMENT"/>
    <s v="RCVD_AMRTSTN_12M"/>
    <x v="0"/>
    <s v="7. Analisar controlos e completude"/>
    <s v="NOK"/>
    <s v="Controlos NOK"/>
    <m/>
    <x v="2"/>
    <d v="2024-06-07T00:00:00"/>
    <x v="5"/>
    <s v="NOK"/>
    <m/>
    <m/>
    <m/>
    <s v="Analisar controlos NOK"/>
    <s v="Y"/>
    <s v="N"/>
    <s v="N"/>
    <s v="N"/>
    <s v="N"/>
    <s v="Y"/>
    <x v="1"/>
    <s v="4. Campos com NOK controlos Corporativos"/>
  </r>
  <r>
    <s v="INSTRUMENT"/>
    <s v="RCVD_AMRTSTN_24M"/>
    <x v="0"/>
    <s v="9. Concluído"/>
    <s v="OK"/>
    <s v="Concluido, controlos OK"/>
    <m/>
    <x v="0"/>
    <d v="2024-06-07T00:00:00"/>
    <x v="0"/>
    <s v="OK"/>
    <m/>
    <m/>
    <m/>
    <s v="Campo concluido"/>
    <s v="Y"/>
    <s v="N"/>
    <s v="N"/>
    <s v="N"/>
    <s v="N"/>
    <s v="Y"/>
    <x v="0"/>
    <s v="6.1. Fora âmbito | Campos concluídos - Sem necessidade de espec."/>
  </r>
  <r>
    <s v="PROTECTION"/>
    <s v="DT_CNSTRCTN_STTS"/>
    <x v="1"/>
    <s v="2. Alterar especificação"/>
    <s v="NOK"/>
    <s v="Campo dependente do MUG"/>
    <s v="Criação de uma tabela auxiliar de histórico dos estados de construção numa ótica diária"/>
    <x v="1"/>
    <d v="2024-10-03T00:00:00"/>
    <x v="2"/>
    <s v="NOK"/>
    <m/>
    <m/>
    <m/>
    <s v="Necessidade de correção de erros"/>
    <s v="Y"/>
    <s v="N"/>
    <s v="N"/>
    <s v="N"/>
    <s v="N"/>
    <s v="N"/>
    <x v="0"/>
    <n v="0"/>
  </r>
  <r>
    <s v="INSTRUMENT"/>
    <s v="DFLT_STTS_INSTRMNT"/>
    <x v="0"/>
    <s v="2. Alterar especificação"/>
    <s v="NOK"/>
    <s v="É necessário adicionar este campo como obrigatório  para as linhas manuais (CMAH) e rever com a Leonor a tabela de parametrização (a área identificou incidências de acordo com o GUIA). Na OSI apenas foi adicionado a informação para ajustes manuais."/>
    <m/>
    <x v="1"/>
    <d v="2024-06-07T00:00:00"/>
    <x v="2"/>
    <s v="NOK"/>
    <m/>
    <m/>
    <m/>
    <s v="Necessidade de correção de erros"/>
    <s v="Y"/>
    <s v="Y"/>
    <s v="Y"/>
    <s v="N"/>
    <s v="N"/>
    <s v="Y"/>
    <x v="1"/>
    <s v="2.2 Re-especificação de campos complexos - Resto"/>
  </r>
  <r>
    <s v="INSTRUMENT"/>
    <s v="CMMTMNT_INSTRMNT"/>
    <x v="0"/>
    <s v="2. Alterar especificação"/>
    <s v="OK"/>
    <s v="Alterar especificação (Área enviou nova metodologia do campo)"/>
    <s v="Nova metodologia identificada pelo Rafael Pessoa durante OSI IFRS9, é necessário alterar a especificação para GRSS_CRRYNG_AMNT_INSTRMNT - OFF_BLNC_SHT_AMNT_INSTRMNT"/>
    <x v="2"/>
    <d v="2024-06-07T00:00:00"/>
    <x v="2"/>
    <s v="OK"/>
    <m/>
    <m/>
    <m/>
    <s v="Melhorias estruturais (garantir coerência entre campos)"/>
    <s v="Y"/>
    <s v="N"/>
    <s v="N"/>
    <s v="N"/>
    <s v="N"/>
    <s v="N"/>
    <x v="0"/>
    <n v="0"/>
  </r>
  <r>
    <s v="INSTRUMENT"/>
    <s v="RFRNC_RT"/>
    <x v="1"/>
    <s v="9. Concluído"/>
    <s v="OK"/>
    <s v="Concluido, controlos OK"/>
    <m/>
    <x v="0"/>
    <d v="2024-06-07T00:00:00"/>
    <x v="0"/>
    <s v="OK"/>
    <m/>
    <m/>
    <m/>
    <s v="Campo concluido"/>
    <s v="Y"/>
    <s v="N"/>
    <s v="N"/>
    <s v="N"/>
    <s v="N"/>
    <s v="N"/>
    <x v="0"/>
    <n v="0"/>
  </r>
  <r>
    <s v="PROTECTION"/>
    <s v="RL_ESTT_ADDRSS"/>
    <x v="1"/>
    <s v="7. Analisar controlos e completude"/>
    <s v="NOK"/>
    <s v="Controlos NOK"/>
    <m/>
    <x v="2"/>
    <d v="2024-06-07T00:00:00"/>
    <x v="5"/>
    <s v="NOK"/>
    <m/>
    <m/>
    <m/>
    <s v="Analisar controlos NOK"/>
    <s v="Y"/>
    <s v="N"/>
    <s v="N"/>
    <s v="N"/>
    <s v="Y"/>
    <s v="N"/>
    <x v="0"/>
    <n v="0"/>
  </r>
  <r>
    <s v="INSTRUMENT"/>
    <s v="CMLTV_RCVRS_SNC_DFLT_INSTRMNT"/>
    <x v="0"/>
    <s v="2. Alterar especificação"/>
    <s v="OK"/>
    <s v="Campo especificado, mas sem dados. Campo marcado com MISS ou NA"/>
    <m/>
    <x v="2"/>
    <d v="2024-06-07T00:00:00"/>
    <x v="2"/>
    <s v="OK"/>
    <m/>
    <m/>
    <m/>
    <s v="Campo concluído, mas sem ou pouca informação na fonte"/>
    <s v="Y"/>
    <s v="N"/>
    <s v="N"/>
    <s v="N"/>
    <s v="N"/>
    <s v="N"/>
    <x v="0"/>
    <n v="0"/>
  </r>
  <r>
    <s v="PROTECTION"/>
    <s v="RL_ESTT_CLLTRL_LCTN_INT"/>
    <x v="1"/>
    <s v="7. Analisar controlos e completude"/>
    <s v="NOK"/>
    <s v="Controlos NOK"/>
    <m/>
    <x v="2"/>
    <d v="2024-06-07T00:00:00"/>
    <x v="5"/>
    <s v="NOK"/>
    <m/>
    <m/>
    <m/>
    <s v="Analisar controlos NOK"/>
    <s v="Y"/>
    <s v="N"/>
    <s v="N"/>
    <s v="N"/>
    <s v="Y"/>
    <s v="N"/>
    <x v="0"/>
    <n v="0"/>
  </r>
  <r>
    <s v="PROTECTION"/>
    <s v="RL_ESTT_CTY"/>
    <x v="1"/>
    <s v="7. Analisar controlos e completude"/>
    <s v="NOK"/>
    <s v="Controlos NOK"/>
    <m/>
    <x v="2"/>
    <d v="2024-06-07T00:00:00"/>
    <x v="5"/>
    <s v="NOK"/>
    <m/>
    <m/>
    <m/>
    <s v="Analisar controlos NOK"/>
    <s v="Y"/>
    <s v="N"/>
    <s v="N"/>
    <s v="N"/>
    <s v="Y"/>
    <s v="N"/>
    <x v="0"/>
    <n v="0"/>
  </r>
  <r>
    <s v="PROTECTION"/>
    <s v="RL_ESTT_PST_CD"/>
    <x v="0"/>
    <s v="7. Analisar controlos e completude"/>
    <s v="NOK"/>
    <s v="Controlos NOK"/>
    <m/>
    <x v="2"/>
    <d v="2024-06-07T00:00:00"/>
    <x v="5"/>
    <s v="NOK"/>
    <m/>
    <m/>
    <m/>
    <s v="Analisar controlos NOK"/>
    <s v="Y"/>
    <s v="N"/>
    <s v="Y"/>
    <s v="N"/>
    <s v="Y"/>
    <s v="N"/>
    <x v="0"/>
    <n v="0"/>
  </r>
  <r>
    <s v="INSTRUMENT"/>
    <s v="RRE_FNRP18"/>
    <x v="1"/>
    <s v="9. Concluído"/>
    <s v="OK"/>
    <s v="Concluido, controlos OK"/>
    <m/>
    <x v="0"/>
    <d v="2024-06-07T00:00:00"/>
    <x v="0"/>
    <s v="OK"/>
    <m/>
    <m/>
    <m/>
    <s v="Campo concluido"/>
    <s v="Y"/>
    <s v="N"/>
    <s v="N"/>
    <s v="N"/>
    <s v="N"/>
    <s v="N"/>
    <x v="0"/>
    <n v="0"/>
  </r>
  <r>
    <s v="ENTITY"/>
    <s v="RTNG_MTHD"/>
    <x v="0"/>
    <s v="5.1 Em testes - Re-especificação"/>
    <s v="NOK"/>
    <s v="Em testes, campo entregue por IT durante a OSI. Testar e validar controlos"/>
    <m/>
    <x v="1"/>
    <d v="2024-06-07T00:00:00"/>
    <x v="8"/>
    <s v="NOK"/>
    <m/>
    <d v="2024-02-16T00:00:00"/>
    <d v="2024-03-21T00:00:00"/>
    <s v="Alteração de especificação por parte do BCE"/>
    <s v="Y"/>
    <s v="N"/>
    <s v="N"/>
    <s v="N"/>
    <s v="N"/>
    <s v="Y"/>
    <x v="1"/>
    <s v="3. Campos em testes ou c/ incidências"/>
  </r>
  <r>
    <s v="INSTRUMENT"/>
    <s v="RTNG_MTHD"/>
    <x v="0"/>
    <s v="5.1 Em testes - Re-especificação"/>
    <s v="NOK"/>
    <s v="Em testes, campo entregue por IT durante a OSI. Testar e validar controlos"/>
    <m/>
    <x v="1"/>
    <d v="2024-06-07T00:00:00"/>
    <x v="8"/>
    <s v="NOK"/>
    <m/>
    <d v="2024-02-16T00:00:00"/>
    <d v="2024-03-21T00:00:00"/>
    <s v="Alteração de especificação por parte do BCE"/>
    <s v="Y"/>
    <s v="N"/>
    <s v="N"/>
    <s v="N"/>
    <s v="N"/>
    <s v="Y"/>
    <x v="1"/>
    <s v="3. Campos em testes ou c/ incidências"/>
  </r>
  <r>
    <s v="ENTITY"/>
    <s v="RTNG_SCL"/>
    <x v="0"/>
    <s v="9. Concluído"/>
    <s v="OK"/>
    <s v="Concluido, controlos OK"/>
    <m/>
    <x v="0"/>
    <d v="2024-06-07T00:00:00"/>
    <x v="0"/>
    <s v="OK"/>
    <m/>
    <m/>
    <m/>
    <s v="Campo concluido"/>
    <s v="Y"/>
    <s v="N"/>
    <s v="N"/>
    <s v="N"/>
    <s v="N"/>
    <s v="Y"/>
    <x v="0"/>
    <s v="6.1. Fora âmbito | Campos concluídos - Sem necessidade de espec."/>
  </r>
  <r>
    <s v="INSTRUMENT"/>
    <s v="RTNG_SCL"/>
    <x v="0"/>
    <s v="9. Concluído"/>
    <s v="OK"/>
    <s v="Concluido, controlos OK"/>
    <m/>
    <x v="0"/>
    <d v="2024-06-07T00:00:00"/>
    <x v="0"/>
    <s v="OK"/>
    <m/>
    <m/>
    <m/>
    <s v="Campo concluido"/>
    <s v="Y"/>
    <s v="N"/>
    <s v="N"/>
    <s v="N"/>
    <s v="N"/>
    <s v="Y"/>
    <x v="0"/>
    <s v="6.1. Fora âmbito | Campos concluídos - Sem necessidade de espec."/>
  </r>
  <r>
    <s v="INSTRUMENT"/>
    <s v="RTNTN_SHR"/>
    <x v="1"/>
    <s v="6. Outros Desenvolvimentos"/>
    <s v="OK"/>
    <s v="Em implementação IT BST (Sindicados)"/>
    <s v="Aguarda desenvolvimentos nas plataformas Loan IQ e Mercurio"/>
    <x v="2"/>
    <d v="2024-06-07T00:00:00"/>
    <x v="9"/>
    <s v="OK"/>
    <m/>
    <m/>
    <m/>
    <s v="Melhorias estruturais (garantir coerência entre campos)"/>
    <s v="Y"/>
    <s v="N"/>
    <s v="N"/>
    <s v="N"/>
    <s v="N"/>
    <s v="Y"/>
    <x v="1"/>
    <s v="2.1. Re-especificação de campos complexos | Sindicados"/>
  </r>
  <r>
    <s v="INSTRUMENT"/>
    <s v="RWA"/>
    <x v="0"/>
    <s v="5.1 Em testes - Re-especificação"/>
    <s v="OK"/>
    <s v="Em testes. Campo com incidências, mas corrigida na LT no âmbito da OSI."/>
    <m/>
    <x v="1"/>
    <d v="2024-06-20T00:00:00"/>
    <x v="8"/>
    <s v="NOK"/>
    <s v="Campo com incidência para um contrato que tem valores de ead e rwa negativos._x000a_A fonte (CT013) tem um valor muito superior, isto significa que provavelmente existem várias chaves FR para uma chave BDR. Fomos ao tradutor verificar e de facto existem 10 chaves FR para uma BDR_x000a_Sabemos que os campos EAD e RWA são desagragados pelo &quot;saldo capital&quot; nas várias chaves FR, onde &quot;saldo capital&quot; é obtido através das contas cargabal, cruzamento fr802 e cruzamento com matriz de contas CT805 para o nome perimentro corporativo_x000a_Verificamos que o aprovisionamento do campo está correto de acordo com as regras especificadas"/>
    <d v="2024-02-16T00:00:00"/>
    <d v="2024-03-21T00:00:00"/>
    <s v="Necessidade de correção de erros"/>
    <s v="Y"/>
    <s v="Y"/>
    <s v="N"/>
    <s v="N"/>
    <s v="N"/>
    <s v="Y"/>
    <x v="1"/>
    <s v="3. Campos em testes ou c/ incidências"/>
  </r>
  <r>
    <s v="INSTRUMENT"/>
    <s v="DT_LGL_FNL_MTRTY"/>
    <x v="0"/>
    <s v="5.2 Em testes - Incidência"/>
    <s v="NOK"/>
    <s v="Controlos NOK e com Incidência nos formatos. "/>
    <s v="Alterarção formato de 99999999 para 1111-11-11."/>
    <x v="1"/>
    <d v="2024-06-07T00:00:00"/>
    <x v="1"/>
    <s v="NOK"/>
    <m/>
    <m/>
    <m/>
    <s v="Necessidade de correção de erros"/>
    <s v="Y"/>
    <s v="N"/>
    <s v="Y"/>
    <s v="N"/>
    <s v="N"/>
    <s v="Y"/>
    <x v="1"/>
    <s v="3. Campos em testes ou c/ incidências"/>
  </r>
  <r>
    <s v="INSTRUMENT"/>
    <s v="SBJCT_PBLC_GRNT_SCHM_C19"/>
    <x v="1"/>
    <s v="9. Concluído"/>
    <s v="OK"/>
    <s v="Concluido, controlos OK"/>
    <m/>
    <x v="0"/>
    <d v="2024-06-07T00:00:00"/>
    <x v="0"/>
    <s v="OK"/>
    <m/>
    <m/>
    <m/>
    <s v="Campo concluido"/>
    <s v="Y"/>
    <s v="N"/>
    <s v="N"/>
    <s v="N"/>
    <s v="N"/>
    <s v="N"/>
    <x v="0"/>
    <n v="0"/>
  </r>
  <r>
    <s v="INSTRUMENT"/>
    <s v="DT_NXT_INTRST_RT_RST"/>
    <x v="0"/>
    <s v="5.2 Em testes - Incidência"/>
    <s v="NOK"/>
    <s v="Controlos NOK e com Incidência nos formatos."/>
    <s v=" Alteração formato de 0001-01-01 para 0000-00-00."/>
    <x v="1"/>
    <d v="2024-06-07T00:00:00"/>
    <x v="1"/>
    <s v="NOK"/>
    <m/>
    <m/>
    <m/>
    <s v="Necessidade de correção de erros"/>
    <s v="Y"/>
    <s v="N"/>
    <s v="N"/>
    <s v="N"/>
    <s v="N"/>
    <s v="N"/>
    <x v="0"/>
    <n v="0"/>
  </r>
  <r>
    <s v="INSTRUMENT"/>
    <s v="SME_FNRP18"/>
    <x v="0"/>
    <s v="9. Concluído"/>
    <s v="OK"/>
    <s v="Concluido, controlos OK"/>
    <m/>
    <x v="0"/>
    <d v="2024-06-07T00:00:00"/>
    <x v="0"/>
    <s v="OK"/>
    <m/>
    <m/>
    <m/>
    <s v="Campo concluido"/>
    <s v="Y"/>
    <s v="N"/>
    <s v="N"/>
    <s v="N"/>
    <s v="N"/>
    <s v="N"/>
    <x v="0"/>
    <n v="0"/>
  </r>
  <r>
    <s v="ENTITY"/>
    <s v="SNGL_PRPS_VHCL"/>
    <x v="1"/>
    <s v="9. Concluído"/>
    <s v="OK"/>
    <s v="Concluido, controlos OK"/>
    <m/>
    <x v="0"/>
    <d v="2024-06-07T00:00:00"/>
    <x v="0"/>
    <s v="OK"/>
    <m/>
    <m/>
    <m/>
    <s v="Campo concluido"/>
    <s v="Y"/>
    <s v="N"/>
    <s v="N"/>
    <s v="N"/>
    <s v="N"/>
    <s v="N"/>
    <x v="0"/>
    <n v="0"/>
  </r>
  <r>
    <s v="INSTRUMENT"/>
    <s v="SPCLTV_LNDNG"/>
    <x v="1"/>
    <s v="7. Analisar controlos e completude"/>
    <s v="NOK"/>
    <s v="Controlos NOK"/>
    <m/>
    <x v="2"/>
    <d v="2024-06-07T00:00:00"/>
    <x v="5"/>
    <s v="NOK"/>
    <m/>
    <m/>
    <m/>
    <s v="Analisar controlos NOK"/>
    <s v="Y"/>
    <s v="N"/>
    <s v="N"/>
    <s v="N"/>
    <s v="N"/>
    <s v="N"/>
    <x v="0"/>
    <n v="0"/>
  </r>
  <r>
    <s v="INSTRUMENT"/>
    <s v="SPNSR_NM"/>
    <x v="1"/>
    <s v="8. Concluído - sem dados"/>
    <s v="OK"/>
    <s v="Campo especificado, mas sem dados. Campo marcado com MISS ou NA"/>
    <m/>
    <x v="0"/>
    <d v="2024-06-07T00:00:00"/>
    <x v="6"/>
    <s v="OK"/>
    <m/>
    <m/>
    <m/>
    <s v="Campo concluído, mas sem ou pouca informação na fonte"/>
    <s v="Y"/>
    <s v="N"/>
    <s v="N"/>
    <s v="N"/>
    <s v="N"/>
    <s v="Y"/>
    <x v="2"/>
    <s v="6.3. Fora âmbito | Fonte Manual LF"/>
  </r>
  <r>
    <s v="INSTRUMENT"/>
    <s v="SPRD"/>
    <x v="1"/>
    <s v="9. Concluído"/>
    <s v="OK"/>
    <s v="Concluido, controlos OK"/>
    <m/>
    <x v="0"/>
    <d v="2024-06-07T00:00:00"/>
    <x v="0"/>
    <s v="OK"/>
    <m/>
    <m/>
    <m/>
    <s v="Campo concluido"/>
    <s v="Y"/>
    <s v="N"/>
    <s v="N"/>
    <s v="N"/>
    <s v="N"/>
    <s v="N"/>
    <x v="0"/>
    <n v="0"/>
  </r>
  <r>
    <s v="INSTRUMENT"/>
    <s v="SRCS_ENCMBRNC"/>
    <x v="1"/>
    <s v="9. Concluído"/>
    <s v="OK"/>
    <s v="Concluido, controlos OK"/>
    <m/>
    <x v="0"/>
    <d v="2024-06-07T00:00:00"/>
    <x v="0"/>
    <s v="OK"/>
    <m/>
    <m/>
    <m/>
    <s v="Campo concluido"/>
    <s v="Y"/>
    <s v="N"/>
    <s v="N"/>
    <s v="N"/>
    <s v="N"/>
    <s v="N"/>
    <x v="0"/>
    <n v="0"/>
  </r>
  <r>
    <s v="INSTRUMENT"/>
    <s v="STTS_UNDRWRTTN_TRNSCTN"/>
    <x v="1"/>
    <s v="6. Outros Desenvolvimentos"/>
    <s v="OK"/>
    <s v="Em implementação IT BST (Sindicados)"/>
    <s v="Aguarda desenvolvimentos nas plataformas Loan IQ e Mercurio"/>
    <x v="2"/>
    <d v="2024-06-07T00:00:00"/>
    <x v="9"/>
    <s v="OK"/>
    <m/>
    <m/>
    <m/>
    <s v="Melhorias estruturais (garantir coerência entre campos)"/>
    <s v="Y"/>
    <s v="N"/>
    <s v="N"/>
    <s v="N"/>
    <s v="N"/>
    <s v="Y"/>
    <x v="1"/>
    <s v="2.1. Re-especificação de campos complexos | Sindicados"/>
  </r>
  <r>
    <s v="INSTRUMENT"/>
    <s v="SUBPORTFOLIO_ID"/>
    <x v="0"/>
    <s v="9. Concluído"/>
    <s v="OK"/>
    <s v="Concluido, controlos OK"/>
    <m/>
    <x v="0"/>
    <d v="2024-06-07T00:00:00"/>
    <x v="0"/>
    <s v="OK"/>
    <m/>
    <m/>
    <m/>
    <s v="Campo concluido"/>
    <s v="Y"/>
    <s v="Y"/>
    <s v="Y"/>
    <s v="N"/>
    <s v="Y"/>
    <s v="Y"/>
    <x v="0"/>
    <s v="6.1. Fora âmbito | Campos concluídos - Sem necessidade de espec."/>
  </r>
  <r>
    <s v="INSTRUMENT"/>
    <s v="SYNDCT_RL"/>
    <x v="1"/>
    <s v="6. Outros Desenvolvimentos"/>
    <s v="OK"/>
    <s v="Em implementação IT BST (Sindicados)"/>
    <s v="Aguarda desenvolvimentos nas plataformas Loan IQ e Mercurio"/>
    <x v="2"/>
    <d v="2024-06-07T00:00:00"/>
    <x v="9"/>
    <s v="OK"/>
    <m/>
    <m/>
    <m/>
    <s v="Melhorias estruturais (garantir coerência entre campos)"/>
    <s v="Y"/>
    <s v="N"/>
    <s v="N"/>
    <s v="N"/>
    <s v="N"/>
    <s v="Y"/>
    <x v="1"/>
    <s v="2.1. Re-especificação de campos complexos | Sindicados"/>
  </r>
  <r>
    <s v="INSTRUMENT"/>
    <s v="SYNDCTD_AGNT"/>
    <x v="0"/>
    <s v="6. Outros Desenvolvimentos"/>
    <s v="OK"/>
    <s v="Em implementação IT BST (Sindicados)"/>
    <s v="Aguarda desenvolvimentos nas plataformas Loan IQ e Mercurio"/>
    <x v="2"/>
    <d v="2024-06-07T00:00:00"/>
    <x v="9"/>
    <s v="OK"/>
    <m/>
    <m/>
    <m/>
    <s v="Melhorias estruturais (garantir coerência entre campos)"/>
    <s v="Y"/>
    <s v="N"/>
    <s v="N"/>
    <s v="N"/>
    <s v="N"/>
    <s v="Y"/>
    <x v="1"/>
    <s v="2.1. Re-especificação de campos complexos | Sindicados"/>
  </r>
  <r>
    <s v="INSTRUMENT"/>
    <s v="SYNDCTD_CNTRCT_ID"/>
    <x v="0"/>
    <s v="6. Outros Desenvolvimentos"/>
    <s v="OK"/>
    <s v="Em implementação IT BST (Sindicados)"/>
    <s v="Aguarda desenvolvimentos nas plataformas Loan IQ e Mercurio"/>
    <x v="2"/>
    <d v="2024-06-07T00:00:00"/>
    <x v="9"/>
    <s v="OK"/>
    <m/>
    <m/>
    <m/>
    <s v="Melhorias estruturais (garantir coerência entre campos)"/>
    <s v="Y"/>
    <s v="N"/>
    <s v="N"/>
    <s v="N"/>
    <s v="N"/>
    <s v="Y"/>
    <x v="1"/>
    <s v="2.1. Re-especificação de campos complexos | Sindicados"/>
  </r>
  <r>
    <s v="INSTRUMENT"/>
    <s v="SYNDCTD_LNDRS"/>
    <x v="0"/>
    <s v="6. Outros Desenvolvimentos"/>
    <s v="OK"/>
    <s v="Em implementação IT BST (Sindicados)"/>
    <s v="Aguarda desenvolvimentos nas plataformas Loan IQ e Mercurio"/>
    <x v="2"/>
    <d v="2024-06-07T00:00:00"/>
    <x v="9"/>
    <s v="OK"/>
    <m/>
    <m/>
    <m/>
    <s v="Melhorias estruturais (garantir coerência entre campos)"/>
    <s v="Y"/>
    <s v="N"/>
    <s v="N"/>
    <s v="N"/>
    <s v="N"/>
    <s v="Y"/>
    <x v="1"/>
    <s v="2.1. Re-especificação de campos complexos | Sindicados"/>
  </r>
  <r>
    <s v="INSTRUMENT"/>
    <s v="SYNDCTD_SHR"/>
    <x v="0"/>
    <s v="6. Outros Desenvolvimentos"/>
    <s v="OK"/>
    <s v="Em implementação IT BST (Sindicados)"/>
    <s v="Aguarda desenvolvimentos nas plataformas Loan IQ e Mercurio"/>
    <x v="2"/>
    <d v="2024-06-07T00:00:00"/>
    <x v="9"/>
    <s v="OK"/>
    <m/>
    <m/>
    <m/>
    <s v="Melhorias estruturais (garantir coerência entre campos)"/>
    <s v="Y"/>
    <s v="N"/>
    <s v="N"/>
    <s v="N"/>
    <s v="N"/>
    <s v="Y"/>
    <x v="1"/>
    <s v="2.1. Re-especificação de campos complexos | Sindicados"/>
  </r>
  <r>
    <s v="INSTRUMENT"/>
    <s v="SYNDCTN_TYP"/>
    <x v="1"/>
    <s v="6. Outros Desenvolvimentos"/>
    <s v="OK"/>
    <s v="Em implementação IT BST (Sindicados)"/>
    <s v="Aguarda desenvolvimentos nas plataformas Loan IQ e Mercurio"/>
    <x v="2"/>
    <d v="2024-06-07T00:00:00"/>
    <x v="9"/>
    <s v="OK"/>
    <m/>
    <m/>
    <m/>
    <s v="Melhorias estruturais (garantir coerência entre campos)"/>
    <s v="Y"/>
    <s v="N"/>
    <s v="N"/>
    <s v="N"/>
    <s v="N"/>
    <s v="Y"/>
    <x v="1"/>
    <s v="2.1. Re-especificação de campos complexos | Sindicados"/>
  </r>
  <r>
    <s v="ENTITY"/>
    <s v="TAX_ID"/>
    <x v="1"/>
    <s v="7. Analisar controlos e completude"/>
    <s v="NOK"/>
    <s v="Campo especificado, mas com problemas a montante"/>
    <m/>
    <x v="2"/>
    <d v="2024-06-07T00:00:00"/>
    <x v="5"/>
    <s v="NOK"/>
    <m/>
    <m/>
    <m/>
    <s v="Analisar controlos NOK"/>
    <s v="Y"/>
    <s v="N"/>
    <s v="N"/>
    <s v="N"/>
    <s v="N"/>
    <s v="N"/>
    <x v="0"/>
    <n v="0"/>
  </r>
  <r>
    <s v="PROTECTION"/>
    <s v="TAX_ID"/>
    <x v="1"/>
    <s v="7. Analisar controlos e completude"/>
    <s v="NOK"/>
    <s v="Concluido, controlos por parte de Riscos"/>
    <m/>
    <x v="2"/>
    <d v="2024-06-07T00:00:00"/>
    <x v="5"/>
    <s v="NOK"/>
    <m/>
    <m/>
    <m/>
    <s v="Analisar controlos NOK"/>
    <s v="Y"/>
    <s v="N"/>
    <s v="N"/>
    <s v="N"/>
    <s v="N"/>
    <s v="N"/>
    <x v="0"/>
    <n v="0"/>
  </r>
  <r>
    <s v="INSTR_PROTECTION"/>
    <s v="THRD_PRTY_PRRTY_CLMS"/>
    <x v="0"/>
    <s v="9. Concluído"/>
    <s v="OK"/>
    <s v="Concluido, controlos OK"/>
    <m/>
    <x v="0"/>
    <d v="2024-06-07T00:00:00"/>
    <x v="0"/>
    <s v="OK"/>
    <m/>
    <m/>
    <m/>
    <s v="Campo concluido"/>
    <s v="Y"/>
    <s v="N"/>
    <s v="N"/>
    <s v="N"/>
    <s v="N"/>
    <s v="N"/>
    <x v="0"/>
    <n v="0"/>
  </r>
  <r>
    <s v="INSTRUMENT"/>
    <s v="TRNCH"/>
    <x v="1"/>
    <s v="6. Outros Desenvolvimentos"/>
    <s v="OK"/>
    <s v="Em implementação IT BST (Sindicados)"/>
    <s v="Aguarda desenvolvimentos nas plataformas Loan IQ e Mercurio"/>
    <x v="2"/>
    <d v="2024-06-07T00:00:00"/>
    <x v="9"/>
    <s v="OK"/>
    <m/>
    <m/>
    <m/>
    <s v="Melhorias estruturais (garantir coerência entre campos)"/>
    <s v="Y"/>
    <s v="N"/>
    <s v="N"/>
    <s v="N"/>
    <s v="N"/>
    <s v="Y"/>
    <x v="1"/>
    <s v="2.1. Re-especificação de campos complexos | Sindicados"/>
  </r>
  <r>
    <s v="ENTITY"/>
    <s v="TTL_DBT"/>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Y"/>
    <s v="N"/>
    <s v="N"/>
    <s v="Y"/>
    <x v="2"/>
    <s v="6.4. Fora âmbito | Re-especificação de campos complexos - Dem. Fin. CIB"/>
  </r>
  <r>
    <s v="ENTITY"/>
    <s v="TTL_DBT_PRVS"/>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Y"/>
    <x v="2"/>
    <s v="6.4. Fora âmbito | Re-especificação de campos complexos - Dem. Fin. CIB"/>
  </r>
  <r>
    <s v="INSTRUMENT"/>
    <s v="ACCRD_INTRST_INSTRMNT"/>
    <x v="0"/>
    <s v="2. Alterar especificação"/>
    <s v="OK"/>
    <s v="Alterar especificação (Área enviou nova metodologia do campo)"/>
    <m/>
    <x v="2"/>
    <d v="2024-06-07T00:00:00"/>
    <x v="2"/>
    <s v="OK"/>
    <m/>
    <m/>
    <m/>
    <s v="Melhorias estruturais (garantir coerência entre campos)"/>
    <s v="Y"/>
    <s v="N"/>
    <s v="N"/>
    <s v="N"/>
    <s v="N"/>
    <s v="Y"/>
    <x v="1"/>
    <s v="2.2 Re-especificação de campos complexos - Resto"/>
  </r>
  <r>
    <s v="ENTITY"/>
    <s v="TTL_LVRG_RT"/>
    <x v="1"/>
    <s v="9. Concluído"/>
    <s v="OK"/>
    <s v="Concluido, controlos OK"/>
    <m/>
    <x v="0"/>
    <d v="2024-06-07T00:00:00"/>
    <x v="0"/>
    <s v="OK"/>
    <m/>
    <m/>
    <m/>
    <s v="Campo concluido"/>
    <s v="Y"/>
    <s v="N"/>
    <s v="N"/>
    <s v="N"/>
    <s v="N"/>
    <s v="Y"/>
    <x v="0"/>
    <s v="6.1. Fora âmbito | Campos concluídos - Sem necessidade de espec."/>
  </r>
  <r>
    <s v="ENTITY"/>
    <s v="TTL_LVRG_RT_PRVS"/>
    <x v="1"/>
    <s v="9. Concluído"/>
    <s v="OK"/>
    <s v="Concluido, controlos OK"/>
    <m/>
    <x v="0"/>
    <d v="2024-06-07T00:00:00"/>
    <x v="0"/>
    <s v="OK"/>
    <m/>
    <m/>
    <m/>
    <s v="Campo concluido"/>
    <s v="Y"/>
    <s v="N"/>
    <s v="N"/>
    <s v="N"/>
    <s v="N"/>
    <s v="Y"/>
    <x v="0"/>
    <s v="6.1. Fora âmbito | Campos concluídos - Sem necessidade de espec."/>
  </r>
  <r>
    <s v="INSTRUMENT"/>
    <s v="TYP_AMRTSTN"/>
    <x v="0"/>
    <s v="3. Pendente de decisão"/>
    <s v="NOK"/>
    <s v="Verificar necessidade de alteração da fonte para fins de reconciliação. Rever Fonte"/>
    <s v="Foi decisão que a informação a reportar deveria reconciliar com a informação de imparidade e por essa mesma razão não se utilizou os dados da LT. Rever se devemos utilizar a informação de IFRS9 ou manter a de alm"/>
    <x v="1"/>
    <d v="2024-06-07T00:00:00"/>
    <x v="4"/>
    <s v="NOK"/>
    <m/>
    <m/>
    <m/>
    <s v="Pendente de decisão"/>
    <s v="Y"/>
    <s v="N"/>
    <s v="N"/>
    <s v="N"/>
    <s v="N"/>
    <s v="Y"/>
    <x v="1"/>
    <s v="5. Campos com outras possíveis alterações - Dependente de decisões OSI "/>
  </r>
  <r>
    <s v="INSTRUMENT"/>
    <s v="TYP_CMPLNT_MRTR_C19"/>
    <x v="1"/>
    <s v="9. Concluído"/>
    <s v="OK"/>
    <s v="Concluido, controlos OK"/>
    <m/>
    <x v="0"/>
    <d v="2024-06-07T00:00:00"/>
    <x v="0"/>
    <s v="OK"/>
    <m/>
    <m/>
    <m/>
    <s v="Campo concluido"/>
    <s v="Y"/>
    <s v="N"/>
    <s v="N"/>
    <s v="N"/>
    <s v="N"/>
    <s v="N"/>
    <x v="0"/>
    <n v="0"/>
  </r>
  <r>
    <s v="INSTRUMENT"/>
    <s v="TYP_CRE_OPRTN"/>
    <x v="1"/>
    <s v="7. Analisar controlos e completude"/>
    <s v="NOK"/>
    <s v="Controlos NOK"/>
    <m/>
    <x v="2"/>
    <d v="2024-06-07T00:00:00"/>
    <x v="5"/>
    <s v="NOK"/>
    <m/>
    <m/>
    <m/>
    <s v="Analisar controlos NOK"/>
    <s v="Y"/>
    <s v="N"/>
    <s v="N"/>
    <s v="N"/>
    <s v="N"/>
    <s v="N"/>
    <x v="0"/>
    <n v="0"/>
  </r>
  <r>
    <s v="INSTRUMENT"/>
    <s v="TYP_INSTRMNT"/>
    <x v="0"/>
    <s v="9. Concluído"/>
    <s v="OK"/>
    <s v="Concluido, controlos OK"/>
    <m/>
    <x v="0"/>
    <d v="2024-06-07T00:00:00"/>
    <x v="0"/>
    <s v="OK"/>
    <m/>
    <m/>
    <m/>
    <s v="Campo concluido"/>
    <s v="Y"/>
    <s v="Y"/>
    <s v="Y"/>
    <s v="N"/>
    <s v="N"/>
    <s v="Y"/>
    <x v="0"/>
    <s v="6.1. Fora âmbito | Campos concluídos - Sem necessidade de espec."/>
  </r>
  <r>
    <s v="INSTRUMENT"/>
    <s v="TYP_INTRST_RT"/>
    <x v="0"/>
    <s v="9. Concluído"/>
    <s v="OK"/>
    <s v="Concluido, controlos OK"/>
    <m/>
    <x v="0"/>
    <d v="2024-06-07T00:00:00"/>
    <x v="0"/>
    <s v="OK"/>
    <m/>
    <m/>
    <m/>
    <s v="Campo concluido"/>
    <s v="Y"/>
    <s v="N"/>
    <s v="N"/>
    <s v="N"/>
    <s v="N"/>
    <s v="N"/>
    <x v="0"/>
    <n v="0"/>
  </r>
  <r>
    <s v="PROTECTION"/>
    <s v="PRTCTN_VL"/>
    <x v="0"/>
    <s v="5.2 Em testes - Incidência"/>
    <s v="OK"/>
    <s v="Campo com incidência"/>
    <s v="Incidências: Casos em que valor é 0"/>
    <x v="1"/>
    <d v="2024-09-27T00:00:00"/>
    <x v="1"/>
    <s v="NOK"/>
    <s v="44 garantias com valor zero."/>
    <m/>
    <m/>
    <s v="Necessidade de correção de erros"/>
    <s v="Y"/>
    <s v="Y"/>
    <s v="Y"/>
    <s v="N"/>
    <s v="N"/>
    <s v="N"/>
    <x v="0"/>
    <n v="0"/>
  </r>
  <r>
    <s v="PROTECTION"/>
    <s v="PRTCTN_VL_NPE"/>
    <x v="0"/>
    <s v="5.1 Em testes - Re-especificação"/>
    <s v="OK"/>
    <s v="Campo depende do histórico do PRFRMNG_STTS. Não é necessário alterar a especificação do mesmo, apenas testar se a metodologia do campo PRFRMNG_STTS for alterada. "/>
    <m/>
    <x v="1"/>
    <d v="2024-10-03T00:00:00"/>
    <x v="8"/>
    <s v="OK"/>
    <m/>
    <m/>
    <m/>
    <s v="Pendente de decisão"/>
    <s v="Y"/>
    <s v="N"/>
    <s v="N"/>
    <s v="N"/>
    <s v="N"/>
    <s v="N"/>
    <x v="0"/>
    <n v="0"/>
  </r>
  <r>
    <s v="PROTECTION"/>
    <s v="TYP_PRTCTN_INTRNL"/>
    <x v="0"/>
    <s v="7. Analisar controlos e completude"/>
    <s v="NOK"/>
    <s v="Controlos NOK"/>
    <m/>
    <x v="2"/>
    <d v="2024-06-07T00:00:00"/>
    <x v="5"/>
    <s v="NOK"/>
    <m/>
    <m/>
    <m/>
    <s v="Analisar controlos NOK"/>
    <s v="Y"/>
    <s v="N"/>
    <s v="N"/>
    <s v="N"/>
    <s v="N"/>
    <s v="N"/>
    <x v="0"/>
    <n v="0"/>
  </r>
  <r>
    <s v="PROTECTION"/>
    <s v="TYP_PRTCTN_VL"/>
    <x v="0"/>
    <s v="7. Analisar controlos e completude"/>
    <s v="NOK"/>
    <s v="Controlos NOK"/>
    <m/>
    <x v="2"/>
    <d v="2024-06-07T00:00:00"/>
    <x v="5"/>
    <s v="NOK"/>
    <m/>
    <m/>
    <m/>
    <s v="Analisar controlos NOK"/>
    <s v="Y"/>
    <s v="N"/>
    <s v="N"/>
    <s v="N"/>
    <s v="N"/>
    <s v="N"/>
    <x v="0"/>
    <n v="0"/>
  </r>
  <r>
    <s v="INSTRUMENT"/>
    <s v="TYPE_OF_PLCMNT"/>
    <x v="1"/>
    <s v="9. Concluído"/>
    <s v="OK"/>
    <s v="Concluido, controlos OK"/>
    <m/>
    <x v="0"/>
    <d v="2024-06-07T00:00:00"/>
    <x v="0"/>
    <s v="OK"/>
    <m/>
    <m/>
    <m/>
    <s v="Campo concluido"/>
    <s v="Y"/>
    <s v="N"/>
    <s v="N"/>
    <s v="N"/>
    <s v="N"/>
    <s v="N"/>
    <x v="0"/>
    <n v="0"/>
  </r>
  <r>
    <s v="INSTRUMENT"/>
    <s v="VLTN_CRRNCY"/>
    <x v="1"/>
    <s v="9. Concluído"/>
    <s v="OK"/>
    <s v="Concluido, controlos OK"/>
    <m/>
    <x v="0"/>
    <d v="2024-06-07T00:00:00"/>
    <x v="0"/>
    <s v="OK"/>
    <m/>
    <m/>
    <m/>
    <s v="Campo concluido"/>
    <s v="Y"/>
    <s v="N"/>
    <s v="N"/>
    <s v="N"/>
    <s v="N"/>
    <s v="N"/>
    <x v="0"/>
    <n v="0"/>
  </r>
  <r>
    <s v="INSTRUMENT"/>
    <s v="VLTN_TYP"/>
    <x v="1"/>
    <s v="9. Concluído"/>
    <s v="OK"/>
    <s v="Concluido, controlos OK"/>
    <m/>
    <x v="0"/>
    <d v="2024-06-07T00:00:00"/>
    <x v="0"/>
    <s v="OK"/>
    <m/>
    <m/>
    <m/>
    <s v="Campo concluido"/>
    <s v="Y"/>
    <s v="N"/>
    <s v="N"/>
    <s v="N"/>
    <s v="N"/>
    <s v="N"/>
    <x v="0"/>
    <n v="0"/>
  </r>
  <r>
    <s v="ENTITY"/>
    <s v="WTCH_LST"/>
    <x v="0"/>
    <s v="9. Concluído"/>
    <s v="OK"/>
    <s v="Concluido, controlos OK"/>
    <m/>
    <x v="0"/>
    <d v="2024-06-07T00:00:00"/>
    <x v="0"/>
    <s v="OK"/>
    <m/>
    <m/>
    <m/>
    <s v="Campo concluido"/>
    <s v="Y"/>
    <s v="N"/>
    <s v="N"/>
    <s v="N"/>
    <s v="N"/>
    <s v="Y"/>
    <x v="0"/>
    <s v="6.1. Fora âmbito | Campos concluídos - Sem necessidade de espec."/>
  </r>
  <r>
    <s v="PROTECTION"/>
    <s v="YR_CNSTRCTN"/>
    <x v="1"/>
    <s v="1. Especificar"/>
    <s v="OK"/>
    <s v="Em especificação (Campos Novos)"/>
    <m/>
    <x v="2"/>
    <d v="2024-06-07T00:00:00"/>
    <x v="3"/>
    <s v="OK"/>
    <m/>
    <m/>
    <m/>
    <s v="Novo campo"/>
    <s v="Y"/>
    <s v="N"/>
    <s v="Y"/>
    <s v="N"/>
    <s v="Y"/>
    <s v="N"/>
    <x v="0"/>
    <n v="0"/>
  </r>
  <r>
    <s v="ENTITY"/>
    <s v="ADDRSS_CTY"/>
    <x v="1"/>
    <s v="1. Especificar"/>
    <m/>
    <m/>
    <m/>
    <x v="2"/>
    <d v="2025-01-10T00:00:00"/>
    <x v="3"/>
    <m/>
    <m/>
    <m/>
    <m/>
    <m/>
    <s v="Y"/>
    <s v="N"/>
    <s v="N"/>
    <s v="N"/>
    <s v="N"/>
    <s v="N"/>
    <x v="3"/>
    <n v="0"/>
  </r>
  <r>
    <s v="ENTITY"/>
    <s v="ADDRSS_STRT"/>
    <x v="1"/>
    <s v="1. Especificar"/>
    <m/>
    <m/>
    <m/>
    <x v="2"/>
    <d v="2025-01-10T00:00:00"/>
    <x v="3"/>
    <m/>
    <m/>
    <m/>
    <m/>
    <m/>
    <s v="Y"/>
    <s v="N"/>
    <s v="N"/>
    <s v="N"/>
    <s v="N"/>
    <s v="N"/>
    <x v="3"/>
    <n v="0"/>
  </r>
  <r>
    <s v="ENTITY"/>
    <s v="DT_ENTRPRS_SZ"/>
    <x v="1"/>
    <s v="1. Especificar"/>
    <m/>
    <m/>
    <m/>
    <x v="2"/>
    <d v="2025-01-10T00:00:00"/>
    <x v="3"/>
    <m/>
    <m/>
    <m/>
    <m/>
    <m/>
    <s v="Y"/>
    <s v="N"/>
    <s v="N"/>
    <s v="N"/>
    <s v="N"/>
    <s v="N"/>
    <x v="3"/>
    <n v="0"/>
  </r>
  <r>
    <s v="ENTITY"/>
    <s v="NMBR_EMPLYS"/>
    <x v="1"/>
    <s v="1. Especificar"/>
    <m/>
    <m/>
    <m/>
    <x v="2"/>
    <d v="2025-01-10T00:00:00"/>
    <x v="3"/>
    <m/>
    <m/>
    <m/>
    <m/>
    <m/>
    <s v="Y"/>
    <s v="N"/>
    <s v="N"/>
    <s v="N"/>
    <s v="N"/>
    <s v="N"/>
    <x v="3"/>
    <n v="0"/>
  </r>
  <r>
    <s v="ENTITY"/>
    <s v="LGL_FRM"/>
    <x v="1"/>
    <s v="1. Especificar"/>
    <m/>
    <m/>
    <m/>
    <x v="2"/>
    <d v="2025-01-10T00:00:00"/>
    <x v="3"/>
    <m/>
    <m/>
    <m/>
    <m/>
    <m/>
    <s v="Y"/>
    <s v="N"/>
    <s v="N"/>
    <s v="N"/>
    <s v="N"/>
    <s v="N"/>
    <x v="3"/>
    <n v="0"/>
  </r>
  <r>
    <s v="ENTITY"/>
    <s v="HD_OFFC_UNDRTKNG_ID"/>
    <x v="1"/>
    <s v="1. Especificar"/>
    <m/>
    <m/>
    <m/>
    <x v="2"/>
    <d v="2025-01-10T00:00:00"/>
    <x v="3"/>
    <m/>
    <m/>
    <m/>
    <m/>
    <m/>
    <s v="Y"/>
    <s v="N"/>
    <s v="N"/>
    <s v="N"/>
    <s v="N"/>
    <s v="N"/>
    <x v="3"/>
    <n v="0"/>
  </r>
  <r>
    <s v="ENTITY"/>
    <s v="IMMDT_PRNT_UNDRTKNG_ID"/>
    <x v="1"/>
    <s v="1. Especificar"/>
    <m/>
    <m/>
    <m/>
    <x v="2"/>
    <d v="2025-01-10T00:00:00"/>
    <x v="3"/>
    <m/>
    <m/>
    <m/>
    <m/>
    <m/>
    <s v="Y"/>
    <s v="N"/>
    <s v="N"/>
    <s v="N"/>
    <s v="N"/>
    <s v="N"/>
    <x v="3"/>
    <n v="0"/>
  </r>
  <r>
    <s v="ENTITY"/>
    <s v="ULTMT_PRNT_UNDRTKNG_ID"/>
    <x v="1"/>
    <s v="1. Especificar"/>
    <m/>
    <m/>
    <m/>
    <x v="2"/>
    <d v="2025-01-10T00:00:00"/>
    <x v="3"/>
    <m/>
    <m/>
    <m/>
    <m/>
    <m/>
    <s v="Y"/>
    <s v="N"/>
    <s v="N"/>
    <s v="N"/>
    <s v="N"/>
    <s v="N"/>
    <x v="3"/>
    <n v="0"/>
  </r>
  <r>
    <s v="ENTITY"/>
    <s v="TTL_ASSTS"/>
    <x v="1"/>
    <s v="1. Especificar"/>
    <m/>
    <m/>
    <m/>
    <x v="2"/>
    <d v="2025-01-10T00:00:00"/>
    <x v="3"/>
    <m/>
    <m/>
    <m/>
    <m/>
    <m/>
    <s v="Y"/>
    <s v="N"/>
    <s v="N"/>
    <s v="N"/>
    <s v="N"/>
    <s v="N"/>
    <x v="3"/>
    <n v="0"/>
  </r>
  <r>
    <s v="ENTITY"/>
    <s v="ENTTY_ID_BDR"/>
    <x v="1"/>
    <s v="1. Especificar"/>
    <m/>
    <m/>
    <m/>
    <x v="2"/>
    <d v="2025-01-10T00:00:00"/>
    <x v="3"/>
    <m/>
    <m/>
    <m/>
    <m/>
    <m/>
    <s v="Y"/>
    <s v="N"/>
    <s v="N"/>
    <s v="N"/>
    <s v="N"/>
    <s v="N"/>
    <x v="3"/>
    <n v="0"/>
  </r>
  <r>
    <s v="INSTRUMENT"/>
    <s v="CPN_RT_FLTNG"/>
    <x v="1"/>
    <s v="1. Especificar"/>
    <m/>
    <m/>
    <m/>
    <x v="2"/>
    <d v="2025-01-10T00:00:00"/>
    <x v="3"/>
    <m/>
    <m/>
    <m/>
    <m/>
    <m/>
    <s v="Y"/>
    <s v="N"/>
    <s v="N"/>
    <s v="N"/>
    <s v="N"/>
    <s v="N"/>
    <x v="3"/>
    <n v="0"/>
  </r>
  <r>
    <s v="INSTRUMENT"/>
    <s v="INTRST_RT_CP"/>
    <x v="1"/>
    <s v="1. Especificar"/>
    <m/>
    <m/>
    <m/>
    <x v="2"/>
    <d v="2025-01-10T00:00:00"/>
    <x v="3"/>
    <m/>
    <m/>
    <m/>
    <m/>
    <m/>
    <s v="Y"/>
    <s v="N"/>
    <s v="N"/>
    <s v="N"/>
    <s v="N"/>
    <s v="N"/>
    <x v="3"/>
    <n v="0"/>
  </r>
  <r>
    <s v="INSTRUMENT"/>
    <s v="INTRST_RT_FLR"/>
    <x v="1"/>
    <s v="1. Especificar"/>
    <m/>
    <m/>
    <m/>
    <x v="2"/>
    <d v="2025-01-10T00:00:00"/>
    <x v="3"/>
    <m/>
    <m/>
    <m/>
    <m/>
    <m/>
    <s v="Y"/>
    <s v="N"/>
    <s v="N"/>
    <s v="N"/>
    <s v="N"/>
    <s v="N"/>
    <x v="3"/>
    <n v="0"/>
  </r>
  <r>
    <s v="INSTRUMENT"/>
    <s v="NMNL_INTRST_RT_FEE"/>
    <x v="1"/>
    <s v="1. Especificar"/>
    <m/>
    <m/>
    <m/>
    <x v="2"/>
    <d v="2025-01-10T00:00:00"/>
    <x v="3"/>
    <m/>
    <m/>
    <m/>
    <m/>
    <m/>
    <s v="Y"/>
    <s v="N"/>
    <s v="N"/>
    <s v="N"/>
    <s v="N"/>
    <s v="N"/>
    <x v="3"/>
    <n v="0"/>
  </r>
  <r>
    <s v="INSTRUMENT"/>
    <s v="DT_STTLMNT"/>
    <x v="1"/>
    <s v="1. Especificar"/>
    <m/>
    <m/>
    <m/>
    <x v="2"/>
    <d v="2025-01-10T00:00:00"/>
    <x v="3"/>
    <m/>
    <m/>
    <m/>
    <m/>
    <m/>
    <s v="Y"/>
    <s v="N"/>
    <s v="N"/>
    <s v="N"/>
    <s v="N"/>
    <s v="N"/>
    <x v="3"/>
    <n v="0"/>
  </r>
  <r>
    <s v="INSTRUMENT"/>
    <s v="TRNSFRRD_AMNT"/>
    <x v="1"/>
    <s v="1. Especificar"/>
    <m/>
    <m/>
    <m/>
    <x v="2"/>
    <d v="2025-01-10T00:00:00"/>
    <x v="3"/>
    <m/>
    <m/>
    <m/>
    <m/>
    <m/>
    <s v="Y"/>
    <s v="N"/>
    <s v="N"/>
    <s v="N"/>
    <s v="N"/>
    <s v="N"/>
    <x v="3"/>
    <n v="0"/>
  </r>
  <r>
    <s v="INSTRUMENT"/>
    <s v="TYP_SCRTZTN"/>
    <x v="1"/>
    <s v="1. Especificar"/>
    <m/>
    <m/>
    <m/>
    <x v="2"/>
    <d v="2025-01-10T00:00:00"/>
    <x v="3"/>
    <m/>
    <m/>
    <m/>
    <m/>
    <m/>
    <s v="Y"/>
    <s v="N"/>
    <s v="N"/>
    <s v="N"/>
    <s v="N"/>
    <s v="N"/>
    <x v="3"/>
    <n v="0"/>
  </r>
  <r>
    <s v="INSTRUMENT"/>
    <s v="TYP_OFF_BLNC_PRDCT"/>
    <x v="1"/>
    <s v="1. Especificar"/>
    <m/>
    <m/>
    <m/>
    <x v="2"/>
    <d v="2025-01-10T00:00:00"/>
    <x v="3"/>
    <m/>
    <m/>
    <m/>
    <m/>
    <m/>
    <s v="Y"/>
    <s v="Y"/>
    <s v="Y"/>
    <s v="N"/>
    <s v="N"/>
    <s v="Y"/>
    <x v="1"/>
    <s v="1. Novos Campos"/>
  </r>
  <r>
    <s v="INSTRUMENT"/>
    <s v="BLNC_SHT_RCGNTN"/>
    <x v="1"/>
    <s v="1. Especificar"/>
    <m/>
    <m/>
    <m/>
    <x v="2"/>
    <d v="2025-01-10T00:00:00"/>
    <x v="3"/>
    <m/>
    <m/>
    <m/>
    <m/>
    <m/>
    <s v="Y"/>
    <s v="N"/>
    <s v="N"/>
    <s v="N"/>
    <s v="N"/>
    <s v="N"/>
    <x v="3"/>
    <n v="0"/>
  </r>
  <r>
    <s v="INSTRUMENT"/>
    <s v="FLG_DFLT"/>
    <x v="1"/>
    <s v="1. Especificar"/>
    <m/>
    <m/>
    <m/>
    <x v="2"/>
    <d v="2025-01-10T00:00:00"/>
    <x v="3"/>
    <m/>
    <m/>
    <m/>
    <m/>
    <m/>
    <s v="Y"/>
    <s v="N"/>
    <s v="N"/>
    <s v="N"/>
    <s v="N"/>
    <s v="N"/>
    <x v="3"/>
    <n v="0"/>
  </r>
  <r>
    <s v="INSTRUMENT"/>
    <s v="FLG_HGH_RSK"/>
    <x v="1"/>
    <s v="1. Especificar"/>
    <m/>
    <m/>
    <m/>
    <x v="2"/>
    <d v="2025-01-10T00:00:00"/>
    <x v="3"/>
    <m/>
    <m/>
    <m/>
    <m/>
    <m/>
    <s v="Y"/>
    <s v="N"/>
    <s v="N"/>
    <s v="N"/>
    <s v="N"/>
    <s v="N"/>
    <x v="3"/>
    <n v="0"/>
  </r>
  <r>
    <s v="INSTRUMENT"/>
    <s v="PRTNR"/>
    <x v="1"/>
    <s v="1. Especificar"/>
    <m/>
    <m/>
    <m/>
    <x v="2"/>
    <d v="2025-01-10T00:00:00"/>
    <x v="3"/>
    <m/>
    <m/>
    <m/>
    <m/>
    <m/>
    <s v="Y"/>
    <s v="N"/>
    <s v="N"/>
    <s v="Y"/>
    <s v="N"/>
    <s v="N"/>
    <x v="3"/>
    <n v="0"/>
  </r>
  <r>
    <s v="INSTRUMENT"/>
    <s v="INCNTVS"/>
    <x v="1"/>
    <s v="1. Especificar"/>
    <m/>
    <m/>
    <m/>
    <x v="2"/>
    <d v="2025-01-10T00:00:00"/>
    <x v="3"/>
    <m/>
    <m/>
    <m/>
    <m/>
    <m/>
    <s v="Y"/>
    <s v="N"/>
    <s v="N"/>
    <s v="Y"/>
    <s v="N"/>
    <s v="N"/>
    <x v="3"/>
    <n v="0"/>
  </r>
  <r>
    <s v="INSTRUMENT"/>
    <s v="OTHR_OPRTNG_INCM"/>
    <x v="1"/>
    <s v="1. Especificar"/>
    <m/>
    <m/>
    <m/>
    <x v="2"/>
    <d v="2025-01-10T00:00:00"/>
    <x v="3"/>
    <m/>
    <m/>
    <m/>
    <m/>
    <m/>
    <s v="Y"/>
    <s v="N"/>
    <s v="N"/>
    <s v="Y"/>
    <s v="N"/>
    <s v="N"/>
    <x v="3"/>
    <n v="0"/>
  </r>
  <r>
    <s v="INSTRUMENT"/>
    <s v="RFRRL_FS"/>
    <x v="1"/>
    <s v="1. Especificar"/>
    <m/>
    <m/>
    <m/>
    <x v="2"/>
    <d v="2025-01-10T00:00:00"/>
    <x v="3"/>
    <m/>
    <m/>
    <m/>
    <m/>
    <m/>
    <s v="Y"/>
    <s v="N"/>
    <s v="N"/>
    <s v="Y"/>
    <s v="N"/>
    <s v="N"/>
    <x v="3"/>
    <n v="0"/>
  </r>
  <r>
    <s v="INSTRUMENT"/>
    <s v="INSRNC_CMSSNS"/>
    <x v="1"/>
    <s v="1. Especificar"/>
    <m/>
    <m/>
    <m/>
    <x v="2"/>
    <d v="2025-01-10T00:00:00"/>
    <x v="3"/>
    <m/>
    <m/>
    <m/>
    <m/>
    <m/>
    <s v="Y"/>
    <s v="N"/>
    <s v="N"/>
    <s v="Y"/>
    <s v="N"/>
    <s v="N"/>
    <x v="3"/>
    <n v="0"/>
  </r>
  <r>
    <s v="INSTRUMENT"/>
    <s v="OTHR_INCM_AND_CHRGS"/>
    <x v="1"/>
    <s v="1. Especificar"/>
    <m/>
    <m/>
    <m/>
    <x v="2"/>
    <d v="2025-01-10T00:00:00"/>
    <x v="3"/>
    <m/>
    <m/>
    <m/>
    <m/>
    <m/>
    <s v="Y"/>
    <s v="N"/>
    <s v="N"/>
    <s v="Y"/>
    <s v="N"/>
    <s v="N"/>
    <x v="3"/>
    <n v="0"/>
  </r>
  <r>
    <s v="INSTRUMENT"/>
    <s v="TX_ON_PRFT"/>
    <x v="1"/>
    <s v="1. Especificar"/>
    <m/>
    <m/>
    <m/>
    <x v="2"/>
    <d v="2025-01-10T00:00:00"/>
    <x v="3"/>
    <m/>
    <m/>
    <m/>
    <m/>
    <m/>
    <s v="Y"/>
    <s v="N"/>
    <s v="N"/>
    <s v="Y"/>
    <s v="N"/>
    <s v="N"/>
    <x v="3"/>
    <n v="0"/>
  </r>
  <r>
    <s v="PROTECTION"/>
    <s v="LND_AR"/>
    <x v="1"/>
    <s v="1. Especificar"/>
    <m/>
    <m/>
    <m/>
    <x v="2"/>
    <d v="2025-01-10T00:00:00"/>
    <x v="3"/>
    <m/>
    <m/>
    <m/>
    <m/>
    <m/>
    <s v="Y"/>
    <s v="N"/>
    <s v="N"/>
    <s v="N"/>
    <s v="N"/>
    <s v="N"/>
    <x v="3"/>
    <n v="0"/>
  </r>
  <r>
    <s v="PROTECTION"/>
    <s v="LN_PSTN"/>
    <x v="1"/>
    <s v="1. Especificar"/>
    <m/>
    <m/>
    <m/>
    <x v="2"/>
    <d v="2025-01-10T00:00:00"/>
    <x v="3"/>
    <m/>
    <m/>
    <m/>
    <m/>
    <m/>
    <s v="Y"/>
    <s v="N"/>
    <s v="N"/>
    <s v="N"/>
    <s v="N"/>
    <s v="N"/>
    <x v="3"/>
    <n v="0"/>
  </r>
  <r>
    <s v="PROTECTION"/>
    <s v="RL_ESTT_LNGTD"/>
    <x v="1"/>
    <s v="1. Especificar"/>
    <m/>
    <m/>
    <m/>
    <x v="2"/>
    <d v="2025-01-10T00:00:00"/>
    <x v="3"/>
    <m/>
    <m/>
    <m/>
    <m/>
    <m/>
    <s v="Y"/>
    <s v="N"/>
    <s v="N"/>
    <s v="N"/>
    <s v="N"/>
    <s v="N"/>
    <x v="3"/>
    <n v="0"/>
  </r>
  <r>
    <s v="PROTECTION"/>
    <s v="RL_ESTT_LTTD"/>
    <x v="1"/>
    <s v="1. Especificar"/>
    <m/>
    <m/>
    <m/>
    <x v="2"/>
    <d v="2025-01-10T00:00:00"/>
    <x v="3"/>
    <m/>
    <m/>
    <m/>
    <m/>
    <m/>
    <s v="Y"/>
    <s v="N"/>
    <s v="N"/>
    <s v="N"/>
    <s v="N"/>
    <s v="N"/>
    <x v="3"/>
    <n v="0"/>
  </r>
  <r>
    <s v="INSTR_ACTIVITY"/>
    <s v="PRCNTG_ACTVTY"/>
    <x v="1"/>
    <s v="1. Especificar"/>
    <m/>
    <m/>
    <m/>
    <x v="2"/>
    <d v="2025-01-10T00:00:00"/>
    <x v="3"/>
    <m/>
    <m/>
    <m/>
    <m/>
    <m/>
    <s v="Y"/>
    <s v="Y"/>
    <s v="Y"/>
    <s v="N"/>
    <s v="N"/>
    <s v="N"/>
    <x v="3"/>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6">
  <r>
    <s v="INSTRUMENT"/>
    <s v="ACCMLTD_CHNGS_FV_CR_INSTRMNT"/>
    <x v="0"/>
    <s v="9. Concluído"/>
    <s v="OK"/>
    <s v="Concluido, controlos OK"/>
    <m/>
    <s v="Campo Fechado"/>
    <d v="2024-06-07T00:00:00"/>
    <x v="0"/>
    <s v="OK"/>
    <m/>
    <m/>
    <m/>
    <x v="0"/>
  </r>
  <r>
    <s v="INSTRUMENT"/>
    <s v="ACCMLTD_IMPRMNT_INSTRMNT"/>
    <x v="0"/>
    <s v="9. Concluído"/>
    <s v="OK"/>
    <s v="Concluido, controlos OK"/>
    <m/>
    <s v="Campo Fechado"/>
    <d v="2024-06-07T00:00:00"/>
    <x v="0"/>
    <s v="OK"/>
    <m/>
    <m/>
    <m/>
    <x v="0"/>
  </r>
  <r>
    <s v="INSTRUMENT"/>
    <s v="ACCMLTD_IMPRMNT_INSTRMNT_PRVS"/>
    <x v="0"/>
    <s v="5.2 Em testes - Incidência"/>
    <s v="OK"/>
    <s v="Campo com incidência. Verificar fonte LT"/>
    <m/>
    <s v="Sim"/>
    <d v="2024-06-07T00:00:00"/>
    <x v="1"/>
    <s v="OK"/>
    <m/>
    <m/>
    <m/>
    <x v="1"/>
  </r>
  <r>
    <s v="INSTRUMENT"/>
    <s v="ACCMLTD_WRTFFS_INSTRMNT"/>
    <x v="0"/>
    <s v="9. Concluído"/>
    <s v="OK"/>
    <s v="Concluido, controlos OK"/>
    <m/>
    <s v="Campo Fechado"/>
    <d v="2024-06-07T00:00:00"/>
    <x v="0"/>
    <s v="OK"/>
    <m/>
    <m/>
    <m/>
    <x v="0"/>
  </r>
  <r>
    <s v="INSTRUMENT"/>
    <s v="ACCNTNG_CLSSFCTN"/>
    <x v="0"/>
    <s v="9. Concluído"/>
    <s v="OK"/>
    <s v="Concluido, controlos OK"/>
    <m/>
    <s v="Campo Fechado"/>
    <d v="2024-06-07T00:00:00"/>
    <x v="0"/>
    <s v="OK"/>
    <m/>
    <m/>
    <m/>
    <x v="0"/>
  </r>
  <r>
    <s v="ENTITY"/>
    <s v="ACCNTNG_FRMWRK_SL"/>
    <x v="0"/>
    <s v="2. Alterar especificação"/>
    <s v="OK"/>
    <s v="Em especificação (Financial Statments CIB)"/>
    <s v="Campo implementação, mas com falta de informação para o segmento de clientes CIB"/>
    <s v="Não"/>
    <d v="2024-06-07T00:00:00"/>
    <x v="2"/>
    <s v="OK"/>
    <m/>
    <m/>
    <m/>
    <x v="2"/>
  </r>
  <r>
    <s v="INSTRUMENT"/>
    <s v="TYP_MRTGG"/>
    <x v="0"/>
    <s v="3. Pendente de decisão"/>
    <s v="NOK"/>
    <s v="Alteração da Code list por parte do BCE"/>
    <m/>
    <s v="Sim"/>
    <d v="2024-10-03T00:00:00"/>
    <x v="2"/>
    <s v="NOK"/>
    <s v="Alterar especificação de acordo com codelist atual. No MUG existem apenas garantias elegiveis para cálculo de capital? Se sim, TYP_MRTGG irá assumir os valores 1, 5 e N/A. Caso contrário assumirá os valores  1, 5, 6 e N/A."/>
    <m/>
    <m/>
    <x v="3"/>
  </r>
  <r>
    <s v="INSTRUMENT"/>
    <s v="AMNT_D_AT_MTRTY"/>
    <x v="0"/>
    <s v="1. Especificar"/>
    <s v="NOK"/>
    <s v="Em especificação"/>
    <m/>
    <s v="Não"/>
    <d v="2024-06-07T00:00:00"/>
    <x v="3"/>
    <s v="NOK"/>
    <m/>
    <m/>
    <m/>
    <x v="4"/>
  </r>
  <r>
    <s v="ENTITY"/>
    <s v="ANNL_TRNVR_LE"/>
    <x v="0"/>
    <s v="2. Alterar especificação"/>
    <s v="OK"/>
    <s v="Em especificação (Financial Statments CIB)"/>
    <s v="Campo implementação, mas com falta de informação para o segmento de clientes CIB"/>
    <s v="Não"/>
    <d v="2024-06-07T00:00:00"/>
    <x v="2"/>
    <s v="OK"/>
    <m/>
    <m/>
    <m/>
    <x v="2"/>
  </r>
  <r>
    <s v="ENTITY"/>
    <s v="ANNL_TRNVR_LE_BDR"/>
    <x v="1"/>
    <s v="9. Concluído"/>
    <s v="OK"/>
    <s v="Concluido, controlos OK"/>
    <m/>
    <s v="Campo Fechado"/>
    <d v="2024-06-07T00:00:00"/>
    <x v="0"/>
    <s v="OK"/>
    <m/>
    <m/>
    <m/>
    <x v="0"/>
  </r>
  <r>
    <s v="ENTITY"/>
    <s v="ANNL_TRNVR_PRVS"/>
    <x v="0"/>
    <s v="2. Alterar especificação"/>
    <s v="OK"/>
    <s v="Em especificação (Financial Statments CIB)"/>
    <s v="Campo implementação, mas com falta de informação para o segmento de clientes CIB"/>
    <s v="Não"/>
    <d v="2024-06-07T00:00:00"/>
    <x v="2"/>
    <s v="OK"/>
    <m/>
    <m/>
    <m/>
    <x v="2"/>
  </r>
  <r>
    <s v="ENTITY"/>
    <s v="ANNL_TRNVR_PRVS_BDR"/>
    <x v="1"/>
    <s v="9. Concluído"/>
    <s v="OK"/>
    <s v="Concluido, controlos OK"/>
    <m/>
    <s v="Campo Fechado"/>
    <d v="2024-06-07T00:00:00"/>
    <x v="0"/>
    <s v="OK"/>
    <m/>
    <m/>
    <m/>
    <x v="0"/>
  </r>
  <r>
    <s v="INSTRUMENT"/>
    <s v="ANNLSD_AGRD_RT"/>
    <x v="0"/>
    <s v="3. Pendente de decisão"/>
    <s v="OK"/>
    <s v="Verificar necessidade de alteração da fonte para fins de reconciliação. Rever Fonte"/>
    <s v="Rever se devemos utilizar a informação de IFRS9 ou manter a de alm"/>
    <s v="Sim"/>
    <d v="2024-06-07T00:00:00"/>
    <x v="4"/>
    <s v="OK"/>
    <m/>
    <m/>
    <m/>
    <x v="5"/>
  </r>
  <r>
    <s v="PROTECTION"/>
    <s v="APPRSL_CRRNCY"/>
    <x v="0"/>
    <s v="7. Analisar controlos e completude"/>
    <s v="NOK"/>
    <s v="Controlos NOK"/>
    <m/>
    <s v="Não"/>
    <d v="2024-06-07T00:00:00"/>
    <x v="5"/>
    <s v="NOK"/>
    <m/>
    <m/>
    <m/>
    <x v="6"/>
  </r>
  <r>
    <s v="PROTECTION"/>
    <s v="APPRSR"/>
    <x v="0"/>
    <s v="7. Analisar controlos e completude"/>
    <s v="NOK"/>
    <s v="Controlos NOK"/>
    <m/>
    <s v="Não"/>
    <d v="2024-06-07T00:00:00"/>
    <x v="5"/>
    <s v="NOK"/>
    <m/>
    <m/>
    <m/>
    <x v="6"/>
  </r>
  <r>
    <s v="INSTRUMENT"/>
    <s v="ARRRS_INSTRMNT"/>
    <x v="0"/>
    <s v="7. Analisar controlos e completude"/>
    <s v="NOK"/>
    <s v="Controlos NOK"/>
    <m/>
    <s v="Não"/>
    <d v="2024-06-07T00:00:00"/>
    <x v="5"/>
    <s v="NOK"/>
    <m/>
    <m/>
    <m/>
    <x v="6"/>
  </r>
  <r>
    <s v="INSTRUMENT"/>
    <s v="ARRRS_INSTRMNT_12M"/>
    <x v="0"/>
    <s v="7. Analisar controlos e completude"/>
    <s v="NOK"/>
    <s v="Controlos NOK"/>
    <m/>
    <s v="Não"/>
    <d v="2024-06-07T00:00:00"/>
    <x v="5"/>
    <s v="NOK"/>
    <m/>
    <m/>
    <m/>
    <x v="6"/>
  </r>
  <r>
    <s v="INSTRUMENT"/>
    <s v="ASST_SCRT_CLSS"/>
    <x v="1"/>
    <s v="9. Concluído"/>
    <s v="OK"/>
    <s v="Concluido, controlos OK"/>
    <m/>
    <s v="Campo Fechado"/>
    <d v="2024-06-07T00:00:00"/>
    <x v="0"/>
    <s v="OK"/>
    <m/>
    <m/>
    <m/>
    <x v="0"/>
  </r>
  <r>
    <s v="INSTRUMENT"/>
    <s v="BRCHD_CVNNTS"/>
    <x v="0"/>
    <s v="8. Concluído - sem dados"/>
    <s v="OK"/>
    <s v="Campo especificado, mas sem dados. Campo marcado com MISS ou NA"/>
    <m/>
    <s v="Campo Fechado"/>
    <d v="2024-06-07T00:00:00"/>
    <x v="6"/>
    <s v="OK"/>
    <m/>
    <m/>
    <m/>
    <x v="7"/>
  </r>
  <r>
    <s v="ENTITY"/>
    <s v="CAPEX"/>
    <x v="0"/>
    <s v="2. Alterar especificação"/>
    <s v="OK"/>
    <s v="Em especificação (Financial Statments CIB)"/>
    <s v="Campo implementação, mas com falta de informação para o segmento de clientes CIB"/>
    <s v="Não"/>
    <d v="2024-06-07T00:00:00"/>
    <x v="2"/>
    <s v="OK"/>
    <m/>
    <m/>
    <m/>
    <x v="2"/>
  </r>
  <r>
    <s v="ENTITY"/>
    <s v="CAPEX_PRVS"/>
    <x v="0"/>
    <s v="2. Alterar especificação"/>
    <s v="OK"/>
    <s v="Em especificação (Financial Statments CIB)"/>
    <s v="Campo implementação, mas com falta de informação para o segmento de clientes CIB"/>
    <s v="Não"/>
    <d v="2024-06-07T00:00:00"/>
    <x v="2"/>
    <s v="OK"/>
    <m/>
    <m/>
    <m/>
    <x v="2"/>
  </r>
  <r>
    <s v="INSTRUMENT"/>
    <s v="CCF"/>
    <x v="0"/>
    <s v="9. Concluído"/>
    <s v="OK"/>
    <s v="Concluido, controlos OK"/>
    <m/>
    <s v="Campo Fechado"/>
    <d v="2024-06-07T00:00:00"/>
    <x v="0"/>
    <s v="OK"/>
    <m/>
    <m/>
    <m/>
    <x v="0"/>
  </r>
  <r>
    <s v="INSTRUMENT"/>
    <s v="CHNNL_ORGNTN"/>
    <x v="1"/>
    <s v="4.1 Em implementação - Re-especificação"/>
    <s v="NOK"/>
    <s v="Aguarda implementação de IT"/>
    <m/>
    <s v="Não"/>
    <d v="2024-06-07T00:00:00"/>
    <x v="7"/>
    <s v="NOK"/>
    <m/>
    <d v="2024-01-05T00:00:00"/>
    <m/>
    <x v="2"/>
  </r>
  <r>
    <s v="ENTITY"/>
    <s v="CLLCTN_MD"/>
    <x v="1"/>
    <s v="9. Concluído"/>
    <s v="OK"/>
    <s v="Concluido, controlos OK"/>
    <m/>
    <s v="Campo Fechado"/>
    <d v="2024-06-07T00:00:00"/>
    <x v="0"/>
    <s v="OK"/>
    <m/>
    <m/>
    <m/>
    <x v="0"/>
  </r>
  <r>
    <s v="ENTITY"/>
    <s v="TTL_INTRST_PD"/>
    <x v="1"/>
    <s v="2. Alterar especificação"/>
    <s v="NOK"/>
    <s v="Em especificação (Amortizações Capital/ Juros)"/>
    <m/>
    <s v="Não"/>
    <d v="2024-06-07T00:00:00"/>
    <x v="2"/>
    <s v="NOK"/>
    <m/>
    <m/>
    <m/>
    <x v="2"/>
  </r>
  <r>
    <s v="INSTRUMENT"/>
    <s v="CMMTMNT_INCPTN_INSTRMNT"/>
    <x v="0"/>
    <s v="7. Analisar controlos e completude"/>
    <s v="NOK"/>
    <s v="Analisar controlos e completude"/>
    <m/>
    <s v="Não"/>
    <d v="2024-06-07T00:00:00"/>
    <x v="5"/>
    <s v="NOK"/>
    <m/>
    <m/>
    <m/>
    <x v="6"/>
  </r>
  <r>
    <s v="PROTECTION"/>
    <s v="RL_ESTT_CLLTRL_LCTN"/>
    <x v="0"/>
    <s v="2. Alterar especificação"/>
    <s v="NOK"/>
    <s v="Alterados 3 casos. Campo está a devolver PT para todas as proteções, no entanto estas não estão localizadas em PT e alterou-se a localização para os respetivos paises."/>
    <m/>
    <s v="Não"/>
    <d v="2024-06-07T00:00:00"/>
    <x v="2"/>
    <s v="NOK"/>
    <m/>
    <m/>
    <m/>
    <x v="2"/>
  </r>
  <r>
    <s v="INSTRUMENT"/>
    <s v="CMPLNT_MRTR_C19_NM"/>
    <x v="1"/>
    <s v="9. Concluído"/>
    <s v="OK"/>
    <s v="Concluido, controlos OK"/>
    <m/>
    <s v="Campo Fechado"/>
    <d v="2024-06-07T00:00:00"/>
    <x v="0"/>
    <s v="OK"/>
    <m/>
    <m/>
    <m/>
    <x v="0"/>
  </r>
  <r>
    <s v="INSTRUMENT"/>
    <s v="CNSMPTN_FNRP18"/>
    <x v="1"/>
    <s v="9. Concluído"/>
    <s v="OK"/>
    <s v="Concluido, controlos OK"/>
    <m/>
    <s v="Campo Fechado"/>
    <d v="2024-06-07T00:00:00"/>
    <x v="0"/>
    <s v="OK"/>
    <m/>
    <m/>
    <m/>
    <x v="0"/>
  </r>
  <r>
    <s v="PROTECTION"/>
    <s v="DT_APPRSL_PRVS"/>
    <x v="0"/>
    <s v="5.2 Em testes - Incidência"/>
    <s v="NOK"/>
    <s v="Campo com incidência e controlos NOK"/>
    <s v="1) Campo com incidência, data igual à data da protection_vl 2) Alteração de formatos MISS"/>
    <s v="Campo Fechado"/>
    <d v="2025-01-13T00:00:00"/>
    <x v="0"/>
    <s v="OK"/>
    <s v="Alteraração da definição do campo no Guia da Corporação. Campo passou a reportar a data da avaliação completa anterior à data da última avaliação  completa._x000a_"/>
    <d v="2024-07-12T00:00:00"/>
    <d v="2024-12-20T00:00:00"/>
    <x v="3"/>
  </r>
  <r>
    <s v="INSTRUMENT"/>
    <s v="CNTRCT_ID"/>
    <x v="0"/>
    <s v="9. Concluído"/>
    <s v="OK"/>
    <s v="Concluido, controlos OK"/>
    <m/>
    <s v="Campo Fechado"/>
    <d v="2024-06-07T00:00:00"/>
    <x v="0"/>
    <s v="OK"/>
    <m/>
    <m/>
    <m/>
    <x v="0"/>
  </r>
  <r>
    <s v="INSTRUMENT"/>
    <s v="CNTRCT_ID_BDR"/>
    <x v="1"/>
    <s v="9. Concluído"/>
    <s v="OK"/>
    <s v="Concluido, controlos OK"/>
    <m/>
    <s v="Campo Fechado"/>
    <d v="2024-06-07T00:00:00"/>
    <x v="0"/>
    <s v="OK"/>
    <m/>
    <m/>
    <m/>
    <x v="0"/>
  </r>
  <r>
    <s v="ENTITY"/>
    <s v="CNTRY"/>
    <x v="0"/>
    <s v="9. Concluído"/>
    <s v="OK"/>
    <s v="Concluido, controlos OK"/>
    <m/>
    <s v="Campo Fechado"/>
    <d v="2024-06-07T00:00:00"/>
    <x v="0"/>
    <s v="OK"/>
    <m/>
    <m/>
    <m/>
    <x v="0"/>
  </r>
  <r>
    <s v="ENTITY"/>
    <s v="COD_SOC"/>
    <x v="0"/>
    <s v="9. Concluído"/>
    <s v="OK"/>
    <s v="Concluido, controlos OK"/>
    <m/>
    <s v="Campo Fechado"/>
    <d v="2024-06-07T00:00:00"/>
    <x v="0"/>
    <s v="OK"/>
    <m/>
    <m/>
    <m/>
    <x v="0"/>
  </r>
  <r>
    <s v="INSTR_ENTITY"/>
    <s v="COD_SOC"/>
    <x v="0"/>
    <s v="9. Concluído"/>
    <s v="OK"/>
    <s v="Concluido, controlos OK"/>
    <m/>
    <s v="Campo Fechado"/>
    <d v="2024-06-07T00:00:00"/>
    <x v="0"/>
    <s v="OK"/>
    <m/>
    <m/>
    <m/>
    <x v="0"/>
  </r>
  <r>
    <s v="INSTR_PROTECTION"/>
    <s v="COD_SOC"/>
    <x v="0"/>
    <s v="9. Concluído"/>
    <s v="OK"/>
    <s v="Concluido, controlos OK"/>
    <m/>
    <s v="Campo Fechado"/>
    <d v="2024-06-07T00:00:00"/>
    <x v="0"/>
    <s v="OK"/>
    <m/>
    <m/>
    <m/>
    <x v="0"/>
  </r>
  <r>
    <s v="INSTRUMENT"/>
    <s v="COD_SOC"/>
    <x v="0"/>
    <s v="9. Concluído"/>
    <s v="OK"/>
    <s v="Concluido, controlos OK"/>
    <m/>
    <s v="Campo Fechado"/>
    <d v="2024-06-07T00:00:00"/>
    <x v="0"/>
    <s v="OK"/>
    <m/>
    <m/>
    <m/>
    <x v="0"/>
  </r>
  <r>
    <s v="PROTECTION"/>
    <s v="COD_SOC"/>
    <x v="0"/>
    <s v="9. Concluído"/>
    <s v="OK"/>
    <s v="Concluido, controlos OK"/>
    <m/>
    <s v="Campo Fechado"/>
    <d v="2024-06-07T00:00:00"/>
    <x v="0"/>
    <s v="OK"/>
    <m/>
    <m/>
    <m/>
    <x v="0"/>
  </r>
  <r>
    <s v="INSTRUMENT"/>
    <s v="COD_SOC_INTRGRP"/>
    <x v="0"/>
    <s v="4.1 Em implementação - Re-especificação"/>
    <s v="NOK"/>
    <s v="Aguarda implementação de IT"/>
    <m/>
    <s v="Não"/>
    <d v="2024-06-17T00:00:00"/>
    <x v="8"/>
    <s v="NOK"/>
    <m/>
    <d v="2024-01-12T00:00:00"/>
    <d v="2024-03-28T00:00:00"/>
    <x v="4"/>
  </r>
  <r>
    <s v="INSTRUMENT"/>
    <s v="CPN_CRRNCY"/>
    <x v="1"/>
    <s v="9. Concluído"/>
    <s v="OK"/>
    <s v="Concluido, controlos OK"/>
    <m/>
    <s v="Campo Fechado"/>
    <d v="2024-06-07T00:00:00"/>
    <x v="0"/>
    <s v="OK"/>
    <m/>
    <m/>
    <m/>
    <x v="0"/>
  </r>
  <r>
    <s v="INSTRUMENT"/>
    <s v="CPN_RT_FXD"/>
    <x v="1"/>
    <s v="9. Concluído"/>
    <s v="OK"/>
    <s v="Concluido, controlos OK"/>
    <m/>
    <s v="Campo Fechado"/>
    <d v="2024-06-07T00:00:00"/>
    <x v="0"/>
    <s v="OK"/>
    <m/>
    <m/>
    <m/>
    <x v="0"/>
  </r>
  <r>
    <s v="ENTITY"/>
    <s v="CR_FLG"/>
    <x v="1"/>
    <s v="7. Analisar controlos e completude"/>
    <s v="NOK"/>
    <s v="Controlos NOK"/>
    <m/>
    <s v="Não"/>
    <d v="2024-06-07T00:00:00"/>
    <x v="5"/>
    <s v="NOK"/>
    <m/>
    <m/>
    <m/>
    <x v="6"/>
  </r>
  <r>
    <s v="INSTRUMENT"/>
    <s v="CRE_FNRP18"/>
    <x v="0"/>
    <s v="9. Concluído"/>
    <s v="OK"/>
    <s v="Concluido, controlos OK"/>
    <m/>
    <s v="Campo Fechado"/>
    <d v="2024-06-07T00:00:00"/>
    <x v="0"/>
    <s v="OK"/>
    <m/>
    <m/>
    <m/>
    <x v="0"/>
  </r>
  <r>
    <s v="PROTECTION"/>
    <s v="CRE_INCM_CRRNCY"/>
    <x v="1"/>
    <s v="8. Concluído - sem dados"/>
    <s v="NOK"/>
    <s v="Campo sem mapeamento, para análise da área  de Riscos"/>
    <m/>
    <s v="Campo Fechado"/>
    <d v="2024-06-07T00:00:00"/>
    <x v="6"/>
    <s v="NOK"/>
    <m/>
    <m/>
    <m/>
    <x v="7"/>
  </r>
  <r>
    <s v="PROTECTION"/>
    <s v="CRE_YRLY_EXPNSS"/>
    <x v="1"/>
    <s v="8. Concluído - sem dados"/>
    <s v="OK"/>
    <s v="Campo sem mapeamento, para análise da área  de Riscos"/>
    <m/>
    <s v="Campo Fechado"/>
    <d v="2024-06-07T00:00:00"/>
    <x v="6"/>
    <s v="OK"/>
    <m/>
    <m/>
    <m/>
    <x v="7"/>
  </r>
  <r>
    <s v="PROTECTION"/>
    <s v="CRE_YRLY_INCM"/>
    <x v="1"/>
    <s v="8. Concluído - sem dados"/>
    <s v="OK"/>
    <s v="Campo sem mapeamento, para análise da área  de Riscos"/>
    <m/>
    <s v="Campo Fechado"/>
    <d v="2024-06-07T00:00:00"/>
    <x v="6"/>
    <s v="OK"/>
    <m/>
    <m/>
    <m/>
    <x v="7"/>
  </r>
  <r>
    <s v="INSTRUMENT"/>
    <s v="CRRLTN_CFFCNT"/>
    <x v="1"/>
    <s v="7. Analisar controlos e completude"/>
    <s v="NOK"/>
    <s v="Controlos NOK"/>
    <m/>
    <s v="Não"/>
    <d v="2024-06-07T00:00:00"/>
    <x v="5"/>
    <s v="NOK"/>
    <m/>
    <m/>
    <m/>
    <x v="6"/>
  </r>
  <r>
    <s v="INSTRUMENT"/>
    <s v="CRRNCY_DNMNTN"/>
    <x v="0"/>
    <s v="9. Concluído"/>
    <s v="OK"/>
    <s v="Concluido, controlos OK"/>
    <m/>
    <s v="Campo Fechado"/>
    <d v="2024-06-07T00:00:00"/>
    <x v="0"/>
    <s v="OK"/>
    <m/>
    <m/>
    <m/>
    <x v="0"/>
  </r>
  <r>
    <s v="INSTRUMENT"/>
    <s v="CRRYNG_AMNT_INSTRMNT"/>
    <x v="0"/>
    <s v="9. Concluído"/>
    <s v="OK"/>
    <s v="Concluido, controlos OK"/>
    <m/>
    <s v="Campo Fechado"/>
    <d v="2024-06-07T00:00:00"/>
    <x v="0"/>
    <s v="OK"/>
    <m/>
    <m/>
    <m/>
    <x v="0"/>
  </r>
  <r>
    <s v="ENTITY"/>
    <s v="CSH"/>
    <x v="0"/>
    <s v="2. Alterar especificação"/>
    <s v="OK"/>
    <s v="Em especificação (Financial Statments CIB)"/>
    <s v="Campo implementação, mas com falta de informação para o segmento de clientes CIB"/>
    <s v="Não"/>
    <d v="2024-06-07T00:00:00"/>
    <x v="2"/>
    <s v="OK"/>
    <m/>
    <m/>
    <m/>
    <x v="2"/>
  </r>
  <r>
    <s v="ENTITY"/>
    <s v="CSH_PRVS"/>
    <x v="0"/>
    <s v="2. Alterar especificação"/>
    <s v="OK"/>
    <s v="Em especificação (Financial Statments CIB)"/>
    <s v="Campo implementação, mas com falta de informação para o segmento de clientes CIB"/>
    <s v="Não"/>
    <d v="2024-06-07T00:00:00"/>
    <x v="2"/>
    <s v="OK"/>
    <m/>
    <m/>
    <m/>
    <x v="2"/>
  </r>
  <r>
    <s v="INSTRUMENT"/>
    <s v="CSH_SWP_TRP"/>
    <x v="0"/>
    <s v="9. Concluído"/>
    <s v="OK"/>
    <s v="Concluido, controlos OK"/>
    <m/>
    <s v="Campo Fechado"/>
    <d v="2024-06-07T00:00:00"/>
    <x v="0"/>
    <s v="OK"/>
    <m/>
    <m/>
    <m/>
    <x v="0"/>
  </r>
  <r>
    <s v="INSTRUMENT"/>
    <s v="CVNNT_STTS"/>
    <x v="1"/>
    <s v="8. Concluído - sem dados"/>
    <s v="OK"/>
    <s v="Campo especificado, mas sem dados. Campo marcado com MISS ou NA"/>
    <m/>
    <s v="Campo Fechado"/>
    <d v="2024-06-07T00:00:00"/>
    <x v="6"/>
    <s v="OK"/>
    <m/>
    <m/>
    <m/>
    <x v="7"/>
  </r>
  <r>
    <s v="INSTRUMENT"/>
    <s v="CVNNT_TYP"/>
    <x v="1"/>
    <s v="9. Concluído"/>
    <s v="OK"/>
    <s v="Concluido, controlos OK"/>
    <m/>
    <s v="Campo Fechado"/>
    <d v="2024-06-07T00:00:00"/>
    <x v="0"/>
    <s v="OK"/>
    <m/>
    <m/>
    <m/>
    <x v="0"/>
  </r>
  <r>
    <s v="ENTITY"/>
    <s v="DBT_RPYMNT_CPCTY_SNR_DBT"/>
    <x v="1"/>
    <s v="8. Concluído - sem dados"/>
    <s v="OK"/>
    <s v="Campo especificado, mas sem dados. Campo marcado com MISS ou NA"/>
    <m/>
    <s v="Campo Fechado"/>
    <d v="2024-06-07T00:00:00"/>
    <x v="6"/>
    <s v="OK"/>
    <m/>
    <m/>
    <m/>
    <x v="7"/>
  </r>
  <r>
    <s v="ENTITY"/>
    <s v="DBT_RPYMNT_CPCTY_TTL"/>
    <x v="1"/>
    <s v="9. Concluído"/>
    <s v="OK"/>
    <s v="Concluido, controlos OK"/>
    <m/>
    <s v="Campo Fechado"/>
    <d v="2024-06-07T00:00:00"/>
    <x v="0"/>
    <s v="OK"/>
    <m/>
    <m/>
    <m/>
    <x v="0"/>
  </r>
  <r>
    <s v="ENTITY"/>
    <s v="DBT_SRVC_RT"/>
    <x v="0"/>
    <s v="2. Alterar especificação"/>
    <s v="OK"/>
    <s v="Em especificação (Financial Statments CIB)"/>
    <s v="Campo implementação, mas com falta de informação para o segmento de clientes CIB"/>
    <s v="Não"/>
    <d v="2024-06-07T00:00:00"/>
    <x v="2"/>
    <s v="OK"/>
    <m/>
    <m/>
    <m/>
    <x v="2"/>
  </r>
  <r>
    <s v="ENTITY"/>
    <s v="DBT_SRVC_RT_12M"/>
    <x v="0"/>
    <s v="2. Alterar especificação"/>
    <s v="OK"/>
    <s v="Em especificação (Financial Statments CIB)"/>
    <s v="Campo implementação, mas com falta de informação para o segmento de clientes CIB"/>
    <s v="Não"/>
    <d v="2024-06-07T00:00:00"/>
    <x v="2"/>
    <s v="OK"/>
    <m/>
    <m/>
    <m/>
    <x v="2"/>
  </r>
  <r>
    <s v="INSTRUMENT"/>
    <s v="DBT_YLD"/>
    <x v="1"/>
    <s v="8. Concluído - sem dados"/>
    <s v="OK"/>
    <s v="Concluido, controlos OK"/>
    <m/>
    <s v="Campo Fechado"/>
    <d v="2024-06-07T00:00:00"/>
    <x v="6"/>
    <s v="OK"/>
    <m/>
    <m/>
    <m/>
    <x v="7"/>
  </r>
  <r>
    <s v="ENTITY"/>
    <s v="DCSD"/>
    <x v="1"/>
    <s v="9. Concluído"/>
    <s v="OK"/>
    <s v="Concluido, controlos OK"/>
    <m/>
    <s v="Campo Fechado"/>
    <d v="2024-06-07T00:00:00"/>
    <x v="0"/>
    <s v="OK"/>
    <m/>
    <m/>
    <m/>
    <x v="0"/>
  </r>
  <r>
    <s v="ENTITY"/>
    <s v="DFLT_STTS"/>
    <x v="0"/>
    <s v="3. Pendente de decisão"/>
    <s v="NOK"/>
    <s v="Alterar especificação  caso a LT passe a reportar os 1os titulares da Contabilidade."/>
    <s v="Na OSI foram reportados os 1os titulares da Contabilidade, o que para alguns casos, são diferentes do que está na CL01. Apenas será necessário ajustar este campo caso a LT passe a reportar os 1os titulares da Contabilidade. Campo com incidência: Para os casos em que o cliente tem operações titularizadas (flag consumo capital = 0) e tem pelo menos uma não titularizada (N/A), a LT está atualmente a reporta N/A."/>
    <s v="Sim"/>
    <d v="2024-06-07T00:00:00"/>
    <x v="4"/>
    <s v="NOK"/>
    <m/>
    <m/>
    <m/>
    <x v="5"/>
  </r>
  <r>
    <s v="INSTRUMENT"/>
    <s v="RFNNC_PRPS"/>
    <x v="0"/>
    <s v="2. Alterar especificação"/>
    <s v="OK"/>
    <s v="Alterar especificação. Campo depende do FRBRNC_STTS_INSTRMNT"/>
    <s v="Sempre que o campo FRBRNC_STTS_INSTRMNT =3 o campo RFNNC_PRPS deve estar marcado como Y. Reespecificar, implementar e testar."/>
    <s v="Não"/>
    <d v="2024-06-07T00:00:00"/>
    <x v="2"/>
    <s v="OK"/>
    <m/>
    <m/>
    <m/>
    <x v="2"/>
  </r>
  <r>
    <s v="INSTRUMENT"/>
    <s v="DPD"/>
    <x v="0"/>
    <s v="7. Analisar controlos e completude"/>
    <s v="NOK"/>
    <s v="Controlos NOK"/>
    <m/>
    <s v="Não"/>
    <d v="2024-06-07T00:00:00"/>
    <x v="5"/>
    <s v="NOK"/>
    <m/>
    <m/>
    <m/>
    <x v="6"/>
  </r>
  <r>
    <s v="INSTRUMENT"/>
    <s v="DPD_12M"/>
    <x v="0"/>
    <s v="7. Analisar controlos e completude"/>
    <s v="NOK"/>
    <s v="Controlos NOK"/>
    <m/>
    <s v="Não"/>
    <d v="2024-06-07T00:00:00"/>
    <x v="5"/>
    <s v="NOK"/>
    <m/>
    <m/>
    <m/>
    <x v="6"/>
  </r>
  <r>
    <s v="INSTRUMENT"/>
    <s v="DPD_12M_FRBRNC_STTS"/>
    <x v="0"/>
    <s v="5.1 Em testes - Re-especificação"/>
    <s v="NOK"/>
    <s v="Em testes. Campo depende do FRBRNC_STTS que está com incidência nos formatos. Não é necessário alterar a especificação do mesmo, apenas testar quando o campo FRBRNC_STTS estiver corrigido."/>
    <m/>
    <s v="Não"/>
    <d v="2024-06-07T00:00:00"/>
    <x v="8"/>
    <s v="NOK"/>
    <m/>
    <d v="2022-04-28T00:00:00"/>
    <d v="2022-05-19T00:00:00"/>
    <x v="2"/>
  </r>
  <r>
    <s v="INSTRUMENT"/>
    <s v="DPD_12M_PRFRMNG_STTS"/>
    <x v="0"/>
    <s v="5.1 Em testes - Re-especificação"/>
    <s v="NOK"/>
    <s v="Campo depende do histórico do PRFRMNG_STTS. Não é necessário alterar a especificação do mesmo, apenas testar se a metodologia do campo PRFRMNG_STTS for alterada."/>
    <m/>
    <s v="Sim"/>
    <d v="2025-01-13T00:00:00"/>
    <x v="8"/>
    <s v="OK"/>
    <s v="Alteração da fonte das tabela de Imparidade Reporting para as 8_7 e alteração da data a partir da qual a fonte passa a ser as tabelas de Contabilidade ( 2019 para Dez 2022)"/>
    <d v="2024-09-27T00:00:00"/>
    <m/>
    <x v="5"/>
  </r>
  <r>
    <s v="INSTRUMENT"/>
    <s v="DPD_24M_FRBRNC_STTS"/>
    <x v="0"/>
    <s v="7. Analisar controlos e completude"/>
    <s v="NOK"/>
    <s v="Controlos NOK"/>
    <m/>
    <s v="Não"/>
    <d v="2024-06-07T00:00:00"/>
    <x v="5"/>
    <s v="NOK"/>
    <m/>
    <m/>
    <m/>
    <x v="6"/>
  </r>
  <r>
    <s v="INSTRUMENT"/>
    <s v="DPD_24M_PRFRMNG_STTS"/>
    <x v="0"/>
    <s v="5.1 Em testes - Re-especificação"/>
    <s v="NOK"/>
    <s v="Em testes. Campo depende do campo PRFRMNG_STTS. Não é necessário alterar a especificação do mesmo, apenas testar  se o campo PRFRMNG_STTS for alterado."/>
    <m/>
    <s v="Sim"/>
    <d v="2025-01-13T00:00:00"/>
    <x v="8"/>
    <s v="OK"/>
    <s v="Alteração da fonte das tabela de Imparidade Reporting para as 8_7 e alteração da data a partir da qual a fonte passa a ser as tabelas de Contabilidade ( 2019 para Dez 2022)"/>
    <d v="2024-09-27T00:00:00"/>
    <m/>
    <x v="5"/>
  </r>
  <r>
    <s v="INSTRUMENT"/>
    <s v="DPD_FRBRNC_STTS"/>
    <x v="0"/>
    <s v="7. Analisar controlos e completude"/>
    <s v="NOK"/>
    <s v="Controlos NOK"/>
    <m/>
    <s v="Não"/>
    <d v="2024-06-07T00:00:00"/>
    <x v="5"/>
    <s v="NOK"/>
    <m/>
    <m/>
    <m/>
    <x v="6"/>
  </r>
  <r>
    <s v="INSTRUMENT"/>
    <s v="DPD_PRFRMNG_STTS"/>
    <x v="0"/>
    <s v="5.1 Em testes - Re-especificação"/>
    <s v="OK"/>
    <s v="Em testes. Campo depende do campo PRFRMNG_STTS. Não é necessário alterar a especificação do mesmo, apenas testar  se o campo PRFRMNG_STTS for alterado."/>
    <m/>
    <s v="Sim"/>
    <d v="2025-01-13T00:00:00"/>
    <x v="8"/>
    <s v="OK"/>
    <s v="Alteração da fonte das tabela de Imparidade Reporting para as 8_7 e alteração da data a partir da qual a fonte passa a ser as tabelas de Contabilidade ( 2019 para Dez 2022)"/>
    <d v="2024-09-27T00:00:00"/>
    <m/>
    <x v="5"/>
  </r>
  <r>
    <s v="INSTRUMENT"/>
    <s v="DSTI"/>
    <x v="1"/>
    <s v="1. Especificar"/>
    <s v="OK"/>
    <s v="Em especificação (Campos Novos)"/>
    <m/>
    <s v="Não"/>
    <d v="2024-06-07T00:00:00"/>
    <x v="3"/>
    <s v="OK"/>
    <m/>
    <m/>
    <m/>
    <x v="4"/>
  </r>
  <r>
    <s v="PROTECTION"/>
    <s v="TYP_PRTCTN"/>
    <x v="0"/>
    <s v="2. Alterar especificação"/>
    <s v="NOK"/>
    <s v="Alterar especificação (alteração da fonte para MUG)"/>
    <s v="Campo depende do campo 'cgarant' do MUG"/>
    <s v="Campo Fechado"/>
    <d v="2025-01-13T00:00:00"/>
    <x v="0"/>
    <s v="OK"/>
    <s v="Alteração de especificação com base no campo cgarant_bem e cgarant_rpt do MUG. Controlo NOK - A Corporação ajustou o controlo e estes casos passarão a estar OK_x000a_"/>
    <d v="2024-07-19T00:00:00"/>
    <d v="2024-12-20T00:00:00"/>
    <x v="1"/>
  </r>
  <r>
    <s v="ENTITY"/>
    <s v="DT_BRTH"/>
    <x v="1"/>
    <s v="7. Analisar controlos e completude"/>
    <s v="NOK"/>
    <s v="Controlos NOK"/>
    <m/>
    <s v="Não"/>
    <d v="2024-06-07T00:00:00"/>
    <x v="5"/>
    <s v="NOK"/>
    <m/>
    <m/>
    <m/>
    <x v="6"/>
  </r>
  <r>
    <s v="INSTRUMENT"/>
    <s v="DT_CMPLNT_MRTR_STTS_C19"/>
    <x v="1"/>
    <s v="9. Concluído"/>
    <s v="OK"/>
    <s v="Concluido, controlos OK"/>
    <m/>
    <s v="Campo Fechado"/>
    <d v="2024-06-07T00:00:00"/>
    <x v="0"/>
    <s v="OK"/>
    <m/>
    <m/>
    <m/>
    <x v="0"/>
  </r>
  <r>
    <s v="INSTRUMENT"/>
    <s v="DT_CMPLNT_MRTR_STTS_PRVS_C19"/>
    <x v="1"/>
    <s v="9. Concluído"/>
    <s v="OK"/>
    <s v="Concluido, controlos OK"/>
    <m/>
    <s v="Campo Fechado"/>
    <d v="2024-06-07T00:00:00"/>
    <x v="0"/>
    <s v="OK"/>
    <m/>
    <m/>
    <m/>
    <x v="0"/>
  </r>
  <r>
    <s v="PROTECTION"/>
    <s v="DT_PRTCTN_VL"/>
    <x v="0"/>
    <s v="5.2 Em testes - Incidência"/>
    <s v="NOK"/>
    <s v="Campo com incidência e controlos NOK. "/>
    <s v="Alteração formato de 0001-01-01 para 0000-00-00"/>
    <s v="Campo Fechado"/>
    <d v="2025-01-13T00:00:00"/>
    <x v="0"/>
    <s v="OK"/>
    <s v="Incidência corrigida. Especificação alterada para campo da GT018, de modo a estar coerente com a especificação do campo PRTCTN_VL_x000a_Controlo NOK (ver caderno de testes a 03/12/2023)"/>
    <d v="2024-07-19T00:00:00"/>
    <d v="2024-12-20T00:00:00"/>
    <x v="1"/>
  </r>
  <r>
    <s v="ENTITY"/>
    <s v="DT_DFLT_STTS"/>
    <x v="0"/>
    <s v="3. Pendente de decisão"/>
    <s v="NOK"/>
    <s v="Alterar especificação  caso a LT passe a reportar os 1os titulares da Contabilidade."/>
    <s v="Na OSI foram reportados os 1os titulares da Contabilidade, o que para alguns casos, são diferentes do que está na CL01. Apenas será necessário ajustar este campo caso a LT passe a reportar os 1os titulares da Contabilidade."/>
    <s v="Sim"/>
    <d v="2024-06-07T00:00:00"/>
    <x v="4"/>
    <s v="NOK"/>
    <m/>
    <m/>
    <m/>
    <x v="5"/>
  </r>
  <r>
    <s v="INSTRUMENT"/>
    <s v="DT_DFLT_STTS_INSTRMNT"/>
    <x v="0"/>
    <s v="5.2 Em testes - Incidência"/>
    <s v="NOK"/>
    <s v="Campo com incidência. É necessário adicionar a data de inception sempre que os contratos não estejam em default_x000a_Campo entregue por IT durante a OSI, no entanto foi detatada a incidência identificada supra"/>
    <s v="Na OSI foram reportados os 1os titulares da Contabilidade, o que para alguns casos, são diferentes do que está na CL01. Apenas será necessário ajustar este campo caso a LT passe a reportar os 1os titulares da Contabilidade."/>
    <s v="Não"/>
    <d v="2024-06-07T00:00:00"/>
    <x v="1"/>
    <s v="NOK"/>
    <m/>
    <m/>
    <m/>
    <x v="2"/>
  </r>
  <r>
    <s v="INSTRUMENT"/>
    <s v="DT_END_GP_PPAL"/>
    <x v="0"/>
    <s v="7. Analisar controlos e completude"/>
    <s v="NOK"/>
    <s v="Controlos NOK"/>
    <m/>
    <s v="Não"/>
    <d v="2024-06-07T00:00:00"/>
    <x v="5"/>
    <s v="NOK"/>
    <m/>
    <m/>
    <m/>
    <x v="6"/>
  </r>
  <r>
    <s v="INSTRUMENT"/>
    <s v="DT_END_GP_PPAL_C19"/>
    <x v="1"/>
    <s v="9. Concluído"/>
    <s v="OK"/>
    <s v="Concluido, controlos OK"/>
    <m/>
    <s v="Campo Fechado"/>
    <d v="2024-06-07T00:00:00"/>
    <x v="0"/>
    <s v="OK"/>
    <m/>
    <m/>
    <m/>
    <x v="0"/>
  </r>
  <r>
    <s v="INSTRUMENT"/>
    <s v="DT_END_INTRST_ONLY"/>
    <x v="0"/>
    <s v="7. Analisar controlos e completude"/>
    <s v="NOK"/>
    <s v="Controlos NOK"/>
    <m/>
    <s v="Não"/>
    <d v="2024-06-07T00:00:00"/>
    <x v="5"/>
    <s v="NOK"/>
    <m/>
    <m/>
    <m/>
    <x v="6"/>
  </r>
  <r>
    <s v="INSTRUMENT"/>
    <s v="DT_END_INTRST_ONLY_C19"/>
    <x v="1"/>
    <s v="9. Concluído"/>
    <s v="OK"/>
    <s v="Concluido, controlos OK"/>
    <m/>
    <s v="Campo Fechado"/>
    <d v="2024-06-07T00:00:00"/>
    <x v="0"/>
    <s v="OK"/>
    <m/>
    <m/>
    <m/>
    <x v="0"/>
  </r>
  <r>
    <s v="PROTECTION"/>
    <s v="CNSTRCTN_STTS"/>
    <x v="1"/>
    <s v="2. Alterar especificação"/>
    <s v="NOK"/>
    <s v="Campo dependente do MUG"/>
    <s v="Campo depende do campo 'cgarant' do MUG"/>
    <s v="Campo Fechado"/>
    <d v="2025-01-13T00:00:00"/>
    <x v="0"/>
    <s v="OK"/>
    <m/>
    <d v="2024-08-09T00:00:00"/>
    <d v="2024-12-20T00:00:00"/>
    <x v="1"/>
  </r>
  <r>
    <s v="ENTITY"/>
    <s v="DT_FNNCL_STTMTS"/>
    <x v="0"/>
    <s v="2. Alterar especificação"/>
    <s v="NOK"/>
    <s v="Em especificação (Financial Statments CIB)"/>
    <s v="Campo implementação, mas com falta de informação para o segmento de clientes CIB"/>
    <s v="Não"/>
    <d v="2024-06-07T00:00:00"/>
    <x v="2"/>
    <s v="NOK"/>
    <m/>
    <m/>
    <m/>
    <x v="2"/>
  </r>
  <r>
    <s v="ENTITY"/>
    <s v="DT_FNNCL_STTMTS_PRVS"/>
    <x v="0"/>
    <s v="2. Alterar especificação"/>
    <s v="NOK"/>
    <s v="Em especificação (Financial Statments CIB)"/>
    <s v="Campo implementação, mas com falta de informação para o segmento de clientes CIB"/>
    <s v="Não"/>
    <d v="2024-06-07T00:00:00"/>
    <x v="2"/>
    <s v="NOK"/>
    <m/>
    <m/>
    <m/>
    <x v="2"/>
  </r>
  <r>
    <s v="INSTRUMENT"/>
    <s v="RCVD_INTRST_24M"/>
    <x v="0"/>
    <s v="2. Alterar especificação"/>
    <s v="OK"/>
    <s v="Em especificação (Amortizações Capital/ Juros). Campo com dados mas pouca qualidade"/>
    <m/>
    <s v="Não"/>
    <d v="2024-06-07T00:00:00"/>
    <x v="2"/>
    <s v="OK"/>
    <m/>
    <m/>
    <m/>
    <x v="2"/>
  </r>
  <r>
    <s v="INSTRUMENT"/>
    <s v="DT_FRBRNC_STTS_C19"/>
    <x v="1"/>
    <s v="9. Concluído"/>
    <s v="OK"/>
    <s v="Concluido, controlos OK"/>
    <m/>
    <s v="Campo Fechado"/>
    <d v="2024-06-07T00:00:00"/>
    <x v="0"/>
    <s v="OK"/>
    <m/>
    <m/>
    <m/>
    <x v="0"/>
  </r>
  <r>
    <s v="INSTRUMENT"/>
    <s v="RCVD_INTRST_12M"/>
    <x v="0"/>
    <s v="2. Alterar especificação"/>
    <s v="NOK"/>
    <s v="Em especificação (Amortizações Capital/ Juros)"/>
    <m/>
    <s v="Não"/>
    <d v="2024-06-07T00:00:00"/>
    <x v="2"/>
    <s v="NOK"/>
    <m/>
    <m/>
    <m/>
    <x v="2"/>
  </r>
  <r>
    <s v="INSTRUMENT"/>
    <s v="DT_FRBRNC_STTS_PRVS_C19"/>
    <x v="1"/>
    <s v="9. Concluído"/>
    <s v="OK"/>
    <s v="Concluido, controlos OK"/>
    <m/>
    <s v="Campo Fechado"/>
    <d v="2024-06-07T00:00:00"/>
    <x v="0"/>
    <s v="OK"/>
    <m/>
    <m/>
    <m/>
    <x v="0"/>
  </r>
  <r>
    <s v="PROTECTION"/>
    <s v="DT_FRST_USG"/>
    <x v="1"/>
    <s v="7. Analisar controlos e completude"/>
    <s v="NOK"/>
    <s v="Controlos NOK por parte de Riscos"/>
    <m/>
    <s v="Não"/>
    <d v="2024-06-07T00:00:00"/>
    <x v="5"/>
    <s v="NOK"/>
    <m/>
    <m/>
    <m/>
    <x v="6"/>
  </r>
  <r>
    <s v="INSTRUMENT"/>
    <s v="DT_IMPRMNT_STTS"/>
    <x v="0"/>
    <s v="3. Pendente de decisão"/>
    <s v="NOK"/>
    <s v="Verificar necessidade de alteração da fonte para fins de reconciliação. Rever Fonte"/>
    <s v="Rever fonte. Confirmar com LCM que a informação deverá estar de acordo com IFRS9/Imparidade, mantendo a metodologia da OSI (ir apenas à tabela FR004 na data de referência, as restantes datas ir à tabela de IFRS9)"/>
    <s v="Sim"/>
    <d v="2025-01-13T00:00:00"/>
    <x v="8"/>
    <s v="NOK"/>
    <s v="Alteração da fonte das tabela de Imparidade Reporting para as 8_7 e alteração da data a partir da qual a fonte passa a ser as tabelas de Contabilidade"/>
    <d v="2024-09-27T00:00:00"/>
    <m/>
    <x v="5"/>
  </r>
  <r>
    <s v="INSTRUMENT"/>
    <s v="DT_IMPRMNT_STTS_PRVS"/>
    <x v="0"/>
    <s v="3. Pendente de decisão"/>
    <s v="NOK"/>
    <s v="Verificar necessidade de alteração da fonte para fins de reconciliação. Rever Fonte"/>
    <s v="Rever fonte. Confirmar com LCM que a informação deverá estar de acordo com IFRS9/Imparidade, mantendo a metodologia da OSI (ir apenas à tabela FR004 na data de referência, as restantes datas ir à tabela de IFRS9)"/>
    <s v="Sim"/>
    <d v="2025-01-13T00:00:00"/>
    <x v="8"/>
    <s v="NOK"/>
    <s v="Alteração da fonte das tabela de Imparidade Reporting para as 8_7 e alteração da data a partir da qual a fonte passa a ser as tabelas de Contabilidade"/>
    <d v="2024-09-27T00:00:00"/>
    <m/>
    <x v="5"/>
  </r>
  <r>
    <s v="INSTRUMENT"/>
    <s v="DT_INCPTN"/>
    <x v="0"/>
    <s v="7. Analisar controlos e completude"/>
    <s v="NOK"/>
    <s v="Controlos NOK"/>
    <m/>
    <s v="Não"/>
    <d v="2024-06-07T00:00:00"/>
    <x v="5"/>
    <s v="NOK"/>
    <m/>
    <m/>
    <m/>
    <x v="6"/>
  </r>
  <r>
    <s v="ENTITY"/>
    <s v="DT_INTRNL_RTNG"/>
    <x v="0"/>
    <s v="5.1 Em testes - Re-especificação"/>
    <s v="NOK"/>
    <s v="Em testes, campo entregue por IT durante a OSI. Incidência nos formatos. Testar e validar controlos NOK"/>
    <m/>
    <s v="Sim"/>
    <d v="2024-06-07T00:00:00"/>
    <x v="8"/>
    <s v="NOK"/>
    <s v="Campo entregue durante a OSI"/>
    <d v="2024-02-16T00:00:00"/>
    <d v="2024-05-24T00:00:00"/>
    <x v="1"/>
  </r>
  <r>
    <s v="INSTRUMENT"/>
    <s v="DT_INTRNL_RTNG"/>
    <x v="0"/>
    <s v="5.1 Em testes - Re-especificação"/>
    <s v="NOK"/>
    <s v="Em testes, campo entregue por IT durante a OSI. Testar e validar controlos"/>
    <m/>
    <s v="Sim"/>
    <d v="2024-06-07T00:00:00"/>
    <x v="8"/>
    <s v="NOK"/>
    <s v="Campo entregue durante a OSI"/>
    <d v="2024-02-16T00:00:00"/>
    <d v="2024-05-24T00:00:00"/>
    <x v="1"/>
  </r>
  <r>
    <s v="ENTITY"/>
    <s v="DT_INTTN_LGL_PRCDNGS_LE"/>
    <x v="0"/>
    <s v="9. Concluído"/>
    <s v="OK"/>
    <s v="Concluido, controlos OK"/>
    <m/>
    <s v="Campo Fechado"/>
    <d v="2024-06-07T00:00:00"/>
    <x v="0"/>
    <s v="OK"/>
    <m/>
    <m/>
    <m/>
    <x v="0"/>
  </r>
  <r>
    <s v="PROTECTION"/>
    <s v="DVLPMNT_STTS"/>
    <x v="0"/>
    <s v="2. Alterar especificação"/>
    <s v="NOK"/>
    <s v="Alterar especificação. Campo dependente do MUG"/>
    <s v="Campo depende do campo 'cgarant' do MUG"/>
    <s v="Campo Fechado"/>
    <d v="2025-01-13T00:00:00"/>
    <x v="0"/>
    <s v="OK"/>
    <s v="Mapeamento de acordo com o CNSTRCTN_STTS"/>
    <d v="2024-08-09T00:00:00"/>
    <d v="2024-12-20T00:00:00"/>
    <x v="1"/>
  </r>
  <r>
    <s v="PROTECTION"/>
    <s v="DT_LST_FLL_APPRSL"/>
    <x v="0"/>
    <s v="5.2 Em testes - Incidência"/>
    <s v="NOK"/>
    <s v="Campo com incidência e controlos NOK"/>
    <s v="1) Campo com incidência, data igual à data da protection_vl 2) Alteração de formatos MISS"/>
    <s v="Campo Fechado"/>
    <d v="2025-01-13T00:00:00"/>
    <x v="0"/>
    <s v="OK"/>
    <s v="Campo está a reportar a data da última avaliação e não a data da última avaliação in person. Implementação não está a aplicar a metodologia de cálculo de acordo com a especificação"/>
    <d v="2024-06-28T00:00:00"/>
    <d v="2024-12-20T00:00:00"/>
    <x v="1"/>
  </r>
  <r>
    <s v="PROTECTION"/>
    <s v="DT_MTRTY_PRTCTN"/>
    <x v="0"/>
    <s v="7. Analisar controlos e completude"/>
    <s v="NOK"/>
    <s v="Controlos NOK por parte de Riscos"/>
    <m/>
    <s v="Não"/>
    <d v="2024-06-07T00:00:00"/>
    <x v="5"/>
    <s v="NOK"/>
    <m/>
    <m/>
    <m/>
    <x v="6"/>
  </r>
  <r>
    <s v="INSTRUMENT"/>
    <s v="SICR_ASSSSMNT_MTHD"/>
    <x v="0"/>
    <s v="3. Pendente de decisão"/>
    <s v="OK"/>
    <s v="Rever com Corporação se a codelist do IMPRMNT_STTS alterou, caso não tenha alterado não é necessário alterar o campo."/>
    <m/>
    <s v="Campo Fechado"/>
    <d v="2024-06-28T00:00:00"/>
    <x v="0"/>
    <s v="OK"/>
    <s v="E-mail enviado para Corporação. Codelist IMPRMNT_STTS não alterou"/>
    <m/>
    <s v="-"/>
    <x v="0"/>
  </r>
  <r>
    <s v="INSTRUMENT"/>
    <s v="DT_ORGNL_MTRTY"/>
    <x v="0"/>
    <s v="7. Analisar controlos e completude"/>
    <s v="NOK"/>
    <s v="Controlos NOK"/>
    <m/>
    <s v="Não"/>
    <d v="2024-06-07T00:00:00"/>
    <x v="5"/>
    <s v="NOK"/>
    <m/>
    <m/>
    <m/>
    <x v="6"/>
  </r>
  <r>
    <s v="PROTECTION"/>
    <s v="NTNL_ID"/>
    <x v="0"/>
    <s v="5.2 Em testes - Incidência"/>
    <s v="NOK"/>
    <s v="Campo com incidência (Formatos). Remover aspas"/>
    <m/>
    <s v="Campo Fechado"/>
    <d v="2025-01-13T00:00:00"/>
    <x v="0"/>
    <s v="OK"/>
    <m/>
    <d v="2024-08-09T00:00:00"/>
    <d v="2024-12-20T00:00:00"/>
    <x v="1"/>
  </r>
  <r>
    <s v="INSTRUMENT"/>
    <s v="DT_PRFRMNG_STTS"/>
    <x v="0"/>
    <s v="3. Pendente de decisão"/>
    <s v="OK"/>
    <s v="Verificar necessidade de alteração da fonte para fins de reconciliação. Rever Fonte"/>
    <s v="Rever fonte. Confirmar com LCM que a informação deverá estar de acordo com IFRS9/Imparidade, mantendo a metodologia da OSI (ir apenas à tabela FR004 na data de referência, as restantes datas ir à tabela de IFRS9)"/>
    <s v="Sim"/>
    <d v="2025-01-13T00:00:00"/>
    <x v="8"/>
    <s v="OK"/>
    <s v="Alteração da fonte das tabela de Imparidade Reporting para as 8_7 e alteração da data a partir da qual a fonte passa a ser as tabelas de Contabilidade"/>
    <d v="2024-09-27T00:00:00"/>
    <m/>
    <x v="5"/>
  </r>
  <r>
    <s v="ENTITY"/>
    <s v="DT_PRFRMNG_STTS_LE"/>
    <x v="0"/>
    <s v="3. Pendente de decisão"/>
    <s v="NOK"/>
    <s v="Alterar especificação  caso a LT passe a reportar os 1os titulares da Contabilidade."/>
    <s v="Na OSI foram reportados os 1os titulares da Contabilidade, o que para alguns casos, são diferentes do que está na CL01. Apenas será necessário ajustar este campo caso a LT passe a reportar os 1os titulares da Contabilidade."/>
    <s v="Sim"/>
    <d v="2024-06-07T00:00:00"/>
    <x v="4"/>
    <s v="NOK"/>
    <m/>
    <m/>
    <m/>
    <x v="5"/>
  </r>
  <r>
    <s v="INSTRUMENT"/>
    <s v="DT_PRFRMNG_STTS_PRVS"/>
    <x v="0"/>
    <s v="3. Pendente de decisão"/>
    <s v="OK"/>
    <s v="Verificar necessidade de alteração da fonte para fins de reconciliação. Rever Fonte"/>
    <s v="Rever fonte. Confirmar com LCM que a informação deverá estar de acordo com IFRS9/Imparidade, mantendo a metodologia da OSI (ir apenas à tabela FR004 na data de referência, as restantes datas ir à tabela de IFRS9)"/>
    <s v="Sim"/>
    <d v="2025-01-13T00:00:00"/>
    <x v="8"/>
    <s v="OK"/>
    <s v="Alteração da fonte das tabela de Imparidade Reporting para as 8_7 e alteração da data a partir da qual a fonte passa a ser as tabelas de Contabilidade"/>
    <d v="2024-09-27T00:00:00"/>
    <m/>
    <x v="5"/>
  </r>
  <r>
    <s v="INSTRUMENT"/>
    <s v="IFRS9_BHVRL_MTRTY"/>
    <x v="0"/>
    <s v="2. Alterar especificação"/>
    <s v="OK"/>
    <s v="Alterar especificação. Necessidade de alteração da fonte para fins de reconciliação"/>
    <s v="Em curso. Aguardamos resposta da equipa de Imparidade. Sempre que o campo for nulo colocar 111111111 valor de NA"/>
    <s v="Sim"/>
    <d v="2025-01-13T00:00:00"/>
    <x v="8"/>
    <s v="OK"/>
    <s v="Alteração de fonte e tabelas reporting para tabelas terminadas em 7_8_x000a_"/>
    <d v="2024-08-30T00:00:00"/>
    <m/>
    <x v="1"/>
  </r>
  <r>
    <s v="INSTRUMENT"/>
    <s v="DT_PST_D"/>
    <x v="0"/>
    <s v="7. Analisar controlos e completude"/>
    <s v="NOK"/>
    <s v="Controlos NOK"/>
    <m/>
    <s v="Não"/>
    <d v="2024-06-07T00:00:00"/>
    <x v="5"/>
    <s v="NOK"/>
    <m/>
    <m/>
    <m/>
    <x v="6"/>
  </r>
  <r>
    <s v="ENTITY"/>
    <s v="DT_RFRNC"/>
    <x v="0"/>
    <s v="9. Concluído"/>
    <s v="OK"/>
    <s v="Concluido, controlos OK"/>
    <m/>
    <s v="Campo Fechado"/>
    <d v="2024-06-07T00:00:00"/>
    <x v="0"/>
    <s v="OK"/>
    <m/>
    <m/>
    <m/>
    <x v="0"/>
  </r>
  <r>
    <s v="INSTR_ENTITY"/>
    <s v="DT_RFRNC"/>
    <x v="0"/>
    <s v="9. Concluído"/>
    <s v="OK"/>
    <s v="Concluido, controlos OK"/>
    <m/>
    <s v="Campo Fechado"/>
    <d v="2024-06-07T00:00:00"/>
    <x v="0"/>
    <s v="OK"/>
    <m/>
    <m/>
    <m/>
    <x v="0"/>
  </r>
  <r>
    <s v="INSTR_PROTECTION"/>
    <s v="DT_RFRNC"/>
    <x v="0"/>
    <s v="9. Concluído"/>
    <s v="OK"/>
    <s v="Concluido, controlos OK"/>
    <m/>
    <s v="Campo Fechado"/>
    <d v="2024-06-07T00:00:00"/>
    <x v="0"/>
    <s v="OK"/>
    <m/>
    <m/>
    <m/>
    <x v="0"/>
  </r>
  <r>
    <s v="INSTRUMENT"/>
    <s v="DT_RFRNC"/>
    <x v="0"/>
    <s v="9. Concluído"/>
    <s v="OK"/>
    <s v="Concluido, controlos OK"/>
    <m/>
    <s v="Campo Fechado"/>
    <d v="2024-06-07T00:00:00"/>
    <x v="0"/>
    <s v="OK"/>
    <m/>
    <m/>
    <m/>
    <x v="0"/>
  </r>
  <r>
    <s v="PROTECTION"/>
    <s v="DT_RFRNC"/>
    <x v="0"/>
    <s v="9. Concluído"/>
    <s v="OK"/>
    <s v="Concluido, controlos OK"/>
    <m/>
    <s v="Campo Fechado"/>
    <d v="2024-06-07T00:00:00"/>
    <x v="0"/>
    <s v="OK"/>
    <m/>
    <m/>
    <m/>
    <x v="0"/>
  </r>
  <r>
    <s v="INSTRUMENT"/>
    <s v="DT_STRT_GP_PPAL"/>
    <x v="0"/>
    <s v="7. Analisar controlos e completude"/>
    <s v="NOK"/>
    <s v="Controlos NOK"/>
    <m/>
    <s v="Não"/>
    <d v="2024-06-07T00:00:00"/>
    <x v="5"/>
    <s v="NOK"/>
    <m/>
    <m/>
    <m/>
    <x v="6"/>
  </r>
  <r>
    <s v="INSTRUMENT"/>
    <s v="DT_STRT_INTRST_ONLY"/>
    <x v="0"/>
    <s v="7. Analisar controlos e completude"/>
    <s v="NOK"/>
    <s v="Controlos NOK"/>
    <m/>
    <s v="Não"/>
    <d v="2024-06-07T00:00:00"/>
    <x v="5"/>
    <s v="NOK"/>
    <m/>
    <m/>
    <m/>
    <x v="6"/>
  </r>
  <r>
    <s v="INSTRUMENT"/>
    <s v="DT_VLTN"/>
    <x v="1"/>
    <s v="9. Concluído"/>
    <s v="OK"/>
    <s v="Concluido, controlos OK"/>
    <m/>
    <s v="Campo Fechado"/>
    <d v="2024-06-07T00:00:00"/>
    <x v="0"/>
    <s v="OK"/>
    <m/>
    <m/>
    <m/>
    <x v="0"/>
  </r>
  <r>
    <s v="INSTRUMENT"/>
    <s v="POCI"/>
    <x v="0"/>
    <s v="9. Concluído"/>
    <s v="OK"/>
    <s v="Concluido, controlos OK"/>
    <m/>
    <s v="Campo Fechado"/>
    <d v="2024-08-16T00:00:00"/>
    <x v="2"/>
    <m/>
    <s v="Alterar especificação para a tabela de Contabilidade FR004 campo Flag_POCI. Campo estava a mapear informação das tabelas de Imparidade, no entanto ficou definido que o Owner da informação deveria ser Contabilidade, neste sentido é necessário alterar a fonte para a tabela da Contabilidade"/>
    <m/>
    <m/>
    <x v="0"/>
  </r>
  <r>
    <s v="INSTRUMENT"/>
    <s v="EAD"/>
    <x v="0"/>
    <s v="5.1 Em testes - Re-especificação"/>
    <s v="OK"/>
    <s v="Em testes. Campo com incidências, mas corrigida na LT no âmbito da OSI."/>
    <m/>
    <s v="Sim"/>
    <d v="2024-06-20T00:00:00"/>
    <x v="8"/>
    <s v="NOK"/>
    <s v="Campo com incidência para um contrato que tem valores de ead e rwa negativos._x000a_A fonte (CT013) tem um valor muito superior, isto significa que provavelmente existem várias chaves FR para uma chave BDR. Fomos ao tradutor verificar e de facto existem 10 chaves FR para uma BDR_x000a_Sabemos que os campos EAD e RWA são desagragados pelo &quot;saldo capital &quot;nas várias chaves FR, onde &quot;saldo capital&quot; é obtido através das contas cargabal, cruzamento fr802 e cruzamento com matriz de contas 805 para o nome perimentro corporativo_x000a_Verificamos que o aprovisionamento do campo está correto de acordo com as regras especificadas"/>
    <d v="2024-02-16T00:00:00"/>
    <d v="2024-05-24T00:00:00"/>
    <x v="1"/>
  </r>
  <r>
    <s v="INSTRUMENT"/>
    <s v="EBA_CMPLNT_MRTR_ST_C19"/>
    <x v="1"/>
    <s v="9. Concluído"/>
    <s v="OK"/>
    <s v="Concluido, controlos OK"/>
    <m/>
    <s v="Campo Fechado"/>
    <d v="2024-06-07T00:00:00"/>
    <x v="0"/>
    <s v="OK"/>
    <m/>
    <m/>
    <m/>
    <x v="0"/>
  </r>
  <r>
    <s v="INSTRUMENT"/>
    <s v="OTSTNDNG_NMNL_AMNT_INSTRMNT_PRVS"/>
    <x v="0"/>
    <s v="5.2 Em testes - Incidência"/>
    <s v="OK"/>
    <s v="Campo com incidência"/>
    <s v="Diferenças na fonte_x000a__x000a_Regra utilizada na OSI:_x000a_cast(NVL((LT02_PRVS.GRSS_CRRYNG_AMNT_INSTRMNT_PRVS - NVL(ACCRD_T1.ACCRD_INTRST_INSTRMNT_PRVS,0)) ,11111111111.00) as decimal(21,2)) as  OTSTNDNG_NMNL_AMNT_INSTRMNT_PRVS"/>
    <s v="Sim"/>
    <d v="2024-06-28T00:00:00"/>
    <x v="2"/>
    <s v="NOK"/>
    <s v="Campo está a assumir apenas valores negativos, 0.00, MISS ou N/A. É necessário replicar o cálculo da LT001 para um ano atrás. LCM pediu para que o campo fonte fosse criado diretamente na LT001, eliminando a necessidade de replicar o calculo da LT001 para um ano antes da data de referência._x000a_Alteração de especificação aquando da entrega dos campos da LT001 da equipa de IT"/>
    <m/>
    <m/>
    <x v="5"/>
  </r>
  <r>
    <s v="INSTRUMENT"/>
    <s v="INSTLMNT_PAY"/>
    <x v="1"/>
    <s v="2. Alterar especificação"/>
    <s v="OK"/>
    <s v="Campo especificado, mas com pouca qualidade de dados"/>
    <m/>
    <s v="Não"/>
    <d v="2024-06-07T00:00:00"/>
    <x v="2"/>
    <s v="OK"/>
    <m/>
    <m/>
    <m/>
    <x v="7"/>
  </r>
  <r>
    <s v="ENTITY"/>
    <s v="EC_GRP_ID"/>
    <x v="1"/>
    <s v="1. Especificar"/>
    <s v="OK"/>
    <s v="Em especificação (Campos Novos)"/>
    <m/>
    <s v="Não"/>
    <d v="2024-06-07T00:00:00"/>
    <x v="3"/>
    <s v="OK"/>
    <m/>
    <m/>
    <m/>
    <x v="4"/>
  </r>
  <r>
    <s v="ENTITY"/>
    <s v="EC_GRP_NM"/>
    <x v="1"/>
    <s v="1. Especificar"/>
    <s v="OK"/>
    <s v="Em especificação (Campos Novos)"/>
    <m/>
    <s v="Não"/>
    <d v="2024-06-07T00:00:00"/>
    <x v="3"/>
    <s v="OK"/>
    <m/>
    <m/>
    <m/>
    <x v="4"/>
  </r>
  <r>
    <s v="ENTITY"/>
    <s v="ECNMC_ACTVTY"/>
    <x v="0"/>
    <s v="9. Concluído"/>
    <s v="OK"/>
    <s v="Concluido, controlos OK"/>
    <m/>
    <s v="Campo Fechado"/>
    <d v="2024-06-07T00:00:00"/>
    <x v="0"/>
    <s v="OK"/>
    <m/>
    <m/>
    <m/>
    <x v="0"/>
  </r>
  <r>
    <s v="INSTRUMENT"/>
    <s v="EIR"/>
    <x v="0"/>
    <s v="7. Analisar controlos e completude"/>
    <s v="NOK"/>
    <s v="Controlos NOK"/>
    <m/>
    <s v="Não"/>
    <d v="2024-06-07T00:00:00"/>
    <x v="5"/>
    <s v="NOK"/>
    <m/>
    <m/>
    <m/>
    <x v="6"/>
  </r>
  <r>
    <s v="INSTRUMENT"/>
    <s v="EIR_INCPTN"/>
    <x v="0"/>
    <s v="7. Analisar controlos e completude"/>
    <s v="NOK"/>
    <s v="Controlos NOK"/>
    <m/>
    <s v="Não"/>
    <d v="2024-06-07T00:00:00"/>
    <x v="5"/>
    <s v="NOK"/>
    <m/>
    <m/>
    <m/>
    <x v="6"/>
  </r>
  <r>
    <s v="INSTRUMENT"/>
    <s v="ELGBLTY_ECB"/>
    <x v="1"/>
    <s v="9. Concluído"/>
    <s v="OK"/>
    <s v="Concluido, controlos OK"/>
    <m/>
    <s v="Campo Fechado"/>
    <d v="2024-06-07T00:00:00"/>
    <x v="0"/>
    <s v="OK"/>
    <m/>
    <m/>
    <m/>
    <x v="0"/>
  </r>
  <r>
    <s v="ENTITY"/>
    <s v="EMPLYMNT_STTS"/>
    <x v="1"/>
    <s v="9. Concluído"/>
    <s v="OK"/>
    <s v="Concluido, controlos OK"/>
    <m/>
    <s v="Campo Fechado"/>
    <d v="2024-06-07T00:00:00"/>
    <x v="0"/>
    <s v="OK"/>
    <m/>
    <m/>
    <m/>
    <x v="0"/>
  </r>
  <r>
    <s v="ENTITY"/>
    <s v="EMPLYMNT_STTS_INTRNL"/>
    <x v="1"/>
    <s v="9. Concluído"/>
    <s v="OK"/>
    <s v="Concluido, controlos OK"/>
    <m/>
    <s v="Campo Fechado"/>
    <d v="2024-06-07T00:00:00"/>
    <x v="0"/>
    <s v="OK"/>
    <m/>
    <m/>
    <m/>
    <x v="0"/>
  </r>
  <r>
    <s v="ENTITY"/>
    <s v="ENTRPRS_SZ_LE"/>
    <x v="0"/>
    <s v="7. Analisar controlos e completude"/>
    <s v="NOK"/>
    <s v="Controlos NOK"/>
    <m/>
    <s v="Não"/>
    <d v="2024-06-07T00:00:00"/>
    <x v="5"/>
    <s v="NOK"/>
    <m/>
    <m/>
    <m/>
    <x v="6"/>
  </r>
  <r>
    <s v="ENTITY"/>
    <s v="ENTTY_ID"/>
    <x v="0"/>
    <s v="7. Analisar controlos e completude"/>
    <s v="NOK"/>
    <s v="Controlos NOK"/>
    <m/>
    <s v="Não"/>
    <d v="2024-06-07T00:00:00"/>
    <x v="5"/>
    <s v="NOK"/>
    <m/>
    <m/>
    <m/>
    <x v="6"/>
  </r>
  <r>
    <s v="INSTR_ENTITY"/>
    <s v="ENTTY_ID"/>
    <x v="0"/>
    <s v="7. Analisar controlos e completude"/>
    <s v="NOK"/>
    <s v="Controlos NOK"/>
    <m/>
    <s v="Não"/>
    <d v="2024-06-07T00:00:00"/>
    <x v="5"/>
    <s v="NOK"/>
    <m/>
    <m/>
    <m/>
    <x v="6"/>
  </r>
  <r>
    <s v="ENTITY"/>
    <s v="ENTTY_NM"/>
    <x v="0"/>
    <s v="9. Concluído"/>
    <s v="OK"/>
    <s v="Concluido, controlos OK"/>
    <m/>
    <s v="Campo Fechado"/>
    <d v="2024-06-07T00:00:00"/>
    <x v="0"/>
    <s v="OK"/>
    <m/>
    <m/>
    <m/>
    <x v="0"/>
  </r>
  <r>
    <s v="ENTITY"/>
    <s v="EQTY"/>
    <x v="0"/>
    <s v="2. Alterar especificação"/>
    <s v="OK"/>
    <s v="Em especificação (Financial Statments CIB)"/>
    <s v="Campo implementação, mas com falta de informação para o segmento de clientes CIB"/>
    <s v="Não"/>
    <d v="2024-06-07T00:00:00"/>
    <x v="2"/>
    <s v="OK"/>
    <m/>
    <m/>
    <m/>
    <x v="2"/>
  </r>
  <r>
    <s v="ENTITY"/>
    <s v="EQTY_PRVS"/>
    <x v="0"/>
    <s v="2. Alterar especificação"/>
    <s v="OK"/>
    <s v="Em especificação (Financial Statments CIB)"/>
    <s v="Campo implementação, mas com falta de informação para o segmento de clientes CIB"/>
    <s v="Não"/>
    <d v="2024-06-07T00:00:00"/>
    <x v="2"/>
    <s v="OK"/>
    <m/>
    <m/>
    <m/>
    <x v="2"/>
  </r>
  <r>
    <s v="INSTRUMENT"/>
    <s v="EXPCTD_LSS_CRR"/>
    <x v="1"/>
    <s v="4.1 Em implementação - Re-especificação"/>
    <s v="OK"/>
    <s v="Aguarda implementação de IT"/>
    <m/>
    <s v="Não"/>
    <d v="2024-06-17T00:00:00"/>
    <x v="8"/>
    <s v="OK"/>
    <m/>
    <d v="2024-02-02T00:00:00"/>
    <d v="2024-03-28T00:00:00"/>
    <x v="4"/>
  </r>
  <r>
    <s v="INSTRUMENT"/>
    <s v="EXPSR_IN_SCP"/>
    <x v="0"/>
    <s v="9. Concluído"/>
    <s v="OK"/>
    <s v="Concluido, controlos OK"/>
    <m/>
    <s v="Campo Fechado"/>
    <d v="2024-06-07T00:00:00"/>
    <x v="0"/>
    <s v="OK"/>
    <m/>
    <m/>
    <m/>
    <x v="0"/>
  </r>
  <r>
    <s v="INSTRUMENT"/>
    <s v="FRBRNC_STTS_INSTRMNT"/>
    <x v="0"/>
    <s v="2. Alterar especificação"/>
    <s v="OK"/>
    <s v="Alterar especificação (alteração da fonte para a FR004)"/>
    <s v="Na OSI fomos diretamente à RMN85, em âmbito da LT foi alinhado que iriamos à FR004 e que esta por sua vez iria à RMN85.  Na OSI foram adicionados os contratos com FRBRNC_STTS='9' (ficheiro com os ACC disponibilizado por Graça Vale), atualmente não existe esta informação automatizada."/>
    <s v="Não"/>
    <d v="2024-06-07T00:00:00"/>
    <x v="2"/>
    <s v="OK"/>
    <m/>
    <m/>
    <m/>
    <x v="2"/>
  </r>
  <r>
    <s v="ENTITY"/>
    <s v="EXTRNL_RTNG_PRVS"/>
    <x v="0"/>
    <s v="2. Alterar especificação"/>
    <s v="OK"/>
    <s v="Alterar especificação para casos em informação na fonte."/>
    <s v="Quando não existe informação na fonte em vez de MISS substituir por NA"/>
    <s v="Sim"/>
    <d v="2024-06-07T00:00:00"/>
    <x v="2"/>
    <s v="OK"/>
    <m/>
    <m/>
    <m/>
    <x v="3"/>
  </r>
  <r>
    <s v="ENTITY"/>
    <s v="EXTRNL_RTNG_NM"/>
    <x v="0"/>
    <s v="2. Alterar especificação"/>
    <s v="NOK"/>
    <s v="Alterar especificação para casos em informação na fonte."/>
    <s v="Quando não existe informação na fonte em vez de MISS substituir por NA"/>
    <s v="Sim"/>
    <d v="2024-06-07T00:00:00"/>
    <x v="2"/>
    <s v="NOK"/>
    <m/>
    <m/>
    <m/>
    <x v="3"/>
  </r>
  <r>
    <s v="INSTRUMENT"/>
    <s v="FLD_SYNDCTN"/>
    <x v="1"/>
    <s v="6. Outros Desenvolvimentos"/>
    <s v="OK"/>
    <s v="Em implementação IT BST (Sindicados)"/>
    <s v="Aguarda desenvolvimentos nas plataformas Loan IQ e Mercurio"/>
    <s v="Não"/>
    <d v="2024-06-07T00:00:00"/>
    <x v="9"/>
    <s v="OK"/>
    <m/>
    <m/>
    <m/>
    <x v="2"/>
  </r>
  <r>
    <s v="ENTITY"/>
    <s v="FLG_BNKRPTCY_IN_GRP"/>
    <x v="0"/>
    <s v="9. Concluído"/>
    <s v="OK"/>
    <s v="Concluido, controlos OK"/>
    <m/>
    <s v="Campo Fechado"/>
    <d v="2024-06-07T00:00:00"/>
    <x v="0"/>
    <s v="OK"/>
    <m/>
    <m/>
    <m/>
    <x v="0"/>
  </r>
  <r>
    <s v="ENTITY"/>
    <s v="FLG_HGH_CDS"/>
    <x v="0"/>
    <s v="9. Concluído"/>
    <s v="OK"/>
    <s v="Concluido, controlos OK"/>
    <m/>
    <s v="Campo Fechado"/>
    <d v="2024-06-07T00:00:00"/>
    <x v="0"/>
    <s v="OK"/>
    <m/>
    <m/>
    <m/>
    <x v="0"/>
  </r>
  <r>
    <s v="ENTITY"/>
    <s v="FLG_ISDA_CRDT_EVNT"/>
    <x v="0"/>
    <s v="9. Concluído"/>
    <s v="OK"/>
    <s v="Concluido, controlos OK"/>
    <m/>
    <s v="Campo Fechado"/>
    <d v="2024-06-07T00:00:00"/>
    <x v="0"/>
    <s v="OK"/>
    <m/>
    <m/>
    <m/>
    <x v="0"/>
  </r>
  <r>
    <s v="INSTRUMENT"/>
    <s v="FLG_LBO"/>
    <x v="1"/>
    <s v="9. Concluído"/>
    <s v="OK"/>
    <s v="Concluido, controlos OK"/>
    <m/>
    <s v="Campo Fechado"/>
    <d v="2024-06-07T00:00:00"/>
    <x v="0"/>
    <s v="OK"/>
    <m/>
    <m/>
    <m/>
    <x v="0"/>
  </r>
  <r>
    <s v="ENTITY"/>
    <s v="FLG_NN_ACCRL"/>
    <x v="0"/>
    <s v="9. Concluído"/>
    <s v="OK"/>
    <s v="Concluido, controlos OK"/>
    <m/>
    <s v="Campo Fechado"/>
    <d v="2024-06-07T00:00:00"/>
    <x v="0"/>
    <s v="OK"/>
    <m/>
    <m/>
    <m/>
    <x v="0"/>
  </r>
  <r>
    <s v="ENTITY"/>
    <s v="FLG_RQST_BNKRPTCY"/>
    <x v="0"/>
    <s v="9. Concluído"/>
    <s v="OK"/>
    <s v="Concluido, controlos OK"/>
    <m/>
    <s v="Campo Fechado"/>
    <d v="2024-06-07T00:00:00"/>
    <x v="0"/>
    <s v="OK"/>
    <m/>
    <m/>
    <m/>
    <x v="0"/>
  </r>
  <r>
    <s v="ENTITY"/>
    <s v="FLG_RQST_DSTRSSD_RSTRCTRNG"/>
    <x v="0"/>
    <s v="1. Especificar"/>
    <s v="NOK"/>
    <s v="Em especificação, rever fonte"/>
    <m/>
    <s v="Não"/>
    <d v="2024-06-07T00:00:00"/>
    <x v="3"/>
    <s v="NOK"/>
    <m/>
    <m/>
    <m/>
    <x v="2"/>
  </r>
  <r>
    <s v="ENTITY"/>
    <s v="FLG_RQST_EMRGNCY_FNDNG"/>
    <x v="0"/>
    <s v="9. Concluído"/>
    <s v="OK"/>
    <s v="Concluido, controlos OK"/>
    <m/>
    <s v="Campo Fechado"/>
    <d v="2024-06-07T00:00:00"/>
    <x v="0"/>
    <s v="OK"/>
    <m/>
    <m/>
    <m/>
    <x v="0"/>
  </r>
  <r>
    <s v="ENTITY"/>
    <s v="FLG_SLL_WTH_LSS"/>
    <x v="0"/>
    <s v="9. Concluído"/>
    <s v="OK"/>
    <s v="Concluido, controlos OK"/>
    <m/>
    <s v="Campo Fechado"/>
    <d v="2024-06-07T00:00:00"/>
    <x v="0"/>
    <s v="OK"/>
    <m/>
    <m/>
    <m/>
    <x v="0"/>
  </r>
  <r>
    <s v="ENTITY"/>
    <s v="FR_CSH_FLW"/>
    <x v="0"/>
    <s v="1. Especificar"/>
    <s v="OK"/>
    <s v="Em especificação (Campos Novos)"/>
    <m/>
    <s v="Não"/>
    <d v="2024-06-07T00:00:00"/>
    <x v="3"/>
    <s v="OK"/>
    <m/>
    <m/>
    <m/>
    <x v="4"/>
  </r>
  <r>
    <s v="ENTITY"/>
    <s v="FR_CSH_FLW_T1"/>
    <x v="0"/>
    <s v="1. Especificar"/>
    <s v="OK"/>
    <s v="Em especificação (Campos Novos)"/>
    <m/>
    <s v="Não"/>
    <d v="2024-06-07T00:00:00"/>
    <x v="3"/>
    <s v="OK"/>
    <m/>
    <m/>
    <m/>
    <x v="4"/>
  </r>
  <r>
    <s v="ENTITY"/>
    <s v="FR_CSH_FLW_T2"/>
    <x v="0"/>
    <s v="1. Especificar"/>
    <s v="OK"/>
    <s v="Em especificação (Campos Novos)"/>
    <m/>
    <s v="Não"/>
    <d v="2024-06-07T00:00:00"/>
    <x v="3"/>
    <s v="OK"/>
    <m/>
    <m/>
    <m/>
    <x v="4"/>
  </r>
  <r>
    <s v="ENTITY"/>
    <s v="FR_CSH_FLW_T3"/>
    <x v="0"/>
    <s v="1. Especificar"/>
    <s v="OK"/>
    <s v="Em especificação (Campos Novos)"/>
    <m/>
    <s v="Não"/>
    <d v="2024-06-07T00:00:00"/>
    <x v="3"/>
    <s v="OK"/>
    <m/>
    <m/>
    <m/>
    <x v="4"/>
  </r>
  <r>
    <s v="INSTRUMENT"/>
    <s v="FRBRNC_STTS_C19"/>
    <x v="1"/>
    <s v="9. Concluído"/>
    <s v="OK"/>
    <s v="Concluido, controlos OK"/>
    <m/>
    <s v="Campo Fechado"/>
    <d v="2024-06-07T00:00:00"/>
    <x v="0"/>
    <s v="OK"/>
    <m/>
    <m/>
    <m/>
    <x v="0"/>
  </r>
  <r>
    <s v="ENTITY"/>
    <s v="EXTRNL_RTNG"/>
    <x v="0"/>
    <s v="2. Alterar especificação"/>
    <s v="OK"/>
    <s v="Alterar especificação para casos em informação na fonte."/>
    <s v="Quando não existe informação na fonte em vez de MISS substituir por NA"/>
    <s v="Sim"/>
    <d v="2024-06-07T00:00:00"/>
    <x v="2"/>
    <s v="OK"/>
    <m/>
    <m/>
    <m/>
    <x v="3"/>
  </r>
  <r>
    <s v="ENTITY"/>
    <s v="GCC_PRNT_ID"/>
    <x v="0"/>
    <s v="9. Concluído"/>
    <s v="OK"/>
    <s v="Concluido, controlos OK"/>
    <m/>
    <s v="Campo Fechado"/>
    <d v="2024-06-07T00:00:00"/>
    <x v="0"/>
    <s v="OK"/>
    <m/>
    <m/>
    <m/>
    <x v="0"/>
  </r>
  <r>
    <s v="ENTITY"/>
    <s v="GCC_PRNT_NM"/>
    <x v="0"/>
    <s v="9. Concluído"/>
    <s v="OK"/>
    <s v="Concluido, controlos OK"/>
    <m/>
    <s v="Campo Fechado"/>
    <d v="2024-06-07T00:00:00"/>
    <x v="0"/>
    <s v="OK"/>
    <m/>
    <m/>
    <m/>
    <x v="0"/>
  </r>
  <r>
    <s v="ENTITY"/>
    <s v="GDWILL"/>
    <x v="0"/>
    <s v="9. Concluído"/>
    <s v="OK"/>
    <s v="Concluido, controlos OK"/>
    <m/>
    <s v="Campo Fechado"/>
    <d v="2024-06-07T00:00:00"/>
    <x v="0"/>
    <s v="OK"/>
    <m/>
    <m/>
    <m/>
    <x v="0"/>
  </r>
  <r>
    <s v="ENTITY"/>
    <s v="GDWILL_PRVS"/>
    <x v="0"/>
    <s v="9. Concluído"/>
    <s v="OK"/>
    <s v="Concluido, controlos OK"/>
    <m/>
    <s v="Campo Fechado"/>
    <d v="2024-06-07T00:00:00"/>
    <x v="0"/>
    <s v="OK"/>
    <m/>
    <m/>
    <m/>
    <x v="0"/>
  </r>
  <r>
    <s v="INSTRUMENT"/>
    <s v="GRC_PRD_CPTL_INTRST_C19"/>
    <x v="1"/>
    <s v="9. Concluído"/>
    <s v="OK"/>
    <s v="Concluido, controlos OK"/>
    <m/>
    <s v="Campo Fechado"/>
    <d v="2024-06-07T00:00:00"/>
    <x v="0"/>
    <s v="OK"/>
    <m/>
    <m/>
    <m/>
    <x v="0"/>
  </r>
  <r>
    <s v="INSTRUMENT"/>
    <s v="GRNTR_ID"/>
    <x v="1"/>
    <s v="9. Concluído"/>
    <s v="OK"/>
    <s v="Concluido, controlos OK"/>
    <m/>
    <s v="Campo Fechado"/>
    <d v="2024-06-07T00:00:00"/>
    <x v="0"/>
    <s v="OK"/>
    <m/>
    <m/>
    <m/>
    <x v="0"/>
  </r>
  <r>
    <s v="INSTRUMENT"/>
    <s v="GRNTR_ID_TYP"/>
    <x v="1"/>
    <s v="9. Concluído"/>
    <s v="OK"/>
    <s v="Concluido, controlos OK"/>
    <m/>
    <s v="Campo Fechado"/>
    <d v="2024-06-07T00:00:00"/>
    <x v="0"/>
    <s v="OK"/>
    <m/>
    <m/>
    <m/>
    <x v="0"/>
  </r>
  <r>
    <s v="ENTITY"/>
    <s v="GRP_EBITDA"/>
    <x v="0"/>
    <s v="9. Concluído"/>
    <s v="OK"/>
    <s v="Concluido, controlos OK"/>
    <m/>
    <s v="Campo Fechado"/>
    <d v="2024-06-07T00:00:00"/>
    <x v="0"/>
    <s v="OK"/>
    <m/>
    <m/>
    <m/>
    <x v="0"/>
  </r>
  <r>
    <s v="ENTITY"/>
    <s v="GRP_EQTY"/>
    <x v="0"/>
    <s v="9. Concluído"/>
    <s v="OK"/>
    <s v="Concluido, controlos OK"/>
    <m/>
    <s v="Campo Fechado"/>
    <d v="2024-06-07T00:00:00"/>
    <x v="0"/>
    <s v="OK"/>
    <m/>
    <m/>
    <m/>
    <x v="0"/>
  </r>
  <r>
    <s v="ENTITY"/>
    <s v="GRP_NT_DBT"/>
    <x v="0"/>
    <s v="9. Concluído"/>
    <s v="OK"/>
    <s v="Concluido, controlos OK"/>
    <m/>
    <s v="Campo Fechado"/>
    <d v="2024-06-07T00:00:00"/>
    <x v="0"/>
    <s v="OK"/>
    <m/>
    <m/>
    <m/>
    <x v="0"/>
  </r>
  <r>
    <s v="ENTITY"/>
    <s v="GRP_TTL_DBT"/>
    <x v="1"/>
    <s v="2. Alterar especificação"/>
    <s v="OK"/>
    <s v="Em especificação (Financial Statments CIB)"/>
    <s v="Campo implementação, mas com falta de informação para o segmento de clientes CIB"/>
    <s v="Não"/>
    <d v="2024-06-07T00:00:00"/>
    <x v="2"/>
    <s v="OK"/>
    <m/>
    <m/>
    <m/>
    <x v="2"/>
  </r>
  <r>
    <s v="INSTRUMENT"/>
    <s v="GRSS_CRRYNG_AMNT_INSTRMNT"/>
    <x v="0"/>
    <s v="9. Concluído"/>
    <s v="OK"/>
    <s v="Concluido, controlos OK"/>
    <m/>
    <s v="Campo Fechado"/>
    <d v="2024-06-07T00:00:00"/>
    <x v="0"/>
    <s v="OK"/>
    <m/>
    <m/>
    <m/>
    <x v="0"/>
  </r>
  <r>
    <s v="INSTRUMENT"/>
    <s v="HEDGE_ID"/>
    <x v="1"/>
    <s v="9. Concluído"/>
    <s v="OK"/>
    <s v="Concluido, controlos OK"/>
    <m/>
    <s v="Campo Fechado"/>
    <d v="2024-06-07T00:00:00"/>
    <x v="0"/>
    <s v="OK"/>
    <m/>
    <m/>
    <m/>
    <x v="0"/>
  </r>
  <r>
    <s v="PROTECTION"/>
    <s v="HRCT_MV"/>
    <x v="0"/>
    <s v="9. Concluído"/>
    <s v="OK"/>
    <s v="Concluido, controlos OK"/>
    <m/>
    <s v="Campo Fechado"/>
    <d v="2024-06-07T00:00:00"/>
    <x v="0"/>
    <s v="OK"/>
    <m/>
    <m/>
    <m/>
    <x v="0"/>
  </r>
  <r>
    <s v="INSTRUMENT"/>
    <s v="IDCMB"/>
    <x v="1"/>
    <s v="5.1 Em testes - Re-especificação"/>
    <s v="NOK"/>
    <s v="Em testes pela equipa de CDO"/>
    <m/>
    <s v="Sim"/>
    <d v="2024-06-07T00:00:00"/>
    <x v="8"/>
    <s v="NOK"/>
    <m/>
    <d v="2024-02-06T00:00:00"/>
    <d v="2024-02-08T00:00:00"/>
    <x v="4"/>
  </r>
  <r>
    <s v="ENTITY"/>
    <s v="EBITDA_PRVS"/>
    <x v="0"/>
    <s v="2. Alterar especificação"/>
    <s v="OK"/>
    <s v="Alterar especificação (Luis Bastos enviou nova metodologia do campo)"/>
    <m/>
    <s v="Não"/>
    <d v="2024-06-07T00:00:00"/>
    <x v="2"/>
    <s v="OK"/>
    <m/>
    <m/>
    <m/>
    <x v="2"/>
  </r>
  <r>
    <s v="INSTRUMENT"/>
    <s v="IFRS9_CCF"/>
    <x v="0"/>
    <s v="9. Concluído"/>
    <s v="OK"/>
    <s v="Concluido, controlos OK"/>
    <m/>
    <s v="Campo Fechado"/>
    <d v="2024-06-07T00:00:00"/>
    <x v="0"/>
    <s v="OK"/>
    <s v="Campo Imparidade"/>
    <m/>
    <m/>
    <x v="0"/>
  </r>
  <r>
    <s v="INSTRUMENT"/>
    <s v="IFRS9_EAD"/>
    <x v="0"/>
    <s v="7. Analisar controlos e completude"/>
    <s v="NOK"/>
    <s v="Controlos NOK"/>
    <m/>
    <s v="Não"/>
    <d v="2024-06-07T00:00:00"/>
    <x v="5"/>
    <s v="NOK"/>
    <s v="Campo Imparidade"/>
    <m/>
    <m/>
    <x v="6"/>
  </r>
  <r>
    <s v="INSTRUMENT"/>
    <s v="IFRS9_LGD"/>
    <x v="0"/>
    <s v="9. Concluído"/>
    <s v="OK"/>
    <s v="Concluido, controlos OK"/>
    <m/>
    <s v="Campo Fechado"/>
    <d v="2024-06-07T00:00:00"/>
    <x v="0"/>
    <s v="OK"/>
    <s v="Campo Imparidade"/>
    <m/>
    <m/>
    <x v="0"/>
  </r>
  <r>
    <s v="INSTRUMENT"/>
    <s v="IMPRMNT_ASSSSMNT_MTHD"/>
    <x v="0"/>
    <s v="9. Concluído"/>
    <s v="OK"/>
    <s v="Concluido, controlos OK"/>
    <m/>
    <s v="Campo Fechado"/>
    <d v="2024-06-07T00:00:00"/>
    <x v="0"/>
    <s v="OK"/>
    <m/>
    <m/>
    <m/>
    <x v="0"/>
  </r>
  <r>
    <s v="INSTRUMENT"/>
    <s v="IMPRMNT_CLCLTN_MTHD"/>
    <x v="0"/>
    <s v="7. Analisar controlos e completude"/>
    <s v="NOK"/>
    <s v="Controlos NOK"/>
    <m/>
    <s v="Não"/>
    <d v="2024-06-07T00:00:00"/>
    <x v="5"/>
    <s v="NOK"/>
    <m/>
    <m/>
    <m/>
    <x v="6"/>
  </r>
  <r>
    <s v="INSTRUMENT"/>
    <s v="IMPRMNT_STTS"/>
    <x v="0"/>
    <s v="3. Pendente de decisão"/>
    <s v="NOK"/>
    <s v="Rever com a Corporação se a nova code list foi apenas para a OSI (relativamente ao tema dos POCI)."/>
    <m/>
    <s v="Sim"/>
    <d v="2025-01-13T00:00:00"/>
    <x v="8"/>
    <s v="NOK"/>
    <s v="Alteração da fonte das tabela de Imparidade Reporting para as 8_7 e alteração da data a partir da qual a fonte passa a ser as tabelas de Contabilidade"/>
    <d v="2024-09-27T00:00:00"/>
    <m/>
    <x v="5"/>
  </r>
  <r>
    <s v="INSTRUMENT"/>
    <s v="IMPRMNT_STTS_PRVS"/>
    <x v="0"/>
    <s v="3. Pendente de decisão"/>
    <s v="OK"/>
    <s v="Verificar necessidade de alteração da fonte para fins de reconciliação. Rever Fonte"/>
    <s v="Rever fonte. Confirmar com LCM que a informação deverá estar de acordo com IFRS9/Imparidade, mantendo a metodologia da OSI (ir apenas à tabela FR004 na data de referência, as restantes datas ir à tabela de IFRS9)"/>
    <s v="Sim"/>
    <d v="2025-01-13T00:00:00"/>
    <x v="8"/>
    <s v="OK"/>
    <s v="Alteração da fonte das tabela de Imparidade Reporting para as 8_7 e alteração da data a partir da qual a fonte passa a ser as tabelas de Contabilidade"/>
    <d v="2024-09-27T00:00:00"/>
    <m/>
    <x v="5"/>
  </r>
  <r>
    <s v="ENTITY"/>
    <s v="INCM_SC"/>
    <x v="1"/>
    <s v="1. Especificar"/>
    <s v="OK"/>
    <s v="Em especificação (Salários)"/>
    <m/>
    <s v="Não"/>
    <d v="2024-06-07T00:00:00"/>
    <x v="3"/>
    <s v="OK"/>
    <m/>
    <m/>
    <m/>
    <x v="2"/>
  </r>
  <r>
    <s v="ENTITY"/>
    <s v="EBITDA"/>
    <x v="0"/>
    <s v="2. Alterar especificação"/>
    <s v="OK"/>
    <s v="Alterar especificação (Luis Bastos enviou nova metodologia do campo)"/>
    <m/>
    <s v="Não"/>
    <d v="2024-06-07T00:00:00"/>
    <x v="2"/>
    <s v="OK"/>
    <m/>
    <m/>
    <m/>
    <x v="2"/>
  </r>
  <r>
    <s v="INSTRUMENT"/>
    <s v="INSTR_SNRTY_CLSS"/>
    <x v="1"/>
    <s v="9. Concluído"/>
    <s v="OK"/>
    <s v="Concluido, controlos OK"/>
    <m/>
    <s v="Campo Fechado"/>
    <d v="2024-06-07T00:00:00"/>
    <x v="0"/>
    <s v="OK"/>
    <m/>
    <m/>
    <m/>
    <x v="0"/>
  </r>
  <r>
    <s v="INSTRUMENT"/>
    <s v="INSTRMNT_CLSS"/>
    <x v="1"/>
    <s v="9. Concluído"/>
    <s v="OK"/>
    <s v="Concluido, controlos OK"/>
    <m/>
    <s v="Campo Fechado"/>
    <d v="2024-06-07T00:00:00"/>
    <x v="0"/>
    <s v="OK"/>
    <m/>
    <m/>
    <m/>
    <x v="0"/>
  </r>
  <r>
    <s v="INSTR_ENTITY"/>
    <s v="INSTRMNT_ID"/>
    <x v="0"/>
    <s v="9. Concluído"/>
    <s v="OK"/>
    <s v="Concluido, controlos OK"/>
    <m/>
    <s v="Campo Fechado"/>
    <d v="2024-06-07T00:00:00"/>
    <x v="0"/>
    <s v="OK"/>
    <m/>
    <m/>
    <m/>
    <x v="0"/>
  </r>
  <r>
    <s v="INSTR_PROTECTION"/>
    <s v="INSTRMNT_ID"/>
    <x v="0"/>
    <s v="9. Concluído"/>
    <s v="OK"/>
    <s v="Concluido, controlos OK"/>
    <m/>
    <s v="Campo Fechado"/>
    <d v="2024-06-07T00:00:00"/>
    <x v="0"/>
    <s v="OK"/>
    <m/>
    <m/>
    <m/>
    <x v="0"/>
  </r>
  <r>
    <s v="INSTRUMENT"/>
    <s v="INSTRMNT_ID"/>
    <x v="0"/>
    <s v="9. Concluído"/>
    <s v="OK"/>
    <s v="Concluido, controlos OK"/>
    <m/>
    <s v="Campo Fechado"/>
    <d v="2024-06-07T00:00:00"/>
    <x v="0"/>
    <s v="OK"/>
    <m/>
    <m/>
    <m/>
    <x v="0"/>
  </r>
  <r>
    <s v="ENTITY"/>
    <s v="INTRNL_RTNG"/>
    <x v="0"/>
    <s v="5.1 Em testes - Re-especificação"/>
    <s v="NOK"/>
    <s v="Em testes"/>
    <m/>
    <s v="Sim"/>
    <d v="2024-06-07T00:00:00"/>
    <x v="8"/>
    <s v="NOK"/>
    <s v="Campo entregue durante a OSI"/>
    <d v="2024-02-16T00:00:00"/>
    <d v="2024-05-24T00:00:00"/>
    <x v="1"/>
  </r>
  <r>
    <s v="INSTRUMENT"/>
    <s v="INTRNL_RTNG"/>
    <x v="0"/>
    <s v="5.1 Em testes - Re-especificação"/>
    <s v="NOK"/>
    <s v="Em testes"/>
    <m/>
    <s v="Sim"/>
    <d v="2024-06-07T00:00:00"/>
    <x v="8"/>
    <s v="NOK"/>
    <s v="Campo entregue durante a OSI"/>
    <d v="2024-02-16T00:00:00"/>
    <d v="2024-05-24T00:00:00"/>
    <x v="1"/>
  </r>
  <r>
    <s v="INSTRUMENT"/>
    <s v="INTRNL_RTNG_INCPTN"/>
    <x v="0"/>
    <s v="5.2 Em testes - Incidência"/>
    <s v="NOK"/>
    <s v="Alterar especificação, campo com incidência. Controlos NOK"/>
    <s v="Na LT apenas foi especifido os restantes internal ratings, estando em falta o internal rating à data de inception."/>
    <s v="Não"/>
    <d v="2024-06-07T00:00:00"/>
    <x v="1"/>
    <s v="NOK"/>
    <m/>
    <m/>
    <m/>
    <x v="2"/>
  </r>
  <r>
    <s v="ENTITY"/>
    <s v="INTRNL_RTNG_PRVS"/>
    <x v="0"/>
    <s v="5.1 Em testes - Re-especificação"/>
    <s v="OK"/>
    <s v="Em testes, campo entregue por IT durante a OSI. Testar e validar controlos"/>
    <m/>
    <s v="Sim"/>
    <d v="2024-06-07T00:00:00"/>
    <x v="8"/>
    <s v="OK"/>
    <s v="Campo entregue durante a OSI"/>
    <d v="2024-02-16T00:00:00"/>
    <d v="2024-05-24T00:00:00"/>
    <x v="1"/>
  </r>
  <r>
    <s v="ENTITY"/>
    <s v="INTRNL_SGMNT"/>
    <x v="0"/>
    <s v="9. Concluído"/>
    <s v="OK"/>
    <s v="Concluido, controlos OK"/>
    <m/>
    <s v="Campo Fechado"/>
    <d v="2024-06-07T00:00:00"/>
    <x v="0"/>
    <s v="OK"/>
    <m/>
    <m/>
    <m/>
    <x v="0"/>
  </r>
  <r>
    <s v="INSTRUMENT"/>
    <s v="INTRNL_SGMNT"/>
    <x v="0"/>
    <s v="9. Concluído"/>
    <s v="OK"/>
    <s v="Concluido, controlos OK"/>
    <m/>
    <s v="Campo Fechado"/>
    <d v="2024-06-07T00:00:00"/>
    <x v="0"/>
    <s v="OK"/>
    <m/>
    <m/>
    <m/>
    <x v="0"/>
  </r>
  <r>
    <s v="INSTRUMENT"/>
    <s v="INTRNL_SGMNT_CAT_MSTA"/>
    <x v="1"/>
    <s v="9. Concluído"/>
    <s v="OK"/>
    <s v="Concluido, controlos OK"/>
    <m/>
    <s v="Campo Fechado"/>
    <d v="2024-06-07T00:00:00"/>
    <x v="0"/>
    <s v="OK"/>
    <m/>
    <m/>
    <m/>
    <x v="0"/>
  </r>
  <r>
    <s v="INSTRUMENT"/>
    <s v="INTRNL_SGMNT_CATGSUB"/>
    <x v="1"/>
    <s v="9. Concluído"/>
    <s v="OK"/>
    <s v="Concluido, controlos OK"/>
    <m/>
    <s v="Campo Fechado"/>
    <d v="2024-06-07T00:00:00"/>
    <x v="0"/>
    <s v="OK"/>
    <m/>
    <m/>
    <m/>
    <x v="0"/>
  </r>
  <r>
    <s v="INSTRUMENT"/>
    <s v="INTRNL_SGMNT_IFRS9"/>
    <x v="1"/>
    <s v="9. Concluído"/>
    <s v="OK"/>
    <s v="Concluido, controlos OK"/>
    <m/>
    <s v="Campo Fechado"/>
    <d v="2024-06-07T00:00:00"/>
    <x v="0"/>
    <s v="OK"/>
    <s v="Campo Imparidade"/>
    <m/>
    <m/>
    <x v="0"/>
  </r>
  <r>
    <s v="ENTITY"/>
    <s v="INTRNL_UNT"/>
    <x v="0"/>
    <s v="9. Concluído"/>
    <s v="OK"/>
    <s v="Concluido, controlos OK"/>
    <m/>
    <s v="Campo Fechado"/>
    <d v="2024-06-07T00:00:00"/>
    <x v="0"/>
    <s v="OK"/>
    <m/>
    <m/>
    <m/>
    <x v="0"/>
  </r>
  <r>
    <s v="INSTRUMENT"/>
    <s v="INTRNL_UNT"/>
    <x v="0"/>
    <s v="9. Concluído"/>
    <s v="OK"/>
    <s v="Concluido, controlos OK"/>
    <m/>
    <s v="Campo Fechado"/>
    <d v="2024-06-07T00:00:00"/>
    <x v="0"/>
    <s v="OK"/>
    <m/>
    <m/>
    <m/>
    <x v="0"/>
  </r>
  <r>
    <s v="INSTRUMENT"/>
    <s v="INTRST_RT_RST_FRQNCY"/>
    <x v="0"/>
    <s v="9. Concluído"/>
    <s v="OK"/>
    <s v="Concluido, controlos OK"/>
    <m/>
    <s v="Campo Fechado"/>
    <d v="2024-06-07T00:00:00"/>
    <x v="0"/>
    <s v="OK"/>
    <m/>
    <m/>
    <m/>
    <x v="0"/>
  </r>
  <r>
    <s v="INSTRUMENT"/>
    <s v="ISIN"/>
    <x v="1"/>
    <s v="9. Concluído"/>
    <s v="OK"/>
    <s v="Concluido, controlos OK"/>
    <m/>
    <s v="Campo Fechado"/>
    <d v="2024-06-07T00:00:00"/>
    <x v="0"/>
    <s v="OK"/>
    <m/>
    <m/>
    <m/>
    <x v="0"/>
  </r>
  <r>
    <s v="INSTRUMENT"/>
    <s v="ISIN_SCRTSTN"/>
    <x v="1"/>
    <s v="9. Concluído"/>
    <s v="OK"/>
    <s v="Concluido, controlos OK"/>
    <m/>
    <s v="Campo Fechado"/>
    <d v="2024-06-07T00:00:00"/>
    <x v="0"/>
    <s v="OK"/>
    <m/>
    <m/>
    <m/>
    <x v="0"/>
  </r>
  <r>
    <s v="INSTRUMENT"/>
    <s v="ISSR_CNTRY"/>
    <x v="1"/>
    <s v="9. Concluído"/>
    <s v="OK"/>
    <s v="Concluido, controlos OK"/>
    <m/>
    <s v="Campo Fechado"/>
    <d v="2024-06-07T00:00:00"/>
    <x v="0"/>
    <s v="OK"/>
    <m/>
    <m/>
    <m/>
    <x v="0"/>
  </r>
  <r>
    <s v="INSTRUMENT"/>
    <s v="ISSR_ESA_2010"/>
    <x v="1"/>
    <s v="7. Analisar controlos e completude"/>
    <s v="NOK"/>
    <s v="Controlos NOK"/>
    <m/>
    <s v="Não"/>
    <d v="2024-06-07T00:00:00"/>
    <x v="5"/>
    <s v="NOK"/>
    <m/>
    <m/>
    <m/>
    <x v="6"/>
  </r>
  <r>
    <s v="INSTRUMENT"/>
    <s v="ISSR_ID"/>
    <x v="1"/>
    <s v="9. Concluído"/>
    <s v="OK"/>
    <s v="Concluido, controlos OK"/>
    <m/>
    <s v="Campo Fechado"/>
    <d v="2024-06-07T00:00:00"/>
    <x v="0"/>
    <s v="OK"/>
    <m/>
    <m/>
    <m/>
    <x v="0"/>
  </r>
  <r>
    <s v="INSTRUMENT"/>
    <s v="ISSR_ID_TYP"/>
    <x v="1"/>
    <s v="9. Concluído"/>
    <s v="OK"/>
    <s v="Concluido, controlos OK"/>
    <m/>
    <s v="Campo Fechado"/>
    <d v="2024-06-07T00:00:00"/>
    <x v="0"/>
    <s v="OK"/>
    <m/>
    <m/>
    <m/>
    <x v="0"/>
  </r>
  <r>
    <s v="INSTRUMENT"/>
    <s v="ISSR_NACE_SCTR"/>
    <x v="1"/>
    <s v="9. Concluído"/>
    <s v="OK"/>
    <s v="Concluido, controlos OK"/>
    <m/>
    <s v="Campo Fechado"/>
    <d v="2024-06-07T00:00:00"/>
    <x v="0"/>
    <s v="OK"/>
    <m/>
    <m/>
    <m/>
    <x v="0"/>
  </r>
  <r>
    <s v="INSTRUMENT"/>
    <s v="ISSR_RTNG"/>
    <x v="1"/>
    <s v="8. Concluído - sem dados"/>
    <s v="OK"/>
    <s v="Campo especificado, mas sem dados. Campo marcado com MISS ou NA"/>
    <m/>
    <s v="Campo Fechado"/>
    <d v="2024-06-07T00:00:00"/>
    <x v="6"/>
    <s v="OK"/>
    <m/>
    <m/>
    <m/>
    <x v="7"/>
  </r>
  <r>
    <s v="INSTRUMENT"/>
    <s v="ISSR_RTNG_SRC"/>
    <x v="1"/>
    <s v="8. Concluído - sem dados"/>
    <s v="OK"/>
    <s v="Campo especificado, mas sem dados. Campo marcado com MISS ou NA"/>
    <m/>
    <s v="Campo Fechado"/>
    <d v="2024-06-07T00:00:00"/>
    <x v="6"/>
    <s v="OK"/>
    <m/>
    <m/>
    <m/>
    <x v="7"/>
  </r>
  <r>
    <s v="INSTRUMENT"/>
    <s v="ISSR_TYP"/>
    <x v="1"/>
    <s v="9. Concluído"/>
    <s v="OK"/>
    <s v="Concluido, controlos OK"/>
    <m/>
    <s v="Campo Fechado"/>
    <d v="2024-06-07T00:00:00"/>
    <x v="0"/>
    <s v="OK"/>
    <m/>
    <m/>
    <m/>
    <x v="0"/>
  </r>
  <r>
    <s v="INSTR_ENTITY"/>
    <s v="JNT_LBLTY_AMNT"/>
    <x v="0"/>
    <s v="9. Concluído"/>
    <s v="OK"/>
    <s v="Concluido, controlos OK"/>
    <m/>
    <s v="Campo Fechado"/>
    <d v="2024-06-07T00:00:00"/>
    <x v="0"/>
    <s v="OK"/>
    <m/>
    <m/>
    <m/>
    <x v="0"/>
  </r>
  <r>
    <s v="INSTRUMENT"/>
    <s v="LCL_INSTMRNT_ID"/>
    <x v="1"/>
    <s v="7. Analisar controlos e completude"/>
    <s v="NOK"/>
    <s v="Controlos NOK"/>
    <m/>
    <s v="Não"/>
    <d v="2024-06-07T00:00:00"/>
    <x v="5"/>
    <s v="NOK"/>
    <m/>
    <m/>
    <m/>
    <x v="6"/>
  </r>
  <r>
    <s v="INSTRUMENT"/>
    <s v="LCR_BFFR_CTGRY"/>
    <x v="1"/>
    <s v="9. Concluído"/>
    <s v="OK"/>
    <s v="Concluido, controlos OK"/>
    <m/>
    <s v="Campo Fechado"/>
    <d v="2024-06-07T00:00:00"/>
    <x v="0"/>
    <s v="OK"/>
    <m/>
    <m/>
    <m/>
    <x v="0"/>
  </r>
  <r>
    <s v="INSTRUMENT"/>
    <s v="LCRE"/>
    <x v="0"/>
    <s v="3. Pendente de decisão"/>
    <s v="OK"/>
    <s v="Verificar necessidade de alteração da fonte para fins de reconciliação. Rever Fonte"/>
    <s v="Ficheiro enviado pela área. Rever se é necessário alterar a especificação de modo a estar de acordo com imparidade. Foi decisão que a informação a reportar deveria reconciliar com a informação de imparidade e por essa mesma razão não se utilizou os dados da LT"/>
    <s v="Sim"/>
    <d v="2024-06-07T00:00:00"/>
    <x v="4"/>
    <s v="OK"/>
    <m/>
    <m/>
    <m/>
    <x v="5"/>
  </r>
  <r>
    <s v="ENTITY"/>
    <s v="LEI"/>
    <x v="0"/>
    <s v="9. Concluído"/>
    <s v="OK"/>
    <s v="Concluido, controlos OK"/>
    <m/>
    <s v="Campo Fechado"/>
    <d v="2024-06-07T00:00:00"/>
    <x v="0"/>
    <s v="OK"/>
    <m/>
    <m/>
    <m/>
    <x v="0"/>
  </r>
  <r>
    <s v="INSTRUMENT"/>
    <s v="LGD"/>
    <x v="0"/>
    <s v="9. Concluído"/>
    <s v="OK"/>
    <s v="Concluido, controlos OK"/>
    <m/>
    <s v="Campo Fechado"/>
    <d v="2024-06-07T00:00:00"/>
    <x v="0"/>
    <s v="OK"/>
    <m/>
    <m/>
    <m/>
    <x v="0"/>
  </r>
  <r>
    <s v="INSTRUMENT"/>
    <s v="LGL_PRCDNG_STTS"/>
    <x v="0"/>
    <s v="9. Concluído"/>
    <s v="OK"/>
    <s v="Concluido, controlos OK"/>
    <m/>
    <s v="Campo Fechado"/>
    <d v="2024-06-07T00:00:00"/>
    <x v="0"/>
    <s v="OK"/>
    <m/>
    <m/>
    <m/>
    <x v="0"/>
  </r>
  <r>
    <s v="ENTITY"/>
    <s v="LGL_PRCDNG_STTS_LE"/>
    <x v="0"/>
    <s v="7. Analisar controlos e completude"/>
    <s v="NOK"/>
    <s v="Controlos NOK"/>
    <m/>
    <s v="Não"/>
    <d v="2024-06-07T00:00:00"/>
    <x v="5"/>
    <s v="NOK"/>
    <m/>
    <m/>
    <m/>
    <x v="6"/>
  </r>
  <r>
    <s v="INSTRUMENT"/>
    <s v="LND_DRGTN"/>
    <x v="1"/>
    <s v="9. Concluído"/>
    <s v="OK"/>
    <s v="Concluido, controlos OK"/>
    <m/>
    <s v="Campo Fechado"/>
    <d v="2024-06-07T00:00:00"/>
    <x v="0"/>
    <s v="OK"/>
    <m/>
    <m/>
    <m/>
    <x v="0"/>
  </r>
  <r>
    <s v="INSTRUMENT"/>
    <s v="LSTI"/>
    <x v="1"/>
    <s v="1. Especificar"/>
    <s v="OK"/>
    <s v="Em especificação (Campos Novos)"/>
    <m/>
    <s v="Não"/>
    <d v="2024-06-07T00:00:00"/>
    <x v="3"/>
    <s v="OK"/>
    <m/>
    <m/>
    <m/>
    <x v="4"/>
  </r>
  <r>
    <s v="ENTITY"/>
    <s v="LTI"/>
    <x v="1"/>
    <s v="1. Especificar"/>
    <s v="NOK"/>
    <s v="Em especificação (Salários)"/>
    <m/>
    <s v="Não"/>
    <d v="2024-06-07T00:00:00"/>
    <x v="3"/>
    <s v="NOK"/>
    <m/>
    <m/>
    <m/>
    <x v="2"/>
  </r>
  <r>
    <s v="INSTRUMENT"/>
    <s v="LTI_INSTRMNT"/>
    <x v="1"/>
    <s v="1. Especificar"/>
    <s v="OK"/>
    <s v="Em especificação (Campos Novos)"/>
    <m/>
    <s v="Não"/>
    <d v="2024-06-07T00:00:00"/>
    <x v="3"/>
    <s v="OK"/>
    <m/>
    <m/>
    <m/>
    <x v="4"/>
  </r>
  <r>
    <s v="INSTRUMENT"/>
    <s v="LTV"/>
    <x v="0"/>
    <s v="7. Analisar controlos e completude"/>
    <s v="NOK"/>
    <s v="Controlos NOK"/>
    <m/>
    <s v="Não"/>
    <d v="2024-06-07T00:00:00"/>
    <x v="5"/>
    <s v="NOK"/>
    <m/>
    <m/>
    <m/>
    <x v="6"/>
  </r>
  <r>
    <s v="INSTRUMENT"/>
    <s v="LTV_INCPTN"/>
    <x v="0"/>
    <s v="9. Concluído"/>
    <s v="OK"/>
    <s v="Concluido, controlos OK"/>
    <m/>
    <s v="Campo Fechado"/>
    <d v="2024-06-07T00:00:00"/>
    <x v="0"/>
    <s v="OK"/>
    <m/>
    <m/>
    <m/>
    <x v="0"/>
  </r>
  <r>
    <s v="INSTRUMENT"/>
    <s v="LTV_NPE"/>
    <x v="0"/>
    <s v="5.1 Em testes - Re-especificação"/>
    <s v="OK"/>
    <s v="Em testes. Campo depende do campo PRFRMNG_STTS. Não é necessário alterar a especificação do mesmo, apenas testar  se o campo PRFRMNG_STTS for alterado."/>
    <m/>
    <s v="Sim"/>
    <d v="2024-06-07T00:00:00"/>
    <x v="8"/>
    <s v="OK"/>
    <m/>
    <d v="2022-05-16T00:00:00"/>
    <d v="2022-05-27T00:00:00"/>
    <x v="5"/>
  </r>
  <r>
    <s v="ENTITY"/>
    <s v="LVRG"/>
    <x v="0"/>
    <s v="9. Concluído"/>
    <s v="OK"/>
    <s v="Concluido, controlos OK"/>
    <m/>
    <s v="Campo Fechado"/>
    <d v="2024-06-07T00:00:00"/>
    <x v="0"/>
    <s v="OK"/>
    <m/>
    <m/>
    <m/>
    <x v="0"/>
  </r>
  <r>
    <s v="INSTRUMENT"/>
    <s v="LVRG_FNNC_FLG"/>
    <x v="1"/>
    <s v="9. Concluído"/>
    <s v="OK"/>
    <s v="Concluido, controlos OK"/>
    <m/>
    <s v="Campo Fechado"/>
    <d v="2024-06-07T00:00:00"/>
    <x v="0"/>
    <s v="OK"/>
    <m/>
    <m/>
    <m/>
    <x v="0"/>
  </r>
  <r>
    <s v="ENTITY"/>
    <s v="LVRG_PRVS"/>
    <x v="0"/>
    <s v="9. Concluído"/>
    <s v="OK"/>
    <s v="Concluido, controlos OK"/>
    <m/>
    <s v="Campo Fechado"/>
    <d v="2024-06-07T00:00:00"/>
    <x v="0"/>
    <s v="OK"/>
    <m/>
    <m/>
    <m/>
    <x v="0"/>
  </r>
  <r>
    <s v="INSTR_ENTITY"/>
    <s v="MN_ENTTY_ID"/>
    <x v="0"/>
    <s v="5.2 Em testes - Incidência"/>
    <s v="OK"/>
    <s v="Campo com incidências. Verificar necessidade de alteração da fonte para fins de reconciliação._x000a_Campo novo, enviado para especificação em Fevereiro e entregue por IT em Março (durante a OSI), no entanto campo está com incidências nas garantias prestadas (detetadas no decurso da OSI)"/>
    <s v="Rever se os 1os titulares devem ser os da FR ou os da CL001 (clientes)"/>
    <s v="Sim"/>
    <d v="2024-06-07T00:00:00"/>
    <x v="1"/>
    <s v="OK"/>
    <m/>
    <d v="2024-02-02T00:00:00"/>
    <d v="2024-03-21T00:00:00"/>
    <x v="5"/>
  </r>
  <r>
    <s v="PROTECTION"/>
    <s v="MN_PRPS"/>
    <x v="1"/>
    <s v="7. Analisar controlos e completude"/>
    <s v="NOK"/>
    <s v="Controlos NOK"/>
    <m/>
    <s v="Não"/>
    <d v="2024-06-07T00:00:00"/>
    <x v="5"/>
    <s v="NOK"/>
    <m/>
    <m/>
    <m/>
    <x v="6"/>
  </r>
  <r>
    <s v="ENTITY"/>
    <s v="MNTHL_INCM"/>
    <x v="1"/>
    <s v="1. Especificar"/>
    <s v="OK"/>
    <s v="Em especificação (Salários)"/>
    <m/>
    <s v="Não"/>
    <d v="2024-06-07T00:00:00"/>
    <x v="3"/>
    <s v="OK"/>
    <m/>
    <m/>
    <m/>
    <x v="2"/>
  </r>
  <r>
    <s v="ENTITY"/>
    <s v="MNTHL_INCM_SLR"/>
    <x v="1"/>
    <s v="1. Especificar"/>
    <s v="NOK"/>
    <s v="Em especificação (Salários)"/>
    <m/>
    <s v="Não"/>
    <d v="2024-06-07T00:00:00"/>
    <x v="3"/>
    <s v="NOK"/>
    <m/>
    <m/>
    <m/>
    <x v="2"/>
  </r>
  <r>
    <s v="ENTITY"/>
    <s v="MNTHL_TRNVR"/>
    <x v="1"/>
    <s v="1. Especificar"/>
    <s v="OK"/>
    <s v="Em especificação (Salários)"/>
    <m/>
    <s v="Não"/>
    <d v="2024-06-07T00:00:00"/>
    <x v="3"/>
    <s v="OK"/>
    <m/>
    <m/>
    <m/>
    <x v="2"/>
  </r>
  <r>
    <s v="INSTRUMENT"/>
    <s v="MTRTY_LTST_FRBRNC_MSR_C19"/>
    <x v="1"/>
    <s v="9. Concluído"/>
    <s v="OK"/>
    <s v="Concluido, controlos OK"/>
    <m/>
    <s v="Campo Fechado"/>
    <d v="2024-06-07T00:00:00"/>
    <x v="0"/>
    <s v="OK"/>
    <m/>
    <m/>
    <m/>
    <x v="0"/>
  </r>
  <r>
    <s v="INSTRUMENT"/>
    <s v="MTRTY_LTST_MRTR_C19"/>
    <x v="1"/>
    <s v="9. Concluído"/>
    <s v="OK"/>
    <s v="Concluido, controlos OK"/>
    <m/>
    <s v="Campo Fechado"/>
    <d v="2024-06-07T00:00:00"/>
    <x v="0"/>
    <s v="OK"/>
    <m/>
    <m/>
    <m/>
    <x v="0"/>
  </r>
  <r>
    <s v="INSTRUMENT"/>
    <s v="NMBR_FRBRNC_MSRS"/>
    <x v="0"/>
    <s v="9. Concluído"/>
    <s v="OK"/>
    <s v="Concluido, controlos OK"/>
    <m/>
    <s v="Campo Fechado"/>
    <d v="2024-06-07T00:00:00"/>
    <x v="0"/>
    <s v="OK"/>
    <m/>
    <m/>
    <m/>
    <x v="0"/>
  </r>
  <r>
    <s v="ENTITY"/>
    <s v="NT_INCM"/>
    <x v="0"/>
    <s v="2. Alterar especificação"/>
    <s v="OK"/>
    <s v="Em especificação (Financial Statments CIB)"/>
    <s v="Campo implementação, mas com falta de informação para o segmento de clientes CIB"/>
    <s v="Não"/>
    <d v="2024-06-07T00:00:00"/>
    <x v="2"/>
    <s v="OK"/>
    <m/>
    <m/>
    <m/>
    <x v="2"/>
  </r>
  <r>
    <s v="ENTITY"/>
    <s v="NT_INCM_PRVS"/>
    <x v="0"/>
    <s v="2. Alterar especificação"/>
    <s v="OK"/>
    <s v="Em especificação (Financial Statments CIB)"/>
    <s v="Campo implementação, mas com falta de informação para o segmento de clientes CIB"/>
    <s v="Não"/>
    <d v="2024-06-07T00:00:00"/>
    <x v="2"/>
    <s v="OK"/>
    <m/>
    <m/>
    <m/>
    <x v="2"/>
  </r>
  <r>
    <s v="INSTRUMENT"/>
    <s v="RWA_MTHD"/>
    <x v="0"/>
    <s v="5.1 Em testes - Re-especificação"/>
    <s v="OK"/>
    <s v="Em testes, campo entregue por IT durante a OSI. Testar e validar controlos"/>
    <s v="Alteração de formato de 11111111.00 para 11111111"/>
    <s v="Campo Fechado"/>
    <d v="2024-06-20T00:00:00"/>
    <x v="0"/>
    <s v="OK"/>
    <s v="Incidência relativamente ao formatos corrigida. Controlos testados e OK"/>
    <m/>
    <d v="2024-06-20T00:00:00"/>
    <x v="0"/>
  </r>
  <r>
    <s v="INSTRUMENT"/>
    <s v="OBSRVD_AGNT_ID"/>
    <x v="0"/>
    <s v="9. Concluído"/>
    <s v="OK"/>
    <s v="Concluido, controlos OK"/>
    <m/>
    <s v="Campo Fechado"/>
    <d v="2024-06-07T00:00:00"/>
    <x v="0"/>
    <s v="OK"/>
    <m/>
    <m/>
    <m/>
    <x v="0"/>
  </r>
  <r>
    <s v="INSTRUMENT"/>
    <s v="OBSRVD_AGNT_NM"/>
    <x v="0"/>
    <s v="9. Concluído"/>
    <s v="OK"/>
    <s v="Concluido, controlos OK"/>
    <m/>
    <s v="Campo Fechado"/>
    <d v="2024-06-07T00:00:00"/>
    <x v="0"/>
    <s v="OK"/>
    <m/>
    <m/>
    <m/>
    <x v="0"/>
  </r>
  <r>
    <s v="INSTRUMENT"/>
    <s v="OFF_BLNC_SHT_AMNT_INSTRMNT"/>
    <x v="0"/>
    <s v="7. Analisar controlos e completude"/>
    <s v="NOK"/>
    <s v="Controlos NOK"/>
    <m/>
    <s v="Não"/>
    <d v="2024-06-07T00:00:00"/>
    <x v="5"/>
    <s v="NOK"/>
    <m/>
    <m/>
    <m/>
    <x v="6"/>
  </r>
  <r>
    <s v="INSTRUMENT"/>
    <s v="OFF_BLNC_SHT_AMNT_INSTRMNT_PRVS"/>
    <x v="0"/>
    <s v="5.2 Em testes - Incidência"/>
    <s v="OK"/>
    <s v="Campo com incidência"/>
    <s v="MISS deviam estar a ser reportados como NA ou zero"/>
    <s v="Sim"/>
    <d v="2025-01-13T00:00:00"/>
    <x v="8"/>
    <s v="OK"/>
    <s v="Campo está a assumir apenas valores 0.00, MISS ou N/A. É necessário replicar o cálculo da LT001 para um ano atrás. LCM pediu para que o campo fonte fosse criado diretamente na LT001, eliminando a necessidade de replicar o calculo da LT001 para um ano antes da data de referência."/>
    <d v="2024-06-28T00:00:00"/>
    <m/>
    <x v="1"/>
  </r>
  <r>
    <s v="PROTECTION"/>
    <s v="DT_ORGNL_PRTCTN_VL"/>
    <x v="0"/>
    <s v="5.2 Em testes - Incidência"/>
    <s v="NOK"/>
    <s v="Campo com incidência e controlos NOK"/>
    <s v="1) Campo com incidência, data igual à data da protection_vl 2) Alteração de formatos MISS"/>
    <s v="Campo Fechado"/>
    <d v="2025-01-13T00:00:00"/>
    <x v="0"/>
    <s v="OK"/>
    <m/>
    <d v="2024-09-20T00:00:00"/>
    <d v="2024-12-20T00:00:00"/>
    <x v="1"/>
  </r>
  <r>
    <s v="ENTITY"/>
    <s v="OSI_ID"/>
    <x v="0"/>
    <s v="9. Concluído"/>
    <s v="OK"/>
    <s v="Concluido, controlos OK"/>
    <m/>
    <s v="Campo Fechado"/>
    <d v="2024-06-07T00:00:00"/>
    <x v="0"/>
    <s v="OK"/>
    <m/>
    <m/>
    <m/>
    <x v="0"/>
  </r>
  <r>
    <s v="INSTRUMENT"/>
    <s v="OTSTNDNG_NMNL_AMNT_INSTRMNT"/>
    <x v="0"/>
    <s v="7. Analisar controlos e completude"/>
    <s v="NOK"/>
    <s v="Controlos NOK"/>
    <m/>
    <s v="Não"/>
    <d v="2024-06-07T00:00:00"/>
    <x v="5"/>
    <s v="NOK"/>
    <m/>
    <m/>
    <m/>
    <x v="6"/>
  </r>
  <r>
    <s v="INSTRUMENT"/>
    <s v="DT_FRBRNC_STTS_PRVS"/>
    <x v="0"/>
    <s v="2. Alterar especificação"/>
    <s v="NOK"/>
    <s v="Alterar especificação (alteração da fonte para a FR004)"/>
    <s v="Na OSI fomos diretamente à RMN85, em âmbito da LT foi alinhado que iriamos à FR004 e que esta por sua vez iria à RMN85.  Na OSI foram adicionados os contratos com FRBRNC_STTS='9' (ficheiro com os ACC disponibilizado por Graça Vale), atualmente não existe esta informação automatizada."/>
    <s v="Não"/>
    <d v="2024-06-07T00:00:00"/>
    <x v="2"/>
    <s v="NOK"/>
    <m/>
    <m/>
    <m/>
    <x v="2"/>
  </r>
  <r>
    <s v="ENTITY"/>
    <s v="OWND_BY_SPNSR"/>
    <x v="1"/>
    <s v="9. Concluído"/>
    <s v="OK"/>
    <s v="Concluido, controlos OK"/>
    <m/>
    <s v="Campo Fechado"/>
    <d v="2024-06-07T00:00:00"/>
    <x v="0"/>
    <s v="OK"/>
    <m/>
    <m/>
    <m/>
    <x v="0"/>
  </r>
  <r>
    <s v="INSTRUMENT"/>
    <s v="PBLC_GRNT_SCHM_C19_NM"/>
    <x v="1"/>
    <s v="9. Concluído"/>
    <s v="OK"/>
    <s v="Concluido, controlos OK"/>
    <m/>
    <s v="Campo Fechado"/>
    <d v="2024-06-07T00:00:00"/>
    <x v="0"/>
    <s v="OK"/>
    <m/>
    <m/>
    <m/>
    <x v="0"/>
  </r>
  <r>
    <s v="INSTRUMENT"/>
    <s v="PD_CRR_INCPTN"/>
    <x v="0"/>
    <s v="5.2 Em testes - Incidência"/>
    <s v="OK"/>
    <s v="Campo com incidência"/>
    <s v="Campo com incidência. Confirmar com Tecnologia que o campo está alterado com base no que foi identificado na OSI"/>
    <s v="Não"/>
    <d v="2024-06-07T00:00:00"/>
    <x v="1"/>
    <s v="OK"/>
    <m/>
    <d v="2024-02-16T00:00:00"/>
    <d v="2024-05-27T00:00:00"/>
    <x v="2"/>
  </r>
  <r>
    <s v="ENTITY"/>
    <s v="PD_CRR_RD"/>
    <x v="0"/>
    <s v="7. Analisar controlos e completude"/>
    <s v="NOK"/>
    <s v="Controlos NOK"/>
    <m/>
    <s v="Não"/>
    <d v="2024-06-07T00:00:00"/>
    <x v="5"/>
    <s v="NOK"/>
    <m/>
    <m/>
    <m/>
    <x v="6"/>
  </r>
  <r>
    <s v="INSTRUMENT"/>
    <s v="PD_CRR_RD"/>
    <x v="0"/>
    <s v="7. Analisar controlos e completude"/>
    <s v="NOK"/>
    <s v="Controlos NOK"/>
    <m/>
    <s v="Não"/>
    <d v="2024-06-07T00:00:00"/>
    <x v="5"/>
    <s v="NOK"/>
    <m/>
    <m/>
    <m/>
    <x v="6"/>
  </r>
  <r>
    <s v="ENTITY"/>
    <s v="PD_CRR_RD_T1"/>
    <x v="1"/>
    <s v="5.1 Em testes - Re-especificação"/>
    <s v="NOK"/>
    <s v="Em testes"/>
    <m/>
    <s v="Sim"/>
    <d v="2024-06-07T00:00:00"/>
    <x v="8"/>
    <s v="NOK"/>
    <m/>
    <d v="2022-07-08T00:00:00"/>
    <d v="2023-12-07T00:00:00"/>
    <x v="1"/>
  </r>
  <r>
    <s v="INSTRUMENT"/>
    <s v="PD_CRR_RD_T1"/>
    <x v="1"/>
    <s v="5.1 Em testes - Re-especificação"/>
    <s v="NOK"/>
    <s v="Em testes"/>
    <m/>
    <s v="Sim"/>
    <d v="2024-06-07T00:00:00"/>
    <x v="8"/>
    <s v="NOK"/>
    <m/>
    <d v="2023-12-21T00:00:00"/>
    <d v="2024-02-08T00:00:00"/>
    <x v="1"/>
  </r>
  <r>
    <s v="INSTRUMENT"/>
    <s v="PD_IFRS9_12M_INCPTN"/>
    <x v="0"/>
    <s v="9. Concluído"/>
    <s v="OK"/>
    <s v="Concluido, controlos OK"/>
    <m/>
    <s v="Campo Fechado"/>
    <d v="2024-06-07T00:00:00"/>
    <x v="0"/>
    <s v="OK"/>
    <s v="Campo Imparidade"/>
    <m/>
    <m/>
    <x v="0"/>
  </r>
  <r>
    <s v="ENTITY"/>
    <s v="PD_IFRS9_12M_RD"/>
    <x v="0"/>
    <s v="3. Pendente de decisão"/>
    <s v="NOK"/>
    <s v="Controlos NOK justificados no âmbito da OSI. _x000a_1) Contratos fora do universo de IFRS9 2) Clientes que não são primeiros titulares de nenhum contrato_x000a_Alterar especificação  caso a LT passe a reportar os 1os titulares da Contabilidade."/>
    <m/>
    <s v="Não"/>
    <d v="2024-06-07T00:00:00"/>
    <x v="4"/>
    <s v="NOK"/>
    <s v="Campo Imparidade"/>
    <m/>
    <m/>
    <x v="6"/>
  </r>
  <r>
    <s v="INSTRUMENT"/>
    <s v="PD_IFRS9_12M_RD"/>
    <x v="0"/>
    <s v="7. Analisar controlos e completude"/>
    <s v="NOK"/>
    <m/>
    <m/>
    <s v="Sim"/>
    <d v="2024-06-07T00:00:00"/>
    <x v="5"/>
    <s v="NOK"/>
    <s v="Campo Imparidade"/>
    <m/>
    <m/>
    <x v="5"/>
  </r>
  <r>
    <s v="ENTITY"/>
    <s v="PD_IFRS9_12M_RD_T1"/>
    <x v="1"/>
    <s v="7. Analisar controlos e completude"/>
    <s v="NOK"/>
    <s v="Controlos NOK"/>
    <m/>
    <s v="Não"/>
    <d v="2024-06-07T00:00:00"/>
    <x v="5"/>
    <s v="NOK"/>
    <s v="Campo Imparidade"/>
    <m/>
    <m/>
    <x v="6"/>
  </r>
  <r>
    <s v="INSTRUMENT"/>
    <s v="PD_IFRS9_12M_RD_T1"/>
    <x v="0"/>
    <s v="7. Analisar controlos e completude"/>
    <s v="NOK"/>
    <s v="Controlos NOK"/>
    <m/>
    <s v="Não"/>
    <d v="2024-06-07T00:00:00"/>
    <x v="5"/>
    <s v="NOK"/>
    <s v="Campo Imparidade"/>
    <m/>
    <m/>
    <x v="6"/>
  </r>
  <r>
    <s v="INSTRUMENT"/>
    <s v="PD_IFRS9_LFTM_INCPTN"/>
    <x v="0"/>
    <s v="9. Concluído"/>
    <s v="OK"/>
    <s v="Concluido, controlos OK"/>
    <m/>
    <s v="Campo Fechado"/>
    <d v="2024-06-07T00:00:00"/>
    <x v="0"/>
    <s v="OK"/>
    <s v="Campo Imparidade"/>
    <m/>
    <m/>
    <x v="0"/>
  </r>
  <r>
    <s v="INSTRUMENT"/>
    <s v="PD_IFRS9_RMNNG_LFTM_INCPTN"/>
    <x v="0"/>
    <s v="9. Concluído"/>
    <s v="OK"/>
    <s v="Concluido, controlos OK"/>
    <m/>
    <s v="Campo Fechado"/>
    <d v="2024-06-07T00:00:00"/>
    <x v="0"/>
    <s v="OK"/>
    <s v="Campo Imparidade"/>
    <m/>
    <m/>
    <x v="0"/>
  </r>
  <r>
    <s v="INSTRUMENT"/>
    <s v="PD_IFRS9_RMNNG_LFTM_RD"/>
    <x v="0"/>
    <s v="9. Concluído"/>
    <s v="OK"/>
    <s v="Concluido, controlos OK"/>
    <m/>
    <s v="Campo Fechado"/>
    <d v="2024-06-07T00:00:00"/>
    <x v="0"/>
    <s v="OK"/>
    <s v="Campo Imparidade"/>
    <m/>
    <m/>
    <x v="0"/>
  </r>
  <r>
    <s v="INSTRUMENT"/>
    <s v="PMNT_PBLC_GRNT_SCHM_C19"/>
    <x v="1"/>
    <s v="9. Concluído"/>
    <s v="OK"/>
    <s v="Concluido, controlos OK"/>
    <m/>
    <s v="Campo Fechado"/>
    <d v="2024-06-07T00:00:00"/>
    <x v="0"/>
    <s v="OK"/>
    <m/>
    <m/>
    <m/>
    <x v="0"/>
  </r>
  <r>
    <s v="INSTRUMENT"/>
    <s v="DT_FRBRNC_STTS"/>
    <x v="0"/>
    <s v="2. Alterar especificação"/>
    <s v="NOK"/>
    <s v="Alterar especificação (alteração da fonte para a FR004)"/>
    <s v="Na OSI fomos diretamente à RMN85, em âmbito da LT foi alinhado que iriamos à FR004 e que esta por sua vez iria à RMN85.  Na OSI foram adicionados os contratos com FRBRNC_STTS='9' (ficheiro com os ACC disponibilizado por Graça Vale), atualmente não existe esta informação automatizada."/>
    <s v="Não"/>
    <d v="2024-06-07T00:00:00"/>
    <x v="2"/>
    <s v="NOK"/>
    <m/>
    <m/>
    <m/>
    <x v="2"/>
  </r>
  <r>
    <s v="INSTRUMENT"/>
    <s v="PRCH_UNDR_RSL_AGR"/>
    <x v="1"/>
    <s v="9. Concluído"/>
    <s v="OK"/>
    <s v="Concluido, controlos OK"/>
    <m/>
    <s v="Campo Fechado"/>
    <d v="2024-06-07T00:00:00"/>
    <x v="0"/>
    <s v="OK"/>
    <m/>
    <m/>
    <m/>
    <x v="0"/>
  </r>
  <r>
    <s v="INSTRUMENT"/>
    <s v="PRDCT"/>
    <x v="0"/>
    <s v="9. Concluído"/>
    <s v="OK"/>
    <s v="Concluido, controlos OK"/>
    <m/>
    <s v="Campo Fechado"/>
    <d v="2024-06-07T00:00:00"/>
    <x v="0"/>
    <s v="OK"/>
    <m/>
    <m/>
    <m/>
    <x v="0"/>
  </r>
  <r>
    <s v="INSTRUMENT"/>
    <s v="PRDNTL_PRTFL"/>
    <x v="1"/>
    <s v="9. Concluído"/>
    <s v="OK"/>
    <s v="Concluido, controlos OK"/>
    <m/>
    <s v="Campo Fechado"/>
    <d v="2024-06-07T00:00:00"/>
    <x v="0"/>
    <s v="OK"/>
    <m/>
    <m/>
    <m/>
    <x v="0"/>
  </r>
  <r>
    <s v="INSTRUMENT"/>
    <s v="PRFRMNG_STTS"/>
    <x v="0"/>
    <s v="3. Pendente de decisão"/>
    <s v="NOK"/>
    <s v="Verificar necessidade de alteração da fonte para fins de reconciliação. Rever Fonte"/>
    <m/>
    <s v="Sim"/>
    <d v="2025-01-13T00:00:00"/>
    <x v="8"/>
    <s v="NOK"/>
    <s v="Alteração da fonte das tabela de Imparidade Reporting para as 8_7 e alteração da data a partir da qual a fonte passa a ser as tabelas de Contabilidade"/>
    <d v="2024-09-27T00:00:00"/>
    <m/>
    <x v="5"/>
  </r>
  <r>
    <s v="ENTITY"/>
    <s v="PRFRMNG_STTS_LE"/>
    <x v="0"/>
    <s v="9. Concluído"/>
    <s v="OK"/>
    <s v="Concluido, controlos OK"/>
    <m/>
    <s v="Campo Fechado"/>
    <d v="2024-06-07T00:00:00"/>
    <x v="0"/>
    <s v="OK"/>
    <m/>
    <m/>
    <m/>
    <x v="0"/>
  </r>
  <r>
    <s v="INSTRUMENT"/>
    <s v="PRFRMNG_STTS_PRVS"/>
    <x v="0"/>
    <s v="5.1 Em testes - Re-especificação"/>
    <s v="OK"/>
    <s v="Em testes. Campo depende do campo PRFRMNG_STTS. Não é necessário alterar a especificação do mesmo, apenas testar  se o campo PRFRMNG_STTS for alterado."/>
    <m/>
    <s v="Sim"/>
    <d v="2025-01-13T00:00:00"/>
    <x v="8"/>
    <s v="OK"/>
    <s v="Alteração da fonte das tabela de Imparidade Reporting para as 8_7 e alteração da data a partir da qual a fonte passa a ser as tabelas de Contabilidade"/>
    <d v="2024-09-27T00:00:00"/>
    <m/>
    <x v="5"/>
  </r>
  <r>
    <s v="INSTRUMENT"/>
    <s v="PRJCT_FNNC_LN"/>
    <x v="0"/>
    <s v="9. Concluído"/>
    <s v="OK"/>
    <s v="Concluido, controlos OK"/>
    <m/>
    <s v="Campo Fechado"/>
    <d v="2024-06-07T00:00:00"/>
    <x v="0"/>
    <s v="OK"/>
    <m/>
    <m/>
    <m/>
    <x v="0"/>
  </r>
  <r>
    <s v="PROTECTION"/>
    <s v="PRM_LCTN"/>
    <x v="1"/>
    <s v="5.1 Em testes - Re-especificação"/>
    <s v="NOK"/>
    <s v="Em testes"/>
    <m/>
    <s v="Campo Fechado"/>
    <d v="2025-01-13T00:00:00"/>
    <x v="0"/>
    <s v="OK"/>
    <s v="100220 Casos que deviam ser N e estão a ser reportados MISS"/>
    <d v="2024-06-28T00:00:00"/>
    <d v="2024-12-20T00:00:00"/>
    <x v="1"/>
  </r>
  <r>
    <s v="INSTRUMENT"/>
    <s v="PRMRY_ASST_CLSSF"/>
    <x v="1"/>
    <s v="9. Concluído"/>
    <s v="OK"/>
    <s v="Concluido, controlos OK"/>
    <m/>
    <s v="Campo Fechado"/>
    <d v="2024-06-07T00:00:00"/>
    <x v="0"/>
    <s v="OK"/>
    <m/>
    <m/>
    <m/>
    <x v="0"/>
  </r>
  <r>
    <s v="INSTRUMENT"/>
    <s v="PRPS"/>
    <x v="0"/>
    <s v="9. Concluído"/>
    <s v="OK"/>
    <s v="Concluido, controlos OK"/>
    <m/>
    <s v="Campo Fechado"/>
    <d v="2024-06-07T00:00:00"/>
    <x v="0"/>
    <s v="OK"/>
    <m/>
    <m/>
    <m/>
    <x v="0"/>
  </r>
  <r>
    <s v="ENTITY"/>
    <s v="PRSN_TYP"/>
    <x v="1"/>
    <s v="4.1 Em implementação - Re-especificação"/>
    <s v="OK"/>
    <s v="Aguarda implementação de IT"/>
    <m/>
    <s v="Não"/>
    <d v="2024-06-17T00:00:00"/>
    <x v="8"/>
    <s v="OK"/>
    <m/>
    <d v="2024-01-12T00:00:00"/>
    <d v="2024-03-21T00:00:00"/>
    <x v="4"/>
  </r>
  <r>
    <s v="INSTRUMENT"/>
    <s v="PRT_LCR_BFFR"/>
    <x v="1"/>
    <s v="9. Concluído"/>
    <s v="OK"/>
    <s v="Concluido, controlos OK"/>
    <m/>
    <s v="Campo Fechado"/>
    <d v="2024-06-07T00:00:00"/>
    <x v="0"/>
    <s v="OK"/>
    <m/>
    <m/>
    <m/>
    <x v="0"/>
  </r>
  <r>
    <s v="INSTR_PROTECTION"/>
    <s v="PRTCTN_ALLCTD_VL"/>
    <x v="0"/>
    <s v="9. Concluído"/>
    <s v="OK"/>
    <s v="Concluido, controlos OK"/>
    <m/>
    <s v="Campo Fechado"/>
    <d v="2024-06-07T00:00:00"/>
    <x v="0"/>
    <s v="OK"/>
    <m/>
    <m/>
    <m/>
    <x v="0"/>
  </r>
  <r>
    <s v="PROTECTION"/>
    <s v="PRTCTN_CLLD"/>
    <x v="0"/>
    <s v="7. Analisar controlos e completude"/>
    <s v="NOK"/>
    <s v="Controlos NOK"/>
    <m/>
    <s v="Não"/>
    <d v="2024-06-07T00:00:00"/>
    <x v="5"/>
    <s v="NOK"/>
    <m/>
    <m/>
    <m/>
    <x v="6"/>
  </r>
  <r>
    <s v="PROTECTION"/>
    <s v="PRTCTN_FRCD_SL_VL"/>
    <x v="0"/>
    <s v="9. Concluído"/>
    <s v="OK"/>
    <s v="Concluido, controlos OK"/>
    <m/>
    <s v="Campo Fechado"/>
    <d v="2024-06-07T00:00:00"/>
    <x v="0"/>
    <s v="OK"/>
    <m/>
    <m/>
    <m/>
    <x v="0"/>
  </r>
  <r>
    <s v="INSTR_PROTECTION"/>
    <s v="PRTCTN_ID"/>
    <x v="0"/>
    <s v="7. Analisar controlos e completude"/>
    <s v="NOK"/>
    <s v="Controlos NOK"/>
    <m/>
    <s v="Não"/>
    <d v="2024-06-07T00:00:00"/>
    <x v="5"/>
    <s v="NOK"/>
    <m/>
    <m/>
    <m/>
    <x v="6"/>
  </r>
  <r>
    <s v="PROTECTION"/>
    <s v="PRTCTN_ID"/>
    <x v="0"/>
    <s v="7. Analisar controlos e completude"/>
    <s v="NOK"/>
    <s v="Controlos NOK"/>
    <m/>
    <s v="Não"/>
    <d v="2024-06-07T00:00:00"/>
    <x v="5"/>
    <s v="NOK"/>
    <m/>
    <m/>
    <m/>
    <x v="6"/>
  </r>
  <r>
    <s v="PROTECTION"/>
    <s v="PRTCTN_PRVDR_ID"/>
    <x v="0"/>
    <s v="7. Analisar controlos e completude"/>
    <s v="NOK"/>
    <s v="Controlos NOK"/>
    <m/>
    <s v="Não"/>
    <d v="2024-06-07T00:00:00"/>
    <x v="5"/>
    <s v="NOK"/>
    <m/>
    <m/>
    <m/>
    <x v="6"/>
  </r>
  <r>
    <s v="PROTECTION"/>
    <s v="PRTCTN_TYP_PBLC_GRNT_SCHM_C19"/>
    <x v="1"/>
    <s v="7. Analisar controlos e completude"/>
    <s v="NOK"/>
    <s v="Controlos NOK"/>
    <m/>
    <s v="Não"/>
    <d v="2024-06-07T00:00:00"/>
    <x v="5"/>
    <s v="NOK"/>
    <m/>
    <m/>
    <m/>
    <x v="6"/>
  </r>
  <r>
    <s v="ENTITY"/>
    <s v="DT_EXTRNL_RTNG"/>
    <x v="0"/>
    <s v="2. Alterar especificação"/>
    <s v="OK"/>
    <s v="Alterar especificação para casos em informação na fonte."/>
    <s v="Quando não existe informação na fonte em vez de MISS substituir por NA"/>
    <s v="Sim"/>
    <d v="2024-06-07T00:00:00"/>
    <x v="2"/>
    <s v="OK"/>
    <m/>
    <m/>
    <m/>
    <x v="3"/>
  </r>
  <r>
    <s v="PROTECTION"/>
    <s v="ORGNL_PRTCTN_VL"/>
    <x v="0"/>
    <s v="5.2 Em testes - Incidência"/>
    <s v="OK"/>
    <s v="Campo com incidência"/>
    <s v="1) Campo com incidência, está a reportar apenas valores de MISS e N/A"/>
    <s v="Sim"/>
    <d v="2025-01-13T00:00:00"/>
    <x v="8"/>
    <s v="NOK"/>
    <s v="14 casos com valor original da proteção a zero"/>
    <d v="2024-09-20T00:00:00"/>
    <m/>
    <x v="1"/>
  </r>
  <r>
    <s v="PROTECTION"/>
    <s v="PRTCTN_VL_PRVS"/>
    <x v="0"/>
    <s v="9. Concluído"/>
    <s v="OK"/>
    <s v="Concluido, controlos OK"/>
    <m/>
    <s v="Campo Fechado"/>
    <d v="2024-06-07T00:00:00"/>
    <x v="0"/>
    <s v="OK"/>
    <m/>
    <m/>
    <m/>
    <x v="0"/>
  </r>
  <r>
    <s v="PROTECTION"/>
    <s v="PRTCTN_VLTN_APPRCH"/>
    <x v="0"/>
    <s v="7. Analisar controlos e completude"/>
    <s v="NOK"/>
    <s v="Controlos NOK"/>
    <m/>
    <s v="Não"/>
    <d v="2024-06-07T00:00:00"/>
    <x v="5"/>
    <s v="NOK"/>
    <m/>
    <m/>
    <m/>
    <x v="6"/>
  </r>
  <r>
    <s v="INSTRUMENT"/>
    <s v="PRVSNS_OFF_BLNC_SHT"/>
    <x v="0"/>
    <s v="9. Concluído"/>
    <s v="OK"/>
    <s v="Concluido, controlos OK"/>
    <m/>
    <s v="Campo Fechado"/>
    <d v="2024-06-07T00:00:00"/>
    <x v="0"/>
    <s v="OK"/>
    <m/>
    <m/>
    <m/>
    <x v="0"/>
  </r>
  <r>
    <s v="INSTRUMENT"/>
    <s v="PYMNT_FRQNCY"/>
    <x v="0"/>
    <s v="5.2 Em testes - Incidência"/>
    <s v="OK"/>
    <s v="Campo com incidência. Verificar necessidade de alteração da fonte para fins de reconciliação"/>
    <s v="Utilizada informação de imparidade, sempre que não exista reportar info da LT, tendo em conta que caso TYP-AMRTSTN seja 4 este campo também deverá ser igual a 4. Este último critério não está atualmente a ser aplicado na LT. Rever se devemos utilizar a informação de IFRS9 ou manter a de alm"/>
    <s v="Sim"/>
    <d v="2024-06-07T00:00:00"/>
    <x v="1"/>
    <s v="OK"/>
    <m/>
    <m/>
    <m/>
    <x v="5"/>
  </r>
  <r>
    <s v="INSTRUMENT"/>
    <s v="PYMNT_INTRST_ONLY"/>
    <x v="0"/>
    <s v="3. Pendente de decisão"/>
    <s v="NOK"/>
    <s v="Verificar necessidade de alteração da fonte para fins de reconciliação. Rever Fonte"/>
    <s v="Foi decisão que a informação a reportar deveria reconciliar com a informação de imparidade e por essa mesma razão não se utilizou os dados da LT. Rever se devemos utilizar a informação de IFRS9 ou manter a de alm"/>
    <s v="Sim"/>
    <d v="2024-06-07T00:00:00"/>
    <x v="4"/>
    <s v="NOK"/>
    <m/>
    <m/>
    <m/>
    <x v="5"/>
  </r>
  <r>
    <s v="INSTRUMENT"/>
    <s v="RCRS"/>
    <x v="0"/>
    <s v="9. Concluído"/>
    <s v="OK"/>
    <s v="Concluido, controlos OK"/>
    <m/>
    <s v="Campo Fechado"/>
    <d v="2024-06-07T00:00:00"/>
    <x v="0"/>
    <s v="OK"/>
    <m/>
    <m/>
    <m/>
    <x v="0"/>
  </r>
  <r>
    <s v="INSTRUMENT"/>
    <s v="RCVD_AMRTSTN_12M"/>
    <x v="0"/>
    <s v="7. Analisar controlos e completude"/>
    <s v="NOK"/>
    <s v="Controlos NOK"/>
    <m/>
    <s v="Não"/>
    <d v="2024-06-07T00:00:00"/>
    <x v="5"/>
    <s v="NOK"/>
    <m/>
    <m/>
    <m/>
    <x v="6"/>
  </r>
  <r>
    <s v="INSTRUMENT"/>
    <s v="RCVD_AMRTSTN_24M"/>
    <x v="0"/>
    <s v="9. Concluído"/>
    <s v="OK"/>
    <s v="Concluido, controlos OK"/>
    <m/>
    <s v="Campo Fechado"/>
    <d v="2024-06-07T00:00:00"/>
    <x v="0"/>
    <s v="OK"/>
    <m/>
    <m/>
    <m/>
    <x v="0"/>
  </r>
  <r>
    <s v="PROTECTION"/>
    <s v="DT_CNSTRCTN_STTS"/>
    <x v="1"/>
    <s v="2. Alterar especificação"/>
    <s v="NOK"/>
    <s v="Campo dependente do MUG"/>
    <s v="Criação de uma tabela auxiliar de histórico dos estados de construção numa ótica diária"/>
    <s v="Sim"/>
    <d v="2024-10-03T00:00:00"/>
    <x v="2"/>
    <s v="NOK"/>
    <m/>
    <m/>
    <m/>
    <x v="1"/>
  </r>
  <r>
    <s v="INSTRUMENT"/>
    <s v="DFLT_STTS_INSTRMNT"/>
    <x v="0"/>
    <s v="2. Alterar especificação"/>
    <s v="NOK"/>
    <s v="É necessário adicionar este campo como obrigatório  para as linhas manuais (CMAH) e rever com a Leonor a tabela de parametrização (a área identificou incidências de acordo com o GUIA). Na OSI apenas foi adicionado a informação para ajustes manuais."/>
    <m/>
    <s v="Sim"/>
    <d v="2024-06-07T00:00:00"/>
    <x v="2"/>
    <s v="NOK"/>
    <m/>
    <m/>
    <m/>
    <x v="1"/>
  </r>
  <r>
    <s v="INSTRUMENT"/>
    <s v="CMMTMNT_INSTRMNT"/>
    <x v="0"/>
    <s v="2. Alterar especificação"/>
    <s v="OK"/>
    <s v="Alterar especificação (Área enviou nova metodologia do campo)"/>
    <s v="Nova metodologia identificada pelo Rafael Pessoa durante OSI IFRS9, é necessário alterar a especificação para GRSS_CRRYNG_AMNT_INSTRMNT - OFF_BLNC_SHT_AMNT_INSTRMNT"/>
    <s v="Não"/>
    <d v="2024-06-07T00:00:00"/>
    <x v="2"/>
    <s v="OK"/>
    <m/>
    <m/>
    <m/>
    <x v="2"/>
  </r>
  <r>
    <s v="INSTRUMENT"/>
    <s v="RFRNC_RT"/>
    <x v="1"/>
    <s v="9. Concluído"/>
    <s v="OK"/>
    <s v="Concluido, controlos OK"/>
    <m/>
    <s v="Campo Fechado"/>
    <d v="2024-06-07T00:00:00"/>
    <x v="0"/>
    <s v="OK"/>
    <m/>
    <m/>
    <m/>
    <x v="0"/>
  </r>
  <r>
    <s v="PROTECTION"/>
    <s v="RL_ESTT_ADDRSS"/>
    <x v="1"/>
    <s v="7. Analisar controlos e completude"/>
    <s v="NOK"/>
    <s v="Controlos NOK"/>
    <m/>
    <s v="Não"/>
    <d v="2024-06-07T00:00:00"/>
    <x v="5"/>
    <s v="NOK"/>
    <m/>
    <m/>
    <m/>
    <x v="6"/>
  </r>
  <r>
    <s v="INSTRUMENT"/>
    <s v="CMLTV_RCVRS_SNC_DFLT_INSTRMNT"/>
    <x v="0"/>
    <s v="2. Alterar especificação"/>
    <s v="OK"/>
    <s v="Campo especificado, mas sem dados. Campo marcado com MISS ou NA"/>
    <m/>
    <s v="Não"/>
    <d v="2024-06-07T00:00:00"/>
    <x v="2"/>
    <s v="OK"/>
    <m/>
    <m/>
    <m/>
    <x v="7"/>
  </r>
  <r>
    <s v="PROTECTION"/>
    <s v="RL_ESTT_CLLTRL_LCTN_INT"/>
    <x v="1"/>
    <s v="7. Analisar controlos e completude"/>
    <s v="NOK"/>
    <s v="Controlos NOK"/>
    <m/>
    <s v="Não"/>
    <d v="2024-06-07T00:00:00"/>
    <x v="5"/>
    <s v="NOK"/>
    <m/>
    <m/>
    <m/>
    <x v="6"/>
  </r>
  <r>
    <s v="PROTECTION"/>
    <s v="RL_ESTT_CTY"/>
    <x v="1"/>
    <s v="7. Analisar controlos e completude"/>
    <s v="NOK"/>
    <s v="Controlos NOK"/>
    <m/>
    <s v="Não"/>
    <d v="2024-06-07T00:00:00"/>
    <x v="5"/>
    <s v="NOK"/>
    <m/>
    <m/>
    <m/>
    <x v="6"/>
  </r>
  <r>
    <s v="PROTECTION"/>
    <s v="RL_ESTT_PST_CD"/>
    <x v="0"/>
    <s v="7. Analisar controlos e completude"/>
    <s v="NOK"/>
    <s v="Controlos NOK"/>
    <m/>
    <s v="Não"/>
    <d v="2024-06-07T00:00:00"/>
    <x v="5"/>
    <s v="NOK"/>
    <m/>
    <m/>
    <m/>
    <x v="6"/>
  </r>
  <r>
    <s v="INSTRUMENT"/>
    <s v="RRE_FNRP18"/>
    <x v="1"/>
    <s v="9. Concluído"/>
    <s v="OK"/>
    <s v="Concluido, controlos OK"/>
    <m/>
    <s v="Campo Fechado"/>
    <d v="2024-06-07T00:00:00"/>
    <x v="0"/>
    <s v="OK"/>
    <m/>
    <m/>
    <m/>
    <x v="0"/>
  </r>
  <r>
    <s v="ENTITY"/>
    <s v="RTNG_MTHD"/>
    <x v="0"/>
    <s v="5.1 Em testes - Re-especificação"/>
    <s v="NOK"/>
    <s v="Em testes, campo entregue por IT durante a OSI. Testar e validar controlos"/>
    <m/>
    <s v="Sim"/>
    <d v="2024-06-07T00:00:00"/>
    <x v="8"/>
    <s v="NOK"/>
    <m/>
    <d v="2024-02-16T00:00:00"/>
    <d v="2024-03-21T00:00:00"/>
    <x v="3"/>
  </r>
  <r>
    <s v="INSTRUMENT"/>
    <s v="RTNG_MTHD"/>
    <x v="0"/>
    <s v="5.1 Em testes - Re-especificação"/>
    <s v="NOK"/>
    <s v="Em testes, campo entregue por IT durante a OSI. Testar e validar controlos"/>
    <m/>
    <s v="Sim"/>
    <d v="2024-06-07T00:00:00"/>
    <x v="8"/>
    <s v="NOK"/>
    <m/>
    <d v="2024-02-16T00:00:00"/>
    <d v="2024-03-21T00:00:00"/>
    <x v="3"/>
  </r>
  <r>
    <s v="ENTITY"/>
    <s v="RTNG_SCL"/>
    <x v="0"/>
    <s v="9. Concluído"/>
    <s v="OK"/>
    <s v="Concluido, controlos OK"/>
    <m/>
    <s v="Campo Fechado"/>
    <d v="2024-06-07T00:00:00"/>
    <x v="0"/>
    <s v="OK"/>
    <m/>
    <m/>
    <m/>
    <x v="0"/>
  </r>
  <r>
    <s v="INSTRUMENT"/>
    <s v="RTNG_SCL"/>
    <x v="0"/>
    <s v="9. Concluído"/>
    <s v="OK"/>
    <s v="Concluido, controlos OK"/>
    <m/>
    <s v="Campo Fechado"/>
    <d v="2024-06-07T00:00:00"/>
    <x v="0"/>
    <s v="OK"/>
    <m/>
    <m/>
    <m/>
    <x v="0"/>
  </r>
  <r>
    <s v="INSTRUMENT"/>
    <s v="RTNTN_SHR"/>
    <x v="1"/>
    <s v="6. Outros Desenvolvimentos"/>
    <s v="OK"/>
    <s v="Em implementação IT BST (Sindicados)"/>
    <s v="Aguarda desenvolvimentos nas plataformas Loan IQ e Mercurio"/>
    <s v="Não"/>
    <d v="2024-06-07T00:00:00"/>
    <x v="9"/>
    <s v="OK"/>
    <m/>
    <m/>
    <m/>
    <x v="2"/>
  </r>
  <r>
    <s v="INSTRUMENT"/>
    <s v="RWA"/>
    <x v="0"/>
    <s v="5.1 Em testes - Re-especificação"/>
    <s v="OK"/>
    <s v="Em testes. Campo com incidências, mas corrigida na LT no âmbito da OSI."/>
    <m/>
    <s v="Sim"/>
    <d v="2024-06-20T00:00:00"/>
    <x v="8"/>
    <s v="NOK"/>
    <s v="Campo com incidência para um contrato que tem valores de ead e rwa negativos._x000a_A fonte (CT013) tem um valor muito superior, isto significa que provavelmente existem várias chaves FR para uma chave BDR. Fomos ao tradutor verificar e de facto existem 10 chaves FR para uma BDR_x000a_Sabemos que os campos EAD e RWA são desagragados pelo &quot;saldo capital&quot; nas várias chaves FR, onde &quot;saldo capital&quot; é obtido através das contas cargabal, cruzamento fr802 e cruzamento com matriz de contas CT805 para o nome perimentro corporativo_x000a_Verificamos que o aprovisionamento do campo está correto de acordo com as regras especificadas"/>
    <d v="2024-02-16T00:00:00"/>
    <d v="2024-03-21T00:00:00"/>
    <x v="1"/>
  </r>
  <r>
    <s v="INSTRUMENT"/>
    <s v="DT_LGL_FNL_MTRTY"/>
    <x v="0"/>
    <s v="5.2 Em testes - Incidência"/>
    <s v="NOK"/>
    <s v="Controlos NOK e com Incidência nos formatos. "/>
    <s v="Alterarção formato de 99999999 para 1111-11-11."/>
    <s v="Sim"/>
    <d v="2024-06-07T00:00:00"/>
    <x v="1"/>
    <s v="NOK"/>
    <m/>
    <m/>
    <m/>
    <x v="1"/>
  </r>
  <r>
    <s v="INSTRUMENT"/>
    <s v="SBJCT_PBLC_GRNT_SCHM_C19"/>
    <x v="1"/>
    <s v="9. Concluído"/>
    <s v="OK"/>
    <s v="Concluido, controlos OK"/>
    <m/>
    <s v="Campo Fechado"/>
    <d v="2024-06-07T00:00:00"/>
    <x v="0"/>
    <s v="OK"/>
    <m/>
    <m/>
    <m/>
    <x v="0"/>
  </r>
  <r>
    <s v="INSTRUMENT"/>
    <s v="DT_NXT_INTRST_RT_RST"/>
    <x v="0"/>
    <s v="5.2 Em testes - Incidência"/>
    <s v="NOK"/>
    <s v="Controlos NOK e com Incidência nos formatos."/>
    <s v=" Alteração formato de 0001-01-01 para 0000-00-00."/>
    <s v="Sim"/>
    <d v="2024-06-07T00:00:00"/>
    <x v="1"/>
    <s v="NOK"/>
    <m/>
    <m/>
    <m/>
    <x v="1"/>
  </r>
  <r>
    <s v="INSTRUMENT"/>
    <s v="SME_FNRP18"/>
    <x v="0"/>
    <s v="9. Concluído"/>
    <s v="OK"/>
    <s v="Concluido, controlos OK"/>
    <m/>
    <s v="Campo Fechado"/>
    <d v="2024-06-07T00:00:00"/>
    <x v="0"/>
    <s v="OK"/>
    <m/>
    <m/>
    <m/>
    <x v="0"/>
  </r>
  <r>
    <s v="ENTITY"/>
    <s v="SNGL_PRPS_VHCL"/>
    <x v="1"/>
    <s v="9. Concluído"/>
    <s v="OK"/>
    <s v="Concluido, controlos OK"/>
    <m/>
    <s v="Campo Fechado"/>
    <d v="2024-06-07T00:00:00"/>
    <x v="0"/>
    <s v="OK"/>
    <m/>
    <m/>
    <m/>
    <x v="0"/>
  </r>
  <r>
    <s v="INSTRUMENT"/>
    <s v="SPCLTV_LNDNG"/>
    <x v="1"/>
    <s v="7. Analisar controlos e completude"/>
    <s v="NOK"/>
    <s v="Controlos NOK"/>
    <m/>
    <s v="Não"/>
    <d v="2024-06-07T00:00:00"/>
    <x v="5"/>
    <s v="NOK"/>
    <m/>
    <m/>
    <m/>
    <x v="6"/>
  </r>
  <r>
    <s v="INSTRUMENT"/>
    <s v="SPNSR_NM"/>
    <x v="1"/>
    <s v="8. Concluído - sem dados"/>
    <s v="OK"/>
    <s v="Campo especificado, mas sem dados. Campo marcado com MISS ou NA"/>
    <m/>
    <s v="Campo Fechado"/>
    <d v="2024-06-07T00:00:00"/>
    <x v="6"/>
    <s v="OK"/>
    <m/>
    <m/>
    <m/>
    <x v="7"/>
  </r>
  <r>
    <s v="INSTRUMENT"/>
    <s v="SPRD"/>
    <x v="1"/>
    <s v="9. Concluído"/>
    <s v="OK"/>
    <s v="Concluido, controlos OK"/>
    <m/>
    <s v="Campo Fechado"/>
    <d v="2024-06-07T00:00:00"/>
    <x v="0"/>
    <s v="OK"/>
    <m/>
    <m/>
    <m/>
    <x v="0"/>
  </r>
  <r>
    <s v="INSTRUMENT"/>
    <s v="SRCS_ENCMBRNC"/>
    <x v="1"/>
    <s v="9. Concluído"/>
    <s v="OK"/>
    <s v="Concluido, controlos OK"/>
    <m/>
    <s v="Campo Fechado"/>
    <d v="2024-06-07T00:00:00"/>
    <x v="0"/>
    <s v="OK"/>
    <m/>
    <m/>
    <m/>
    <x v="0"/>
  </r>
  <r>
    <s v="INSTRUMENT"/>
    <s v="STTS_UNDRWRTTN_TRNSCTN"/>
    <x v="1"/>
    <s v="6. Outros Desenvolvimentos"/>
    <s v="OK"/>
    <s v="Em implementação IT BST (Sindicados)"/>
    <s v="Aguarda desenvolvimentos nas plataformas Loan IQ e Mercurio"/>
    <s v="Não"/>
    <d v="2024-06-07T00:00:00"/>
    <x v="9"/>
    <s v="OK"/>
    <m/>
    <m/>
    <m/>
    <x v="2"/>
  </r>
  <r>
    <s v="INSTRUMENT"/>
    <s v="SUBPORTFOLIO_ID"/>
    <x v="0"/>
    <s v="9. Concluído"/>
    <s v="OK"/>
    <s v="Concluido, controlos OK"/>
    <m/>
    <s v="Campo Fechado"/>
    <d v="2024-06-07T00:00:00"/>
    <x v="0"/>
    <s v="OK"/>
    <m/>
    <m/>
    <m/>
    <x v="0"/>
  </r>
  <r>
    <s v="INSTRUMENT"/>
    <s v="SYNDCT_RL"/>
    <x v="1"/>
    <s v="6. Outros Desenvolvimentos"/>
    <s v="OK"/>
    <s v="Em implementação IT BST (Sindicados)"/>
    <s v="Aguarda desenvolvimentos nas plataformas Loan IQ e Mercurio"/>
    <s v="Não"/>
    <d v="2024-06-07T00:00:00"/>
    <x v="9"/>
    <s v="OK"/>
    <m/>
    <m/>
    <m/>
    <x v="2"/>
  </r>
  <r>
    <s v="INSTRUMENT"/>
    <s v="SYNDCTD_AGNT"/>
    <x v="0"/>
    <s v="6. Outros Desenvolvimentos"/>
    <s v="OK"/>
    <s v="Em implementação IT BST (Sindicados)"/>
    <s v="Aguarda desenvolvimentos nas plataformas Loan IQ e Mercurio"/>
    <s v="Não"/>
    <d v="2024-06-07T00:00:00"/>
    <x v="9"/>
    <s v="OK"/>
    <m/>
    <m/>
    <m/>
    <x v="2"/>
  </r>
  <r>
    <s v="INSTRUMENT"/>
    <s v="SYNDCTD_CNTRCT_ID"/>
    <x v="0"/>
    <s v="6. Outros Desenvolvimentos"/>
    <s v="OK"/>
    <s v="Em implementação IT BST (Sindicados)"/>
    <s v="Aguarda desenvolvimentos nas plataformas Loan IQ e Mercurio"/>
    <s v="Não"/>
    <d v="2024-06-07T00:00:00"/>
    <x v="9"/>
    <s v="OK"/>
    <m/>
    <m/>
    <m/>
    <x v="2"/>
  </r>
  <r>
    <s v="INSTRUMENT"/>
    <s v="SYNDCTD_LNDRS"/>
    <x v="0"/>
    <s v="6. Outros Desenvolvimentos"/>
    <s v="OK"/>
    <s v="Em implementação IT BST (Sindicados)"/>
    <s v="Aguarda desenvolvimentos nas plataformas Loan IQ e Mercurio"/>
    <s v="Não"/>
    <d v="2024-06-07T00:00:00"/>
    <x v="9"/>
    <s v="OK"/>
    <m/>
    <m/>
    <m/>
    <x v="2"/>
  </r>
  <r>
    <s v="INSTRUMENT"/>
    <s v="SYNDCTD_SHR"/>
    <x v="0"/>
    <s v="6. Outros Desenvolvimentos"/>
    <s v="OK"/>
    <s v="Em implementação IT BST (Sindicados)"/>
    <s v="Aguarda desenvolvimentos nas plataformas Loan IQ e Mercurio"/>
    <s v="Não"/>
    <d v="2024-06-07T00:00:00"/>
    <x v="9"/>
    <s v="OK"/>
    <m/>
    <m/>
    <m/>
    <x v="2"/>
  </r>
  <r>
    <s v="INSTRUMENT"/>
    <s v="SYNDCTN_TYP"/>
    <x v="1"/>
    <s v="6. Outros Desenvolvimentos"/>
    <s v="OK"/>
    <s v="Em implementação IT BST (Sindicados)"/>
    <s v="Aguarda desenvolvimentos nas plataformas Loan IQ e Mercurio"/>
    <s v="Não"/>
    <d v="2024-06-07T00:00:00"/>
    <x v="9"/>
    <s v="OK"/>
    <m/>
    <m/>
    <m/>
    <x v="2"/>
  </r>
  <r>
    <s v="ENTITY"/>
    <s v="TAX_ID"/>
    <x v="1"/>
    <s v="7. Analisar controlos e completude"/>
    <s v="NOK"/>
    <s v="Campo especificado, mas com problemas a montante"/>
    <m/>
    <s v="Não"/>
    <d v="2024-06-07T00:00:00"/>
    <x v="5"/>
    <s v="NOK"/>
    <m/>
    <m/>
    <m/>
    <x v="6"/>
  </r>
  <r>
    <s v="PROTECTION"/>
    <s v="TAX_ID"/>
    <x v="1"/>
    <s v="7. Analisar controlos e completude"/>
    <s v="NOK"/>
    <s v="Concluido, controlos por parte de Riscos"/>
    <m/>
    <s v="Não"/>
    <d v="2024-06-07T00:00:00"/>
    <x v="5"/>
    <s v="NOK"/>
    <m/>
    <m/>
    <m/>
    <x v="6"/>
  </r>
  <r>
    <s v="INSTR_PROTECTION"/>
    <s v="THRD_PRTY_PRRTY_CLMS"/>
    <x v="0"/>
    <s v="9. Concluído"/>
    <s v="OK"/>
    <s v="Concluido, controlos OK"/>
    <m/>
    <s v="Campo Fechado"/>
    <d v="2024-06-07T00:00:00"/>
    <x v="0"/>
    <s v="OK"/>
    <m/>
    <m/>
    <m/>
    <x v="0"/>
  </r>
  <r>
    <s v="INSTRUMENT"/>
    <s v="TRNCH"/>
    <x v="1"/>
    <s v="6. Outros Desenvolvimentos"/>
    <s v="OK"/>
    <s v="Em implementação IT BST (Sindicados)"/>
    <s v="Aguarda desenvolvimentos nas plataformas Loan IQ e Mercurio"/>
    <s v="Não"/>
    <d v="2024-06-07T00:00:00"/>
    <x v="9"/>
    <s v="OK"/>
    <m/>
    <m/>
    <m/>
    <x v="2"/>
  </r>
  <r>
    <s v="ENTITY"/>
    <s v="TTL_DBT"/>
    <x v="0"/>
    <s v="2. Alterar especificação"/>
    <s v="OK"/>
    <s v="Em especificação (Financial Statments CIB)"/>
    <s v="Campo implementação, mas com falta de informação para o segmento de clientes CIB"/>
    <s v="Não"/>
    <d v="2024-06-07T00:00:00"/>
    <x v="2"/>
    <s v="OK"/>
    <m/>
    <m/>
    <m/>
    <x v="2"/>
  </r>
  <r>
    <s v="ENTITY"/>
    <s v="TTL_DBT_PRVS"/>
    <x v="0"/>
    <s v="2. Alterar especificação"/>
    <s v="OK"/>
    <s v="Em especificação (Financial Statments CIB)"/>
    <s v="Campo implementação, mas com falta de informação para o segmento de clientes CIB"/>
    <s v="Não"/>
    <d v="2024-06-07T00:00:00"/>
    <x v="2"/>
    <s v="OK"/>
    <m/>
    <m/>
    <m/>
    <x v="2"/>
  </r>
  <r>
    <s v="INSTRUMENT"/>
    <s v="ACCRD_INTRST_INSTRMNT"/>
    <x v="0"/>
    <s v="2. Alterar especificação"/>
    <s v="OK"/>
    <s v="Alterar especificação (Área enviou nova metodologia do campo)"/>
    <m/>
    <s v="Não"/>
    <d v="2024-06-07T00:00:00"/>
    <x v="2"/>
    <s v="OK"/>
    <m/>
    <m/>
    <m/>
    <x v="2"/>
  </r>
  <r>
    <s v="ENTITY"/>
    <s v="TTL_LVRG_RT"/>
    <x v="1"/>
    <s v="9. Concluído"/>
    <s v="OK"/>
    <s v="Concluido, controlos OK"/>
    <m/>
    <s v="Campo Fechado"/>
    <d v="2024-06-07T00:00:00"/>
    <x v="0"/>
    <s v="OK"/>
    <m/>
    <m/>
    <m/>
    <x v="0"/>
  </r>
  <r>
    <s v="ENTITY"/>
    <s v="TTL_LVRG_RT_PRVS"/>
    <x v="1"/>
    <s v="9. Concluído"/>
    <s v="OK"/>
    <s v="Concluido, controlos OK"/>
    <m/>
    <s v="Campo Fechado"/>
    <d v="2024-06-07T00:00:00"/>
    <x v="0"/>
    <s v="OK"/>
    <m/>
    <m/>
    <m/>
    <x v="0"/>
  </r>
  <r>
    <s v="INSTRUMENT"/>
    <s v="TYP_AMRTSTN"/>
    <x v="0"/>
    <s v="3. Pendente de decisão"/>
    <s v="NOK"/>
    <s v="Verificar necessidade de alteração da fonte para fins de reconciliação. Rever Fonte"/>
    <s v="Foi decisão que a informação a reportar deveria reconciliar com a informação de imparidade e por essa mesma razão não se utilizou os dados da LT. Rever se devemos utilizar a informação de IFRS9 ou manter a de alm"/>
    <s v="Sim"/>
    <d v="2024-06-07T00:00:00"/>
    <x v="4"/>
    <s v="NOK"/>
    <m/>
    <m/>
    <m/>
    <x v="5"/>
  </r>
  <r>
    <s v="INSTRUMENT"/>
    <s v="TYP_CMPLNT_MRTR_C19"/>
    <x v="1"/>
    <s v="9. Concluído"/>
    <s v="OK"/>
    <s v="Concluido, controlos OK"/>
    <m/>
    <s v="Campo Fechado"/>
    <d v="2024-06-07T00:00:00"/>
    <x v="0"/>
    <s v="OK"/>
    <m/>
    <m/>
    <m/>
    <x v="0"/>
  </r>
  <r>
    <s v="INSTRUMENT"/>
    <s v="TYP_CRE_OPRTN"/>
    <x v="1"/>
    <s v="7. Analisar controlos e completude"/>
    <s v="NOK"/>
    <s v="Controlos NOK"/>
    <m/>
    <s v="Não"/>
    <d v="2024-06-07T00:00:00"/>
    <x v="5"/>
    <s v="NOK"/>
    <m/>
    <m/>
    <m/>
    <x v="6"/>
  </r>
  <r>
    <s v="INSTRUMENT"/>
    <s v="TYP_INSTRMNT"/>
    <x v="0"/>
    <s v="9. Concluído"/>
    <s v="OK"/>
    <s v="Concluido, controlos OK"/>
    <m/>
    <s v="Campo Fechado"/>
    <d v="2024-06-07T00:00:00"/>
    <x v="0"/>
    <s v="OK"/>
    <m/>
    <m/>
    <m/>
    <x v="0"/>
  </r>
  <r>
    <s v="INSTRUMENT"/>
    <s v="TYP_INTRST_RT"/>
    <x v="0"/>
    <s v="9. Concluído"/>
    <s v="OK"/>
    <s v="Concluido, controlos OK"/>
    <m/>
    <s v="Campo Fechado"/>
    <d v="2024-06-07T00:00:00"/>
    <x v="0"/>
    <s v="OK"/>
    <m/>
    <m/>
    <m/>
    <x v="0"/>
  </r>
  <r>
    <s v="PROTECTION"/>
    <s v="PRTCTN_VL"/>
    <x v="0"/>
    <s v="5.2 Em testes - Incidência"/>
    <s v="OK"/>
    <s v="Campo com incidência"/>
    <s v="Incidências: Casos em que valor é 0"/>
    <s v="Sim"/>
    <d v="2024-09-27T00:00:00"/>
    <x v="1"/>
    <s v="NOK"/>
    <s v="44 garantias com valor zero."/>
    <m/>
    <m/>
    <x v="1"/>
  </r>
  <r>
    <s v="PROTECTION"/>
    <s v="PRTCTN_VL_NPE"/>
    <x v="0"/>
    <s v="5.1 Em testes - Re-especificação"/>
    <s v="OK"/>
    <s v="Campo depende do histórico do PRFRMNG_STTS. Não é necessário alterar a especificação do mesmo, apenas testar se a metodologia do campo PRFRMNG_STTS for alterada. "/>
    <m/>
    <s v="Sim"/>
    <d v="2024-10-03T00:00:00"/>
    <x v="8"/>
    <s v="OK"/>
    <m/>
    <m/>
    <m/>
    <x v="5"/>
  </r>
  <r>
    <s v="PROTECTION"/>
    <s v="TYP_PRTCTN_INTRNL"/>
    <x v="0"/>
    <s v="7. Analisar controlos e completude"/>
    <s v="NOK"/>
    <s v="Controlos NOK"/>
    <m/>
    <s v="Não"/>
    <d v="2024-06-07T00:00:00"/>
    <x v="5"/>
    <s v="NOK"/>
    <m/>
    <m/>
    <m/>
    <x v="6"/>
  </r>
  <r>
    <s v="PROTECTION"/>
    <s v="TYP_PRTCTN_VL"/>
    <x v="0"/>
    <s v="7. Analisar controlos e completude"/>
    <s v="NOK"/>
    <s v="Controlos NOK"/>
    <m/>
    <s v="Não"/>
    <d v="2024-06-07T00:00:00"/>
    <x v="5"/>
    <s v="NOK"/>
    <m/>
    <m/>
    <m/>
    <x v="6"/>
  </r>
  <r>
    <s v="INSTRUMENT"/>
    <s v="TYPE_OF_PLCMNT"/>
    <x v="1"/>
    <s v="9. Concluído"/>
    <s v="OK"/>
    <s v="Concluido, controlos OK"/>
    <m/>
    <s v="Campo Fechado"/>
    <d v="2024-06-07T00:00:00"/>
    <x v="0"/>
    <s v="OK"/>
    <m/>
    <m/>
    <m/>
    <x v="0"/>
  </r>
  <r>
    <s v="INSTRUMENT"/>
    <s v="VLTN_CRRNCY"/>
    <x v="1"/>
    <s v="9. Concluído"/>
    <s v="OK"/>
    <s v="Concluido, controlos OK"/>
    <m/>
    <s v="Campo Fechado"/>
    <d v="2024-06-07T00:00:00"/>
    <x v="0"/>
    <s v="OK"/>
    <m/>
    <m/>
    <m/>
    <x v="0"/>
  </r>
  <r>
    <s v="INSTRUMENT"/>
    <s v="VLTN_TYP"/>
    <x v="1"/>
    <s v="9. Concluído"/>
    <s v="OK"/>
    <s v="Concluido, controlos OK"/>
    <m/>
    <s v="Campo Fechado"/>
    <d v="2024-06-07T00:00:00"/>
    <x v="0"/>
    <s v="OK"/>
    <m/>
    <m/>
    <m/>
    <x v="0"/>
  </r>
  <r>
    <s v="ENTITY"/>
    <s v="WTCH_LST"/>
    <x v="0"/>
    <s v="9. Concluído"/>
    <s v="OK"/>
    <s v="Concluido, controlos OK"/>
    <m/>
    <s v="Campo Fechado"/>
    <d v="2024-06-07T00:00:00"/>
    <x v="0"/>
    <s v="OK"/>
    <m/>
    <m/>
    <m/>
    <x v="0"/>
  </r>
  <r>
    <s v="PROTECTION"/>
    <s v="YR_CNSTRCTN"/>
    <x v="1"/>
    <s v="1. Especificar"/>
    <s v="OK"/>
    <s v="Em especificação (Campos Novos)"/>
    <m/>
    <s v="Não"/>
    <d v="2024-06-07T00:00:00"/>
    <x v="3"/>
    <s v="OK"/>
    <m/>
    <m/>
    <m/>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9:V26" firstHeaderRow="1" firstDataRow="1" firstDataCol="1" rowPageCount="1" colPageCount="1"/>
  <pivotFields count="15">
    <pivotField showAll="0"/>
    <pivotField showAll="0"/>
    <pivotField axis="axisRow" showAll="0">
      <items count="3">
        <item x="1"/>
        <item x="0"/>
        <item t="default"/>
      </items>
    </pivotField>
    <pivotField showAll="0"/>
    <pivotField showAll="0"/>
    <pivotField showAll="0"/>
    <pivotField showAll="0"/>
    <pivotField showAll="0"/>
    <pivotField numFmtId="14" showAll="0"/>
    <pivotField axis="axisPage" multipleItemSelectionAllowed="1" showAll="0">
      <items count="16">
        <item x="3"/>
        <item m="1" x="14"/>
        <item x="2"/>
        <item x="4"/>
        <item m="1" x="12"/>
        <item m="1" x="13"/>
        <item m="1" x="11"/>
        <item x="5"/>
        <item x="6"/>
        <item x="0"/>
        <item x="1"/>
        <item x="7"/>
        <item x="8"/>
        <item m="1" x="10"/>
        <item x="9"/>
        <item t="default"/>
      </items>
    </pivotField>
    <pivotField showAll="0"/>
    <pivotField showAll="0"/>
    <pivotField showAll="0"/>
    <pivotField showAll="0"/>
    <pivotField axis="axisRow" dataField="1" showAll="0">
      <items count="21">
        <item m="1" x="8"/>
        <item m="1" x="17"/>
        <item m="1" x="11"/>
        <item m="1" x="16"/>
        <item m="1" x="12"/>
        <item x="3"/>
        <item x="6"/>
        <item m="1" x="15"/>
        <item m="1" x="14"/>
        <item m="1" x="10"/>
        <item m="1" x="9"/>
        <item m="1" x="19"/>
        <item m="1" x="13"/>
        <item x="2"/>
        <item m="1" x="18"/>
        <item x="4"/>
        <item x="1"/>
        <item x="5"/>
        <item x="7"/>
        <item x="0"/>
        <item t="default"/>
      </items>
    </pivotField>
  </pivotFields>
  <rowFields count="2">
    <field x="2"/>
    <field x="14"/>
  </rowFields>
  <rowItems count="17">
    <i>
      <x/>
    </i>
    <i r="1">
      <x v="6"/>
    </i>
    <i r="1">
      <x v="13"/>
    </i>
    <i r="1">
      <x v="15"/>
    </i>
    <i r="1">
      <x v="16"/>
    </i>
    <i r="1">
      <x v="18"/>
    </i>
    <i r="1">
      <x v="19"/>
    </i>
    <i>
      <x v="1"/>
    </i>
    <i r="1">
      <x v="5"/>
    </i>
    <i r="1">
      <x v="6"/>
    </i>
    <i r="1">
      <x v="13"/>
    </i>
    <i r="1">
      <x v="15"/>
    </i>
    <i r="1">
      <x v="16"/>
    </i>
    <i r="1">
      <x v="17"/>
    </i>
    <i r="1">
      <x v="18"/>
    </i>
    <i r="1">
      <x v="19"/>
    </i>
    <i t="grand">
      <x/>
    </i>
  </rowItems>
  <colItems count="1">
    <i/>
  </colItems>
  <pageFields count="1">
    <pageField fld="9" hier="-1"/>
  </pageFields>
  <dataFields count="1">
    <dataField name="Count of Categorização" fld="14" subtotal="count" baseField="0" baseItem="0"/>
  </dataFields>
  <formats count="13">
    <format dxfId="44">
      <pivotArea dataOnly="0" labelOnly="1" fieldPosition="0">
        <references count="2">
          <reference field="2" count="1" selected="0">
            <x v="1"/>
          </reference>
          <reference field="14" count="1">
            <x v="10"/>
          </reference>
        </references>
      </pivotArea>
    </format>
    <format dxfId="43">
      <pivotArea dataOnly="0" labelOnly="1" fieldPosition="0">
        <references count="2">
          <reference field="2" count="1" selected="0">
            <x v="0"/>
          </reference>
          <reference field="14" count="1">
            <x v="10"/>
          </reference>
        </references>
      </pivotArea>
    </format>
    <format dxfId="42">
      <pivotArea dataOnly="0" labelOnly="1" fieldPosition="0">
        <references count="1">
          <reference field="2" count="1">
            <x v="1"/>
          </reference>
        </references>
      </pivotArea>
    </format>
    <format dxfId="41">
      <pivotArea dataOnly="0" labelOnly="1" fieldPosition="0">
        <references count="2">
          <reference field="2" count="1" selected="0">
            <x v="0"/>
          </reference>
          <reference field="14" count="5">
            <x v="6"/>
            <x v="13"/>
            <x v="15"/>
            <x v="16"/>
            <x v="18"/>
          </reference>
        </references>
      </pivotArea>
    </format>
    <format dxfId="40">
      <pivotArea dataOnly="0" labelOnly="1" fieldPosition="0">
        <references count="2">
          <reference field="2" count="1" selected="0">
            <x v="1"/>
          </reference>
          <reference field="14" count="7">
            <x v="0"/>
            <x v="5"/>
            <x v="6"/>
            <x v="13"/>
            <x v="15"/>
            <x v="16"/>
            <x v="17"/>
          </reference>
        </references>
      </pivotArea>
    </format>
    <format dxfId="39">
      <pivotArea collapsedLevelsAreSubtotals="1" fieldPosition="0">
        <references count="2">
          <reference field="2" count="1" selected="0">
            <x v="0"/>
          </reference>
          <reference field="14" count="1">
            <x v="16"/>
          </reference>
        </references>
      </pivotArea>
    </format>
    <format dxfId="38">
      <pivotArea dataOnly="0" labelOnly="1" fieldPosition="0">
        <references count="2">
          <reference field="2" count="1" selected="0">
            <x v="0"/>
          </reference>
          <reference field="14" count="1">
            <x v="16"/>
          </reference>
        </references>
      </pivotArea>
    </format>
    <format dxfId="37">
      <pivotArea collapsedLevelsAreSubtotals="1" fieldPosition="0">
        <references count="2">
          <reference field="2" count="1" selected="0">
            <x v="1"/>
          </reference>
          <reference field="14" count="1">
            <x v="5"/>
          </reference>
        </references>
      </pivotArea>
    </format>
    <format dxfId="36">
      <pivotArea dataOnly="0" labelOnly="1" fieldPosition="0">
        <references count="2">
          <reference field="2" count="1" selected="0">
            <x v="1"/>
          </reference>
          <reference field="14" count="1">
            <x v="5"/>
          </reference>
        </references>
      </pivotArea>
    </format>
    <format dxfId="35">
      <pivotArea collapsedLevelsAreSubtotals="1" fieldPosition="0">
        <references count="2">
          <reference field="2" count="1" selected="0">
            <x v="1"/>
          </reference>
          <reference field="14" count="2">
            <x v="16"/>
            <x v="17"/>
          </reference>
        </references>
      </pivotArea>
    </format>
    <format dxfId="34">
      <pivotArea dataOnly="0" labelOnly="1" fieldPosition="0">
        <references count="2">
          <reference field="2" count="1" selected="0">
            <x v="1"/>
          </reference>
          <reference field="14" count="2">
            <x v="16"/>
            <x v="17"/>
          </reference>
        </references>
      </pivotArea>
    </format>
    <format dxfId="33">
      <pivotArea collapsedLevelsAreSubtotals="1" fieldPosition="0">
        <references count="2">
          <reference field="2" count="1" selected="0">
            <x v="1"/>
          </reference>
          <reference field="14" count="1">
            <x v="5"/>
          </reference>
        </references>
      </pivotArea>
    </format>
    <format dxfId="32">
      <pivotArea dataOnly="0" labelOnly="1" fieldPosition="0">
        <references count="2">
          <reference field="2" count="1" selected="0">
            <x v="1"/>
          </reference>
          <reference field="14" count="1">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F9ACFC-963B-4792-9D61-9481D3AA110D}" name="PivotTable10"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Quick Win" colHeaderCaption="OSI VS FORA OSI">
  <location ref="I12:O18" firstHeaderRow="1" firstDataRow="3" firstDataCol="1" rowPageCount="1" colPageCount="1"/>
  <pivotFields count="23">
    <pivotField showAll="0"/>
    <pivotField dataField="1" showAll="0"/>
    <pivotField axis="axisCol" showAll="0">
      <items count="3">
        <item x="1"/>
        <item x="0"/>
        <item t="default"/>
      </items>
    </pivotField>
    <pivotField showAll="0"/>
    <pivotField showAll="0"/>
    <pivotField showAll="0"/>
    <pivotField showAll="0"/>
    <pivotField axis="axisRow" showAll="0">
      <items count="4">
        <item x="0"/>
        <item x="2"/>
        <item x="1"/>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5">
        <item h="1" x="1"/>
        <item x="0"/>
        <item h="1" x="3"/>
        <item h="1" x="2"/>
        <item t="default"/>
      </items>
    </pivotField>
    <pivotField showAll="0"/>
  </pivotFields>
  <rowFields count="1">
    <field x="7"/>
  </rowFields>
  <rowItems count="4">
    <i>
      <x/>
    </i>
    <i>
      <x v="1"/>
    </i>
    <i>
      <x v="2"/>
    </i>
    <i t="grand">
      <x/>
    </i>
  </rowItems>
  <colFields count="2">
    <field x="2"/>
    <field x="-2"/>
  </colFields>
  <colItems count="6">
    <i>
      <x/>
      <x/>
    </i>
    <i r="1" i="1">
      <x v="1"/>
    </i>
    <i>
      <x v="1"/>
      <x/>
    </i>
    <i r="1" i="1">
      <x v="1"/>
    </i>
    <i t="grand">
      <x/>
    </i>
    <i t="grand" i="1">
      <x/>
    </i>
  </colItems>
  <pageFields count="1">
    <pageField fld="21" hier="-1"/>
  </pageFields>
  <dataFields count="2">
    <dataField name="#" fld="1" subtotal="count" baseField="5" baseItem="0"/>
    <dataField name="%" fld="1" subtotal="count" showDataAs="percentOfTotal" baseField="5" baseItem="0" numFmtId="10"/>
  </dataFields>
  <formats count="10">
    <format dxfId="54">
      <pivotArea outline="0" collapsedLevelsAreSubtotals="1" fieldPosition="0">
        <references count="2">
          <reference field="4294967294" count="1" selected="0">
            <x v="1"/>
          </reference>
          <reference field="2" count="1" selected="0">
            <x v="1"/>
          </reference>
        </references>
      </pivotArea>
    </format>
    <format dxfId="53">
      <pivotArea outline="0" collapsedLevelsAreSubtotals="1" fieldPosition="0">
        <references count="2">
          <reference field="4294967294" count="1" selected="0">
            <x v="1"/>
          </reference>
          <reference field="2" count="1" selected="0">
            <x v="0"/>
          </reference>
        </references>
      </pivotArea>
    </format>
    <format dxfId="52">
      <pivotArea field="2" grandCol="1" outline="0" collapsedLevelsAreSubtotals="1" axis="axisCol" fieldPosition="0">
        <references count="1">
          <reference field="4294967294" count="1" selected="0">
            <x v="1"/>
          </reference>
        </references>
      </pivotArea>
    </format>
    <format dxfId="51">
      <pivotArea type="all" dataOnly="0" outline="0" fieldPosition="0"/>
    </format>
    <format dxfId="50">
      <pivotArea outline="0" collapsedLevelsAreSubtotals="1" fieldPosition="0"/>
    </format>
    <format dxfId="49">
      <pivotArea dataOnly="0" labelOnly="1" outline="0" fieldPosition="0">
        <references count="2">
          <reference field="4294967294" count="2">
            <x v="0"/>
            <x v="1"/>
          </reference>
          <reference field="2" count="1" selected="0">
            <x v="0"/>
          </reference>
        </references>
      </pivotArea>
    </format>
    <format dxfId="48">
      <pivotArea dataOnly="0" labelOnly="1" outline="0" fieldPosition="0">
        <references count="2">
          <reference field="4294967294" count="2">
            <x v="0"/>
            <x v="1"/>
          </reference>
          <reference field="2" count="1" selected="0">
            <x v="1"/>
          </reference>
        </references>
      </pivotArea>
    </format>
    <format dxfId="47">
      <pivotArea dataOnly="0" labelOnly="1" fieldPosition="0">
        <references count="1">
          <reference field="2" count="0"/>
        </references>
      </pivotArea>
    </format>
    <format dxfId="46">
      <pivotArea field="2" dataOnly="0" labelOnly="1" grandCol="1" outline="0" axis="axisCol" fieldPosition="0">
        <references count="1">
          <reference field="4294967294" count="1" selected="0">
            <x v="0"/>
          </reference>
        </references>
      </pivotArea>
    </format>
    <format dxfId="45">
      <pivotArea field="2" dataOnly="0" labelOnly="1" grandCol="1" outline="0" axis="axisCol"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1F7AD5-90B1-4E17-A458-AEFE904E4957}" name="PivotTable7"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us Atual" colHeaderCaption="">
  <location ref="C12:F23" firstHeaderRow="1" firstDataRow="2" firstDataCol="1" rowPageCount="1" colPageCount="1"/>
  <pivotFields count="23">
    <pivotField showAll="0"/>
    <pivotField showAll="0"/>
    <pivotField axis="axisCol" showAll="0">
      <items count="3">
        <item x="1"/>
        <item x="0"/>
        <item t="default"/>
      </items>
    </pivotField>
    <pivotField showAll="0"/>
    <pivotField showAll="0"/>
    <pivotField showAll="0"/>
    <pivotField showAll="0"/>
    <pivotField showAll="0"/>
    <pivotField numFmtId="14" showAll="0"/>
    <pivotField axis="axisRow" dataField="1" showAll="0">
      <items count="11">
        <item x="3"/>
        <item x="2"/>
        <item x="4"/>
        <item x="7"/>
        <item x="8"/>
        <item x="1"/>
        <item x="9"/>
        <item x="5"/>
        <item x="6"/>
        <item x="0"/>
        <item t="default"/>
      </items>
    </pivotField>
    <pivotField showAll="0"/>
    <pivotField showAll="0"/>
    <pivotField showAll="0"/>
    <pivotField showAll="0"/>
    <pivotField showAll="0"/>
    <pivotField showAll="0"/>
    <pivotField showAll="0"/>
    <pivotField showAll="0"/>
    <pivotField showAll="0"/>
    <pivotField showAll="0"/>
    <pivotField showAll="0"/>
    <pivotField axis="axisPage" showAll="0">
      <items count="5">
        <item x="1"/>
        <item x="0"/>
        <item x="3"/>
        <item x="2"/>
        <item t="default"/>
      </items>
    </pivotField>
    <pivotField showAll="0"/>
  </pivotFields>
  <rowFields count="1">
    <field x="9"/>
  </rowFields>
  <rowItems count="10">
    <i>
      <x/>
    </i>
    <i>
      <x v="1"/>
    </i>
    <i>
      <x v="2"/>
    </i>
    <i>
      <x v="3"/>
    </i>
    <i>
      <x v="4"/>
    </i>
    <i>
      <x v="5"/>
    </i>
    <i>
      <x v="7"/>
    </i>
    <i>
      <x v="8"/>
    </i>
    <i>
      <x v="9"/>
    </i>
    <i t="grand">
      <x/>
    </i>
  </rowItems>
  <colFields count="1">
    <field x="2"/>
  </colFields>
  <colItems count="3">
    <i>
      <x/>
    </i>
    <i>
      <x v="1"/>
    </i>
    <i t="grand">
      <x/>
    </i>
  </colItems>
  <pageFields count="1">
    <pageField fld="21" item="1" hier="-1"/>
  </pageFields>
  <dataFields count="1">
    <dataField name="Count of Status Atual" fld="9" subtotal="count" baseField="0" baseItem="0"/>
  </dataFields>
  <formats count="3">
    <format dxfId="57">
      <pivotArea field="21" type="button" dataOnly="0" labelOnly="1" outline="0" axis="axisPage" fieldPosition="0"/>
    </format>
    <format dxfId="56">
      <pivotArea type="all" dataOnly="0" outline="0" fieldPosition="0"/>
    </format>
    <format dxfId="55">
      <pivotArea dataOnly="0" labelOnly="1" outline="0" fieldPosition="0">
        <references count="1">
          <reference field="21"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26"/>
  <sheetViews>
    <sheetView showGridLines="0" topLeftCell="A6" zoomScaleNormal="100" workbookViewId="0">
      <selection activeCell="A18" sqref="A18"/>
    </sheetView>
  </sheetViews>
  <sheetFormatPr defaultRowHeight="14.4" x14ac:dyDescent="0.3"/>
  <cols>
    <col min="1" max="1" width="3.33203125" customWidth="1"/>
    <col min="2" max="2" width="5.109375" customWidth="1"/>
    <col min="3" max="3" width="35.44140625" bestFit="1" customWidth="1"/>
    <col min="4" max="4" width="8" bestFit="1" customWidth="1"/>
    <col min="5" max="5" width="4" bestFit="1" customWidth="1"/>
    <col min="6" max="6" width="10.5546875" bestFit="1" customWidth="1"/>
    <col min="7" max="7" width="10.6640625" customWidth="1"/>
    <col min="8" max="8" width="8.5546875" bestFit="1" customWidth="1"/>
    <col min="9" max="9" width="15.5546875" bestFit="1" customWidth="1"/>
    <col min="10" max="10" width="17.6640625" bestFit="1" customWidth="1"/>
    <col min="11" max="11" width="8.44140625" customWidth="1"/>
    <col min="12" max="12" width="10.33203125" customWidth="1"/>
    <col min="13" max="13" width="4.5546875" bestFit="1" customWidth="1"/>
    <col min="14" max="14" width="11.33203125" customWidth="1"/>
    <col min="15" max="15" width="7.33203125" bestFit="1" customWidth="1"/>
    <col min="16" max="16" width="6.6640625" bestFit="1" customWidth="1"/>
    <col min="17" max="17" width="8.5546875" bestFit="1" customWidth="1"/>
    <col min="18" max="18" width="0" style="12" hidden="1" customWidth="1"/>
    <col min="21" max="21" width="55.6640625" bestFit="1" customWidth="1"/>
    <col min="22" max="22" width="21.6640625" bestFit="1" customWidth="1"/>
    <col min="23" max="24" width="4.33203125" bestFit="1" customWidth="1"/>
    <col min="25" max="25" width="10.5546875" bestFit="1" customWidth="1"/>
  </cols>
  <sheetData>
    <row r="1" spans="1:35" ht="15" customHeight="1" x14ac:dyDescent="0.3">
      <c r="A1" s="1"/>
      <c r="B1" s="1"/>
      <c r="C1" s="1"/>
      <c r="E1" s="1"/>
      <c r="F1" s="1"/>
      <c r="G1" s="1"/>
      <c r="H1" s="1"/>
      <c r="I1" s="1"/>
      <c r="J1" s="1"/>
      <c r="K1" s="1"/>
      <c r="L1" s="1"/>
      <c r="M1" s="1"/>
      <c r="N1" s="1"/>
      <c r="O1" s="1"/>
      <c r="P1" s="1"/>
      <c r="Q1" s="1"/>
      <c r="R1" s="13"/>
      <c r="S1" s="1"/>
      <c r="T1" s="1"/>
      <c r="U1" s="1"/>
      <c r="V1" s="1"/>
      <c r="W1" s="1"/>
      <c r="X1" s="1"/>
      <c r="Y1" s="1"/>
      <c r="Z1" s="1"/>
      <c r="AA1" s="1"/>
      <c r="AB1" s="1"/>
      <c r="AC1" s="1"/>
      <c r="AD1" s="1"/>
      <c r="AE1" s="1"/>
      <c r="AF1" s="1"/>
      <c r="AG1" s="1"/>
      <c r="AH1" s="1"/>
    </row>
    <row r="2" spans="1:35" ht="34.5" customHeight="1" x14ac:dyDescent="0.3">
      <c r="A2" s="1"/>
      <c r="B2" s="1"/>
      <c r="C2" s="3"/>
      <c r="E2" s="1"/>
      <c r="F2" s="1"/>
      <c r="G2" s="1"/>
      <c r="H2" s="1"/>
      <c r="I2" s="1"/>
      <c r="J2" s="1"/>
      <c r="K2" s="1"/>
      <c r="L2" s="1"/>
      <c r="M2" s="1"/>
      <c r="N2" s="1"/>
      <c r="O2" s="1"/>
      <c r="P2" s="1"/>
      <c r="Q2" s="1"/>
      <c r="R2" s="13"/>
      <c r="S2" s="1"/>
      <c r="T2" s="1"/>
      <c r="U2" s="1"/>
      <c r="V2" s="1"/>
      <c r="W2" s="1"/>
      <c r="X2" s="1"/>
      <c r="Y2" s="1"/>
      <c r="Z2" s="1"/>
      <c r="AA2" s="1"/>
      <c r="AB2" s="1"/>
      <c r="AC2" s="1"/>
      <c r="AD2" s="1"/>
      <c r="AE2" s="4"/>
      <c r="AF2" s="1"/>
      <c r="AG2" s="1"/>
      <c r="AH2" s="1"/>
      <c r="AI2" s="1"/>
    </row>
    <row r="3" spans="1:35" ht="2.25" customHeight="1" x14ac:dyDescent="0.3">
      <c r="A3" s="5"/>
      <c r="B3" s="5"/>
      <c r="C3" s="5"/>
      <c r="D3" s="5"/>
      <c r="E3" s="5"/>
      <c r="F3" s="5"/>
      <c r="G3" s="5"/>
      <c r="H3" s="5"/>
      <c r="I3" s="5"/>
      <c r="J3" s="5"/>
      <c r="K3" s="5"/>
      <c r="L3" s="5"/>
      <c r="M3" s="5"/>
      <c r="N3" s="5"/>
      <c r="O3" s="5"/>
      <c r="P3" s="5"/>
      <c r="Q3" s="5"/>
      <c r="R3" s="14"/>
      <c r="S3" s="5"/>
      <c r="T3" s="5"/>
      <c r="U3" s="5"/>
      <c r="V3" s="5"/>
      <c r="W3" s="5"/>
      <c r="X3" s="5"/>
      <c r="Y3" s="5"/>
      <c r="Z3" s="5"/>
      <c r="AA3" s="5"/>
      <c r="AB3" s="5"/>
      <c r="AC3" s="5"/>
      <c r="AD3" s="5"/>
      <c r="AE3" s="5"/>
      <c r="AF3" s="5"/>
      <c r="AG3" s="5"/>
      <c r="AH3" s="5"/>
      <c r="AI3" s="5"/>
    </row>
    <row r="4" spans="1:35" ht="15" customHeight="1" x14ac:dyDescent="0.3">
      <c r="A4" s="1"/>
      <c r="B4" s="1"/>
      <c r="C4" s="1"/>
      <c r="E4" s="1"/>
      <c r="F4" s="1"/>
      <c r="G4" s="1"/>
      <c r="H4" s="1"/>
      <c r="I4" s="1"/>
      <c r="J4" s="1"/>
      <c r="K4" s="1"/>
      <c r="L4" s="1"/>
      <c r="M4" s="1"/>
      <c r="N4" s="1"/>
      <c r="O4" s="1"/>
      <c r="P4" s="1"/>
      <c r="Q4" s="1"/>
      <c r="R4" s="13"/>
      <c r="S4" s="1"/>
      <c r="T4" s="1"/>
      <c r="U4" s="1"/>
      <c r="V4" s="1"/>
      <c r="W4" s="1"/>
      <c r="X4" s="1"/>
      <c r="Y4" s="1"/>
      <c r="Z4" s="1"/>
      <c r="AA4" s="1"/>
      <c r="AB4" s="1"/>
      <c r="AC4" s="1"/>
      <c r="AD4" s="1"/>
      <c r="AE4" s="1"/>
      <c r="AF4" s="1"/>
      <c r="AG4" s="1"/>
      <c r="AH4" s="1"/>
      <c r="AI4" s="1"/>
    </row>
    <row r="7" spans="1:35" x14ac:dyDescent="0.3">
      <c r="U7" s="22" t="s">
        <v>0</v>
      </c>
      <c r="V7" t="s">
        <v>1</v>
      </c>
    </row>
    <row r="9" spans="1:35" x14ac:dyDescent="0.3">
      <c r="U9" s="22" t="s">
        <v>2</v>
      </c>
      <c r="V9" t="s">
        <v>3</v>
      </c>
    </row>
    <row r="10" spans="1:35" x14ac:dyDescent="0.3">
      <c r="C10" s="75" t="s">
        <v>4</v>
      </c>
      <c r="D10" s="77" t="s">
        <v>5</v>
      </c>
      <c r="I10" s="64" t="s">
        <v>4</v>
      </c>
      <c r="J10" s="65" t="s">
        <v>5</v>
      </c>
      <c r="U10" s="7" t="s">
        <v>6</v>
      </c>
      <c r="V10">
        <v>119</v>
      </c>
    </row>
    <row r="11" spans="1:35" x14ac:dyDescent="0.3">
      <c r="R11" s="12" t="s">
        <v>7</v>
      </c>
      <c r="U11" s="12" t="s">
        <v>8</v>
      </c>
      <c r="V11">
        <v>16</v>
      </c>
    </row>
    <row r="12" spans="1:35" x14ac:dyDescent="0.3">
      <c r="C12" s="76" t="s">
        <v>9</v>
      </c>
      <c r="D12" s="67" t="s">
        <v>10</v>
      </c>
      <c r="E12" s="68"/>
      <c r="F12" s="69"/>
      <c r="I12" s="66"/>
      <c r="J12" s="67" t="s">
        <v>11</v>
      </c>
      <c r="K12" s="68"/>
      <c r="L12" s="68"/>
      <c r="M12" s="68"/>
      <c r="N12" s="68"/>
      <c r="O12" s="69"/>
      <c r="R12" s="12" t="s">
        <v>12</v>
      </c>
      <c r="U12" s="12" t="s">
        <v>13</v>
      </c>
      <c r="V12">
        <v>14</v>
      </c>
    </row>
    <row r="13" spans="1:35" x14ac:dyDescent="0.3">
      <c r="C13" s="72" t="s">
        <v>0</v>
      </c>
      <c r="D13" t="s">
        <v>6</v>
      </c>
      <c r="E13" t="s">
        <v>14</v>
      </c>
      <c r="F13" s="71" t="s">
        <v>15</v>
      </c>
      <c r="I13" s="70"/>
      <c r="J13" s="43" t="s">
        <v>6</v>
      </c>
      <c r="K13" s="43"/>
      <c r="L13" s="43" t="s">
        <v>14</v>
      </c>
      <c r="M13" s="43"/>
      <c r="N13" s="43" t="s">
        <v>16</v>
      </c>
      <c r="O13" s="83" t="s">
        <v>17</v>
      </c>
      <c r="R13" s="12" t="s">
        <v>18</v>
      </c>
      <c r="U13" s="12" t="s">
        <v>19</v>
      </c>
      <c r="V13">
        <v>9</v>
      </c>
    </row>
    <row r="14" spans="1:35" x14ac:dyDescent="0.3">
      <c r="C14" s="73" t="s">
        <v>20</v>
      </c>
      <c r="D14">
        <v>9</v>
      </c>
      <c r="E14">
        <v>1</v>
      </c>
      <c r="F14" s="71">
        <v>10</v>
      </c>
      <c r="I14" s="72" t="s">
        <v>21</v>
      </c>
      <c r="J14" s="43" t="s">
        <v>22</v>
      </c>
      <c r="K14" s="43" t="s">
        <v>23</v>
      </c>
      <c r="L14" s="43" t="s">
        <v>22</v>
      </c>
      <c r="M14" s="43" t="s">
        <v>23</v>
      </c>
      <c r="N14" s="43"/>
      <c r="O14" s="83"/>
      <c r="U14" s="23" t="s">
        <v>24</v>
      </c>
      <c r="V14" s="11">
        <v>5</v>
      </c>
    </row>
    <row r="15" spans="1:35" x14ac:dyDescent="0.3">
      <c r="C15" s="73" t="s">
        <v>25</v>
      </c>
      <c r="D15">
        <v>3</v>
      </c>
      <c r="E15">
        <v>14</v>
      </c>
      <c r="F15" s="71">
        <v>17</v>
      </c>
      <c r="I15" s="73" t="s">
        <v>26</v>
      </c>
      <c r="J15" s="43">
        <v>69</v>
      </c>
      <c r="K15" s="78">
        <v>0.26436781609195403</v>
      </c>
      <c r="L15" s="43">
        <v>96</v>
      </c>
      <c r="M15" s="78">
        <v>0.36781609195402298</v>
      </c>
      <c r="N15" s="43">
        <v>165</v>
      </c>
      <c r="O15" s="79">
        <v>0.63218390804597702</v>
      </c>
      <c r="U15" s="12" t="s">
        <v>27</v>
      </c>
      <c r="V15">
        <v>10</v>
      </c>
    </row>
    <row r="16" spans="1:35" x14ac:dyDescent="0.3">
      <c r="C16" s="73" t="s">
        <v>28</v>
      </c>
      <c r="E16">
        <v>2</v>
      </c>
      <c r="F16" s="71">
        <v>2</v>
      </c>
      <c r="I16" s="73" t="s">
        <v>29</v>
      </c>
      <c r="J16" s="43">
        <v>30</v>
      </c>
      <c r="K16" s="78">
        <v>0.11494252873563218</v>
      </c>
      <c r="L16" s="43">
        <v>40</v>
      </c>
      <c r="M16" s="78">
        <v>0.1532567049808429</v>
      </c>
      <c r="N16" s="43">
        <v>70</v>
      </c>
      <c r="O16" s="79">
        <v>0.26819923371647508</v>
      </c>
      <c r="U16" s="12" t="s">
        <v>30</v>
      </c>
      <c r="V16">
        <v>65</v>
      </c>
    </row>
    <row r="17" spans="3:22" x14ac:dyDescent="0.3">
      <c r="C17" s="73" t="s">
        <v>31</v>
      </c>
      <c r="D17">
        <v>1</v>
      </c>
      <c r="F17" s="71">
        <v>1</v>
      </c>
      <c r="I17" s="73" t="s">
        <v>32</v>
      </c>
      <c r="J17" s="43">
        <v>3</v>
      </c>
      <c r="K17" s="78">
        <v>1.1494252873563218E-2</v>
      </c>
      <c r="L17" s="43">
        <v>23</v>
      </c>
      <c r="M17" s="78">
        <v>8.8122605363984668E-2</v>
      </c>
      <c r="N17" s="43">
        <v>26</v>
      </c>
      <c r="O17" s="79">
        <v>9.9616858237547887E-2</v>
      </c>
      <c r="U17" s="7" t="s">
        <v>14</v>
      </c>
      <c r="V17">
        <v>227</v>
      </c>
    </row>
    <row r="18" spans="3:22" x14ac:dyDescent="0.3">
      <c r="C18" s="73" t="s">
        <v>33</v>
      </c>
      <c r="D18">
        <v>4</v>
      </c>
      <c r="E18">
        <v>18</v>
      </c>
      <c r="F18" s="71">
        <v>22</v>
      </c>
      <c r="I18" s="74" t="s">
        <v>15</v>
      </c>
      <c r="J18" s="80">
        <v>102</v>
      </c>
      <c r="K18" s="81">
        <v>0.39080459770114945</v>
      </c>
      <c r="L18" s="80">
        <v>159</v>
      </c>
      <c r="M18" s="81">
        <v>0.60919540229885061</v>
      </c>
      <c r="N18" s="80">
        <v>261</v>
      </c>
      <c r="O18" s="82">
        <v>1</v>
      </c>
      <c r="U18" s="23" t="s">
        <v>34</v>
      </c>
      <c r="V18" s="11">
        <v>8</v>
      </c>
    </row>
    <row r="19" spans="3:22" x14ac:dyDescent="0.3">
      <c r="C19" s="73" t="s">
        <v>35</v>
      </c>
      <c r="E19">
        <v>3</v>
      </c>
      <c r="F19" s="71">
        <v>3</v>
      </c>
      <c r="U19" s="12" t="s">
        <v>8</v>
      </c>
      <c r="V19">
        <v>41</v>
      </c>
    </row>
    <row r="20" spans="3:22" x14ac:dyDescent="0.3">
      <c r="C20" s="73" t="s">
        <v>36</v>
      </c>
      <c r="D20">
        <v>16</v>
      </c>
      <c r="E20">
        <v>26</v>
      </c>
      <c r="F20" s="71">
        <v>42</v>
      </c>
      <c r="U20" s="12" t="s">
        <v>13</v>
      </c>
      <c r="V20">
        <v>37</v>
      </c>
    </row>
    <row r="21" spans="3:22" x14ac:dyDescent="0.3">
      <c r="C21" s="73" t="s">
        <v>37</v>
      </c>
      <c r="D21">
        <v>6</v>
      </c>
      <c r="E21">
        <v>1</v>
      </c>
      <c r="F21" s="71">
        <v>7</v>
      </c>
      <c r="U21" s="12" t="s">
        <v>19</v>
      </c>
      <c r="V21">
        <v>6</v>
      </c>
    </row>
    <row r="22" spans="3:22" x14ac:dyDescent="0.3">
      <c r="C22" s="73" t="s">
        <v>38</v>
      </c>
      <c r="D22">
        <v>63</v>
      </c>
      <c r="E22">
        <v>94</v>
      </c>
      <c r="F22" s="71">
        <v>157</v>
      </c>
      <c r="U22" s="23" t="s">
        <v>24</v>
      </c>
      <c r="V22" s="11">
        <v>21</v>
      </c>
    </row>
    <row r="23" spans="3:22" x14ac:dyDescent="0.3">
      <c r="C23" s="74" t="s">
        <v>15</v>
      </c>
      <c r="D23" s="84">
        <v>102</v>
      </c>
      <c r="E23" s="84">
        <v>159</v>
      </c>
      <c r="F23" s="85">
        <v>261</v>
      </c>
      <c r="U23" s="23" t="s">
        <v>39</v>
      </c>
      <c r="V23" s="11">
        <v>24</v>
      </c>
    </row>
    <row r="24" spans="3:22" x14ac:dyDescent="0.3">
      <c r="U24" s="12" t="s">
        <v>27</v>
      </c>
      <c r="V24">
        <v>2</v>
      </c>
    </row>
    <row r="25" spans="3:22" x14ac:dyDescent="0.3">
      <c r="U25" s="12" t="s">
        <v>30</v>
      </c>
      <c r="V25">
        <v>88</v>
      </c>
    </row>
    <row r="26" spans="3:22" x14ac:dyDescent="0.3">
      <c r="U26" s="7" t="s">
        <v>15</v>
      </c>
      <c r="V26">
        <v>346</v>
      </c>
    </row>
  </sheetData>
  <pageMargins left="0.7" right="0.7" top="0.75" bottom="0.75" header="0.3" footer="0.3"/>
  <pageSetup paperSize="9"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54"/>
  <sheetViews>
    <sheetView showGridLines="0" topLeftCell="E2" zoomScaleNormal="90" workbookViewId="0">
      <selection activeCell="C23" sqref="C23"/>
    </sheetView>
  </sheetViews>
  <sheetFormatPr defaultColWidth="0" defaultRowHeight="14.4" customHeight="1" x14ac:dyDescent="0.3"/>
  <cols>
    <col min="1" max="1" width="3.33203125" customWidth="1"/>
    <col min="2" max="2" width="7.5546875" customWidth="1"/>
    <col min="3" max="3" width="22.6640625" customWidth="1"/>
    <col min="4" max="4" width="8.88671875" customWidth="1"/>
    <col min="5" max="5" width="24.109375" customWidth="1"/>
    <col min="6" max="6" width="11.44140625" customWidth="1"/>
    <col min="7" max="7" width="5.6640625" customWidth="1"/>
    <col min="8" max="8" width="3.33203125" customWidth="1"/>
    <col min="9" max="9" width="20.109375" bestFit="1" customWidth="1"/>
    <col min="10" max="20" width="19.88671875" customWidth="1"/>
    <col min="21" max="22" width="3.33203125" customWidth="1"/>
    <col min="23" max="23" width="13.5546875" hidden="1" customWidth="1"/>
    <col min="24" max="24" width="22.6640625" hidden="1" customWidth="1"/>
    <col min="25" max="25" width="18.109375" hidden="1" customWidth="1"/>
    <col min="26" max="34" width="0" hidden="1" customWidth="1"/>
    <col min="35" max="16384" width="8.88671875" hidden="1"/>
  </cols>
  <sheetData>
    <row r="1" spans="1:32" ht="15" customHeight="1" x14ac:dyDescent="0.3">
      <c r="B1" s="1"/>
      <c r="C1" s="1"/>
      <c r="E1" s="1"/>
      <c r="F1" s="1"/>
      <c r="G1" s="1"/>
      <c r="H1" s="1"/>
      <c r="I1" s="1"/>
      <c r="J1" s="1"/>
      <c r="K1" s="1"/>
      <c r="L1" s="1"/>
      <c r="M1" s="1"/>
      <c r="N1" s="1"/>
      <c r="O1" s="13"/>
      <c r="P1" s="1"/>
      <c r="Q1" s="1"/>
      <c r="R1" s="1"/>
      <c r="S1" s="1"/>
      <c r="T1" s="1"/>
      <c r="U1" s="1"/>
      <c r="V1" s="1"/>
      <c r="W1" s="1"/>
      <c r="X1" s="1"/>
      <c r="Y1" s="1"/>
      <c r="Z1" s="1"/>
      <c r="AA1" s="1"/>
      <c r="AB1" s="1"/>
      <c r="AC1" s="1"/>
      <c r="AD1" s="1"/>
      <c r="AE1" s="1"/>
    </row>
    <row r="2" spans="1:32" ht="34.5" customHeight="1" x14ac:dyDescent="0.3">
      <c r="B2" s="1"/>
      <c r="C2" s="1"/>
      <c r="E2" s="1"/>
      <c r="F2" s="1"/>
      <c r="G2" s="1"/>
      <c r="H2" s="1"/>
      <c r="I2" s="1"/>
      <c r="J2" s="1"/>
      <c r="K2" s="1"/>
      <c r="L2" s="1"/>
      <c r="M2" s="1"/>
      <c r="N2" s="1"/>
      <c r="O2" s="13"/>
      <c r="P2" s="1"/>
      <c r="Q2" s="1"/>
      <c r="R2" s="1"/>
      <c r="S2" s="1"/>
      <c r="T2" s="1"/>
      <c r="U2" s="1"/>
      <c r="V2" s="1"/>
      <c r="W2" s="1"/>
      <c r="X2" s="1"/>
      <c r="Y2" s="1"/>
      <c r="Z2" s="1"/>
      <c r="AA2" s="1"/>
      <c r="AB2" s="4"/>
      <c r="AC2" s="1"/>
      <c r="AD2" s="1"/>
      <c r="AE2" s="1"/>
      <c r="AF2" s="1"/>
    </row>
    <row r="3" spans="1:32" ht="2.25" customHeight="1" x14ac:dyDescent="0.3">
      <c r="A3" s="5"/>
      <c r="B3" s="5"/>
      <c r="C3" s="5"/>
      <c r="D3" s="5"/>
      <c r="E3" s="5"/>
      <c r="F3" s="5"/>
      <c r="G3" s="5"/>
      <c r="H3" s="5"/>
      <c r="I3" s="5"/>
      <c r="J3" s="5"/>
      <c r="K3" s="5"/>
      <c r="L3" s="5"/>
      <c r="M3" s="5"/>
      <c r="N3" s="5"/>
      <c r="O3" s="14"/>
      <c r="P3" s="5"/>
      <c r="Q3" s="5"/>
      <c r="R3" s="5"/>
      <c r="S3" s="5"/>
      <c r="T3" s="5"/>
      <c r="U3" s="5"/>
      <c r="V3" s="5"/>
      <c r="W3" s="5"/>
      <c r="X3" s="5"/>
      <c r="Y3" s="5"/>
      <c r="Z3" s="5"/>
      <c r="AA3" s="5"/>
      <c r="AB3" s="5"/>
      <c r="AC3" s="5"/>
      <c r="AD3" s="5"/>
      <c r="AE3" s="5"/>
      <c r="AF3" s="5"/>
    </row>
    <row r="4" spans="1:32" ht="15" customHeight="1" x14ac:dyDescent="0.3">
      <c r="B4" s="1"/>
      <c r="C4" s="1"/>
      <c r="E4" s="1"/>
      <c r="F4" s="1"/>
      <c r="G4" s="1"/>
      <c r="H4" s="1"/>
      <c r="I4" s="1"/>
      <c r="J4" s="1"/>
      <c r="K4" s="1"/>
      <c r="L4" s="1"/>
      <c r="M4" s="1"/>
      <c r="N4" s="1"/>
      <c r="O4" s="13"/>
      <c r="P4" s="1"/>
      <c r="Q4" s="1"/>
      <c r="R4" s="1"/>
      <c r="S4" s="1"/>
      <c r="T4" s="1"/>
      <c r="U4" s="1"/>
      <c r="V4" s="1"/>
      <c r="W4" s="1"/>
      <c r="X4" s="1"/>
      <c r="Y4" s="1"/>
      <c r="Z4" s="1"/>
      <c r="AA4" s="1"/>
      <c r="AB4" s="1"/>
      <c r="AC4" s="1"/>
      <c r="AD4" s="1"/>
      <c r="AE4" s="1"/>
      <c r="AF4" s="1"/>
    </row>
    <row r="5" spans="1:32" x14ac:dyDescent="0.3">
      <c r="B5" s="35"/>
      <c r="C5" s="35"/>
      <c r="D5" s="35"/>
      <c r="E5" s="35"/>
      <c r="F5" s="35"/>
      <c r="H5" s="35"/>
      <c r="I5" s="35"/>
      <c r="J5" s="35"/>
      <c r="K5" s="35"/>
      <c r="L5" s="35"/>
      <c r="M5" s="35"/>
      <c r="N5" s="35"/>
      <c r="O5" s="35"/>
      <c r="P5" s="35"/>
      <c r="Q5" s="35"/>
      <c r="R5" s="35"/>
      <c r="S5" s="35"/>
      <c r="T5" s="35"/>
      <c r="U5" s="35"/>
    </row>
    <row r="6" spans="1:32" x14ac:dyDescent="0.3">
      <c r="B6" s="35"/>
      <c r="C6" s="35"/>
      <c r="D6" s="35"/>
      <c r="E6" s="35"/>
      <c r="F6" s="35"/>
      <c r="H6" s="35"/>
      <c r="I6" s="35"/>
      <c r="J6" s="35"/>
      <c r="K6" s="35"/>
      <c r="L6" s="35"/>
      <c r="M6" s="35"/>
      <c r="N6" s="35"/>
      <c r="O6" s="35"/>
      <c r="P6" s="35"/>
      <c r="Q6" s="35"/>
      <c r="R6" s="35"/>
      <c r="S6" s="35"/>
      <c r="T6" s="35"/>
      <c r="U6" s="35"/>
    </row>
    <row r="7" spans="1:32" x14ac:dyDescent="0.3">
      <c r="B7" s="35"/>
      <c r="C7" s="35"/>
      <c r="D7" s="35"/>
      <c r="E7" s="35"/>
      <c r="F7" s="35"/>
      <c r="H7" s="35"/>
      <c r="I7" s="35"/>
      <c r="J7" s="35"/>
      <c r="K7" s="35"/>
      <c r="L7" s="35"/>
      <c r="M7" s="35"/>
      <c r="N7" s="35"/>
      <c r="O7" s="35"/>
      <c r="P7" s="35"/>
      <c r="Q7" s="35"/>
      <c r="R7" s="35"/>
      <c r="S7" s="35"/>
      <c r="T7" s="35"/>
      <c r="U7" s="35"/>
    </row>
    <row r="8" spans="1:32" x14ac:dyDescent="0.3">
      <c r="B8" s="41">
        <v>2</v>
      </c>
      <c r="C8" s="41" t="s">
        <v>40</v>
      </c>
      <c r="D8" s="41">
        <v>11</v>
      </c>
      <c r="E8" s="41" t="s">
        <v>40</v>
      </c>
      <c r="F8" s="41"/>
      <c r="H8" s="35"/>
      <c r="I8" s="35"/>
      <c r="J8" s="35"/>
      <c r="K8" s="35"/>
      <c r="L8" s="35"/>
      <c r="M8" s="35"/>
      <c r="N8" s="35"/>
      <c r="O8" s="35"/>
      <c r="P8" s="35"/>
      <c r="Q8" s="35"/>
      <c r="R8" s="35"/>
      <c r="S8" s="35"/>
      <c r="T8" s="35"/>
      <c r="U8" s="35"/>
    </row>
    <row r="9" spans="1:32" x14ac:dyDescent="0.3">
      <c r="B9" s="35"/>
      <c r="C9" s="42" t="s">
        <v>41</v>
      </c>
      <c r="D9" s="35"/>
      <c r="E9" s="41" t="s">
        <v>42</v>
      </c>
      <c r="F9" s="42"/>
      <c r="H9" s="35"/>
      <c r="I9" s="35"/>
      <c r="J9" s="35"/>
      <c r="K9" s="35"/>
      <c r="L9" s="35"/>
      <c r="M9" s="35"/>
      <c r="N9" s="35"/>
      <c r="O9" s="35"/>
      <c r="P9" s="35"/>
      <c r="Q9" s="35"/>
      <c r="R9" s="35"/>
      <c r="S9" s="35"/>
      <c r="T9" s="35"/>
      <c r="U9" s="35"/>
    </row>
    <row r="10" spans="1:32" x14ac:dyDescent="0.3">
      <c r="B10" s="41"/>
      <c r="C10" s="42" t="s">
        <v>43</v>
      </c>
      <c r="D10" s="35"/>
      <c r="E10" s="42" t="s">
        <v>44</v>
      </c>
      <c r="F10" s="42"/>
      <c r="H10" s="35"/>
      <c r="I10" s="35"/>
      <c r="J10" s="35"/>
      <c r="K10" s="35"/>
      <c r="L10" s="35"/>
      <c r="M10" s="35"/>
      <c r="N10" s="35"/>
      <c r="O10" s="35"/>
      <c r="P10" s="35"/>
      <c r="Q10" s="35"/>
      <c r="R10" s="35"/>
      <c r="S10" s="35"/>
      <c r="T10" s="35"/>
      <c r="U10" s="35"/>
    </row>
    <row r="11" spans="1:32" x14ac:dyDescent="0.3">
      <c r="B11" s="35"/>
      <c r="C11" s="42"/>
      <c r="D11" s="35"/>
      <c r="E11" s="42" t="s">
        <v>45</v>
      </c>
      <c r="F11" s="42"/>
      <c r="H11" s="35"/>
      <c r="I11" s="35"/>
      <c r="J11" s="35"/>
      <c r="K11" s="35"/>
      <c r="L11" s="35"/>
      <c r="M11" s="35"/>
      <c r="N11" s="35"/>
      <c r="O11" s="35"/>
      <c r="P11" s="35"/>
      <c r="Q11" s="35"/>
      <c r="R11" s="35"/>
      <c r="S11" s="35"/>
      <c r="T11" s="35"/>
      <c r="U11" s="35"/>
    </row>
    <row r="12" spans="1:32" x14ac:dyDescent="0.3">
      <c r="B12" s="35"/>
      <c r="C12" s="42"/>
      <c r="D12" s="35"/>
      <c r="E12" s="42" t="s">
        <v>46</v>
      </c>
      <c r="F12" s="35"/>
      <c r="H12" s="35"/>
      <c r="I12" s="35"/>
      <c r="J12" s="35"/>
      <c r="K12" s="35"/>
      <c r="L12" s="35"/>
      <c r="M12" s="35"/>
      <c r="N12" s="35"/>
      <c r="O12" s="35"/>
      <c r="P12" s="35"/>
      <c r="Q12" s="35"/>
      <c r="R12" s="35"/>
      <c r="S12" s="35"/>
      <c r="T12" s="35"/>
      <c r="U12" s="35"/>
    </row>
    <row r="13" spans="1:32" x14ac:dyDescent="0.3">
      <c r="B13" s="35"/>
      <c r="C13" s="35"/>
      <c r="D13" s="35"/>
      <c r="E13" s="42" t="s">
        <v>47</v>
      </c>
      <c r="F13" s="35"/>
      <c r="H13" s="35"/>
      <c r="I13" s="35"/>
      <c r="J13" s="35"/>
      <c r="K13" s="35"/>
      <c r="L13" s="35"/>
      <c r="M13" s="35"/>
      <c r="N13" s="35"/>
      <c r="O13" s="35"/>
      <c r="P13" s="35"/>
      <c r="Q13" s="35"/>
      <c r="R13" s="35"/>
      <c r="S13" s="35"/>
      <c r="T13" s="35"/>
      <c r="U13" s="35"/>
    </row>
    <row r="14" spans="1:32" x14ac:dyDescent="0.3">
      <c r="B14" s="35"/>
      <c r="C14" s="35"/>
      <c r="D14" s="35"/>
      <c r="E14" s="42" t="s">
        <v>48</v>
      </c>
      <c r="F14" s="35"/>
      <c r="H14" s="35"/>
      <c r="I14" s="35"/>
      <c r="J14" s="35"/>
      <c r="K14" s="35"/>
      <c r="L14" s="35"/>
      <c r="M14" s="35"/>
      <c r="N14" s="35"/>
      <c r="O14" s="35"/>
      <c r="P14" s="35"/>
      <c r="Q14" s="35"/>
      <c r="R14" s="35"/>
      <c r="S14" s="35"/>
      <c r="T14" s="35"/>
      <c r="U14" s="35"/>
    </row>
    <row r="15" spans="1:32" x14ac:dyDescent="0.3">
      <c r="B15" s="35"/>
      <c r="C15" s="41"/>
      <c r="D15" s="35"/>
      <c r="E15" s="42" t="s">
        <v>49</v>
      </c>
      <c r="F15" s="35"/>
      <c r="H15" s="35"/>
      <c r="I15" s="35"/>
      <c r="J15" s="35"/>
      <c r="K15" s="35"/>
      <c r="L15" s="35"/>
      <c r="M15" s="35"/>
      <c r="N15" s="35"/>
      <c r="O15" s="35"/>
      <c r="P15" s="35"/>
      <c r="Q15" s="35"/>
      <c r="R15" s="35"/>
      <c r="S15" s="35"/>
      <c r="T15" s="35"/>
      <c r="U15" s="35"/>
    </row>
    <row r="16" spans="1:32" x14ac:dyDescent="0.3">
      <c r="B16" s="35"/>
      <c r="C16" s="42"/>
      <c r="D16" s="35"/>
      <c r="E16" s="42" t="s">
        <v>50</v>
      </c>
      <c r="F16" s="41"/>
      <c r="H16" s="35"/>
      <c r="I16" s="35"/>
      <c r="J16" s="35"/>
      <c r="K16" s="35"/>
      <c r="L16" s="35"/>
      <c r="M16" s="35"/>
      <c r="N16" s="35"/>
      <c r="O16" s="35"/>
      <c r="P16" s="35"/>
      <c r="Q16" s="35"/>
      <c r="R16" s="35"/>
      <c r="S16" s="35"/>
      <c r="T16" s="35"/>
      <c r="U16" s="35"/>
    </row>
    <row r="17" spans="2:21" x14ac:dyDescent="0.3">
      <c r="B17" s="35"/>
      <c r="C17" s="42"/>
      <c r="D17" s="35"/>
      <c r="E17" s="42" t="s">
        <v>51</v>
      </c>
      <c r="F17" s="42"/>
      <c r="H17" s="35"/>
      <c r="I17" s="35"/>
      <c r="J17" s="35"/>
      <c r="K17" s="35"/>
      <c r="L17" s="35"/>
      <c r="M17" s="35"/>
      <c r="N17" s="35"/>
      <c r="O17" s="35"/>
      <c r="P17" s="35"/>
      <c r="Q17" s="35"/>
      <c r="R17" s="35"/>
      <c r="S17" s="35"/>
      <c r="T17" s="35"/>
      <c r="U17" s="35"/>
    </row>
    <row r="18" spans="2:21" x14ac:dyDescent="0.3">
      <c r="B18" s="35"/>
      <c r="C18" s="42"/>
      <c r="D18" s="35"/>
      <c r="E18" s="42" t="s">
        <v>52</v>
      </c>
      <c r="F18" s="42"/>
      <c r="H18" s="35"/>
      <c r="I18" s="35"/>
      <c r="J18" s="35"/>
      <c r="K18" s="35"/>
      <c r="L18" s="35"/>
      <c r="M18" s="35"/>
      <c r="N18" s="35"/>
      <c r="O18" s="35"/>
      <c r="P18" s="35"/>
      <c r="Q18" s="35"/>
      <c r="R18" s="35"/>
      <c r="S18" s="35"/>
      <c r="T18" s="35"/>
      <c r="U18" s="35"/>
    </row>
    <row r="19" spans="2:21" x14ac:dyDescent="0.3">
      <c r="B19" s="35"/>
      <c r="C19" s="42"/>
      <c r="D19" s="35"/>
      <c r="E19" s="42" t="s">
        <v>53</v>
      </c>
      <c r="F19" s="42"/>
      <c r="H19" s="35"/>
      <c r="I19" s="35"/>
      <c r="J19" s="35"/>
      <c r="K19" s="35"/>
      <c r="L19" s="35"/>
      <c r="M19" s="35"/>
      <c r="N19" s="35"/>
      <c r="O19" s="35"/>
      <c r="P19" s="35"/>
      <c r="Q19" s="35"/>
      <c r="R19" s="35"/>
      <c r="S19" s="35"/>
      <c r="T19" s="35"/>
      <c r="U19" s="35"/>
    </row>
    <row r="20" spans="2:21" x14ac:dyDescent="0.3">
      <c r="B20" s="35"/>
      <c r="C20" s="42"/>
      <c r="D20" s="35"/>
      <c r="E20" s="42" t="s">
        <v>54</v>
      </c>
      <c r="F20" s="42"/>
      <c r="H20" s="35"/>
      <c r="I20" s="35"/>
      <c r="J20" s="35"/>
      <c r="K20" s="35"/>
      <c r="L20" s="35"/>
      <c r="M20" s="35"/>
      <c r="N20" s="35"/>
      <c r="O20" s="35"/>
      <c r="P20" s="35"/>
      <c r="Q20" s="35"/>
      <c r="R20" s="35"/>
      <c r="S20" s="35"/>
      <c r="T20" s="35"/>
      <c r="U20" s="35"/>
    </row>
    <row r="21" spans="2:21" x14ac:dyDescent="0.3">
      <c r="B21" s="35"/>
      <c r="C21" s="35"/>
      <c r="D21" s="35"/>
      <c r="E21" s="35"/>
      <c r="F21" s="42"/>
      <c r="H21" s="35"/>
      <c r="I21" s="35"/>
      <c r="J21" s="35"/>
      <c r="K21" s="35"/>
      <c r="L21" s="35"/>
      <c r="M21" s="35"/>
      <c r="N21" s="35"/>
      <c r="O21" s="35"/>
      <c r="P21" s="35"/>
      <c r="Q21" s="35"/>
      <c r="R21" s="35"/>
      <c r="S21" s="35"/>
      <c r="T21" s="35"/>
      <c r="U21" s="35"/>
    </row>
    <row r="22" spans="2:21" x14ac:dyDescent="0.3">
      <c r="B22" s="35"/>
      <c r="C22" s="35"/>
      <c r="D22" s="35"/>
      <c r="E22" s="42"/>
      <c r="F22" s="42"/>
      <c r="H22" s="35"/>
      <c r="I22" s="35"/>
      <c r="J22" s="35"/>
      <c r="K22" s="35"/>
      <c r="L22" s="35"/>
      <c r="M22" s="35"/>
      <c r="N22" s="35"/>
      <c r="O22" s="35"/>
      <c r="P22" s="35"/>
      <c r="Q22" s="35"/>
      <c r="R22" s="35"/>
      <c r="S22" s="35"/>
      <c r="T22" s="35"/>
      <c r="U22" s="35"/>
    </row>
    <row r="23" spans="2:21" x14ac:dyDescent="0.3">
      <c r="B23" s="35"/>
      <c r="C23" s="35"/>
      <c r="D23" s="35"/>
      <c r="E23" s="35"/>
      <c r="F23" s="35"/>
      <c r="H23" s="35"/>
      <c r="I23" s="35"/>
      <c r="J23" s="35"/>
      <c r="K23" s="35"/>
      <c r="L23" s="35"/>
      <c r="M23" s="35"/>
      <c r="N23" s="35"/>
      <c r="O23" s="35"/>
      <c r="P23" s="35"/>
      <c r="Q23" s="35"/>
      <c r="R23" s="35"/>
      <c r="S23" s="35"/>
      <c r="T23" s="35"/>
      <c r="U23" s="35"/>
    </row>
    <row r="24" spans="2:21" x14ac:dyDescent="0.3">
      <c r="B24" s="35"/>
      <c r="C24" s="35"/>
      <c r="D24" s="35"/>
      <c r="E24" s="35"/>
      <c r="F24" s="35"/>
      <c r="H24" s="35"/>
      <c r="I24" s="35"/>
      <c r="J24" s="35"/>
      <c r="K24" s="35"/>
      <c r="L24" s="35"/>
      <c r="M24" s="35"/>
      <c r="N24" s="35"/>
      <c r="O24" s="35"/>
      <c r="P24" s="35"/>
      <c r="Q24" s="35"/>
      <c r="R24" s="35"/>
      <c r="S24" s="35"/>
      <c r="T24" s="35"/>
      <c r="U24" s="35"/>
    </row>
    <row r="25" spans="2:21" x14ac:dyDescent="0.3">
      <c r="B25" s="35"/>
      <c r="C25" s="35"/>
      <c r="D25" s="35"/>
      <c r="E25" s="35"/>
      <c r="F25" s="35"/>
      <c r="H25" s="35"/>
      <c r="I25" s="35"/>
      <c r="J25" s="35"/>
      <c r="K25" s="35"/>
      <c r="L25" s="35"/>
      <c r="M25" s="35"/>
      <c r="N25" s="35"/>
      <c r="O25" s="35"/>
      <c r="P25" s="35"/>
      <c r="Q25" s="35"/>
      <c r="R25" s="35"/>
      <c r="S25" s="35"/>
      <c r="T25" s="35"/>
      <c r="U25" s="35"/>
    </row>
    <row r="26" spans="2:21" x14ac:dyDescent="0.3">
      <c r="B26" s="35"/>
      <c r="C26" s="35"/>
      <c r="D26" s="35"/>
      <c r="E26" s="35"/>
      <c r="F26" s="35"/>
      <c r="H26" s="35"/>
      <c r="I26" s="35"/>
      <c r="J26" s="35"/>
      <c r="K26" s="35"/>
      <c r="L26" s="35"/>
      <c r="M26" s="35"/>
      <c r="N26" s="35"/>
      <c r="O26" s="35"/>
      <c r="P26" s="35"/>
      <c r="Q26" s="35"/>
      <c r="R26" s="35"/>
      <c r="S26" s="35"/>
      <c r="T26" s="35"/>
      <c r="U26" s="35"/>
    </row>
    <row r="27" spans="2:21" ht="43.2" x14ac:dyDescent="0.3">
      <c r="B27" s="35"/>
      <c r="C27" s="35"/>
      <c r="D27" s="35"/>
      <c r="E27" s="35"/>
      <c r="F27" s="35"/>
      <c r="H27" s="35"/>
      <c r="I27" s="35"/>
      <c r="J27" s="44" t="s">
        <v>20</v>
      </c>
      <c r="K27" s="44" t="s">
        <v>25</v>
      </c>
      <c r="L27" s="44" t="s">
        <v>28</v>
      </c>
      <c r="M27" s="44" t="s">
        <v>31</v>
      </c>
      <c r="N27" s="44" t="s">
        <v>55</v>
      </c>
      <c r="O27" s="44" t="s">
        <v>33</v>
      </c>
      <c r="P27" s="44" t="s">
        <v>35</v>
      </c>
      <c r="Q27" s="44" t="s">
        <v>56</v>
      </c>
      <c r="R27" s="44" t="s">
        <v>36</v>
      </c>
      <c r="S27" s="44" t="s">
        <v>37</v>
      </c>
      <c r="T27" s="44" t="s">
        <v>38</v>
      </c>
      <c r="U27" s="45"/>
    </row>
    <row r="28" spans="2:21" x14ac:dyDescent="0.3">
      <c r="B28" s="35"/>
      <c r="C28" s="35"/>
      <c r="D28" s="35"/>
      <c r="E28" s="35"/>
      <c r="F28" s="35"/>
      <c r="H28" s="35"/>
      <c r="I28" s="40" t="s">
        <v>0</v>
      </c>
      <c r="J28" s="36">
        <f>COUNTIF(Detalhe!$K:$K,J27)</f>
        <v>48</v>
      </c>
      <c r="K28" s="36">
        <f>COUNTIF(Detalhe!$K:$K,K27)</f>
        <v>41</v>
      </c>
      <c r="L28" s="36">
        <f>COUNTIF(Detalhe!$K:$K,L27)</f>
        <v>8</v>
      </c>
      <c r="M28" s="36">
        <f>COUNTIF(Detalhe!$K:$K,M27)</f>
        <v>1</v>
      </c>
      <c r="N28" s="36">
        <f>COUNTIF(Detalhe!$K:$K,N27)</f>
        <v>1</v>
      </c>
      <c r="O28" s="36">
        <f>COUNTIF(Detalhe!$K:$K,O27)</f>
        <v>18</v>
      </c>
      <c r="P28" s="36">
        <f>COUNTIF(Detalhe!$K:$K,P27)</f>
        <v>8</v>
      </c>
      <c r="Q28" s="36">
        <f>COUNTIF(Detalhe!$K:$K,Q27)</f>
        <v>0</v>
      </c>
      <c r="R28" s="36">
        <f>COUNTIF(Detalhe!$K:$K,R27)</f>
        <v>61</v>
      </c>
      <c r="S28" s="36">
        <f>COUNTIF(Detalhe!$K:$K,S27)</f>
        <v>10</v>
      </c>
      <c r="T28" s="36">
        <f>COUNTIF(Detalhe!$K:$K,T27)</f>
        <v>205</v>
      </c>
      <c r="U28" s="46"/>
    </row>
    <row r="29" spans="2:21" x14ac:dyDescent="0.3">
      <c r="B29" s="35"/>
      <c r="C29" s="35"/>
      <c r="D29" s="35"/>
      <c r="E29" s="35"/>
      <c r="F29" s="35"/>
      <c r="H29" s="35"/>
      <c r="I29" s="40" t="s">
        <v>57</v>
      </c>
      <c r="J29" s="37">
        <f>COUNTIF(Detalhe!$E:$E,J27)</f>
        <v>74</v>
      </c>
      <c r="K29" s="37">
        <f>COUNTIF(Detalhe!$E:$E,K27)</f>
        <v>42</v>
      </c>
      <c r="L29" s="37">
        <f>COUNTIF(Detalhe!$E:$E,L27)</f>
        <v>17</v>
      </c>
      <c r="M29" s="37">
        <f>COUNTIF(Detalhe!$E:$E,M27)</f>
        <v>4</v>
      </c>
      <c r="N29" s="37">
        <f>COUNTIF(Detalhe!$E:$E,N27)</f>
        <v>0</v>
      </c>
      <c r="O29" s="37">
        <f>COUNTIF(Detalhe!$E:$E,O27)</f>
        <v>21</v>
      </c>
      <c r="P29" s="37">
        <f>COUNTIF(Detalhe!$E:$E,P27)</f>
        <v>17</v>
      </c>
      <c r="Q29" s="37">
        <f>COUNTIF(Detalhe!$E:$E,Q27)</f>
        <v>10</v>
      </c>
      <c r="R29" s="37">
        <f>COUNTIF(Detalhe!$E:$E,R27)</f>
        <v>57</v>
      </c>
      <c r="S29" s="37">
        <f>COUNTIF(Detalhe!$E:$E,S27)</f>
        <v>10</v>
      </c>
      <c r="T29" s="37">
        <f>COUNTIF(Detalhe!$E:$E,T27)</f>
        <v>151</v>
      </c>
      <c r="U29" s="47"/>
    </row>
    <row r="30" spans="2:21" x14ac:dyDescent="0.3">
      <c r="B30" s="35"/>
      <c r="C30" s="35"/>
      <c r="D30" s="35"/>
      <c r="E30" s="35"/>
      <c r="F30" s="35"/>
      <c r="H30" s="35"/>
      <c r="I30" s="40" t="s">
        <v>58</v>
      </c>
      <c r="J30" s="38" t="str" cm="1">
        <f t="array" ref="J30">_xlfn.IFS(J28&gt;J29, "↑",J28&lt;J29, "↓",J28=J29, "=")</f>
        <v>↓</v>
      </c>
      <c r="K30" s="39" t="str" cm="1">
        <f t="array" ref="K30">_xlfn.IFS(K28&gt;K29, "↑",K28&lt;K29, "↓",K28=K29, "=")</f>
        <v>↓</v>
      </c>
      <c r="L30" s="39" t="str" cm="1">
        <f t="array" ref="L30">_xlfn.IFS(L28&gt;L29, "↑",L28&lt;L29, "↓",L28=L29, "=")</f>
        <v>↓</v>
      </c>
      <c r="M30" s="39" t="str" cm="1">
        <f t="array" ref="M30">_xlfn.IFS(M28&gt;M29, "↑",M28&lt;M29, "↓",M28=M29, "=")</f>
        <v>↓</v>
      </c>
      <c r="N30" s="39" t="str" cm="1">
        <f t="array" ref="N30">_xlfn.IFS(N28&gt;N29, "↑",N28&lt;N29, "↓",N28=N29, "=")</f>
        <v>↑</v>
      </c>
      <c r="O30" s="39" t="str" cm="1">
        <f t="array" ref="O30">_xlfn.IFS(O28&gt;O29, "↑",O28&lt;O29, "↓",O28=O29, "=")</f>
        <v>↓</v>
      </c>
      <c r="P30" s="39" t="str" cm="1">
        <f t="array" ref="P30">_xlfn.IFS(P28&gt;P29, "↑",P28&lt;P29, "↓",P28=P29, "=")</f>
        <v>↓</v>
      </c>
      <c r="Q30" s="38" t="str" cm="1">
        <f t="array" ref="Q30">_xlfn.IFS(Q28&gt;Q29, "↑",Q28&lt;Q29, "↓",Q28=Q29, "=")</f>
        <v>↓</v>
      </c>
      <c r="R30" s="39" t="str" cm="1">
        <f t="array" ref="R30">_xlfn.IFS(R28&gt;R29, "↑",R28&lt;R29, "↓",R28=R29, "=")</f>
        <v>↑</v>
      </c>
      <c r="S30" s="38" t="str" cm="1">
        <f t="array" ref="S30">_xlfn.IFS(S28&gt;S29, "↑",S28&lt;S29, "↓",S28=S29, "=")</f>
        <v>=</v>
      </c>
      <c r="T30" s="39" t="str" cm="1">
        <f t="array" ref="T30">_xlfn.IFS(T28&gt;T29, "↑",T28&lt;T29, "↓",T28=T29, "=")</f>
        <v>↑</v>
      </c>
      <c r="U30" s="47"/>
    </row>
    <row r="31" spans="2:21" x14ac:dyDescent="0.3">
      <c r="B31" s="35"/>
      <c r="C31" s="35"/>
      <c r="D31" s="35"/>
      <c r="E31" s="35"/>
      <c r="F31" s="35"/>
      <c r="H31" s="35"/>
      <c r="I31" s="40" t="s">
        <v>59</v>
      </c>
      <c r="J31" s="36">
        <f t="shared" ref="J31:T31" si="0">J28-J29</f>
        <v>-26</v>
      </c>
      <c r="K31" s="36">
        <f t="shared" si="0"/>
        <v>-1</v>
      </c>
      <c r="L31" s="36">
        <f t="shared" si="0"/>
        <v>-9</v>
      </c>
      <c r="M31" s="36">
        <f t="shared" si="0"/>
        <v>-3</v>
      </c>
      <c r="N31" s="36">
        <f>N28-N29</f>
        <v>1</v>
      </c>
      <c r="O31" s="36">
        <f t="shared" si="0"/>
        <v>-3</v>
      </c>
      <c r="P31" s="36">
        <f t="shared" si="0"/>
        <v>-9</v>
      </c>
      <c r="Q31" s="36">
        <f t="shared" ref="Q31" si="1">Q28-Q29</f>
        <v>-10</v>
      </c>
      <c r="R31" s="36">
        <f t="shared" si="0"/>
        <v>4</v>
      </c>
      <c r="S31" s="36">
        <f t="shared" si="0"/>
        <v>0</v>
      </c>
      <c r="T31" s="36">
        <f t="shared" si="0"/>
        <v>54</v>
      </c>
      <c r="U31" s="47"/>
    </row>
    <row r="32" spans="2:21" x14ac:dyDescent="0.3">
      <c r="B32" s="35"/>
      <c r="C32" s="35"/>
      <c r="D32" s="35"/>
      <c r="E32" s="35"/>
      <c r="F32" s="35"/>
      <c r="H32" s="35"/>
      <c r="I32" s="35"/>
      <c r="J32" s="35"/>
      <c r="K32" s="35"/>
      <c r="L32" s="35"/>
      <c r="M32" s="35"/>
      <c r="N32" s="35"/>
      <c r="O32" s="35"/>
      <c r="P32" s="35"/>
      <c r="Q32" s="35"/>
      <c r="R32" s="35"/>
      <c r="S32" s="35"/>
      <c r="T32" s="35"/>
      <c r="U32" s="35"/>
    </row>
    <row r="33" spans="1:13" x14ac:dyDescent="0.3"/>
    <row r="34" spans="1:13" x14ac:dyDescent="0.3">
      <c r="J34" t="s">
        <v>60</v>
      </c>
    </row>
    <row r="35" spans="1:13" hidden="1" x14ac:dyDescent="0.3">
      <c r="C35" s="15">
        <v>45555</v>
      </c>
    </row>
    <row r="36" spans="1:13" s="1" customFormat="1" ht="14.4" hidden="1" customHeight="1" x14ac:dyDescent="0.3">
      <c r="A36"/>
      <c r="B36" s="20" t="s">
        <v>61</v>
      </c>
      <c r="C36" s="20"/>
      <c r="D36" s="20" t="s">
        <v>62</v>
      </c>
      <c r="E36" s="48"/>
      <c r="F36" s="48"/>
      <c r="G36" s="48"/>
      <c r="H36" s="48"/>
      <c r="I36" s="20" t="s">
        <v>63</v>
      </c>
      <c r="J36" s="48"/>
      <c r="K36" s="48"/>
      <c r="L36" s="48"/>
      <c r="M36" s="48"/>
    </row>
    <row r="37" spans="1:13" ht="14.4" hidden="1" customHeight="1" x14ac:dyDescent="0.3">
      <c r="B37" s="165" t="s">
        <v>43</v>
      </c>
      <c r="C37" s="165"/>
      <c r="D37" s="49" t="s">
        <v>64</v>
      </c>
      <c r="E37" s="49"/>
      <c r="F37" s="49"/>
      <c r="G37" s="49"/>
      <c r="H37" s="49"/>
      <c r="I37" s="166" t="s">
        <v>65</v>
      </c>
      <c r="J37" s="166"/>
      <c r="K37" s="166"/>
      <c r="L37" s="166"/>
      <c r="M37" s="166"/>
    </row>
    <row r="38" spans="1:13" ht="14.4" hidden="1" customHeight="1" x14ac:dyDescent="0.3">
      <c r="B38" s="165" t="s">
        <v>41</v>
      </c>
      <c r="C38" s="165"/>
      <c r="D38" t="s">
        <v>66</v>
      </c>
      <c r="I38" s="166" t="s">
        <v>65</v>
      </c>
      <c r="J38" s="166"/>
      <c r="K38" s="166"/>
      <c r="L38" s="166"/>
      <c r="M38" s="166"/>
    </row>
    <row r="39" spans="1:13" ht="14.4" hidden="1" customHeight="1" x14ac:dyDescent="0.3">
      <c r="B39" s="165" t="s">
        <v>67</v>
      </c>
      <c r="C39" s="165"/>
      <c r="D39" t="s">
        <v>68</v>
      </c>
      <c r="E39" s="29"/>
      <c r="F39" s="29"/>
      <c r="G39" s="29"/>
      <c r="H39" s="29"/>
      <c r="I39" t="s">
        <v>69</v>
      </c>
    </row>
    <row r="40" spans="1:13" ht="14.4" hidden="1" customHeight="1" x14ac:dyDescent="0.3">
      <c r="B40" s="165" t="s">
        <v>67</v>
      </c>
      <c r="C40" s="165"/>
      <c r="D40" t="s">
        <v>70</v>
      </c>
      <c r="I40" t="s">
        <v>71</v>
      </c>
    </row>
    <row r="41" spans="1:13" ht="14.4" hidden="1" customHeight="1" x14ac:dyDescent="0.3">
      <c r="B41" s="165" t="s">
        <v>72</v>
      </c>
      <c r="C41" s="165"/>
      <c r="D41" t="s">
        <v>73</v>
      </c>
      <c r="I41" s="29" t="s">
        <v>74</v>
      </c>
    </row>
    <row r="42" spans="1:13" ht="14.4" hidden="1" customHeight="1" x14ac:dyDescent="0.3">
      <c r="B42" s="165" t="s">
        <v>75</v>
      </c>
      <c r="C42" s="165"/>
      <c r="D42" t="s">
        <v>76</v>
      </c>
      <c r="I42" t="s">
        <v>77</v>
      </c>
    </row>
    <row r="43" spans="1:13" ht="14.4" hidden="1" customHeight="1" x14ac:dyDescent="0.3">
      <c r="B43" s="165" t="s">
        <v>78</v>
      </c>
      <c r="C43" s="165"/>
      <c r="D43" t="s">
        <v>79</v>
      </c>
    </row>
    <row r="44" spans="1:13" ht="14.4" hidden="1" customHeight="1" x14ac:dyDescent="0.3">
      <c r="B44" s="165" t="s">
        <v>78</v>
      </c>
      <c r="C44" s="165"/>
      <c r="D44" t="s">
        <v>80</v>
      </c>
    </row>
    <row r="45" spans="1:13" ht="14.4" hidden="1" customHeight="1" x14ac:dyDescent="0.3">
      <c r="B45" s="165" t="s">
        <v>78</v>
      </c>
      <c r="C45" s="165"/>
      <c r="D45" t="s">
        <v>81</v>
      </c>
    </row>
    <row r="46" spans="1:13" ht="14.4" hidden="1" customHeight="1" x14ac:dyDescent="0.3">
      <c r="B46" s="165" t="s">
        <v>78</v>
      </c>
      <c r="C46" s="165"/>
      <c r="D46" t="s">
        <v>82</v>
      </c>
    </row>
    <row r="47" spans="1:13" ht="14.4" hidden="1" customHeight="1" x14ac:dyDescent="0.3">
      <c r="B47" s="165" t="s">
        <v>78</v>
      </c>
      <c r="C47" s="165"/>
      <c r="D47" t="s">
        <v>83</v>
      </c>
    </row>
    <row r="48" spans="1:13" ht="14.4" hidden="1" customHeight="1" x14ac:dyDescent="0.3">
      <c r="B48" s="165"/>
      <c r="C48" s="165"/>
    </row>
    <row r="49" spans="2:10" ht="14.4" customHeight="1" x14ac:dyDescent="0.3">
      <c r="B49" s="165"/>
      <c r="C49" s="165"/>
      <c r="J49" t="s">
        <v>84</v>
      </c>
    </row>
    <row r="50" spans="2:10" ht="14.4" customHeight="1" x14ac:dyDescent="0.3">
      <c r="B50" s="165"/>
      <c r="C50" s="165"/>
      <c r="J50" t="s">
        <v>85</v>
      </c>
    </row>
    <row r="51" spans="2:10" ht="14.4" customHeight="1" x14ac:dyDescent="0.3">
      <c r="B51" s="165"/>
      <c r="C51" s="165"/>
      <c r="J51" t="s">
        <v>86</v>
      </c>
    </row>
    <row r="52" spans="2:10" ht="14.4" customHeight="1" x14ac:dyDescent="0.3">
      <c r="B52" s="165"/>
      <c r="C52" s="165"/>
      <c r="J52" t="s">
        <v>87</v>
      </c>
    </row>
    <row r="53" spans="2:10" ht="14.4" customHeight="1" x14ac:dyDescent="0.3">
      <c r="B53" s="165"/>
      <c r="C53" s="165"/>
      <c r="J53" t="s">
        <v>88</v>
      </c>
    </row>
    <row r="54" spans="2:10" ht="14.4" customHeight="1" x14ac:dyDescent="0.3">
      <c r="J54" t="s">
        <v>89</v>
      </c>
    </row>
  </sheetData>
  <mergeCells count="19">
    <mergeCell ref="B37:C37"/>
    <mergeCell ref="B38:C38"/>
    <mergeCell ref="I37:M37"/>
    <mergeCell ref="I38:M38"/>
    <mergeCell ref="B42:C42"/>
    <mergeCell ref="B43:C43"/>
    <mergeCell ref="B39:C39"/>
    <mergeCell ref="B40:C40"/>
    <mergeCell ref="B41:C41"/>
    <mergeCell ref="B50:C50"/>
    <mergeCell ref="B51:C51"/>
    <mergeCell ref="B52:C52"/>
    <mergeCell ref="B53:C53"/>
    <mergeCell ref="B44:C44"/>
    <mergeCell ref="B45:C45"/>
    <mergeCell ref="B46:C46"/>
    <mergeCell ref="B47:C47"/>
    <mergeCell ref="B48:C48"/>
    <mergeCell ref="B49:C49"/>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226B2-CBFE-4450-8602-2EC5200FB855}">
  <dimension ref="B2:G14"/>
  <sheetViews>
    <sheetView workbookViewId="0">
      <selection activeCell="C2" sqref="C2"/>
    </sheetView>
  </sheetViews>
  <sheetFormatPr defaultRowHeight="14.4" x14ac:dyDescent="0.3"/>
  <cols>
    <col min="2" max="2" width="29" bestFit="1" customWidth="1"/>
    <col min="3" max="3" width="11.109375" bestFit="1" customWidth="1"/>
    <col min="5" max="5" width="10.44140625" bestFit="1" customWidth="1"/>
    <col min="6" max="6" width="13.6640625" customWidth="1"/>
    <col min="7" max="7" width="10.109375" bestFit="1" customWidth="1"/>
    <col min="8" max="8" width="13.33203125" bestFit="1" customWidth="1"/>
  </cols>
  <sheetData>
    <row r="2" spans="2:7" x14ac:dyDescent="0.3">
      <c r="B2" t="s">
        <v>90</v>
      </c>
      <c r="C2" t="s">
        <v>91</v>
      </c>
      <c r="E2" t="s">
        <v>0</v>
      </c>
      <c r="F2" t="s">
        <v>92</v>
      </c>
      <c r="G2" t="s">
        <v>59</v>
      </c>
    </row>
    <row r="3" spans="2:7" x14ac:dyDescent="0.3">
      <c r="B3" t="s">
        <v>20</v>
      </c>
      <c r="C3">
        <f>COUNTIFS(Detalhe!E:E,B3,Detalhe!W:W,"PM")</f>
        <v>10</v>
      </c>
      <c r="D3" s="6">
        <f t="shared" ref="D3:D13" si="0">C3/$C$14</f>
        <v>3.8314176245210725E-2</v>
      </c>
      <c r="E3">
        <f>COUNTIFS(Detalhe!K:K,B3,Detalhe!W:W,"PM")</f>
        <v>8</v>
      </c>
      <c r="F3" s="6">
        <f t="shared" ref="F3:F13" si="1">E3/$E$14</f>
        <v>3.0651340996168581E-2</v>
      </c>
      <c r="G3">
        <f t="shared" ref="G3:G13" si="2">E3-C3</f>
        <v>-2</v>
      </c>
    </row>
    <row r="4" spans="2:7" x14ac:dyDescent="0.3">
      <c r="B4" t="s">
        <v>25</v>
      </c>
      <c r="C4">
        <f>COUNTIFS(Detalhe!E:E,B4,Detalhe!W:W,"PM")</f>
        <v>18</v>
      </c>
      <c r="D4" s="6">
        <f t="shared" si="0"/>
        <v>6.8965517241379309E-2</v>
      </c>
      <c r="E4">
        <f>COUNTIFS(Detalhe!K:K,B4,Detalhe!W:W,"PM")</f>
        <v>17</v>
      </c>
      <c r="F4" s="6">
        <f t="shared" si="1"/>
        <v>6.5134099616858232E-2</v>
      </c>
      <c r="G4">
        <f t="shared" si="2"/>
        <v>-1</v>
      </c>
    </row>
    <row r="5" spans="2:7" x14ac:dyDescent="0.3">
      <c r="B5" t="s">
        <v>28</v>
      </c>
      <c r="C5">
        <f>COUNTIFS(Detalhe!E:E,B5,Detalhe!W:W,"PM")</f>
        <v>11</v>
      </c>
      <c r="D5" s="6">
        <f t="shared" si="0"/>
        <v>4.2145593869731802E-2</v>
      </c>
      <c r="E5">
        <f>COUNTIFS(Detalhe!K:K,B5,Detalhe!W:W,"PM")</f>
        <v>2</v>
      </c>
      <c r="F5" s="6">
        <f t="shared" si="1"/>
        <v>7.6628352490421452E-3</v>
      </c>
      <c r="G5">
        <f t="shared" si="2"/>
        <v>-9</v>
      </c>
    </row>
    <row r="6" spans="2:7" x14ac:dyDescent="0.3">
      <c r="B6" t="s">
        <v>31</v>
      </c>
      <c r="C6">
        <f>COUNTIFS(Detalhe!E:E,B6,Detalhe!W:W,"PM")</f>
        <v>4</v>
      </c>
      <c r="D6" s="6">
        <f t="shared" si="0"/>
        <v>1.532567049808429E-2</v>
      </c>
      <c r="E6">
        <f>COUNTIFS(Detalhe!K:K,B6,Detalhe!W:W,"PM")</f>
        <v>1</v>
      </c>
      <c r="F6" s="6">
        <f t="shared" si="1"/>
        <v>3.8314176245210726E-3</v>
      </c>
      <c r="G6">
        <f t="shared" si="2"/>
        <v>-3</v>
      </c>
    </row>
    <row r="7" spans="2:7" x14ac:dyDescent="0.3">
      <c r="B7" t="s">
        <v>55</v>
      </c>
      <c r="C7">
        <f>COUNTIFS(Detalhe!E:E,B7,Detalhe!W:W,"PM")</f>
        <v>0</v>
      </c>
      <c r="D7" s="6">
        <f t="shared" si="0"/>
        <v>0</v>
      </c>
      <c r="E7">
        <f>COUNTIFS(Detalhe!K:K,B7,Detalhe!W:W,"PM")</f>
        <v>0</v>
      </c>
      <c r="F7" s="6">
        <f t="shared" si="1"/>
        <v>0</v>
      </c>
      <c r="G7">
        <f t="shared" si="2"/>
        <v>0</v>
      </c>
    </row>
    <row r="8" spans="2:7" x14ac:dyDescent="0.3">
      <c r="B8" t="s">
        <v>33</v>
      </c>
      <c r="C8">
        <f>COUNTIFS(Detalhe!E:E,B8,Detalhe!W:W,"PM")</f>
        <v>11</v>
      </c>
      <c r="D8" s="6">
        <f t="shared" si="0"/>
        <v>4.2145593869731802E-2</v>
      </c>
      <c r="E8">
        <f>COUNTIFS(Detalhe!K:K,B8,Detalhe!W:W,"PM")</f>
        <v>8</v>
      </c>
      <c r="F8" s="6">
        <f t="shared" si="1"/>
        <v>3.0651340996168581E-2</v>
      </c>
      <c r="G8">
        <f t="shared" si="2"/>
        <v>-3</v>
      </c>
    </row>
    <row r="9" spans="2:7" x14ac:dyDescent="0.3">
      <c r="B9" t="s">
        <v>35</v>
      </c>
      <c r="C9">
        <f>COUNTIFS(Detalhe!E:E,B9,Detalhe!W:W,"PM")</f>
        <v>11</v>
      </c>
      <c r="D9" s="6">
        <f t="shared" si="0"/>
        <v>4.2145593869731802E-2</v>
      </c>
      <c r="E9">
        <f>COUNTIFS(Detalhe!K:K,B9,Detalhe!W:W,"PM")</f>
        <v>3</v>
      </c>
      <c r="F9" s="6">
        <f t="shared" si="1"/>
        <v>1.1494252873563218E-2</v>
      </c>
      <c r="G9">
        <f t="shared" si="2"/>
        <v>-8</v>
      </c>
    </row>
    <row r="10" spans="2:7" x14ac:dyDescent="0.3">
      <c r="B10" t="s">
        <v>56</v>
      </c>
      <c r="C10">
        <f>COUNTIFS(Detalhe!E:E,B10,Detalhe!W:W,"PM")</f>
        <v>0</v>
      </c>
      <c r="D10" s="6">
        <f t="shared" ref="D10" si="3">C10/$C$14</f>
        <v>0</v>
      </c>
      <c r="E10">
        <f>COUNTIFS(Detalhe!K:K,B10,Detalhe!W:W,"PM")</f>
        <v>0</v>
      </c>
      <c r="F10" s="6">
        <f t="shared" ref="F10" si="4">E10/$E$14</f>
        <v>0</v>
      </c>
      <c r="G10">
        <f t="shared" ref="G10" si="5">E10-C10</f>
        <v>0</v>
      </c>
    </row>
    <row r="11" spans="2:7" x14ac:dyDescent="0.3">
      <c r="B11" t="s">
        <v>36</v>
      </c>
      <c r="C11">
        <f>COUNTIFS(Detalhe!E:E,B11,Detalhe!W:W,"PM")</f>
        <v>42</v>
      </c>
      <c r="D11" s="6">
        <f t="shared" si="0"/>
        <v>0.16091954022988506</v>
      </c>
      <c r="E11">
        <f>COUNTIFS(Detalhe!K:K,B11,Detalhe!W:W,"PM")</f>
        <v>45</v>
      </c>
      <c r="F11" s="6">
        <f t="shared" si="1"/>
        <v>0.17241379310344829</v>
      </c>
      <c r="G11">
        <f t="shared" si="2"/>
        <v>3</v>
      </c>
    </row>
    <row r="12" spans="2:7" x14ac:dyDescent="0.3">
      <c r="B12" t="s">
        <v>37</v>
      </c>
      <c r="C12">
        <f>COUNTIFS(Detalhe!E:E,B12,Detalhe!W:W,"PM")</f>
        <v>7</v>
      </c>
      <c r="D12" s="6">
        <f t="shared" si="0"/>
        <v>2.681992337164751E-2</v>
      </c>
      <c r="E12">
        <f>COUNTIFS(Detalhe!K:K,B12,Detalhe!W:W,"PM")</f>
        <v>7</v>
      </c>
      <c r="F12" s="6">
        <f t="shared" si="1"/>
        <v>2.681992337164751E-2</v>
      </c>
      <c r="G12">
        <f t="shared" si="2"/>
        <v>0</v>
      </c>
    </row>
    <row r="13" spans="2:7" x14ac:dyDescent="0.3">
      <c r="B13" t="s">
        <v>38</v>
      </c>
      <c r="C13">
        <f>COUNTIFS(Detalhe!E:E,B13,Detalhe!W:W,"PM")</f>
        <v>147</v>
      </c>
      <c r="D13" s="6">
        <f t="shared" si="0"/>
        <v>0.56321839080459768</v>
      </c>
      <c r="E13">
        <f>COUNTIFS(Detalhe!K:K,B13,Detalhe!W:W,"PM")</f>
        <v>170</v>
      </c>
      <c r="F13" s="6">
        <f t="shared" si="1"/>
        <v>0.65134099616858232</v>
      </c>
      <c r="G13">
        <f t="shared" si="2"/>
        <v>23</v>
      </c>
    </row>
    <row r="14" spans="2:7" x14ac:dyDescent="0.3">
      <c r="C14">
        <f>SUM(C3:C13)</f>
        <v>261</v>
      </c>
      <c r="E14">
        <f>SUM(E3:E13)</f>
        <v>261</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5F3F0-FFBE-43CB-92FC-94D3DF7D83DD}">
  <dimension ref="A1:AH48"/>
  <sheetViews>
    <sheetView showGridLines="0" topLeftCell="D14" zoomScale="71" zoomScaleNormal="104" workbookViewId="0">
      <selection activeCell="I41" sqref="I41"/>
    </sheetView>
  </sheetViews>
  <sheetFormatPr defaultColWidth="0" defaultRowHeight="14.4" customHeight="1" x14ac:dyDescent="0.3"/>
  <cols>
    <col min="1" max="1" width="3.33203125" customWidth="1"/>
    <col min="2" max="2" width="7.5546875" customWidth="1"/>
    <col min="3" max="3" width="22.6640625" customWidth="1"/>
    <col min="4" max="4" width="8.88671875" customWidth="1"/>
    <col min="5" max="5" width="24.109375" customWidth="1"/>
    <col min="6" max="6" width="11.44140625" customWidth="1"/>
    <col min="7" max="7" width="5.6640625" customWidth="1"/>
    <col min="8" max="8" width="3.33203125" customWidth="1"/>
    <col min="9" max="9" width="36.6640625" bestFit="1" customWidth="1"/>
    <col min="10" max="20" width="19.88671875" customWidth="1"/>
    <col min="21" max="22" width="3.33203125" customWidth="1"/>
    <col min="23" max="23" width="13.5546875" hidden="1" customWidth="1"/>
    <col min="24" max="24" width="22.6640625" hidden="1" customWidth="1"/>
    <col min="25" max="25" width="18.109375" hidden="1" customWidth="1"/>
    <col min="26" max="34" width="0" hidden="1" customWidth="1"/>
    <col min="35" max="16384" width="8.88671875" hidden="1"/>
  </cols>
  <sheetData>
    <row r="1" spans="1:32" ht="15" customHeight="1" x14ac:dyDescent="0.3">
      <c r="B1" s="1"/>
      <c r="C1" s="1"/>
      <c r="E1" s="1"/>
      <c r="F1" s="1"/>
      <c r="G1" s="1"/>
      <c r="H1" s="1"/>
      <c r="I1" s="1"/>
      <c r="J1" s="1"/>
      <c r="K1" s="1"/>
      <c r="L1" s="1"/>
      <c r="M1" s="1"/>
      <c r="N1" s="1"/>
      <c r="O1" s="13"/>
      <c r="P1" s="1"/>
      <c r="Q1" s="1"/>
      <c r="R1" s="1"/>
      <c r="S1" s="1"/>
      <c r="T1" s="1"/>
      <c r="U1" s="1"/>
      <c r="V1" s="1"/>
      <c r="W1" s="1"/>
      <c r="X1" s="1"/>
      <c r="Y1" s="1"/>
      <c r="Z1" s="1"/>
      <c r="AA1" s="1"/>
      <c r="AB1" s="1"/>
      <c r="AC1" s="1"/>
      <c r="AD1" s="1"/>
      <c r="AE1" s="1"/>
    </row>
    <row r="2" spans="1:32" ht="34.5" customHeight="1" x14ac:dyDescent="0.3">
      <c r="B2" s="1"/>
      <c r="C2" s="1"/>
      <c r="E2" s="1"/>
      <c r="F2" s="1"/>
      <c r="G2" s="1"/>
      <c r="H2" s="1"/>
      <c r="I2" s="1"/>
      <c r="J2" s="1"/>
      <c r="K2" s="1"/>
      <c r="L2" s="1"/>
      <c r="M2" s="1"/>
      <c r="N2" s="1"/>
      <c r="O2" s="13"/>
      <c r="P2" s="1"/>
      <c r="Q2" s="1"/>
      <c r="R2" s="1"/>
      <c r="S2" s="1"/>
      <c r="T2" s="1"/>
      <c r="U2" s="1"/>
      <c r="V2" s="1"/>
      <c r="W2" s="1"/>
      <c r="X2" s="1"/>
      <c r="Y2" s="1"/>
      <c r="Z2" s="1"/>
      <c r="AA2" s="1"/>
      <c r="AB2" s="4"/>
      <c r="AC2" s="1"/>
      <c r="AD2" s="1"/>
      <c r="AE2" s="1"/>
      <c r="AF2" s="1"/>
    </row>
    <row r="3" spans="1:32" ht="2.25" customHeight="1" x14ac:dyDescent="0.3">
      <c r="A3" s="5"/>
      <c r="B3" s="5"/>
      <c r="C3" s="5"/>
      <c r="D3" s="5"/>
      <c r="E3" s="5"/>
      <c r="F3" s="5"/>
      <c r="G3" s="5"/>
      <c r="H3" s="5"/>
      <c r="I3" s="5"/>
      <c r="J3" s="5"/>
      <c r="K3" s="5"/>
      <c r="L3" s="5"/>
      <c r="M3" s="5"/>
      <c r="N3" s="5"/>
      <c r="O3" s="14"/>
      <c r="P3" s="5"/>
      <c r="Q3" s="5"/>
      <c r="R3" s="5"/>
      <c r="S3" s="5"/>
      <c r="T3" s="5"/>
      <c r="U3" s="5"/>
      <c r="V3" s="5"/>
      <c r="W3" s="5"/>
      <c r="X3" s="5"/>
      <c r="Y3" s="5"/>
      <c r="Z3" s="5"/>
      <c r="AA3" s="5"/>
      <c r="AB3" s="5"/>
      <c r="AC3" s="5"/>
      <c r="AD3" s="5"/>
      <c r="AE3" s="5"/>
      <c r="AF3" s="5"/>
    </row>
    <row r="4" spans="1:32" ht="15" customHeight="1" x14ac:dyDescent="0.3">
      <c r="B4" s="1"/>
      <c r="C4" s="1"/>
      <c r="E4" s="1"/>
      <c r="F4" s="1"/>
      <c r="G4" s="1"/>
      <c r="H4" s="1"/>
      <c r="I4" s="1"/>
      <c r="J4" s="1"/>
      <c r="K4" s="1"/>
      <c r="L4" s="1"/>
      <c r="M4" s="1"/>
      <c r="N4" s="1"/>
      <c r="O4" s="13"/>
      <c r="P4" s="1"/>
      <c r="Q4" s="1"/>
      <c r="R4" s="1"/>
      <c r="S4" s="1"/>
      <c r="T4" s="1"/>
      <c r="U4" s="1"/>
      <c r="V4" s="1"/>
      <c r="W4" s="1"/>
      <c r="X4" s="1"/>
      <c r="Y4" s="1"/>
      <c r="Z4" s="1"/>
      <c r="AA4" s="1"/>
      <c r="AB4" s="1"/>
      <c r="AC4" s="1"/>
      <c r="AD4" s="1"/>
      <c r="AE4" s="1"/>
      <c r="AF4" s="1"/>
    </row>
    <row r="5" spans="1:32" x14ac:dyDescent="0.3">
      <c r="B5" s="35"/>
      <c r="C5" s="35"/>
      <c r="D5" s="35"/>
      <c r="E5" s="35"/>
      <c r="F5" s="35"/>
      <c r="H5" s="35"/>
      <c r="I5" s="35"/>
      <c r="J5" s="35"/>
      <c r="K5" s="35"/>
      <c r="L5" s="35"/>
      <c r="M5" s="35"/>
      <c r="N5" s="35"/>
      <c r="O5" s="35"/>
      <c r="P5" s="35"/>
      <c r="Q5" s="35"/>
      <c r="R5" s="35"/>
      <c r="S5" s="35"/>
      <c r="T5" s="35"/>
      <c r="U5" s="35"/>
    </row>
    <row r="6" spans="1:32" x14ac:dyDescent="0.3">
      <c r="B6" s="35"/>
      <c r="C6" s="35"/>
      <c r="D6" s="35"/>
      <c r="E6" s="35"/>
      <c r="F6" s="35"/>
      <c r="H6" s="35"/>
      <c r="I6" s="35"/>
      <c r="J6" s="35"/>
      <c r="K6" s="35"/>
      <c r="L6" s="35"/>
      <c r="M6" s="35"/>
      <c r="N6" s="35"/>
      <c r="O6" s="35"/>
      <c r="P6" s="35"/>
      <c r="Q6" s="35"/>
      <c r="R6" s="35"/>
      <c r="S6" s="35"/>
      <c r="T6" s="35"/>
      <c r="U6" s="35"/>
    </row>
    <row r="7" spans="1:32" x14ac:dyDescent="0.3">
      <c r="B7" s="35"/>
      <c r="C7" s="35"/>
      <c r="D7" s="35"/>
      <c r="E7" s="35"/>
      <c r="F7" s="35"/>
      <c r="H7" s="35"/>
      <c r="I7" s="35"/>
      <c r="J7" s="35"/>
      <c r="K7" s="35"/>
      <c r="L7" s="35"/>
      <c r="M7" s="35"/>
      <c r="N7" s="35"/>
      <c r="O7" s="35"/>
      <c r="P7" s="35"/>
      <c r="Q7" s="35"/>
      <c r="R7" s="35"/>
      <c r="S7" s="35"/>
      <c r="T7" s="35"/>
      <c r="U7" s="35"/>
    </row>
    <row r="8" spans="1:32" x14ac:dyDescent="0.3">
      <c r="B8" s="41">
        <v>2</v>
      </c>
      <c r="C8" s="41" t="s">
        <v>40</v>
      </c>
      <c r="D8" s="41">
        <v>11</v>
      </c>
      <c r="E8" s="41" t="s">
        <v>40</v>
      </c>
      <c r="F8" s="41"/>
      <c r="H8" s="35"/>
      <c r="I8" s="35"/>
      <c r="J8" s="35"/>
      <c r="K8" s="35"/>
      <c r="L8" s="35"/>
      <c r="M8" s="35"/>
      <c r="N8" s="35"/>
      <c r="O8" s="35"/>
      <c r="P8" s="35"/>
      <c r="Q8" s="35"/>
      <c r="R8" s="35"/>
      <c r="S8" s="35"/>
      <c r="T8" s="35"/>
      <c r="U8" s="35"/>
    </row>
    <row r="9" spans="1:32" x14ac:dyDescent="0.3">
      <c r="B9" s="35"/>
      <c r="C9" s="42" t="s">
        <v>41</v>
      </c>
      <c r="D9" s="35"/>
      <c r="E9" s="41" t="s">
        <v>42</v>
      </c>
      <c r="F9" s="42"/>
      <c r="H9" s="35"/>
      <c r="I9" s="35"/>
      <c r="J9" s="35"/>
      <c r="K9" s="35"/>
      <c r="L9" s="35"/>
      <c r="M9" s="35"/>
      <c r="N9" s="35"/>
      <c r="O9" s="35"/>
      <c r="P9" s="35"/>
      <c r="Q9" s="35"/>
      <c r="R9" s="35"/>
      <c r="S9" s="35"/>
      <c r="T9" s="35"/>
      <c r="U9" s="35"/>
    </row>
    <row r="10" spans="1:32" x14ac:dyDescent="0.3">
      <c r="B10" s="41"/>
      <c r="C10" s="42" t="s">
        <v>43</v>
      </c>
      <c r="D10" s="35"/>
      <c r="E10" s="42" t="s">
        <v>44</v>
      </c>
      <c r="F10" s="42"/>
      <c r="H10" s="35"/>
      <c r="I10" s="35"/>
      <c r="J10" s="35"/>
      <c r="K10" s="35"/>
      <c r="L10" s="35"/>
      <c r="M10" s="35"/>
      <c r="N10" s="35"/>
      <c r="O10" s="35"/>
      <c r="P10" s="35"/>
      <c r="Q10" s="35"/>
      <c r="R10" s="35"/>
      <c r="S10" s="35"/>
      <c r="T10" s="35"/>
      <c r="U10" s="35"/>
    </row>
    <row r="11" spans="1:32" x14ac:dyDescent="0.3">
      <c r="B11" s="35"/>
      <c r="C11" s="42"/>
      <c r="D11" s="35"/>
      <c r="E11" s="42" t="s">
        <v>45</v>
      </c>
      <c r="F11" s="42"/>
      <c r="H11" s="35"/>
      <c r="I11" s="35"/>
      <c r="J11" s="35"/>
      <c r="K11" s="35"/>
      <c r="L11" s="35"/>
      <c r="M11" s="35"/>
      <c r="N11" s="35"/>
      <c r="O11" s="35"/>
      <c r="P11" s="35"/>
      <c r="Q11" s="35"/>
      <c r="R11" s="35"/>
      <c r="S11" s="35"/>
      <c r="T11" s="35"/>
      <c r="U11" s="35"/>
    </row>
    <row r="12" spans="1:32" x14ac:dyDescent="0.3">
      <c r="B12" s="35"/>
      <c r="C12" s="42"/>
      <c r="D12" s="35"/>
      <c r="E12" s="42" t="s">
        <v>46</v>
      </c>
      <c r="F12" s="35"/>
      <c r="H12" s="35"/>
      <c r="I12" s="35"/>
      <c r="J12" s="35"/>
      <c r="K12" s="35"/>
      <c r="L12" s="35"/>
      <c r="M12" s="35"/>
      <c r="N12" s="35"/>
      <c r="O12" s="35"/>
      <c r="P12" s="35"/>
      <c r="Q12" s="35"/>
      <c r="R12" s="35"/>
      <c r="S12" s="35"/>
      <c r="T12" s="35"/>
      <c r="U12" s="35"/>
    </row>
    <row r="13" spans="1:32" x14ac:dyDescent="0.3">
      <c r="B13" s="35"/>
      <c r="C13" s="35"/>
      <c r="D13" s="35"/>
      <c r="E13" s="42" t="s">
        <v>47</v>
      </c>
      <c r="F13" s="35"/>
      <c r="H13" s="35"/>
      <c r="I13" s="35"/>
      <c r="J13" s="35"/>
      <c r="K13" s="35"/>
      <c r="L13" s="35"/>
      <c r="M13" s="35"/>
      <c r="N13" s="35"/>
      <c r="O13" s="35"/>
      <c r="P13" s="35"/>
      <c r="Q13" s="35"/>
      <c r="R13" s="35"/>
      <c r="S13" s="35"/>
      <c r="T13" s="35"/>
      <c r="U13" s="35"/>
    </row>
    <row r="14" spans="1:32" x14ac:dyDescent="0.3">
      <c r="B14" s="35"/>
      <c r="C14" s="35"/>
      <c r="D14" s="35"/>
      <c r="E14" s="42" t="s">
        <v>48</v>
      </c>
      <c r="F14" s="35"/>
      <c r="H14" s="35"/>
      <c r="I14" s="35"/>
      <c r="J14" s="35"/>
      <c r="K14" s="35"/>
      <c r="L14" s="35"/>
      <c r="M14" s="35"/>
      <c r="N14" s="35"/>
      <c r="O14" s="35"/>
      <c r="P14" s="35"/>
      <c r="Q14" s="35"/>
      <c r="R14" s="35"/>
      <c r="S14" s="35"/>
      <c r="T14" s="35"/>
      <c r="U14" s="35"/>
    </row>
    <row r="15" spans="1:32" x14ac:dyDescent="0.3">
      <c r="B15" s="35"/>
      <c r="C15" s="41"/>
      <c r="D15" s="35"/>
      <c r="E15" s="42" t="s">
        <v>49</v>
      </c>
      <c r="F15" s="35"/>
      <c r="H15" s="35"/>
      <c r="I15" s="35"/>
      <c r="J15" s="35"/>
      <c r="K15" s="35"/>
      <c r="L15" s="35"/>
      <c r="M15" s="35"/>
      <c r="N15" s="35"/>
      <c r="O15" s="35"/>
      <c r="P15" s="35"/>
      <c r="Q15" s="35"/>
      <c r="R15" s="35"/>
      <c r="S15" s="35"/>
      <c r="T15" s="35"/>
      <c r="U15" s="35"/>
    </row>
    <row r="16" spans="1:32" x14ac:dyDescent="0.3">
      <c r="B16" s="35"/>
      <c r="C16" s="42"/>
      <c r="D16" s="35"/>
      <c r="E16" s="42" t="s">
        <v>50</v>
      </c>
      <c r="F16" s="41"/>
      <c r="H16" s="35"/>
      <c r="I16" s="35"/>
      <c r="J16" s="35"/>
      <c r="K16" s="35"/>
      <c r="L16" s="35"/>
      <c r="M16" s="35"/>
      <c r="N16" s="35"/>
      <c r="O16" s="35"/>
      <c r="P16" s="35"/>
      <c r="Q16" s="35"/>
      <c r="R16" s="35"/>
      <c r="S16" s="35"/>
      <c r="T16" s="35"/>
      <c r="U16" s="35"/>
    </row>
    <row r="17" spans="2:21" x14ac:dyDescent="0.3">
      <c r="B17" s="35"/>
      <c r="C17" s="42"/>
      <c r="D17" s="35"/>
      <c r="E17" s="42" t="s">
        <v>51</v>
      </c>
      <c r="F17" s="42"/>
      <c r="H17" s="35"/>
      <c r="I17" s="35"/>
      <c r="J17" s="35"/>
      <c r="K17" s="35"/>
      <c r="L17" s="35"/>
      <c r="M17" s="35"/>
      <c r="N17" s="35"/>
      <c r="O17" s="35"/>
      <c r="P17" s="35"/>
      <c r="Q17" s="35"/>
      <c r="R17" s="35"/>
      <c r="S17" s="35"/>
      <c r="T17" s="35"/>
      <c r="U17" s="35"/>
    </row>
    <row r="18" spans="2:21" x14ac:dyDescent="0.3">
      <c r="B18" s="35"/>
      <c r="C18" s="42"/>
      <c r="D18" s="35"/>
      <c r="E18" s="42" t="s">
        <v>52</v>
      </c>
      <c r="F18" s="42"/>
      <c r="H18" s="35"/>
      <c r="I18" s="35"/>
      <c r="J18" s="35"/>
      <c r="K18" s="35"/>
      <c r="L18" s="35"/>
      <c r="M18" s="35"/>
      <c r="N18" s="35"/>
      <c r="O18" s="35"/>
      <c r="P18" s="35"/>
      <c r="Q18" s="35"/>
      <c r="R18" s="35"/>
      <c r="S18" s="35"/>
      <c r="T18" s="35"/>
      <c r="U18" s="35"/>
    </row>
    <row r="19" spans="2:21" x14ac:dyDescent="0.3">
      <c r="B19" s="35"/>
      <c r="C19" s="42"/>
      <c r="D19" s="35"/>
      <c r="E19" s="42" t="s">
        <v>53</v>
      </c>
      <c r="F19" s="42"/>
      <c r="H19" s="35"/>
      <c r="I19" s="35"/>
      <c r="J19" s="35"/>
      <c r="K19" s="35"/>
      <c r="L19" s="35"/>
      <c r="M19" s="35"/>
      <c r="N19" s="35"/>
      <c r="O19" s="35"/>
      <c r="P19" s="35"/>
      <c r="Q19" s="35"/>
      <c r="R19" s="35"/>
      <c r="S19" s="35"/>
      <c r="T19" s="35"/>
      <c r="U19" s="35"/>
    </row>
    <row r="20" spans="2:21" x14ac:dyDescent="0.3">
      <c r="B20" s="35"/>
      <c r="C20" s="42"/>
      <c r="D20" s="35"/>
      <c r="E20" s="42" t="s">
        <v>54</v>
      </c>
      <c r="F20" s="42"/>
      <c r="H20" s="35"/>
      <c r="I20" s="35"/>
      <c r="J20" s="35"/>
      <c r="K20" s="35"/>
      <c r="L20" s="35"/>
      <c r="M20" s="35"/>
      <c r="N20" s="35"/>
      <c r="O20" s="35"/>
      <c r="P20" s="35"/>
      <c r="Q20" s="35"/>
      <c r="R20" s="35"/>
      <c r="S20" s="35"/>
      <c r="T20" s="35"/>
      <c r="U20" s="35"/>
    </row>
    <row r="21" spans="2:21" x14ac:dyDescent="0.3">
      <c r="B21" s="35"/>
      <c r="C21" s="35"/>
      <c r="D21" s="35"/>
      <c r="E21" s="35"/>
      <c r="F21" s="42"/>
      <c r="H21" s="35"/>
      <c r="I21" s="35"/>
      <c r="J21" s="35"/>
      <c r="K21" s="35"/>
      <c r="L21" s="35"/>
      <c r="M21" s="35"/>
      <c r="N21" s="35"/>
      <c r="O21" s="35"/>
      <c r="P21" s="35"/>
      <c r="Q21" s="35"/>
      <c r="R21" s="35"/>
      <c r="S21" s="35"/>
      <c r="T21" s="35"/>
      <c r="U21" s="35"/>
    </row>
    <row r="22" spans="2:21" x14ac:dyDescent="0.3">
      <c r="B22" s="35"/>
      <c r="C22" s="35"/>
      <c r="D22" s="35"/>
      <c r="E22" s="42"/>
      <c r="F22" s="42"/>
      <c r="H22" s="35"/>
      <c r="I22" s="35"/>
      <c r="J22" s="35"/>
      <c r="K22" s="35"/>
      <c r="L22" s="35"/>
      <c r="M22" s="35"/>
      <c r="N22" s="35"/>
      <c r="O22" s="35"/>
      <c r="P22" s="35"/>
      <c r="Q22" s="35"/>
      <c r="R22" s="35"/>
      <c r="S22" s="35"/>
      <c r="T22" s="35"/>
      <c r="U22" s="35"/>
    </row>
    <row r="23" spans="2:21" x14ac:dyDescent="0.3">
      <c r="B23" s="35"/>
      <c r="C23" s="35"/>
      <c r="D23" s="35"/>
      <c r="E23" s="35"/>
      <c r="F23" s="35"/>
      <c r="H23" s="35"/>
      <c r="I23" s="35"/>
      <c r="J23" s="35"/>
      <c r="K23" s="35"/>
      <c r="L23" s="35"/>
      <c r="M23" s="35"/>
      <c r="N23" s="35"/>
      <c r="O23" s="35"/>
      <c r="P23" s="35"/>
      <c r="Q23" s="35"/>
      <c r="R23" s="35"/>
      <c r="S23" s="35"/>
      <c r="T23" s="35"/>
      <c r="U23" s="35"/>
    </row>
    <row r="24" spans="2:21" x14ac:dyDescent="0.3">
      <c r="B24" s="35"/>
      <c r="C24" s="35"/>
      <c r="D24" s="35"/>
      <c r="E24" s="35"/>
      <c r="F24" s="35"/>
      <c r="H24" s="35"/>
      <c r="I24" s="35"/>
      <c r="J24" s="35"/>
      <c r="K24" s="35"/>
      <c r="L24" s="35"/>
      <c r="M24" s="35"/>
      <c r="N24" s="35"/>
      <c r="O24" s="35"/>
      <c r="P24" s="35"/>
      <c r="Q24" s="35"/>
      <c r="R24" s="35"/>
      <c r="S24" s="35"/>
      <c r="T24" s="35"/>
      <c r="U24" s="35"/>
    </row>
    <row r="25" spans="2:21" x14ac:dyDescent="0.3">
      <c r="B25" s="35"/>
      <c r="C25" s="35"/>
      <c r="D25" s="35"/>
      <c r="E25" s="35"/>
      <c r="F25" s="35"/>
      <c r="H25" s="35"/>
      <c r="I25" s="35"/>
      <c r="J25" s="35"/>
      <c r="K25" s="35"/>
      <c r="L25" s="35"/>
      <c r="M25" s="35"/>
      <c r="N25" s="35"/>
      <c r="O25" s="35"/>
      <c r="P25" s="35"/>
      <c r="Q25" s="35"/>
      <c r="R25" s="35"/>
      <c r="S25" s="35"/>
      <c r="T25" s="35"/>
      <c r="U25" s="35"/>
    </row>
    <row r="26" spans="2:21" x14ac:dyDescent="0.3">
      <c r="B26" s="35"/>
      <c r="C26" s="35"/>
      <c r="D26" s="35"/>
      <c r="E26" s="35"/>
      <c r="F26" s="35"/>
      <c r="H26" s="35"/>
      <c r="I26" s="35"/>
      <c r="J26" s="35"/>
      <c r="K26" s="35"/>
      <c r="L26" s="35"/>
      <c r="M26" s="35"/>
      <c r="N26" s="35"/>
      <c r="O26" s="35"/>
      <c r="P26" s="35"/>
      <c r="Q26" s="35"/>
      <c r="R26" s="35"/>
      <c r="S26" s="35"/>
      <c r="T26" s="35"/>
      <c r="U26" s="35"/>
    </row>
    <row r="27" spans="2:21" ht="43.2" x14ac:dyDescent="0.3">
      <c r="B27" s="35"/>
      <c r="C27" s="35"/>
      <c r="D27" s="35"/>
      <c r="E27" s="35"/>
      <c r="F27" s="35"/>
      <c r="H27" s="35"/>
      <c r="I27" s="35"/>
      <c r="J27" s="44" t="s">
        <v>20</v>
      </c>
      <c r="K27" s="44" t="s">
        <v>25</v>
      </c>
      <c r="L27" s="44" t="s">
        <v>28</v>
      </c>
      <c r="M27" s="44" t="s">
        <v>31</v>
      </c>
      <c r="N27" s="44" t="s">
        <v>55</v>
      </c>
      <c r="O27" s="44" t="s">
        <v>33</v>
      </c>
      <c r="P27" s="44" t="s">
        <v>35</v>
      </c>
      <c r="Q27" s="44" t="s">
        <v>56</v>
      </c>
      <c r="R27" s="44" t="s">
        <v>36</v>
      </c>
      <c r="S27" s="44" t="s">
        <v>37</v>
      </c>
      <c r="T27" s="44" t="s">
        <v>38</v>
      </c>
      <c r="U27" s="45"/>
    </row>
    <row r="28" spans="2:21" x14ac:dyDescent="0.3">
      <c r="B28" s="35"/>
      <c r="C28" s="35"/>
      <c r="D28" s="35"/>
      <c r="E28" s="35"/>
      <c r="F28" s="35"/>
      <c r="H28" s="35"/>
      <c r="I28" s="40" t="s">
        <v>0</v>
      </c>
      <c r="J28" s="36">
        <f>COUNTIFS(Detalhe!$K:$K,J27,Detalhe!$W:$W,"PM")</f>
        <v>8</v>
      </c>
      <c r="K28" s="36">
        <f>COUNTIFS(Detalhe!$K:$K,K27,Detalhe!$W:$W,"PM")</f>
        <v>17</v>
      </c>
      <c r="L28" s="36">
        <f>COUNTIFS(Detalhe!$K:$K,L27,Detalhe!$W:$W,"PM")</f>
        <v>2</v>
      </c>
      <c r="M28" s="36">
        <f>COUNTIFS(Detalhe!$K:$K,M27,Detalhe!$W:$W,"PM")</f>
        <v>1</v>
      </c>
      <c r="N28" s="36">
        <f>COUNTIFS(Detalhe!$K:$K,N27,Detalhe!$W:$W,"PM")</f>
        <v>0</v>
      </c>
      <c r="O28" s="36">
        <f>COUNTIFS(Detalhe!$K:$K,O27,Detalhe!$W:$W,"PM")</f>
        <v>8</v>
      </c>
      <c r="P28" s="36">
        <f>COUNTIFS(Detalhe!$K:$K,P27,Detalhe!$W:$W,"PM")</f>
        <v>3</v>
      </c>
      <c r="Q28" s="36">
        <f>COUNTIFS(Detalhe!$K:$K,Q27,Detalhe!$W:$W,"PM")</f>
        <v>0</v>
      </c>
      <c r="R28" s="36">
        <f>COUNTIFS(Detalhe!$K:$K,R27,Detalhe!$W:$W,"PM")</f>
        <v>45</v>
      </c>
      <c r="S28" s="36">
        <f>COUNTIFS(Detalhe!$K:$K,S27,Detalhe!$W:$W,"PM")</f>
        <v>7</v>
      </c>
      <c r="T28" s="36">
        <f>COUNTIFS(Detalhe!$K:$K,T27,Detalhe!$W:$W,"PM")</f>
        <v>170</v>
      </c>
      <c r="U28" s="46"/>
    </row>
    <row r="29" spans="2:21" x14ac:dyDescent="0.3">
      <c r="B29" s="35"/>
      <c r="C29" s="35"/>
      <c r="D29" s="35"/>
      <c r="E29" s="35"/>
      <c r="F29" s="35"/>
      <c r="H29" s="35"/>
      <c r="I29" s="40" t="s">
        <v>57</v>
      </c>
      <c r="J29" s="37">
        <f>COUNTIFS(Detalhe!$E:$E,J27,Detalhe!$W:$W,"PM")</f>
        <v>10</v>
      </c>
      <c r="K29" s="37">
        <f>COUNTIFS(Detalhe!$E:$E,K27,Detalhe!$W:$W,"PM")</f>
        <v>18</v>
      </c>
      <c r="L29" s="37">
        <f>COUNTIFS(Detalhe!$E:$E,L27,Detalhe!$W:$W,"PM")</f>
        <v>11</v>
      </c>
      <c r="M29" s="37">
        <f>COUNTIFS(Detalhe!$E:$E,M27,Detalhe!$W:$W,"PM")</f>
        <v>4</v>
      </c>
      <c r="N29" s="37">
        <f>COUNTIFS(Detalhe!$E:$E,N27,Detalhe!$W:$W,"PM")</f>
        <v>0</v>
      </c>
      <c r="O29" s="37">
        <f>COUNTIFS(Detalhe!$E:$E,O27,Detalhe!$W:$W,"PM")</f>
        <v>11</v>
      </c>
      <c r="P29" s="37">
        <f>COUNTIFS(Detalhe!$E:$E,P27,Detalhe!$W:$W,"PM")</f>
        <v>11</v>
      </c>
      <c r="Q29" s="37">
        <f>COUNTIFS(Detalhe!$E:$E,Q27,Detalhe!$W:$W,"PM")</f>
        <v>0</v>
      </c>
      <c r="R29" s="37">
        <f>COUNTIFS(Detalhe!$E:$E,R27,Detalhe!$W:$W,"PM")</f>
        <v>42</v>
      </c>
      <c r="S29" s="37">
        <f>COUNTIFS(Detalhe!$E:$E,S27,Detalhe!$W:$W,"PM")</f>
        <v>7</v>
      </c>
      <c r="T29" s="37">
        <f>COUNTIFS(Detalhe!$E:$E,T27,Detalhe!$W:$W,"PM")</f>
        <v>147</v>
      </c>
      <c r="U29" s="47"/>
    </row>
    <row r="30" spans="2:21" x14ac:dyDescent="0.3">
      <c r="B30" s="35"/>
      <c r="C30" s="35"/>
      <c r="D30" s="35"/>
      <c r="E30" s="35"/>
      <c r="F30" s="35"/>
      <c r="H30" s="35"/>
      <c r="I30" s="40" t="s">
        <v>58</v>
      </c>
      <c r="J30" s="38" t="str" cm="1">
        <f t="array" ref="J30">_xlfn.IFS(J28&gt;J29, "↑",J28&lt;J29, "↓",J28=J29, "=")</f>
        <v>↓</v>
      </c>
      <c r="K30" s="39" t="str" cm="1">
        <f t="array" ref="K30">_xlfn.IFS(K28&gt;K29, "↑",K28&lt;K29, "↓",K28=K29, "=")</f>
        <v>↓</v>
      </c>
      <c r="L30" s="39" t="str" cm="1">
        <f t="array" ref="L30">_xlfn.IFS(L28&gt;L29, "↑",L28&lt;L29, "↓",L28=L29, "=")</f>
        <v>↓</v>
      </c>
      <c r="M30" s="39" t="str" cm="1">
        <f t="array" ref="M30">_xlfn.IFS(M28&gt;M29, "↑",M28&lt;M29, "↓",M28=M29, "=")</f>
        <v>↓</v>
      </c>
      <c r="N30" s="39" t="str" cm="1">
        <f t="array" ref="N30">_xlfn.IFS(N28&gt;N29, "↑",N28&lt;N29, "↓",N28=N29, "=")</f>
        <v>=</v>
      </c>
      <c r="O30" s="39" t="str" cm="1">
        <f t="array" ref="O30">_xlfn.IFS(O28&gt;O29, "↑",O28&lt;O29, "↓",O28=O29, "=")</f>
        <v>↓</v>
      </c>
      <c r="P30" s="39" t="str" cm="1">
        <f t="array" ref="P30">_xlfn.IFS(P28&gt;P29, "↑",P28&lt;P29, "↓",P28=P29, "=")</f>
        <v>↓</v>
      </c>
      <c r="Q30" s="38" t="str" cm="1">
        <f t="array" ref="Q30">_xlfn.IFS(Q28&gt;Q29, "↑",Q28&lt;Q29, "↓",Q28=Q29, "=")</f>
        <v>=</v>
      </c>
      <c r="R30" s="39" t="str" cm="1">
        <f t="array" ref="R30">_xlfn.IFS(R28&gt;R29, "↑",R28&lt;R29, "↓",R28=R29, "=")</f>
        <v>↑</v>
      </c>
      <c r="S30" s="38" t="str" cm="1">
        <f t="array" ref="S30">_xlfn.IFS(S28&gt;S29, "↑",S28&lt;S29, "↓",S28=S29, "=")</f>
        <v>=</v>
      </c>
      <c r="T30" s="39" t="str" cm="1">
        <f t="array" ref="T30">_xlfn.IFS(T28&gt;T29, "↑",T28&lt;T29, "↓",T28=T29, "=")</f>
        <v>↑</v>
      </c>
      <c r="U30" s="47"/>
    </row>
    <row r="31" spans="2:21" x14ac:dyDescent="0.3">
      <c r="B31" s="35"/>
      <c r="C31" s="35"/>
      <c r="D31" s="35"/>
      <c r="E31" s="35"/>
      <c r="F31" s="35"/>
      <c r="H31" s="35"/>
      <c r="I31" s="40" t="s">
        <v>59</v>
      </c>
      <c r="J31" s="36">
        <f t="shared" ref="J31:T31" si="0">J28-J29</f>
        <v>-2</v>
      </c>
      <c r="K31" s="36">
        <f t="shared" si="0"/>
        <v>-1</v>
      </c>
      <c r="L31" s="36">
        <f t="shared" si="0"/>
        <v>-9</v>
      </c>
      <c r="M31" s="36">
        <f t="shared" si="0"/>
        <v>-3</v>
      </c>
      <c r="N31" s="36">
        <f>N28-N29</f>
        <v>0</v>
      </c>
      <c r="O31" s="36">
        <f t="shared" si="0"/>
        <v>-3</v>
      </c>
      <c r="P31" s="36">
        <f t="shared" si="0"/>
        <v>-8</v>
      </c>
      <c r="Q31" s="36">
        <f t="shared" si="0"/>
        <v>0</v>
      </c>
      <c r="R31" s="36">
        <f t="shared" si="0"/>
        <v>3</v>
      </c>
      <c r="S31" s="36">
        <f t="shared" si="0"/>
        <v>0</v>
      </c>
      <c r="T31" s="36">
        <f t="shared" si="0"/>
        <v>23</v>
      </c>
      <c r="U31" s="47"/>
    </row>
    <row r="32" spans="2:21" x14ac:dyDescent="0.3">
      <c r="B32" s="35"/>
      <c r="C32" s="35"/>
      <c r="D32" s="35"/>
      <c r="E32" s="35"/>
      <c r="F32" s="35"/>
      <c r="H32" s="35"/>
      <c r="I32" s="35"/>
      <c r="J32" s="35"/>
      <c r="K32" s="35"/>
      <c r="L32" s="35"/>
      <c r="M32" s="35"/>
      <c r="N32" s="35"/>
      <c r="O32" s="35"/>
      <c r="P32" s="35"/>
      <c r="Q32" s="35"/>
      <c r="R32" s="35"/>
      <c r="S32" s="35"/>
      <c r="T32" s="35"/>
      <c r="U32" s="35"/>
    </row>
    <row r="33" spans="2:21" x14ac:dyDescent="0.3"/>
    <row r="34" spans="2:21" x14ac:dyDescent="0.3">
      <c r="H34" s="35"/>
      <c r="I34" s="35"/>
      <c r="J34" s="35"/>
      <c r="K34" s="35"/>
      <c r="L34" s="35"/>
      <c r="M34" s="35"/>
      <c r="N34" s="35"/>
      <c r="O34" s="35"/>
      <c r="P34" s="35"/>
      <c r="Q34" s="35"/>
      <c r="R34" s="35"/>
      <c r="S34" s="35"/>
      <c r="T34" s="35"/>
      <c r="U34" s="35"/>
    </row>
    <row r="35" spans="2:21" ht="14.4" customHeight="1" x14ac:dyDescent="0.3">
      <c r="H35" s="35"/>
      <c r="I35" s="51" t="s">
        <v>93</v>
      </c>
      <c r="J35" s="35"/>
      <c r="K35" s="35"/>
      <c r="L35" s="35"/>
      <c r="M35" s="35"/>
      <c r="N35" s="35"/>
      <c r="O35" s="35"/>
      <c r="P35" s="35"/>
      <c r="Q35" s="35"/>
      <c r="R35" s="35"/>
      <c r="S35" s="35"/>
      <c r="T35" s="35"/>
      <c r="U35" s="35"/>
    </row>
    <row r="36" spans="2:21" ht="14.4" customHeight="1" x14ac:dyDescent="0.3">
      <c r="B36" s="165"/>
      <c r="C36" s="165"/>
      <c r="H36" s="35"/>
      <c r="I36" s="35"/>
      <c r="J36" s="35"/>
      <c r="K36" s="35"/>
      <c r="L36" s="35"/>
      <c r="M36" s="35"/>
      <c r="N36" s="35"/>
      <c r="O36" s="35"/>
      <c r="P36" s="35"/>
      <c r="Q36" s="35"/>
      <c r="R36" s="35"/>
      <c r="S36" s="35"/>
      <c r="T36" s="35"/>
      <c r="U36" s="35"/>
    </row>
    <row r="37" spans="2:21" ht="14.4" customHeight="1" x14ac:dyDescent="0.3">
      <c r="B37" s="165"/>
      <c r="C37" s="165"/>
      <c r="H37" s="35"/>
      <c r="I37" s="52" t="s">
        <v>20</v>
      </c>
      <c r="J37" s="58" t="s">
        <v>94</v>
      </c>
      <c r="K37" s="59"/>
      <c r="L37" s="59"/>
      <c r="M37" s="59"/>
      <c r="N37" s="59"/>
      <c r="O37" s="59"/>
      <c r="P37" s="59"/>
      <c r="Q37" s="59"/>
      <c r="R37" s="59"/>
      <c r="S37" s="59"/>
      <c r="T37" s="55"/>
      <c r="U37" s="35"/>
    </row>
    <row r="38" spans="2:21" ht="14.4" customHeight="1" x14ac:dyDescent="0.3">
      <c r="B38" s="165"/>
      <c r="C38" s="165"/>
      <c r="H38" s="35"/>
      <c r="I38" s="52" t="s">
        <v>25</v>
      </c>
      <c r="J38" s="54" t="s">
        <v>95</v>
      </c>
      <c r="K38" s="60"/>
      <c r="L38" s="60"/>
      <c r="M38" s="60"/>
      <c r="N38" s="60"/>
      <c r="O38" s="60"/>
      <c r="P38" s="60"/>
      <c r="Q38" s="60"/>
      <c r="R38" s="60"/>
      <c r="S38" s="60"/>
      <c r="T38" s="61"/>
      <c r="U38" s="35"/>
    </row>
    <row r="39" spans="2:21" ht="14.4" customHeight="1" x14ac:dyDescent="0.3">
      <c r="B39" s="165"/>
      <c r="C39" s="165"/>
      <c r="H39" s="35"/>
      <c r="I39" s="52" t="s">
        <v>28</v>
      </c>
      <c r="J39" s="54" t="s">
        <v>96</v>
      </c>
      <c r="K39" s="60"/>
      <c r="L39" s="60"/>
      <c r="M39" s="60"/>
      <c r="N39" s="60"/>
      <c r="O39" s="60"/>
      <c r="P39" s="60"/>
      <c r="Q39" s="60"/>
      <c r="R39" s="60"/>
      <c r="S39" s="60"/>
      <c r="T39" s="61"/>
      <c r="U39" s="35"/>
    </row>
    <row r="40" spans="2:21" ht="14.4" customHeight="1" x14ac:dyDescent="0.3">
      <c r="B40" s="165"/>
      <c r="C40" s="165"/>
      <c r="H40" s="35"/>
      <c r="I40" s="52" t="s">
        <v>31</v>
      </c>
      <c r="J40" s="54" t="s">
        <v>97</v>
      </c>
      <c r="K40" s="60"/>
      <c r="L40" s="60"/>
      <c r="M40" s="60"/>
      <c r="N40" s="60"/>
      <c r="O40" s="60"/>
      <c r="P40" s="60"/>
      <c r="Q40" s="60"/>
      <c r="R40" s="60"/>
      <c r="S40" s="60"/>
      <c r="T40" s="61"/>
      <c r="U40" s="35"/>
    </row>
    <row r="41" spans="2:21" ht="14.4" customHeight="1" x14ac:dyDescent="0.3">
      <c r="H41" s="35"/>
      <c r="I41" s="52" t="s">
        <v>55</v>
      </c>
      <c r="J41" s="54" t="s">
        <v>98</v>
      </c>
      <c r="K41" s="60"/>
      <c r="L41" s="60"/>
      <c r="M41" s="60"/>
      <c r="N41" s="60"/>
      <c r="O41" s="60"/>
      <c r="P41" s="60"/>
      <c r="Q41" s="60"/>
      <c r="R41" s="60"/>
      <c r="S41" s="60"/>
      <c r="T41" s="61"/>
      <c r="U41" s="35"/>
    </row>
    <row r="42" spans="2:21" ht="14.4" customHeight="1" x14ac:dyDescent="0.3">
      <c r="H42" s="35"/>
      <c r="I42" s="52" t="s">
        <v>33</v>
      </c>
      <c r="J42" s="63" t="s">
        <v>99</v>
      </c>
      <c r="K42" s="60"/>
      <c r="L42" s="60"/>
      <c r="M42" s="60"/>
      <c r="N42" s="60"/>
      <c r="O42" s="60"/>
      <c r="P42" s="60"/>
      <c r="Q42" s="60"/>
      <c r="R42" s="60"/>
      <c r="S42" s="60"/>
      <c r="T42" s="61"/>
      <c r="U42" s="35"/>
    </row>
    <row r="43" spans="2:21" ht="14.4" customHeight="1" x14ac:dyDescent="0.3">
      <c r="H43" s="35"/>
      <c r="I43" s="52" t="s">
        <v>35</v>
      </c>
      <c r="J43" s="63" t="s">
        <v>100</v>
      </c>
      <c r="K43" s="60"/>
      <c r="L43" s="60"/>
      <c r="M43" s="60"/>
      <c r="N43" s="60"/>
      <c r="O43" s="60"/>
      <c r="P43" s="60"/>
      <c r="Q43" s="60"/>
      <c r="R43" s="60"/>
      <c r="S43" s="60"/>
      <c r="T43" s="61"/>
      <c r="U43" s="35"/>
    </row>
    <row r="44" spans="2:21" ht="14.4" customHeight="1" x14ac:dyDescent="0.3">
      <c r="H44" s="35"/>
      <c r="I44" s="62" t="s">
        <v>56</v>
      </c>
      <c r="J44" s="54" t="s">
        <v>101</v>
      </c>
      <c r="K44" s="60"/>
      <c r="L44" s="60"/>
      <c r="M44" s="60"/>
      <c r="N44" s="60"/>
      <c r="O44" s="60"/>
      <c r="P44" s="60"/>
      <c r="Q44" s="60"/>
      <c r="R44" s="60"/>
      <c r="S44" s="60"/>
      <c r="T44" s="61"/>
      <c r="U44" s="35"/>
    </row>
    <row r="45" spans="2:21" ht="14.4" customHeight="1" x14ac:dyDescent="0.3">
      <c r="H45" s="35"/>
      <c r="I45" s="52" t="s">
        <v>36</v>
      </c>
      <c r="J45" s="54" t="s">
        <v>102</v>
      </c>
      <c r="K45" s="60"/>
      <c r="L45" s="60"/>
      <c r="M45" s="60"/>
      <c r="N45" s="60"/>
      <c r="O45" s="60"/>
      <c r="P45" s="60"/>
      <c r="Q45" s="60"/>
      <c r="R45" s="60"/>
      <c r="S45" s="60"/>
      <c r="T45" s="61"/>
      <c r="U45" s="35"/>
    </row>
    <row r="46" spans="2:21" ht="14.4" customHeight="1" x14ac:dyDescent="0.3">
      <c r="H46" s="35"/>
      <c r="I46" s="52" t="s">
        <v>37</v>
      </c>
      <c r="J46" s="54" t="s">
        <v>103</v>
      </c>
      <c r="K46" s="60"/>
      <c r="L46" s="60"/>
      <c r="M46" s="60"/>
      <c r="N46" s="60"/>
      <c r="O46" s="60"/>
      <c r="P46" s="60"/>
      <c r="Q46" s="60"/>
      <c r="R46" s="60"/>
      <c r="S46" s="60"/>
      <c r="T46" s="61"/>
      <c r="U46" s="35"/>
    </row>
    <row r="47" spans="2:21" ht="14.4" customHeight="1" x14ac:dyDescent="0.3">
      <c r="H47" s="35"/>
      <c r="I47" s="52" t="s">
        <v>38</v>
      </c>
      <c r="J47" s="56" t="s">
        <v>104</v>
      </c>
      <c r="K47" s="53"/>
      <c r="L47" s="53"/>
      <c r="M47" s="53"/>
      <c r="N47" s="53"/>
      <c r="O47" s="53"/>
      <c r="P47" s="53"/>
      <c r="Q47" s="53"/>
      <c r="R47" s="53"/>
      <c r="S47" s="53"/>
      <c r="T47" s="57"/>
      <c r="U47" s="35"/>
    </row>
    <row r="48" spans="2:21" ht="14.4" customHeight="1" x14ac:dyDescent="0.3">
      <c r="H48" s="35"/>
      <c r="I48" s="35"/>
      <c r="J48" s="35"/>
      <c r="K48" s="35"/>
      <c r="L48" s="35"/>
      <c r="M48" s="35"/>
      <c r="N48" s="35"/>
      <c r="O48" s="35"/>
      <c r="P48" s="35"/>
      <c r="Q48" s="35"/>
      <c r="R48" s="35"/>
      <c r="S48" s="35"/>
      <c r="T48" s="35"/>
      <c r="U48" s="35"/>
    </row>
  </sheetData>
  <mergeCells count="5">
    <mergeCell ref="B40:C40"/>
    <mergeCell ref="B36:C36"/>
    <mergeCell ref="B37:C37"/>
    <mergeCell ref="B38:C38"/>
    <mergeCell ref="B39:C39"/>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2:Y408"/>
  <sheetViews>
    <sheetView showGridLines="0" tabSelected="1" zoomScale="90" zoomScaleNormal="90" workbookViewId="0">
      <pane xSplit="3" ySplit="5" topLeftCell="J145" activePane="bottomRight" state="frozen"/>
      <selection pane="topRight" activeCell="D1" sqref="D1"/>
      <selection pane="bottomLeft" activeCell="A6" sqref="A6"/>
      <selection pane="bottomRight" activeCell="T411" sqref="T411"/>
    </sheetView>
  </sheetViews>
  <sheetFormatPr defaultRowHeight="14.4" outlineLevelCol="1" x14ac:dyDescent="0.3"/>
  <cols>
    <col min="1" max="1" width="2.6640625" customWidth="1"/>
    <col min="2" max="2" width="17.44140625" bestFit="1" customWidth="1"/>
    <col min="3" max="3" width="36.33203125" customWidth="1"/>
    <col min="4" max="4" width="10.6640625" customWidth="1"/>
    <col min="5" max="5" width="30.6640625" bestFit="1" customWidth="1"/>
    <col min="6" max="6" width="27.5546875" bestFit="1" customWidth="1"/>
    <col min="7" max="8" width="50.6640625" customWidth="1" outlineLevel="1"/>
    <col min="9" max="9" width="15" bestFit="1" customWidth="1"/>
    <col min="10" max="10" width="24.6640625" bestFit="1" customWidth="1"/>
    <col min="11" max="11" width="30.6640625" bestFit="1" customWidth="1"/>
    <col min="12" max="12" width="22.5546875" customWidth="1"/>
    <col min="13" max="13" width="12.33203125" bestFit="1" customWidth="1"/>
    <col min="14" max="14" width="12.33203125" customWidth="1"/>
    <col min="15" max="15" width="15.109375" customWidth="1"/>
    <col min="16" max="16" width="13.44140625" hidden="1" customWidth="1"/>
    <col min="17" max="17" width="22.6640625" bestFit="1" customWidth="1"/>
    <col min="18" max="18" width="16.33203125" bestFit="1" customWidth="1"/>
    <col min="19" max="19" width="11.33203125" bestFit="1" customWidth="1"/>
    <col min="20" max="20" width="12.88671875" bestFit="1" customWidth="1"/>
    <col min="21" max="21" width="9.33203125" bestFit="1" customWidth="1"/>
    <col min="22" max="22" width="16.6640625" bestFit="1" customWidth="1"/>
    <col min="23" max="23" width="13.88671875" bestFit="1" customWidth="1"/>
  </cols>
  <sheetData>
    <row r="2" spans="1:25" x14ac:dyDescent="0.3">
      <c r="C2" s="10" t="s">
        <v>105</v>
      </c>
    </row>
    <row r="3" spans="1:25" x14ac:dyDescent="0.3">
      <c r="C3" s="11" t="s">
        <v>106</v>
      </c>
    </row>
    <row r="5" spans="1:25" s="2" customFormat="1" ht="28.8" x14ac:dyDescent="0.3">
      <c r="B5" s="20" t="s">
        <v>107</v>
      </c>
      <c r="C5" s="20" t="s">
        <v>108</v>
      </c>
      <c r="D5" s="20" t="s">
        <v>109</v>
      </c>
      <c r="E5" s="8" t="s">
        <v>110</v>
      </c>
      <c r="F5" s="8" t="s">
        <v>111</v>
      </c>
      <c r="G5" s="8" t="s">
        <v>112</v>
      </c>
      <c r="H5" s="8" t="s">
        <v>113</v>
      </c>
      <c r="I5" s="16" t="s">
        <v>114</v>
      </c>
      <c r="J5" s="16" t="s">
        <v>115</v>
      </c>
      <c r="K5" s="16" t="s">
        <v>0</v>
      </c>
      <c r="L5" s="19" t="s">
        <v>116</v>
      </c>
      <c r="M5" s="16" t="s">
        <v>117</v>
      </c>
      <c r="N5" s="19" t="s">
        <v>118</v>
      </c>
      <c r="O5" s="19" t="s">
        <v>119</v>
      </c>
      <c r="P5" s="21" t="s">
        <v>120</v>
      </c>
      <c r="Q5" s="20" t="s">
        <v>121</v>
      </c>
      <c r="R5" s="20" t="s">
        <v>122</v>
      </c>
      <c r="S5" s="20" t="s">
        <v>123</v>
      </c>
      <c r="T5" s="20" t="s">
        <v>124</v>
      </c>
      <c r="U5" s="20" t="s">
        <v>125</v>
      </c>
      <c r="V5" s="20" t="s">
        <v>126</v>
      </c>
      <c r="W5" s="20" t="s">
        <v>4</v>
      </c>
      <c r="X5" s="20" t="s">
        <v>127</v>
      </c>
      <c r="Y5" s="2" t="s">
        <v>138</v>
      </c>
    </row>
    <row r="6" spans="1:25" hidden="1" x14ac:dyDescent="0.3">
      <c r="A6" s="50" t="str">
        <f>B6&amp;"_"&amp;C6</f>
        <v>INSTRUMENT_ACCMLTD_CHNGS_FV_CR_INSTRMNT</v>
      </c>
      <c r="B6" t="s">
        <v>128</v>
      </c>
      <c r="C6" t="s">
        <v>129</v>
      </c>
      <c r="D6" t="s">
        <v>14</v>
      </c>
      <c r="E6" t="s">
        <v>38</v>
      </c>
      <c r="F6" t="s">
        <v>130</v>
      </c>
      <c r="G6" t="s">
        <v>131</v>
      </c>
      <c r="I6" t="s">
        <v>26</v>
      </c>
      <c r="J6" s="15">
        <v>45450</v>
      </c>
      <c r="K6" t="s">
        <v>38</v>
      </c>
      <c r="L6" t="str">
        <f t="shared" ref="L6:L11" si="0">F6</f>
        <v>OK</v>
      </c>
      <c r="P6" t="s">
        <v>30</v>
      </c>
      <c r="Q6" t="s">
        <v>132</v>
      </c>
      <c r="R6" t="s">
        <v>132</v>
      </c>
      <c r="S6" t="s">
        <v>132</v>
      </c>
      <c r="T6" t="s">
        <v>133</v>
      </c>
      <c r="U6" t="s">
        <v>133</v>
      </c>
      <c r="V6" t="s">
        <v>133</v>
      </c>
      <c r="W6" t="s">
        <v>5</v>
      </c>
      <c r="X6">
        <v>0</v>
      </c>
      <c r="Y6" t="e">
        <f>_xlfn.XLOOKUP(C6,[1]Especificação!$G:$G,[1]Especificação!$C:$C)</f>
        <v>#N/A</v>
      </c>
    </row>
    <row r="7" spans="1:25" hidden="1" x14ac:dyDescent="0.3">
      <c r="A7" s="50" t="str">
        <f t="shared" ref="A7:A69" si="1">B7&amp;"_"&amp;C7</f>
        <v>INSTRUMENT_ACCMLTD_IMPRMNT_INSTRMNT</v>
      </c>
      <c r="B7" t="s">
        <v>128</v>
      </c>
      <c r="C7" t="s">
        <v>134</v>
      </c>
      <c r="D7" t="s">
        <v>14</v>
      </c>
      <c r="E7" t="s">
        <v>38</v>
      </c>
      <c r="F7" t="s">
        <v>130</v>
      </c>
      <c r="G7" t="s">
        <v>131</v>
      </c>
      <c r="I7" t="s">
        <v>26</v>
      </c>
      <c r="J7" s="15">
        <v>45450</v>
      </c>
      <c r="K7" t="s">
        <v>38</v>
      </c>
      <c r="L7" t="str">
        <f t="shared" si="0"/>
        <v>OK</v>
      </c>
      <c r="P7" t="s">
        <v>30</v>
      </c>
      <c r="Q7" t="s">
        <v>132</v>
      </c>
      <c r="R7" t="s">
        <v>132</v>
      </c>
      <c r="S7" t="s">
        <v>132</v>
      </c>
      <c r="T7" t="s">
        <v>133</v>
      </c>
      <c r="U7" t="s">
        <v>133</v>
      </c>
      <c r="V7" t="s">
        <v>132</v>
      </c>
      <c r="W7" t="s">
        <v>5</v>
      </c>
      <c r="X7" t="s">
        <v>135</v>
      </c>
      <c r="Y7" t="str">
        <f>_xlfn.XLOOKUP(C7,[1]Especificação!$G:$G,[1]Especificação!$C:$C)</f>
        <v>F1. Fora âmbito | Campos concluídos - Sem necessidade de espec.</v>
      </c>
    </row>
    <row r="8" spans="1:25" hidden="1" x14ac:dyDescent="0.3">
      <c r="A8" s="50" t="str">
        <f t="shared" si="1"/>
        <v>INSTRUMENT_ACCMLTD_IMPRMNT_INSTRMNT_PRVS</v>
      </c>
      <c r="B8" t="s">
        <v>128</v>
      </c>
      <c r="C8" s="10" t="s">
        <v>136</v>
      </c>
      <c r="D8" t="s">
        <v>14</v>
      </c>
      <c r="E8" t="s">
        <v>35</v>
      </c>
      <c r="F8" t="s">
        <v>130</v>
      </c>
      <c r="G8" s="86" t="s">
        <v>137</v>
      </c>
      <c r="I8" t="s">
        <v>32</v>
      </c>
      <c r="J8" s="15">
        <v>45952</v>
      </c>
      <c r="K8" t="s">
        <v>36</v>
      </c>
      <c r="L8" t="s">
        <v>149</v>
      </c>
      <c r="M8" t="s">
        <v>1272</v>
      </c>
      <c r="N8" s="15"/>
      <c r="O8" s="15">
        <v>45952</v>
      </c>
      <c r="P8" t="s">
        <v>24</v>
      </c>
      <c r="Q8" t="s">
        <v>132</v>
      </c>
      <c r="R8" t="s">
        <v>133</v>
      </c>
      <c r="S8" t="s">
        <v>133</v>
      </c>
      <c r="T8" t="s">
        <v>133</v>
      </c>
      <c r="U8" t="s">
        <v>133</v>
      </c>
      <c r="V8" t="s">
        <v>132</v>
      </c>
      <c r="W8" t="s">
        <v>138</v>
      </c>
      <c r="X8" t="s">
        <v>139</v>
      </c>
      <c r="Y8" t="str">
        <f>_xlfn.XLOOKUP(C8,[1]Especificação!$G:$G,[1]Especificação!$C:$C)</f>
        <v>C. Campos em testes ou c/ incidências</v>
      </c>
    </row>
    <row r="9" spans="1:25" hidden="1" x14ac:dyDescent="0.3">
      <c r="A9" s="50" t="str">
        <f t="shared" si="1"/>
        <v>INSTRUMENT_ACCMLTD_WRTFFS_INSTRMNT</v>
      </c>
      <c r="B9" t="s">
        <v>128</v>
      </c>
      <c r="C9" t="s">
        <v>140</v>
      </c>
      <c r="D9" t="s">
        <v>14</v>
      </c>
      <c r="E9" t="s">
        <v>38</v>
      </c>
      <c r="F9" t="s">
        <v>130</v>
      </c>
      <c r="G9" t="s">
        <v>131</v>
      </c>
      <c r="I9" t="s">
        <v>26</v>
      </c>
      <c r="J9" s="15">
        <v>45450</v>
      </c>
      <c r="K9" t="s">
        <v>38</v>
      </c>
      <c r="L9" t="str">
        <f t="shared" si="0"/>
        <v>OK</v>
      </c>
      <c r="P9" t="s">
        <v>30</v>
      </c>
      <c r="Q9" t="s">
        <v>132</v>
      </c>
      <c r="R9" t="s">
        <v>133</v>
      </c>
      <c r="S9" t="s">
        <v>133</v>
      </c>
      <c r="T9" t="s">
        <v>133</v>
      </c>
      <c r="U9" t="s">
        <v>133</v>
      </c>
      <c r="V9" t="s">
        <v>132</v>
      </c>
      <c r="W9" t="s">
        <v>5</v>
      </c>
      <c r="X9" t="s">
        <v>135</v>
      </c>
      <c r="Y9" t="str">
        <f>_xlfn.XLOOKUP(C9,[1]Especificação!$G:$G,[1]Especificação!$C:$C)</f>
        <v>F1. Fora âmbito | Campos concluídos - Sem necessidade de espec.</v>
      </c>
    </row>
    <row r="10" spans="1:25" hidden="1" x14ac:dyDescent="0.3">
      <c r="A10" s="50" t="str">
        <f t="shared" si="1"/>
        <v>INSTRUMENT_ACCNTNG_CLSSFCTN</v>
      </c>
      <c r="B10" t="s">
        <v>128</v>
      </c>
      <c r="C10" t="s">
        <v>141</v>
      </c>
      <c r="D10" t="s">
        <v>14</v>
      </c>
      <c r="E10" t="s">
        <v>38</v>
      </c>
      <c r="F10" t="s">
        <v>130</v>
      </c>
      <c r="G10" t="s">
        <v>131</v>
      </c>
      <c r="I10" t="s">
        <v>26</v>
      </c>
      <c r="J10" s="15">
        <v>45450</v>
      </c>
      <c r="K10" t="s">
        <v>38</v>
      </c>
      <c r="L10" t="str">
        <f t="shared" si="0"/>
        <v>OK</v>
      </c>
      <c r="P10" t="s">
        <v>30</v>
      </c>
      <c r="Q10" t="s">
        <v>132</v>
      </c>
      <c r="R10" t="s">
        <v>132</v>
      </c>
      <c r="S10" t="s">
        <v>132</v>
      </c>
      <c r="T10" t="s">
        <v>133</v>
      </c>
      <c r="U10" t="s">
        <v>133</v>
      </c>
      <c r="V10" t="s">
        <v>132</v>
      </c>
      <c r="W10" t="s">
        <v>5</v>
      </c>
      <c r="X10" t="s">
        <v>135</v>
      </c>
      <c r="Y10" t="str">
        <f>_xlfn.XLOOKUP(C10,[1]Especificação!$G:$G,[1]Especificação!$C:$C)</f>
        <v>F1. Fora âmbito | Campos concluídos - Sem necessidade de espec.</v>
      </c>
    </row>
    <row r="11" spans="1:25" hidden="1" x14ac:dyDescent="0.3">
      <c r="A11" s="50" t="str">
        <f t="shared" si="1"/>
        <v>ENTITY_ACCNTNG_FRMWRK_SL</v>
      </c>
      <c r="B11" t="s">
        <v>142</v>
      </c>
      <c r="C11" t="s">
        <v>143</v>
      </c>
      <c r="D11" t="s">
        <v>14</v>
      </c>
      <c r="E11" t="s">
        <v>25</v>
      </c>
      <c r="F11" t="s">
        <v>130</v>
      </c>
      <c r="G11" t="s">
        <v>144</v>
      </c>
      <c r="H11" t="s">
        <v>145</v>
      </c>
      <c r="I11" t="s">
        <v>29</v>
      </c>
      <c r="J11" s="15">
        <v>45450</v>
      </c>
      <c r="K11" t="s">
        <v>25</v>
      </c>
      <c r="L11" t="str">
        <f t="shared" si="0"/>
        <v>OK</v>
      </c>
      <c r="P11" t="s">
        <v>13</v>
      </c>
      <c r="Q11" t="s">
        <v>132</v>
      </c>
      <c r="R11" t="s">
        <v>133</v>
      </c>
      <c r="S11" t="s">
        <v>133</v>
      </c>
      <c r="T11" t="s">
        <v>133</v>
      </c>
      <c r="U11" t="s">
        <v>133</v>
      </c>
      <c r="V11" t="s">
        <v>132</v>
      </c>
      <c r="W11" t="s">
        <v>146</v>
      </c>
      <c r="X11" t="s">
        <v>147</v>
      </c>
      <c r="Y11" t="str">
        <f>_xlfn.XLOOKUP(C11,[1]Especificação!$G:$G,[1]Especificação!$C:$C)</f>
        <v>F4. Fora âmbito | Re-especificação de campos complexos - Dem. Fin. CIB</v>
      </c>
    </row>
    <row r="12" spans="1:25" hidden="1" x14ac:dyDescent="0.3">
      <c r="A12" s="50" t="str">
        <f t="shared" si="1"/>
        <v>INSTRUMENT_TYP_MRTGG</v>
      </c>
      <c r="B12" t="s">
        <v>128</v>
      </c>
      <c r="C12" s="10" t="s">
        <v>148</v>
      </c>
      <c r="D12" t="s">
        <v>14</v>
      </c>
      <c r="E12" t="s">
        <v>28</v>
      </c>
      <c r="F12" t="s">
        <v>149</v>
      </c>
      <c r="G12" t="s">
        <v>150</v>
      </c>
      <c r="I12" t="s">
        <v>32</v>
      </c>
      <c r="J12" s="15">
        <v>45568</v>
      </c>
      <c r="K12" t="s">
        <v>25</v>
      </c>
      <c r="L12" t="str">
        <f t="shared" ref="L12:L34" si="2">F12</f>
        <v>NOK</v>
      </c>
      <c r="M12" t="s">
        <v>151</v>
      </c>
      <c r="P12" t="s">
        <v>34</v>
      </c>
      <c r="Q12" t="s">
        <v>132</v>
      </c>
      <c r="R12" t="s">
        <v>133</v>
      </c>
      <c r="S12" t="s">
        <v>133</v>
      </c>
      <c r="T12" t="s">
        <v>133</v>
      </c>
      <c r="U12" t="s">
        <v>133</v>
      </c>
      <c r="V12" t="s">
        <v>133</v>
      </c>
      <c r="W12" t="s">
        <v>5</v>
      </c>
      <c r="X12">
        <v>0</v>
      </c>
      <c r="Y12" t="e">
        <f>_xlfn.XLOOKUP(C12,[1]Especificação!$G:$G,[1]Especificação!$C:$C)</f>
        <v>#N/A</v>
      </c>
    </row>
    <row r="13" spans="1:25" hidden="1" x14ac:dyDescent="0.3">
      <c r="A13" s="50" t="str">
        <f t="shared" si="1"/>
        <v>INSTRUMENT_AMNT_D_AT_MTRTY</v>
      </c>
      <c r="B13" t="s">
        <v>128</v>
      </c>
      <c r="C13" t="s">
        <v>152</v>
      </c>
      <c r="D13" t="s">
        <v>14</v>
      </c>
      <c r="E13" t="s">
        <v>20</v>
      </c>
      <c r="F13" t="s">
        <v>149</v>
      </c>
      <c r="G13" t="s">
        <v>1121</v>
      </c>
      <c r="I13" t="s">
        <v>29</v>
      </c>
      <c r="J13" s="15">
        <v>45450</v>
      </c>
      <c r="K13" t="s">
        <v>20</v>
      </c>
      <c r="L13" t="str">
        <f t="shared" si="2"/>
        <v>NOK</v>
      </c>
      <c r="M13" t="s">
        <v>1121</v>
      </c>
      <c r="P13" t="s">
        <v>19</v>
      </c>
      <c r="Q13" t="s">
        <v>132</v>
      </c>
      <c r="R13" t="s">
        <v>133</v>
      </c>
      <c r="S13" t="s">
        <v>133</v>
      </c>
      <c r="T13" t="s">
        <v>133</v>
      </c>
      <c r="U13" t="s">
        <v>133</v>
      </c>
      <c r="V13" t="s">
        <v>132</v>
      </c>
      <c r="W13" t="s">
        <v>138</v>
      </c>
      <c r="X13" t="s">
        <v>153</v>
      </c>
      <c r="Y13" t="str">
        <f>_xlfn.XLOOKUP(C13,[1]Especificação!$G:$G,[1]Especificação!$C:$C)</f>
        <v>B2. Re-especificação de campos complexos - Resto</v>
      </c>
    </row>
    <row r="14" spans="1:25" hidden="1" x14ac:dyDescent="0.3">
      <c r="A14" s="50" t="str">
        <f t="shared" si="1"/>
        <v>ENTITY_ANNL_TRNVR_LE</v>
      </c>
      <c r="B14" t="s">
        <v>142</v>
      </c>
      <c r="C14" t="s">
        <v>154</v>
      </c>
      <c r="D14" t="s">
        <v>14</v>
      </c>
      <c r="E14" t="s">
        <v>25</v>
      </c>
      <c r="F14" t="s">
        <v>130</v>
      </c>
      <c r="G14" t="s">
        <v>144</v>
      </c>
      <c r="H14" t="s">
        <v>145</v>
      </c>
      <c r="I14" t="s">
        <v>29</v>
      </c>
      <c r="J14" s="15">
        <v>45450</v>
      </c>
      <c r="K14" t="s">
        <v>25</v>
      </c>
      <c r="L14" t="str">
        <f t="shared" si="2"/>
        <v>OK</v>
      </c>
      <c r="P14" t="s">
        <v>13</v>
      </c>
      <c r="Q14" t="s">
        <v>132</v>
      </c>
      <c r="R14" t="s">
        <v>133</v>
      </c>
      <c r="S14" t="s">
        <v>132</v>
      </c>
      <c r="T14" t="s">
        <v>133</v>
      </c>
      <c r="U14" t="s">
        <v>133</v>
      </c>
      <c r="V14" t="s">
        <v>132</v>
      </c>
      <c r="W14" t="s">
        <v>146</v>
      </c>
      <c r="X14" t="s">
        <v>147</v>
      </c>
      <c r="Y14" t="str">
        <f>_xlfn.XLOOKUP(C14,[1]Especificação!$G:$G,[1]Especificação!$C:$C)</f>
        <v>F4. Fora âmbito | Re-especificação de campos complexos - Dem. Fin. CIB</v>
      </c>
    </row>
    <row r="15" spans="1:25" hidden="1" x14ac:dyDescent="0.3">
      <c r="A15" s="50" t="str">
        <f t="shared" si="1"/>
        <v>ENTITY_ANNL_TRNVR_LE_BDR</v>
      </c>
      <c r="B15" t="s">
        <v>142</v>
      </c>
      <c r="C15" t="s">
        <v>155</v>
      </c>
      <c r="D15" t="s">
        <v>6</v>
      </c>
      <c r="E15" t="s">
        <v>38</v>
      </c>
      <c r="F15" t="s">
        <v>130</v>
      </c>
      <c r="G15" t="s">
        <v>131</v>
      </c>
      <c r="I15" t="s">
        <v>26</v>
      </c>
      <c r="J15" s="15">
        <v>45450</v>
      </c>
      <c r="K15" t="s">
        <v>38</v>
      </c>
      <c r="L15" t="str">
        <f t="shared" si="2"/>
        <v>OK</v>
      </c>
      <c r="P15" t="s">
        <v>30</v>
      </c>
      <c r="Q15" t="s">
        <v>132</v>
      </c>
      <c r="R15" t="s">
        <v>133</v>
      </c>
      <c r="S15" t="s">
        <v>133</v>
      </c>
      <c r="T15" t="s">
        <v>133</v>
      </c>
      <c r="U15" t="s">
        <v>133</v>
      </c>
      <c r="V15" t="s">
        <v>133</v>
      </c>
      <c r="W15" t="s">
        <v>5</v>
      </c>
      <c r="X15">
        <v>0</v>
      </c>
      <c r="Y15" t="e">
        <f>_xlfn.XLOOKUP(C15,[1]Especificação!$G:$G,[1]Especificação!$C:$C)</f>
        <v>#N/A</v>
      </c>
    </row>
    <row r="16" spans="1:25" hidden="1" x14ac:dyDescent="0.3">
      <c r="A16" s="50" t="str">
        <f t="shared" si="1"/>
        <v>ENTITY_ANNL_TRNVR_PRVS</v>
      </c>
      <c r="B16" t="s">
        <v>142</v>
      </c>
      <c r="C16" t="s">
        <v>156</v>
      </c>
      <c r="D16" t="s">
        <v>14</v>
      </c>
      <c r="E16" t="s">
        <v>25</v>
      </c>
      <c r="F16" t="s">
        <v>130</v>
      </c>
      <c r="G16" t="s">
        <v>144</v>
      </c>
      <c r="H16" t="s">
        <v>145</v>
      </c>
      <c r="I16" t="s">
        <v>29</v>
      </c>
      <c r="J16" s="15">
        <v>45450</v>
      </c>
      <c r="K16" t="s">
        <v>25</v>
      </c>
      <c r="L16" t="str">
        <f t="shared" si="2"/>
        <v>OK</v>
      </c>
      <c r="P16" t="s">
        <v>13</v>
      </c>
      <c r="Q16" t="s">
        <v>132</v>
      </c>
      <c r="R16" t="s">
        <v>133</v>
      </c>
      <c r="S16" t="s">
        <v>133</v>
      </c>
      <c r="T16" t="s">
        <v>133</v>
      </c>
      <c r="U16" t="s">
        <v>133</v>
      </c>
      <c r="V16" t="s">
        <v>132</v>
      </c>
      <c r="W16" t="s">
        <v>146</v>
      </c>
      <c r="X16" t="s">
        <v>147</v>
      </c>
      <c r="Y16" t="str">
        <f>_xlfn.XLOOKUP(C16,[1]Especificação!$G:$G,[1]Especificação!$C:$C)</f>
        <v>F4. Fora âmbito | Re-especificação de campos complexos - Dem. Fin. CIB</v>
      </c>
    </row>
    <row r="17" spans="1:25" hidden="1" x14ac:dyDescent="0.3">
      <c r="A17" s="50" t="str">
        <f t="shared" si="1"/>
        <v>ENTITY_ANNL_TRNVR_PRVS_BDR</v>
      </c>
      <c r="B17" t="s">
        <v>142</v>
      </c>
      <c r="C17" t="s">
        <v>157</v>
      </c>
      <c r="D17" t="s">
        <v>6</v>
      </c>
      <c r="E17" t="s">
        <v>38</v>
      </c>
      <c r="F17" t="s">
        <v>130</v>
      </c>
      <c r="G17" t="s">
        <v>131</v>
      </c>
      <c r="I17" t="s">
        <v>26</v>
      </c>
      <c r="J17" s="15">
        <v>45450</v>
      </c>
      <c r="K17" t="s">
        <v>38</v>
      </c>
      <c r="L17" t="str">
        <f t="shared" si="2"/>
        <v>OK</v>
      </c>
      <c r="P17" t="s">
        <v>30</v>
      </c>
      <c r="Q17" t="s">
        <v>132</v>
      </c>
      <c r="R17" t="s">
        <v>133</v>
      </c>
      <c r="S17" t="s">
        <v>133</v>
      </c>
      <c r="T17" t="s">
        <v>133</v>
      </c>
      <c r="U17" t="s">
        <v>133</v>
      </c>
      <c r="V17" t="s">
        <v>133</v>
      </c>
      <c r="W17" t="s">
        <v>5</v>
      </c>
      <c r="X17">
        <v>0</v>
      </c>
      <c r="Y17" t="e">
        <f>_xlfn.XLOOKUP(C17,[1]Especificação!$G:$G,[1]Especificação!$C:$C)</f>
        <v>#N/A</v>
      </c>
    </row>
    <row r="18" spans="1:25" hidden="1" x14ac:dyDescent="0.3">
      <c r="A18" s="50" t="str">
        <f t="shared" si="1"/>
        <v>INSTRUMENT_ANNLSD_AGRD_RT</v>
      </c>
      <c r="B18" t="s">
        <v>128</v>
      </c>
      <c r="C18" s="11" t="s">
        <v>158</v>
      </c>
      <c r="D18" t="s">
        <v>14</v>
      </c>
      <c r="E18" t="s">
        <v>28</v>
      </c>
      <c r="F18" t="s">
        <v>130</v>
      </c>
      <c r="G18" t="s">
        <v>159</v>
      </c>
      <c r="H18" t="s">
        <v>160</v>
      </c>
      <c r="I18" t="s">
        <v>32</v>
      </c>
      <c r="J18" s="15">
        <v>45450</v>
      </c>
      <c r="K18" t="s">
        <v>28</v>
      </c>
      <c r="L18" t="str">
        <f t="shared" si="2"/>
        <v>OK</v>
      </c>
      <c r="P18" t="s">
        <v>39</v>
      </c>
      <c r="Q18" t="s">
        <v>132</v>
      </c>
      <c r="R18" t="s">
        <v>133</v>
      </c>
      <c r="S18" t="s">
        <v>132</v>
      </c>
      <c r="T18" t="s">
        <v>133</v>
      </c>
      <c r="U18" t="s">
        <v>133</v>
      </c>
      <c r="V18" t="s">
        <v>133</v>
      </c>
      <c r="W18" t="s">
        <v>5</v>
      </c>
      <c r="X18">
        <v>0</v>
      </c>
      <c r="Y18" t="e">
        <f>_xlfn.XLOOKUP(C18,[1]Especificação!$G:$G,[1]Especificação!$C:$C)</f>
        <v>#N/A</v>
      </c>
    </row>
    <row r="19" spans="1:25" hidden="1" x14ac:dyDescent="0.3">
      <c r="A19" s="50" t="str">
        <f t="shared" si="1"/>
        <v>PROTECTION_APPRSL_CRRNCY</v>
      </c>
      <c r="B19" t="s">
        <v>161</v>
      </c>
      <c r="C19" t="s">
        <v>162</v>
      </c>
      <c r="D19" t="s">
        <v>14</v>
      </c>
      <c r="E19" t="s">
        <v>36</v>
      </c>
      <c r="F19" t="s">
        <v>149</v>
      </c>
      <c r="G19" t="s">
        <v>163</v>
      </c>
      <c r="I19" t="s">
        <v>29</v>
      </c>
      <c r="J19" s="15">
        <v>45450</v>
      </c>
      <c r="K19" t="s">
        <v>36</v>
      </c>
      <c r="L19" t="str">
        <f t="shared" si="2"/>
        <v>NOK</v>
      </c>
      <c r="P19" t="s">
        <v>8</v>
      </c>
      <c r="Q19" t="s">
        <v>132</v>
      </c>
      <c r="R19" t="s">
        <v>133</v>
      </c>
      <c r="S19" t="s">
        <v>133</v>
      </c>
      <c r="T19" t="s">
        <v>133</v>
      </c>
      <c r="U19" t="s">
        <v>133</v>
      </c>
      <c r="V19" t="s">
        <v>133</v>
      </c>
      <c r="W19" t="s">
        <v>5</v>
      </c>
      <c r="X19">
        <v>0</v>
      </c>
      <c r="Y19" t="e">
        <f>_xlfn.XLOOKUP(C19,[1]Especificação!$G:$G,[1]Especificação!$C:$C)</f>
        <v>#N/A</v>
      </c>
    </row>
    <row r="20" spans="1:25" hidden="1" x14ac:dyDescent="0.3">
      <c r="A20" s="50" t="str">
        <f t="shared" si="1"/>
        <v>PROTECTION_APPRSR</v>
      </c>
      <c r="B20" t="s">
        <v>161</v>
      </c>
      <c r="C20" t="s">
        <v>164</v>
      </c>
      <c r="D20" t="s">
        <v>14</v>
      </c>
      <c r="E20" t="s">
        <v>36</v>
      </c>
      <c r="F20" t="s">
        <v>149</v>
      </c>
      <c r="G20" t="s">
        <v>163</v>
      </c>
      <c r="I20" t="s">
        <v>29</v>
      </c>
      <c r="J20" s="15">
        <v>45450</v>
      </c>
      <c r="K20" t="s">
        <v>36</v>
      </c>
      <c r="L20" t="str">
        <f t="shared" si="2"/>
        <v>NOK</v>
      </c>
      <c r="P20" t="s">
        <v>8</v>
      </c>
      <c r="Q20" t="s">
        <v>132</v>
      </c>
      <c r="R20" t="s">
        <v>133</v>
      </c>
      <c r="S20" t="s">
        <v>133</v>
      </c>
      <c r="T20" t="s">
        <v>133</v>
      </c>
      <c r="U20" t="s">
        <v>133</v>
      </c>
      <c r="V20" t="s">
        <v>133</v>
      </c>
      <c r="W20" t="s">
        <v>5</v>
      </c>
      <c r="X20">
        <v>0</v>
      </c>
      <c r="Y20" t="e">
        <f>_xlfn.XLOOKUP(C20,[1]Especificação!$G:$G,[1]Especificação!$C:$C)</f>
        <v>#N/A</v>
      </c>
    </row>
    <row r="21" spans="1:25" hidden="1" x14ac:dyDescent="0.3">
      <c r="A21" s="50" t="str">
        <f t="shared" si="1"/>
        <v>INSTRUMENT_ARRRS_INSTRMNT</v>
      </c>
      <c r="B21" t="s">
        <v>128</v>
      </c>
      <c r="C21" t="s">
        <v>165</v>
      </c>
      <c r="D21" t="s">
        <v>14</v>
      </c>
      <c r="E21" t="s">
        <v>36</v>
      </c>
      <c r="F21" t="s">
        <v>149</v>
      </c>
      <c r="G21" t="s">
        <v>163</v>
      </c>
      <c r="I21" t="s">
        <v>29</v>
      </c>
      <c r="J21" s="15">
        <v>45450</v>
      </c>
      <c r="K21" t="s">
        <v>36</v>
      </c>
      <c r="L21" t="str">
        <f t="shared" si="2"/>
        <v>NOK</v>
      </c>
      <c r="P21" t="s">
        <v>8</v>
      </c>
      <c r="Q21" t="s">
        <v>132</v>
      </c>
      <c r="R21" t="s">
        <v>133</v>
      </c>
      <c r="S21" t="s">
        <v>133</v>
      </c>
      <c r="T21" t="s">
        <v>133</v>
      </c>
      <c r="U21" t="s">
        <v>133</v>
      </c>
      <c r="V21" t="s">
        <v>132</v>
      </c>
      <c r="W21" t="s">
        <v>138</v>
      </c>
      <c r="X21" t="s">
        <v>166</v>
      </c>
      <c r="Y21" t="str">
        <f>_xlfn.XLOOKUP(C21,[1]Especificação!$G:$G,[1]Especificação!$C:$C)</f>
        <v>D. Campos com NOK controlos Corporativos</v>
      </c>
    </row>
    <row r="22" spans="1:25" hidden="1" x14ac:dyDescent="0.3">
      <c r="A22" s="50" t="str">
        <f t="shared" si="1"/>
        <v>INSTRUMENT_ARRRS_INSTRMNT_12M</v>
      </c>
      <c r="B22" t="s">
        <v>128</v>
      </c>
      <c r="C22" t="s">
        <v>167</v>
      </c>
      <c r="D22" t="s">
        <v>14</v>
      </c>
      <c r="E22" t="s">
        <v>36</v>
      </c>
      <c r="F22" t="s">
        <v>149</v>
      </c>
      <c r="G22" t="s">
        <v>163</v>
      </c>
      <c r="I22" t="s">
        <v>29</v>
      </c>
      <c r="J22" s="15">
        <v>45450</v>
      </c>
      <c r="K22" t="s">
        <v>36</v>
      </c>
      <c r="L22" t="str">
        <f t="shared" si="2"/>
        <v>NOK</v>
      </c>
      <c r="P22" t="s">
        <v>8</v>
      </c>
      <c r="Q22" t="s">
        <v>132</v>
      </c>
      <c r="R22" t="s">
        <v>133</v>
      </c>
      <c r="S22" t="s">
        <v>133</v>
      </c>
      <c r="T22" t="s">
        <v>133</v>
      </c>
      <c r="U22" t="s">
        <v>133</v>
      </c>
      <c r="V22" t="s">
        <v>133</v>
      </c>
      <c r="W22" t="s">
        <v>5</v>
      </c>
      <c r="X22">
        <v>0</v>
      </c>
      <c r="Y22" t="e">
        <f>_xlfn.XLOOKUP(C22,[1]Especificação!$G:$G,[1]Especificação!$C:$C)</f>
        <v>#N/A</v>
      </c>
    </row>
    <row r="23" spans="1:25" hidden="1" x14ac:dyDescent="0.3">
      <c r="A23" s="50" t="str">
        <f t="shared" si="1"/>
        <v>INSTRUMENT_ASST_SCRT_CLSS</v>
      </c>
      <c r="B23" t="s">
        <v>128</v>
      </c>
      <c r="C23" t="s">
        <v>168</v>
      </c>
      <c r="D23" t="s">
        <v>6</v>
      </c>
      <c r="E23" t="s">
        <v>38</v>
      </c>
      <c r="F23" t="s">
        <v>130</v>
      </c>
      <c r="G23" t="s">
        <v>131</v>
      </c>
      <c r="I23" t="s">
        <v>26</v>
      </c>
      <c r="J23" s="15">
        <v>45450</v>
      </c>
      <c r="K23" t="s">
        <v>38</v>
      </c>
      <c r="L23" t="str">
        <f t="shared" si="2"/>
        <v>OK</v>
      </c>
      <c r="P23" t="s">
        <v>30</v>
      </c>
      <c r="Q23" t="s">
        <v>132</v>
      </c>
      <c r="R23" t="s">
        <v>133</v>
      </c>
      <c r="S23" t="s">
        <v>133</v>
      </c>
      <c r="T23" t="s">
        <v>133</v>
      </c>
      <c r="U23" t="s">
        <v>133</v>
      </c>
      <c r="V23" t="s">
        <v>133</v>
      </c>
      <c r="W23" t="s">
        <v>5</v>
      </c>
      <c r="X23">
        <v>0</v>
      </c>
      <c r="Y23" t="e">
        <f>_xlfn.XLOOKUP(C23,[1]Especificação!$G:$G,[1]Especificação!$C:$C)</f>
        <v>#N/A</v>
      </c>
    </row>
    <row r="24" spans="1:25" hidden="1" x14ac:dyDescent="0.3">
      <c r="A24" s="50" t="str">
        <f t="shared" si="1"/>
        <v>INSTRUMENT_BRCHD_CVNNTS</v>
      </c>
      <c r="B24" t="s">
        <v>128</v>
      </c>
      <c r="C24" t="s">
        <v>169</v>
      </c>
      <c r="D24" t="s">
        <v>14</v>
      </c>
      <c r="E24" t="s">
        <v>37</v>
      </c>
      <c r="F24" t="s">
        <v>130</v>
      </c>
      <c r="G24" t="s">
        <v>170</v>
      </c>
      <c r="I24" t="s">
        <v>26</v>
      </c>
      <c r="J24" s="15">
        <v>45450</v>
      </c>
      <c r="K24" t="s">
        <v>37</v>
      </c>
      <c r="L24" t="str">
        <f t="shared" si="2"/>
        <v>OK</v>
      </c>
      <c r="P24" t="s">
        <v>27</v>
      </c>
      <c r="Q24" t="s">
        <v>132</v>
      </c>
      <c r="R24" t="s">
        <v>133</v>
      </c>
      <c r="S24" t="s">
        <v>133</v>
      </c>
      <c r="T24" t="s">
        <v>133</v>
      </c>
      <c r="U24" t="s">
        <v>133</v>
      </c>
      <c r="V24" t="s">
        <v>132</v>
      </c>
      <c r="W24" t="s">
        <v>5</v>
      </c>
      <c r="X24" t="s">
        <v>135</v>
      </c>
      <c r="Y24" t="str">
        <f>_xlfn.XLOOKUP(C24,[1]Especificação!$G:$G,[1]Especificação!$C:$C)</f>
        <v>F1. Fora âmbito | Campos concluídos - Sem necessidade de espec.</v>
      </c>
    </row>
    <row r="25" spans="1:25" hidden="1" x14ac:dyDescent="0.3">
      <c r="A25" s="50" t="str">
        <f t="shared" si="1"/>
        <v>ENTITY_CAPEX</v>
      </c>
      <c r="B25" t="s">
        <v>142</v>
      </c>
      <c r="C25" t="s">
        <v>171</v>
      </c>
      <c r="D25" t="s">
        <v>14</v>
      </c>
      <c r="E25" t="s">
        <v>25</v>
      </c>
      <c r="F25" t="s">
        <v>130</v>
      </c>
      <c r="G25" t="s">
        <v>144</v>
      </c>
      <c r="H25" t="s">
        <v>145</v>
      </c>
      <c r="I25" t="s">
        <v>29</v>
      </c>
      <c r="J25" s="15">
        <v>45450</v>
      </c>
      <c r="K25" t="s">
        <v>25</v>
      </c>
      <c r="L25" t="str">
        <f t="shared" si="2"/>
        <v>OK</v>
      </c>
      <c r="P25" t="s">
        <v>13</v>
      </c>
      <c r="Q25" t="s">
        <v>132</v>
      </c>
      <c r="R25" t="s">
        <v>133</v>
      </c>
      <c r="S25" t="s">
        <v>133</v>
      </c>
      <c r="T25" t="s">
        <v>133</v>
      </c>
      <c r="U25" t="s">
        <v>133</v>
      </c>
      <c r="V25" t="s">
        <v>133</v>
      </c>
      <c r="W25" t="s">
        <v>5</v>
      </c>
      <c r="X25">
        <v>0</v>
      </c>
      <c r="Y25" t="e">
        <f>_xlfn.XLOOKUP(C25,[1]Especificação!$G:$G,[1]Especificação!$C:$C)</f>
        <v>#N/A</v>
      </c>
    </row>
    <row r="26" spans="1:25" hidden="1" x14ac:dyDescent="0.3">
      <c r="A26" s="50" t="str">
        <f t="shared" si="1"/>
        <v>ENTITY_CAPEX_PRVS</v>
      </c>
      <c r="B26" t="s">
        <v>142</v>
      </c>
      <c r="C26" t="s">
        <v>172</v>
      </c>
      <c r="D26" t="s">
        <v>14</v>
      </c>
      <c r="E26" t="s">
        <v>25</v>
      </c>
      <c r="F26" t="s">
        <v>130</v>
      </c>
      <c r="G26" t="s">
        <v>144</v>
      </c>
      <c r="H26" t="s">
        <v>145</v>
      </c>
      <c r="I26" t="s">
        <v>29</v>
      </c>
      <c r="J26" s="15">
        <v>45450</v>
      </c>
      <c r="K26" t="s">
        <v>25</v>
      </c>
      <c r="L26" t="str">
        <f t="shared" si="2"/>
        <v>OK</v>
      </c>
      <c r="P26" t="s">
        <v>13</v>
      </c>
      <c r="Q26" t="s">
        <v>132</v>
      </c>
      <c r="R26" t="s">
        <v>133</v>
      </c>
      <c r="S26" t="s">
        <v>133</v>
      </c>
      <c r="T26" t="s">
        <v>133</v>
      </c>
      <c r="U26" t="s">
        <v>133</v>
      </c>
      <c r="V26" t="s">
        <v>133</v>
      </c>
      <c r="W26" t="s">
        <v>5</v>
      </c>
      <c r="X26">
        <v>0</v>
      </c>
      <c r="Y26" t="e">
        <f>_xlfn.XLOOKUP(C26,[1]Especificação!$G:$G,[1]Especificação!$C:$C)</f>
        <v>#N/A</v>
      </c>
    </row>
    <row r="27" spans="1:25" hidden="1" x14ac:dyDescent="0.3">
      <c r="A27" s="50" t="str">
        <f t="shared" si="1"/>
        <v>INSTRUMENT_CCF</v>
      </c>
      <c r="B27" t="s">
        <v>128</v>
      </c>
      <c r="C27" t="s">
        <v>173</v>
      </c>
      <c r="D27" t="s">
        <v>14</v>
      </c>
      <c r="E27" t="s">
        <v>38</v>
      </c>
      <c r="F27" t="s">
        <v>130</v>
      </c>
      <c r="G27" t="s">
        <v>131</v>
      </c>
      <c r="I27" t="s">
        <v>26</v>
      </c>
      <c r="J27" s="15">
        <v>45450</v>
      </c>
      <c r="K27" t="s">
        <v>38</v>
      </c>
      <c r="L27" t="str">
        <f t="shared" si="2"/>
        <v>OK</v>
      </c>
      <c r="P27" t="s">
        <v>30</v>
      </c>
      <c r="Q27" t="s">
        <v>132</v>
      </c>
      <c r="R27" t="s">
        <v>132</v>
      </c>
      <c r="S27" t="s">
        <v>133</v>
      </c>
      <c r="T27" t="s">
        <v>133</v>
      </c>
      <c r="U27" t="s">
        <v>133</v>
      </c>
      <c r="V27" t="s">
        <v>132</v>
      </c>
      <c r="W27" t="s">
        <v>5</v>
      </c>
      <c r="X27" t="s">
        <v>135</v>
      </c>
      <c r="Y27" t="str">
        <f>_xlfn.XLOOKUP(C27,[1]Especificação!$G:$G,[1]Especificação!$C:$C)</f>
        <v>F1. Fora âmbito | Campos concluídos - Sem necessidade de espec.</v>
      </c>
    </row>
    <row r="28" spans="1:25" hidden="1" x14ac:dyDescent="0.3">
      <c r="A28" s="50" t="str">
        <f t="shared" si="1"/>
        <v>INSTRUMENT_CHNNL_ORGNTN</v>
      </c>
      <c r="B28" t="s">
        <v>128</v>
      </c>
      <c r="C28" t="s">
        <v>174</v>
      </c>
      <c r="D28" t="s">
        <v>6</v>
      </c>
      <c r="E28" t="s">
        <v>31</v>
      </c>
      <c r="F28" t="s">
        <v>149</v>
      </c>
      <c r="G28" t="s">
        <v>175</v>
      </c>
      <c r="I28" t="s">
        <v>29</v>
      </c>
      <c r="J28" s="15">
        <v>45450</v>
      </c>
      <c r="K28" t="s">
        <v>31</v>
      </c>
      <c r="L28" t="str">
        <f t="shared" si="2"/>
        <v>NOK</v>
      </c>
      <c r="N28" s="15">
        <v>45296</v>
      </c>
      <c r="P28" t="s">
        <v>13</v>
      </c>
      <c r="Q28" t="s">
        <v>132</v>
      </c>
      <c r="R28" t="s">
        <v>133</v>
      </c>
      <c r="S28" t="s">
        <v>133</v>
      </c>
      <c r="T28" t="s">
        <v>133</v>
      </c>
      <c r="U28" t="s">
        <v>133</v>
      </c>
      <c r="V28" t="s">
        <v>133</v>
      </c>
      <c r="W28" t="s">
        <v>5</v>
      </c>
      <c r="X28">
        <v>0</v>
      </c>
      <c r="Y28" t="e">
        <f>_xlfn.XLOOKUP(C28,[1]Especificação!$G:$G,[1]Especificação!$C:$C)</f>
        <v>#N/A</v>
      </c>
    </row>
    <row r="29" spans="1:25" hidden="1" x14ac:dyDescent="0.3">
      <c r="A29" s="50" t="str">
        <f t="shared" si="1"/>
        <v>ENTITY_CLLCTN_MD</v>
      </c>
      <c r="B29" t="s">
        <v>142</v>
      </c>
      <c r="C29" t="s">
        <v>176</v>
      </c>
      <c r="D29" t="s">
        <v>6</v>
      </c>
      <c r="E29" t="s">
        <v>38</v>
      </c>
      <c r="F29" t="s">
        <v>130</v>
      </c>
      <c r="G29" t="s">
        <v>131</v>
      </c>
      <c r="I29" t="s">
        <v>26</v>
      </c>
      <c r="J29" s="15">
        <v>45450</v>
      </c>
      <c r="K29" t="s">
        <v>38</v>
      </c>
      <c r="L29" t="str">
        <f t="shared" si="2"/>
        <v>OK</v>
      </c>
      <c r="P29" t="s">
        <v>30</v>
      </c>
      <c r="Q29" t="s">
        <v>132</v>
      </c>
      <c r="R29" t="s">
        <v>133</v>
      </c>
      <c r="S29" t="s">
        <v>133</v>
      </c>
      <c r="T29" t="s">
        <v>133</v>
      </c>
      <c r="U29" t="s">
        <v>133</v>
      </c>
      <c r="V29" t="s">
        <v>133</v>
      </c>
      <c r="W29" t="s">
        <v>5</v>
      </c>
      <c r="X29">
        <v>0</v>
      </c>
      <c r="Y29" t="e">
        <f>_xlfn.XLOOKUP(C29,[1]Especificação!$G:$G,[1]Especificação!$C:$C)</f>
        <v>#N/A</v>
      </c>
    </row>
    <row r="30" spans="1:25" hidden="1" x14ac:dyDescent="0.3">
      <c r="A30" s="50" t="str">
        <f t="shared" si="1"/>
        <v>ENTITY_TTL_INTRST_PD</v>
      </c>
      <c r="B30" t="s">
        <v>142</v>
      </c>
      <c r="C30" t="s">
        <v>177</v>
      </c>
      <c r="D30" t="s">
        <v>6</v>
      </c>
      <c r="E30" t="s">
        <v>25</v>
      </c>
      <c r="F30" t="s">
        <v>149</v>
      </c>
      <c r="G30" t="s">
        <v>178</v>
      </c>
      <c r="I30" t="s">
        <v>29</v>
      </c>
      <c r="J30" s="15">
        <v>45450</v>
      </c>
      <c r="K30" t="s">
        <v>25</v>
      </c>
      <c r="L30" t="str">
        <f t="shared" si="2"/>
        <v>NOK</v>
      </c>
      <c r="P30" t="s">
        <v>13</v>
      </c>
      <c r="Q30" t="s">
        <v>132</v>
      </c>
      <c r="R30" t="s">
        <v>133</v>
      </c>
      <c r="S30" t="s">
        <v>133</v>
      </c>
      <c r="T30" t="s">
        <v>133</v>
      </c>
      <c r="U30" t="s">
        <v>133</v>
      </c>
      <c r="V30" t="s">
        <v>132</v>
      </c>
      <c r="W30" t="s">
        <v>138</v>
      </c>
      <c r="X30" t="s">
        <v>153</v>
      </c>
      <c r="Y30" t="str">
        <f>_xlfn.XLOOKUP(C30,[1]Especificação!$G:$G,[1]Especificação!$C:$C)</f>
        <v>B2. Re-especificação de campos complexos - Resto</v>
      </c>
    </row>
    <row r="31" spans="1:25" hidden="1" x14ac:dyDescent="0.3">
      <c r="A31" s="50" t="str">
        <f t="shared" si="1"/>
        <v>INSTRUMENT_CMMTMNT_INCPTN_INSTRMNT</v>
      </c>
      <c r="B31" t="s">
        <v>128</v>
      </c>
      <c r="C31" t="s">
        <v>179</v>
      </c>
      <c r="D31" t="s">
        <v>14</v>
      </c>
      <c r="E31" t="s">
        <v>36</v>
      </c>
      <c r="F31" t="s">
        <v>149</v>
      </c>
      <c r="G31" t="s">
        <v>180</v>
      </c>
      <c r="I31" t="s">
        <v>29</v>
      </c>
      <c r="J31" s="15">
        <v>45450</v>
      </c>
      <c r="K31" t="s">
        <v>36</v>
      </c>
      <c r="L31" t="str">
        <f t="shared" si="2"/>
        <v>NOK</v>
      </c>
      <c r="P31" t="s">
        <v>8</v>
      </c>
      <c r="Q31" t="s">
        <v>132</v>
      </c>
      <c r="R31" t="s">
        <v>133</v>
      </c>
      <c r="S31" t="s">
        <v>133</v>
      </c>
      <c r="T31" t="s">
        <v>133</v>
      </c>
      <c r="U31" t="s">
        <v>133</v>
      </c>
      <c r="V31" t="s">
        <v>133</v>
      </c>
      <c r="W31" t="s">
        <v>5</v>
      </c>
      <c r="X31">
        <v>0</v>
      </c>
      <c r="Y31" t="e">
        <f>_xlfn.XLOOKUP(C31,[1]Especificação!$G:$G,[1]Especificação!$C:$C)</f>
        <v>#N/A</v>
      </c>
    </row>
    <row r="32" spans="1:25" hidden="1" x14ac:dyDescent="0.3">
      <c r="A32" s="50" t="str">
        <f t="shared" si="1"/>
        <v>PROTECTION_RL_ESTT_CLLTRL_LCTN</v>
      </c>
      <c r="B32" t="s">
        <v>161</v>
      </c>
      <c r="C32" t="s">
        <v>181</v>
      </c>
      <c r="D32" t="s">
        <v>14</v>
      </c>
      <c r="E32" t="s">
        <v>25</v>
      </c>
      <c r="F32" t="s">
        <v>149</v>
      </c>
      <c r="G32" t="s">
        <v>182</v>
      </c>
      <c r="I32" t="s">
        <v>29</v>
      </c>
      <c r="J32" s="15">
        <v>45450</v>
      </c>
      <c r="K32" t="s">
        <v>25</v>
      </c>
      <c r="L32" t="str">
        <f t="shared" si="2"/>
        <v>NOK</v>
      </c>
      <c r="P32" t="s">
        <v>13</v>
      </c>
      <c r="Q32" t="s">
        <v>132</v>
      </c>
      <c r="R32" t="s">
        <v>133</v>
      </c>
      <c r="S32" t="s">
        <v>132</v>
      </c>
      <c r="T32" t="s">
        <v>133</v>
      </c>
      <c r="U32" t="s">
        <v>132</v>
      </c>
      <c r="V32" t="s">
        <v>133</v>
      </c>
      <c r="W32" t="s">
        <v>5</v>
      </c>
      <c r="X32">
        <v>0</v>
      </c>
      <c r="Y32" t="e">
        <f>_xlfn.XLOOKUP(C32,[1]Especificação!$G:$G,[1]Especificação!$C:$C)</f>
        <v>#N/A</v>
      </c>
    </row>
    <row r="33" spans="1:25" s="9" customFormat="1" hidden="1" x14ac:dyDescent="0.3">
      <c r="A33" s="50" t="str">
        <f t="shared" si="1"/>
        <v>INSTRUMENT_CMPLNT_MRTR_C19_NM</v>
      </c>
      <c r="B33" t="s">
        <v>128</v>
      </c>
      <c r="C33" t="s">
        <v>183</v>
      </c>
      <c r="D33" t="s">
        <v>6</v>
      </c>
      <c r="E33" t="s">
        <v>38</v>
      </c>
      <c r="F33" t="s">
        <v>130</v>
      </c>
      <c r="G33" t="s">
        <v>131</v>
      </c>
      <c r="H33"/>
      <c r="I33" t="s">
        <v>26</v>
      </c>
      <c r="J33" s="15">
        <v>45450</v>
      </c>
      <c r="K33" t="s">
        <v>38</v>
      </c>
      <c r="L33" t="str">
        <f t="shared" si="2"/>
        <v>OK</v>
      </c>
      <c r="P33" t="s">
        <v>30</v>
      </c>
      <c r="Q33" t="s">
        <v>132</v>
      </c>
      <c r="R33" t="s">
        <v>133</v>
      </c>
      <c r="S33" t="s">
        <v>133</v>
      </c>
      <c r="T33" t="s">
        <v>133</v>
      </c>
      <c r="U33" t="s">
        <v>133</v>
      </c>
      <c r="V33" t="s">
        <v>133</v>
      </c>
      <c r="W33" t="s">
        <v>5</v>
      </c>
      <c r="X33">
        <v>0</v>
      </c>
      <c r="Y33" t="e">
        <f>_xlfn.XLOOKUP(C33,[1]Especificação!$G:$G,[1]Especificação!$C:$C)</f>
        <v>#N/A</v>
      </c>
    </row>
    <row r="34" spans="1:25" hidden="1" x14ac:dyDescent="0.3">
      <c r="A34" s="50" t="str">
        <f t="shared" si="1"/>
        <v>INSTRUMENT_CNSMPTN_FNRP18</v>
      </c>
      <c r="B34" t="s">
        <v>128</v>
      </c>
      <c r="C34" t="s">
        <v>184</v>
      </c>
      <c r="D34" t="s">
        <v>6</v>
      </c>
      <c r="E34" t="s">
        <v>38</v>
      </c>
      <c r="F34" t="s">
        <v>130</v>
      </c>
      <c r="G34" t="s">
        <v>131</v>
      </c>
      <c r="I34" t="s">
        <v>26</v>
      </c>
      <c r="J34" s="15">
        <v>45450</v>
      </c>
      <c r="K34" t="s">
        <v>38</v>
      </c>
      <c r="L34" t="str">
        <f t="shared" si="2"/>
        <v>OK</v>
      </c>
      <c r="P34" t="s">
        <v>30</v>
      </c>
      <c r="Q34" t="s">
        <v>132</v>
      </c>
      <c r="R34" t="s">
        <v>133</v>
      </c>
      <c r="S34" t="s">
        <v>133</v>
      </c>
      <c r="T34" t="s">
        <v>133</v>
      </c>
      <c r="U34" t="s">
        <v>133</v>
      </c>
      <c r="V34" t="s">
        <v>133</v>
      </c>
      <c r="W34" t="s">
        <v>5</v>
      </c>
      <c r="X34">
        <v>0</v>
      </c>
      <c r="Y34" t="e">
        <f>_xlfn.XLOOKUP(C34,[1]Especificação!$G:$G,[1]Especificação!$C:$C)</f>
        <v>#N/A</v>
      </c>
    </row>
    <row r="35" spans="1:25" hidden="1" x14ac:dyDescent="0.3">
      <c r="A35" s="50" t="str">
        <f t="shared" si="1"/>
        <v>PROTECTION_DT_APPRSL_PRVS</v>
      </c>
      <c r="B35" t="s">
        <v>161</v>
      </c>
      <c r="C35" s="10" t="s">
        <v>185</v>
      </c>
      <c r="D35" t="s">
        <v>14</v>
      </c>
      <c r="E35" t="s">
        <v>35</v>
      </c>
      <c r="F35" t="s">
        <v>149</v>
      </c>
      <c r="G35" t="s">
        <v>186</v>
      </c>
      <c r="H35" t="s">
        <v>187</v>
      </c>
      <c r="I35" t="s">
        <v>26</v>
      </c>
      <c r="J35" s="15">
        <v>45670</v>
      </c>
      <c r="K35" t="s">
        <v>38</v>
      </c>
      <c r="L35" t="s">
        <v>130</v>
      </c>
      <c r="M35" t="s">
        <v>188</v>
      </c>
      <c r="N35" s="15">
        <v>45485</v>
      </c>
      <c r="O35" s="15">
        <v>45646</v>
      </c>
      <c r="P35" t="s">
        <v>34</v>
      </c>
      <c r="Q35" t="s">
        <v>132</v>
      </c>
      <c r="R35" t="s">
        <v>133</v>
      </c>
      <c r="S35" t="s">
        <v>133</v>
      </c>
      <c r="T35" t="s">
        <v>133</v>
      </c>
      <c r="U35" t="s">
        <v>133</v>
      </c>
      <c r="V35" t="s">
        <v>133</v>
      </c>
      <c r="W35" t="s">
        <v>5</v>
      </c>
      <c r="X35">
        <v>0</v>
      </c>
      <c r="Y35" t="e">
        <f>_xlfn.XLOOKUP(C35,[1]Especificação!$G:$G,[1]Especificação!$C:$C)</f>
        <v>#N/A</v>
      </c>
    </row>
    <row r="36" spans="1:25" hidden="1" x14ac:dyDescent="0.3">
      <c r="A36" s="50" t="str">
        <f t="shared" si="1"/>
        <v>INSTRUMENT_CNTRCT_ID</v>
      </c>
      <c r="B36" t="s">
        <v>128</v>
      </c>
      <c r="C36" t="s">
        <v>189</v>
      </c>
      <c r="D36" t="s">
        <v>14</v>
      </c>
      <c r="E36" t="s">
        <v>38</v>
      </c>
      <c r="F36" t="s">
        <v>130</v>
      </c>
      <c r="G36" t="s">
        <v>131</v>
      </c>
      <c r="I36" t="s">
        <v>26</v>
      </c>
      <c r="J36" s="15">
        <v>45450</v>
      </c>
      <c r="K36" t="s">
        <v>38</v>
      </c>
      <c r="L36" t="str">
        <f t="shared" ref="L36:L70" si="3">F36</f>
        <v>OK</v>
      </c>
      <c r="P36" t="s">
        <v>30</v>
      </c>
      <c r="Q36" t="s">
        <v>132</v>
      </c>
      <c r="R36" t="s">
        <v>133</v>
      </c>
      <c r="S36" t="s">
        <v>133</v>
      </c>
      <c r="T36" t="s">
        <v>133</v>
      </c>
      <c r="U36" t="s">
        <v>133</v>
      </c>
      <c r="V36" t="s">
        <v>133</v>
      </c>
      <c r="W36" t="s">
        <v>5</v>
      </c>
      <c r="X36">
        <v>0</v>
      </c>
      <c r="Y36" t="e">
        <f>_xlfn.XLOOKUP(C36,[1]Especificação!$G:$G,[1]Especificação!$C:$C)</f>
        <v>#N/A</v>
      </c>
    </row>
    <row r="37" spans="1:25" hidden="1" x14ac:dyDescent="0.3">
      <c r="A37" s="50" t="str">
        <f t="shared" si="1"/>
        <v>INSTRUMENT_CNTRCT_ID_BDR</v>
      </c>
      <c r="B37" t="s">
        <v>128</v>
      </c>
      <c r="C37" t="s">
        <v>190</v>
      </c>
      <c r="D37" t="s">
        <v>6</v>
      </c>
      <c r="E37" t="s">
        <v>38</v>
      </c>
      <c r="F37" t="s">
        <v>130</v>
      </c>
      <c r="G37" t="s">
        <v>131</v>
      </c>
      <c r="I37" t="s">
        <v>26</v>
      </c>
      <c r="J37" s="15">
        <v>45450</v>
      </c>
      <c r="K37" t="s">
        <v>38</v>
      </c>
      <c r="L37" t="str">
        <f t="shared" si="3"/>
        <v>OK</v>
      </c>
      <c r="P37" t="s">
        <v>30</v>
      </c>
      <c r="Q37" t="s">
        <v>132</v>
      </c>
      <c r="R37" t="s">
        <v>133</v>
      </c>
      <c r="S37" t="s">
        <v>133</v>
      </c>
      <c r="T37" t="s">
        <v>133</v>
      </c>
      <c r="U37" t="s">
        <v>133</v>
      </c>
      <c r="V37" t="s">
        <v>133</v>
      </c>
      <c r="W37" t="s">
        <v>5</v>
      </c>
      <c r="X37">
        <v>0</v>
      </c>
      <c r="Y37" t="e">
        <f>_xlfn.XLOOKUP(C37,[1]Especificação!$G:$G,[1]Especificação!$C:$C)</f>
        <v>#N/A</v>
      </c>
    </row>
    <row r="38" spans="1:25" hidden="1" x14ac:dyDescent="0.3">
      <c r="A38" s="50" t="str">
        <f t="shared" si="1"/>
        <v>ENTITY_CNTRY</v>
      </c>
      <c r="B38" t="s">
        <v>142</v>
      </c>
      <c r="C38" t="s">
        <v>191</v>
      </c>
      <c r="D38" t="s">
        <v>14</v>
      </c>
      <c r="E38" t="s">
        <v>38</v>
      </c>
      <c r="F38" t="s">
        <v>130</v>
      </c>
      <c r="G38" t="s">
        <v>131</v>
      </c>
      <c r="I38" t="s">
        <v>26</v>
      </c>
      <c r="J38" s="15">
        <v>45450</v>
      </c>
      <c r="K38" t="s">
        <v>38</v>
      </c>
      <c r="L38" t="str">
        <f t="shared" si="3"/>
        <v>OK</v>
      </c>
      <c r="P38" t="s">
        <v>30</v>
      </c>
      <c r="Q38" t="s">
        <v>132</v>
      </c>
      <c r="R38" t="s">
        <v>133</v>
      </c>
      <c r="S38" t="s">
        <v>132</v>
      </c>
      <c r="T38" t="s">
        <v>133</v>
      </c>
      <c r="U38" t="s">
        <v>132</v>
      </c>
      <c r="V38" t="s">
        <v>132</v>
      </c>
      <c r="W38" t="s">
        <v>5</v>
      </c>
      <c r="X38" t="s">
        <v>135</v>
      </c>
      <c r="Y38" t="str">
        <f>_xlfn.XLOOKUP(C38,[1]Especificação!$G:$G,[1]Especificação!$C:$C)</f>
        <v>B2. Re-especificação de campos complexos - Resto</v>
      </c>
    </row>
    <row r="39" spans="1:25" hidden="1" x14ac:dyDescent="0.3">
      <c r="A39" s="50" t="str">
        <f t="shared" si="1"/>
        <v>ENTITY_COD_SOC</v>
      </c>
      <c r="B39" t="s">
        <v>142</v>
      </c>
      <c r="C39" t="s">
        <v>192</v>
      </c>
      <c r="D39" t="s">
        <v>14</v>
      </c>
      <c r="E39" t="s">
        <v>38</v>
      </c>
      <c r="F39" t="s">
        <v>130</v>
      </c>
      <c r="G39" t="s">
        <v>131</v>
      </c>
      <c r="I39" t="s">
        <v>26</v>
      </c>
      <c r="J39" s="15">
        <v>45450</v>
      </c>
      <c r="K39" t="s">
        <v>38</v>
      </c>
      <c r="L39" t="str">
        <f t="shared" si="3"/>
        <v>OK</v>
      </c>
      <c r="P39" t="s">
        <v>30</v>
      </c>
      <c r="Q39" t="s">
        <v>132</v>
      </c>
      <c r="R39" t="s">
        <v>133</v>
      </c>
      <c r="S39" t="s">
        <v>132</v>
      </c>
      <c r="T39" t="s">
        <v>133</v>
      </c>
      <c r="U39" t="s">
        <v>132</v>
      </c>
      <c r="V39" t="s">
        <v>132</v>
      </c>
      <c r="W39" t="s">
        <v>5</v>
      </c>
      <c r="X39" t="s">
        <v>135</v>
      </c>
      <c r="Y39" t="str">
        <f>_xlfn.XLOOKUP(C39,[1]Especificação!$G:$G,[1]Especificação!$C:$C)</f>
        <v>F1. Fora âmbito | Campos concluídos - Sem necessidade de espec.</v>
      </c>
    </row>
    <row r="40" spans="1:25" hidden="1" x14ac:dyDescent="0.3">
      <c r="A40" s="50" t="str">
        <f t="shared" si="1"/>
        <v>INSTR_ENTITY_COD_SOC</v>
      </c>
      <c r="B40" t="s">
        <v>193</v>
      </c>
      <c r="C40" t="s">
        <v>192</v>
      </c>
      <c r="D40" t="s">
        <v>14</v>
      </c>
      <c r="E40" t="s">
        <v>38</v>
      </c>
      <c r="F40" t="s">
        <v>130</v>
      </c>
      <c r="G40" t="s">
        <v>131</v>
      </c>
      <c r="I40" t="s">
        <v>26</v>
      </c>
      <c r="J40" s="15">
        <v>45450</v>
      </c>
      <c r="K40" t="s">
        <v>38</v>
      </c>
      <c r="L40" t="str">
        <f t="shared" si="3"/>
        <v>OK</v>
      </c>
      <c r="P40" t="s">
        <v>30</v>
      </c>
      <c r="Q40" t="s">
        <v>132</v>
      </c>
      <c r="R40" t="s">
        <v>133</v>
      </c>
      <c r="S40" t="s">
        <v>132</v>
      </c>
      <c r="T40" t="s">
        <v>133</v>
      </c>
      <c r="U40" t="s">
        <v>133</v>
      </c>
      <c r="V40" t="s">
        <v>132</v>
      </c>
      <c r="W40" t="s">
        <v>5</v>
      </c>
      <c r="X40" t="s">
        <v>135</v>
      </c>
      <c r="Y40" t="str">
        <f>_xlfn.XLOOKUP(C40,[1]Especificação!$G:$G,[1]Especificação!$C:$C)</f>
        <v>F1. Fora âmbito | Campos concluídos - Sem necessidade de espec.</v>
      </c>
    </row>
    <row r="41" spans="1:25" hidden="1" x14ac:dyDescent="0.3">
      <c r="A41" s="50" t="str">
        <f t="shared" si="1"/>
        <v>INSTR_PROTECTION_COD_SOC</v>
      </c>
      <c r="B41" t="s">
        <v>194</v>
      </c>
      <c r="C41" t="s">
        <v>192</v>
      </c>
      <c r="D41" t="s">
        <v>14</v>
      </c>
      <c r="E41" t="s">
        <v>38</v>
      </c>
      <c r="F41" t="s">
        <v>130</v>
      </c>
      <c r="G41" t="s">
        <v>131</v>
      </c>
      <c r="I41" t="s">
        <v>26</v>
      </c>
      <c r="J41" s="15">
        <v>45450</v>
      </c>
      <c r="K41" t="s">
        <v>38</v>
      </c>
      <c r="L41" t="str">
        <f t="shared" si="3"/>
        <v>OK</v>
      </c>
      <c r="P41" t="s">
        <v>30</v>
      </c>
      <c r="Q41" t="s">
        <v>132</v>
      </c>
      <c r="R41" t="s">
        <v>132</v>
      </c>
      <c r="S41" t="s">
        <v>132</v>
      </c>
      <c r="T41" t="s">
        <v>133</v>
      </c>
      <c r="U41" t="s">
        <v>133</v>
      </c>
      <c r="V41" t="s">
        <v>133</v>
      </c>
      <c r="W41" t="s">
        <v>5</v>
      </c>
      <c r="X41">
        <v>0</v>
      </c>
      <c r="Y41" t="str">
        <f>_xlfn.XLOOKUP(C41,[1]Especificação!$G:$G,[1]Especificação!$C:$C)</f>
        <v>F1. Fora âmbito | Campos concluídos - Sem necessidade de espec.</v>
      </c>
    </row>
    <row r="42" spans="1:25" hidden="1" x14ac:dyDescent="0.3">
      <c r="A42" s="50" t="str">
        <f t="shared" si="1"/>
        <v>INSTRUMENT_COD_SOC</v>
      </c>
      <c r="B42" t="s">
        <v>128</v>
      </c>
      <c r="C42" t="s">
        <v>192</v>
      </c>
      <c r="D42" t="s">
        <v>14</v>
      </c>
      <c r="E42" t="s">
        <v>38</v>
      </c>
      <c r="F42" t="s">
        <v>130</v>
      </c>
      <c r="G42" t="s">
        <v>131</v>
      </c>
      <c r="I42" t="s">
        <v>26</v>
      </c>
      <c r="J42" s="15">
        <v>45450</v>
      </c>
      <c r="K42" t="s">
        <v>38</v>
      </c>
      <c r="L42" t="str">
        <f t="shared" si="3"/>
        <v>OK</v>
      </c>
      <c r="P42" t="s">
        <v>30</v>
      </c>
      <c r="Q42" t="s">
        <v>132</v>
      </c>
      <c r="R42" t="s">
        <v>132</v>
      </c>
      <c r="S42" t="s">
        <v>132</v>
      </c>
      <c r="T42" t="s">
        <v>133</v>
      </c>
      <c r="U42" t="s">
        <v>132</v>
      </c>
      <c r="V42" t="s">
        <v>132</v>
      </c>
      <c r="W42" t="s">
        <v>5</v>
      </c>
      <c r="X42" t="s">
        <v>135</v>
      </c>
      <c r="Y42" t="str">
        <f>_xlfn.XLOOKUP(C42,[1]Especificação!$G:$G,[1]Especificação!$C:$C)</f>
        <v>F1. Fora âmbito | Campos concluídos - Sem necessidade de espec.</v>
      </c>
    </row>
    <row r="43" spans="1:25" hidden="1" x14ac:dyDescent="0.3">
      <c r="A43" s="50" t="str">
        <f t="shared" si="1"/>
        <v>PROTECTION_COD_SOC</v>
      </c>
      <c r="B43" t="s">
        <v>161</v>
      </c>
      <c r="C43" t="s">
        <v>192</v>
      </c>
      <c r="D43" t="s">
        <v>14</v>
      </c>
      <c r="E43" t="s">
        <v>38</v>
      </c>
      <c r="F43" t="s">
        <v>130</v>
      </c>
      <c r="G43" t="s">
        <v>131</v>
      </c>
      <c r="I43" t="s">
        <v>26</v>
      </c>
      <c r="J43" s="15">
        <v>45450</v>
      </c>
      <c r="K43" t="s">
        <v>38</v>
      </c>
      <c r="L43" t="str">
        <f t="shared" si="3"/>
        <v>OK</v>
      </c>
      <c r="P43" t="s">
        <v>30</v>
      </c>
      <c r="Q43" t="s">
        <v>132</v>
      </c>
      <c r="R43" t="s">
        <v>132</v>
      </c>
      <c r="S43" t="s">
        <v>132</v>
      </c>
      <c r="T43" t="s">
        <v>133</v>
      </c>
      <c r="U43" t="s">
        <v>132</v>
      </c>
      <c r="V43" t="s">
        <v>133</v>
      </c>
      <c r="W43" t="s">
        <v>5</v>
      </c>
      <c r="X43">
        <v>0</v>
      </c>
      <c r="Y43" t="str">
        <f>_xlfn.XLOOKUP(C43,[1]Especificação!$G:$G,[1]Especificação!$C:$C)</f>
        <v>F1. Fora âmbito | Campos concluídos - Sem necessidade de espec.</v>
      </c>
    </row>
    <row r="44" spans="1:25" hidden="1" x14ac:dyDescent="0.3">
      <c r="A44" s="50" t="str">
        <f t="shared" si="1"/>
        <v>INSTRUMENT_COD_SOC_INTRGRP</v>
      </c>
      <c r="B44" t="s">
        <v>128</v>
      </c>
      <c r="C44" t="s">
        <v>195</v>
      </c>
      <c r="D44" t="s">
        <v>14</v>
      </c>
      <c r="E44" t="s">
        <v>31</v>
      </c>
      <c r="F44" t="s">
        <v>149</v>
      </c>
      <c r="G44" t="s">
        <v>175</v>
      </c>
      <c r="I44" t="s">
        <v>29</v>
      </c>
      <c r="J44" s="15">
        <v>45460</v>
      </c>
      <c r="K44" t="s">
        <v>33</v>
      </c>
      <c r="L44" t="str">
        <f t="shared" si="3"/>
        <v>NOK</v>
      </c>
      <c r="N44" s="15">
        <v>45303</v>
      </c>
      <c r="O44" s="15">
        <v>45379</v>
      </c>
      <c r="P44" t="s">
        <v>19</v>
      </c>
      <c r="Q44" t="s">
        <v>132</v>
      </c>
      <c r="R44" t="s">
        <v>132</v>
      </c>
      <c r="S44" t="s">
        <v>133</v>
      </c>
      <c r="T44" t="s">
        <v>133</v>
      </c>
      <c r="U44" t="s">
        <v>133</v>
      </c>
      <c r="V44" t="s">
        <v>133</v>
      </c>
      <c r="W44" t="s">
        <v>5</v>
      </c>
      <c r="X44">
        <v>0</v>
      </c>
      <c r="Y44" t="e">
        <f>_xlfn.XLOOKUP(C44,[1]Especificação!$G:$G,[1]Especificação!$C:$C)</f>
        <v>#N/A</v>
      </c>
    </row>
    <row r="45" spans="1:25" hidden="1" x14ac:dyDescent="0.3">
      <c r="A45" s="50" t="str">
        <f t="shared" si="1"/>
        <v>INSTRUMENT_CPN_CRRNCY</v>
      </c>
      <c r="B45" t="s">
        <v>128</v>
      </c>
      <c r="C45" t="s">
        <v>196</v>
      </c>
      <c r="D45" t="s">
        <v>6</v>
      </c>
      <c r="E45" t="s">
        <v>38</v>
      </c>
      <c r="F45" t="s">
        <v>130</v>
      </c>
      <c r="G45" t="s">
        <v>131</v>
      </c>
      <c r="I45" t="s">
        <v>26</v>
      </c>
      <c r="J45" s="15">
        <v>45450</v>
      </c>
      <c r="K45" t="s">
        <v>38</v>
      </c>
      <c r="L45" t="str">
        <f t="shared" si="3"/>
        <v>OK</v>
      </c>
      <c r="P45" t="s">
        <v>30</v>
      </c>
      <c r="Q45" t="s">
        <v>132</v>
      </c>
      <c r="R45" t="s">
        <v>133</v>
      </c>
      <c r="S45" t="s">
        <v>133</v>
      </c>
      <c r="T45" t="s">
        <v>133</v>
      </c>
      <c r="U45" t="s">
        <v>133</v>
      </c>
      <c r="V45" t="s">
        <v>133</v>
      </c>
      <c r="W45" t="s">
        <v>5</v>
      </c>
      <c r="X45">
        <v>0</v>
      </c>
      <c r="Y45" t="e">
        <f>_xlfn.XLOOKUP(C45,[1]Especificação!$G:$G,[1]Especificação!$C:$C)</f>
        <v>#N/A</v>
      </c>
    </row>
    <row r="46" spans="1:25" hidden="1" x14ac:dyDescent="0.3">
      <c r="A46" s="50" t="str">
        <f t="shared" si="1"/>
        <v>INSTRUMENT_CPN_RT_FXD</v>
      </c>
      <c r="B46" t="s">
        <v>128</v>
      </c>
      <c r="C46" t="s">
        <v>197</v>
      </c>
      <c r="D46" t="s">
        <v>6</v>
      </c>
      <c r="E46" t="s">
        <v>38</v>
      </c>
      <c r="F46" t="s">
        <v>130</v>
      </c>
      <c r="G46" t="s">
        <v>131</v>
      </c>
      <c r="I46" t="s">
        <v>26</v>
      </c>
      <c r="J46" s="15">
        <v>45450</v>
      </c>
      <c r="K46" t="s">
        <v>38</v>
      </c>
      <c r="L46" t="str">
        <f t="shared" si="3"/>
        <v>OK</v>
      </c>
      <c r="P46" t="s">
        <v>30</v>
      </c>
      <c r="Q46" t="s">
        <v>132</v>
      </c>
      <c r="R46" t="s">
        <v>133</v>
      </c>
      <c r="S46" t="s">
        <v>133</v>
      </c>
      <c r="T46" t="s">
        <v>133</v>
      </c>
      <c r="U46" t="s">
        <v>133</v>
      </c>
      <c r="V46" t="s">
        <v>133</v>
      </c>
      <c r="W46" t="s">
        <v>5</v>
      </c>
      <c r="X46">
        <v>0</v>
      </c>
      <c r="Y46" t="e">
        <f>_xlfn.XLOOKUP(C46,[1]Especificação!$G:$G,[1]Especificação!$C:$C)</f>
        <v>#N/A</v>
      </c>
    </row>
    <row r="47" spans="1:25" hidden="1" x14ac:dyDescent="0.3">
      <c r="A47" s="50" t="str">
        <f t="shared" si="1"/>
        <v>ENTITY_CR_FLG</v>
      </c>
      <c r="B47" t="s">
        <v>142</v>
      </c>
      <c r="C47" t="s">
        <v>198</v>
      </c>
      <c r="D47" t="s">
        <v>6</v>
      </c>
      <c r="E47" t="s">
        <v>36</v>
      </c>
      <c r="F47" t="s">
        <v>149</v>
      </c>
      <c r="G47" t="s">
        <v>163</v>
      </c>
      <c r="I47" t="s">
        <v>29</v>
      </c>
      <c r="J47" s="15">
        <v>45952</v>
      </c>
      <c r="K47" t="s">
        <v>25</v>
      </c>
      <c r="L47" t="s">
        <v>149</v>
      </c>
      <c r="M47" t="s">
        <v>1324</v>
      </c>
      <c r="N47" s="15"/>
      <c r="O47" s="15">
        <v>45952</v>
      </c>
      <c r="P47" t="s">
        <v>8</v>
      </c>
      <c r="Q47" t="s">
        <v>132</v>
      </c>
      <c r="R47" t="s">
        <v>133</v>
      </c>
      <c r="S47" t="s">
        <v>133</v>
      </c>
      <c r="T47" t="s">
        <v>133</v>
      </c>
      <c r="U47" t="s">
        <v>133</v>
      </c>
      <c r="V47" t="s">
        <v>133</v>
      </c>
      <c r="W47" t="s">
        <v>5</v>
      </c>
      <c r="X47">
        <v>0</v>
      </c>
      <c r="Y47" t="e">
        <f>_xlfn.XLOOKUP(C47,[1]Especificação!$G:$G,[1]Especificação!$C:$C)</f>
        <v>#N/A</v>
      </c>
    </row>
    <row r="48" spans="1:25" hidden="1" x14ac:dyDescent="0.3">
      <c r="A48" s="50" t="str">
        <f t="shared" si="1"/>
        <v>INSTRUMENT_CRE_FNRP18</v>
      </c>
      <c r="B48" t="s">
        <v>128</v>
      </c>
      <c r="C48" t="s">
        <v>199</v>
      </c>
      <c r="D48" t="s">
        <v>14</v>
      </c>
      <c r="E48" t="s">
        <v>38</v>
      </c>
      <c r="F48" t="s">
        <v>130</v>
      </c>
      <c r="G48" t="s">
        <v>131</v>
      </c>
      <c r="I48" t="s">
        <v>26</v>
      </c>
      <c r="J48" s="15">
        <v>45952</v>
      </c>
      <c r="K48" t="s">
        <v>38</v>
      </c>
      <c r="L48" t="s">
        <v>130</v>
      </c>
      <c r="O48" s="15">
        <v>45952</v>
      </c>
      <c r="P48" t="s">
        <v>30</v>
      </c>
      <c r="Q48" t="s">
        <v>132</v>
      </c>
      <c r="R48" t="s">
        <v>133</v>
      </c>
      <c r="S48" t="s">
        <v>133</v>
      </c>
      <c r="T48" t="s">
        <v>133</v>
      </c>
      <c r="U48" t="s">
        <v>133</v>
      </c>
      <c r="V48" t="s">
        <v>133</v>
      </c>
      <c r="W48" t="s">
        <v>5</v>
      </c>
      <c r="X48">
        <v>0</v>
      </c>
      <c r="Y48" t="e">
        <f>_xlfn.XLOOKUP(C48,[1]Especificação!$G:$G,[1]Especificação!$C:$C)</f>
        <v>#N/A</v>
      </c>
    </row>
    <row r="49" spans="1:25" hidden="1" x14ac:dyDescent="0.3">
      <c r="A49" s="50" t="str">
        <f t="shared" si="1"/>
        <v>PROTECTION_CRE_INCM_CRRNCY</v>
      </c>
      <c r="B49" t="s">
        <v>161</v>
      </c>
      <c r="C49" t="s">
        <v>200</v>
      </c>
      <c r="D49" t="s">
        <v>6</v>
      </c>
      <c r="E49" t="s">
        <v>37</v>
      </c>
      <c r="F49" t="s">
        <v>149</v>
      </c>
      <c r="G49" t="s">
        <v>201</v>
      </c>
      <c r="I49" t="s">
        <v>26</v>
      </c>
      <c r="J49" s="15">
        <v>45450</v>
      </c>
      <c r="K49" t="s">
        <v>37</v>
      </c>
      <c r="L49" t="str">
        <f t="shared" si="3"/>
        <v>NOK</v>
      </c>
      <c r="P49" t="s">
        <v>27</v>
      </c>
      <c r="Q49" t="s">
        <v>132</v>
      </c>
      <c r="R49" t="s">
        <v>133</v>
      </c>
      <c r="S49" t="s">
        <v>133</v>
      </c>
      <c r="T49" t="s">
        <v>133</v>
      </c>
      <c r="U49" t="s">
        <v>133</v>
      </c>
      <c r="V49" t="s">
        <v>133</v>
      </c>
      <c r="W49" t="s">
        <v>5</v>
      </c>
      <c r="X49">
        <v>0</v>
      </c>
      <c r="Y49" t="e">
        <f>_xlfn.XLOOKUP(C49,[1]Especificação!$G:$G,[1]Especificação!$C:$C)</f>
        <v>#N/A</v>
      </c>
    </row>
    <row r="50" spans="1:25" hidden="1" x14ac:dyDescent="0.3">
      <c r="A50" s="50" t="str">
        <f t="shared" si="1"/>
        <v>PROTECTION_CRE_YRLY_EXPNSS</v>
      </c>
      <c r="B50" t="s">
        <v>161</v>
      </c>
      <c r="C50" t="s">
        <v>202</v>
      </c>
      <c r="D50" t="s">
        <v>6</v>
      </c>
      <c r="E50" t="s">
        <v>37</v>
      </c>
      <c r="F50" t="s">
        <v>130</v>
      </c>
      <c r="G50" t="s">
        <v>201</v>
      </c>
      <c r="I50" t="s">
        <v>26</v>
      </c>
      <c r="J50" s="15">
        <v>45450</v>
      </c>
      <c r="K50" t="s">
        <v>37</v>
      </c>
      <c r="L50" t="str">
        <f t="shared" si="3"/>
        <v>OK</v>
      </c>
      <c r="P50" t="s">
        <v>27</v>
      </c>
      <c r="Q50" t="s">
        <v>132</v>
      </c>
      <c r="R50" t="s">
        <v>133</v>
      </c>
      <c r="S50" t="s">
        <v>133</v>
      </c>
      <c r="T50" t="s">
        <v>133</v>
      </c>
      <c r="U50" t="s">
        <v>133</v>
      </c>
      <c r="V50" t="s">
        <v>133</v>
      </c>
      <c r="W50" t="s">
        <v>5</v>
      </c>
      <c r="X50">
        <v>0</v>
      </c>
      <c r="Y50" t="e">
        <f>_xlfn.XLOOKUP(C50,[1]Especificação!$G:$G,[1]Especificação!$C:$C)</f>
        <v>#N/A</v>
      </c>
    </row>
    <row r="51" spans="1:25" hidden="1" x14ac:dyDescent="0.3">
      <c r="A51" s="50" t="str">
        <f t="shared" si="1"/>
        <v>PROTECTION_CRE_YRLY_INCM</v>
      </c>
      <c r="B51" t="s">
        <v>161</v>
      </c>
      <c r="C51" t="s">
        <v>203</v>
      </c>
      <c r="D51" t="s">
        <v>6</v>
      </c>
      <c r="E51" t="s">
        <v>37</v>
      </c>
      <c r="F51" t="s">
        <v>130</v>
      </c>
      <c r="G51" t="s">
        <v>201</v>
      </c>
      <c r="I51" t="s">
        <v>26</v>
      </c>
      <c r="J51" s="15">
        <v>45450</v>
      </c>
      <c r="K51" t="s">
        <v>37</v>
      </c>
      <c r="L51" t="str">
        <f t="shared" si="3"/>
        <v>OK</v>
      </c>
      <c r="P51" t="s">
        <v>27</v>
      </c>
      <c r="Q51" t="s">
        <v>132</v>
      </c>
      <c r="R51" t="s">
        <v>133</v>
      </c>
      <c r="S51" t="s">
        <v>133</v>
      </c>
      <c r="T51" t="s">
        <v>133</v>
      </c>
      <c r="U51" t="s">
        <v>133</v>
      </c>
      <c r="V51" t="s">
        <v>133</v>
      </c>
      <c r="W51" t="s">
        <v>5</v>
      </c>
      <c r="X51">
        <v>0</v>
      </c>
      <c r="Y51" t="e">
        <f>_xlfn.XLOOKUP(C51,[1]Especificação!$G:$G,[1]Especificação!$C:$C)</f>
        <v>#N/A</v>
      </c>
    </row>
    <row r="52" spans="1:25" hidden="1" x14ac:dyDescent="0.3">
      <c r="A52" s="50" t="str">
        <f t="shared" si="1"/>
        <v>INSTRUMENT_CRRLTN_CFFCNT</v>
      </c>
      <c r="B52" t="s">
        <v>128</v>
      </c>
      <c r="C52" t="s">
        <v>204</v>
      </c>
      <c r="D52" t="s">
        <v>6</v>
      </c>
      <c r="E52" t="s">
        <v>36</v>
      </c>
      <c r="F52" t="s">
        <v>149</v>
      </c>
      <c r="G52" t="s">
        <v>163</v>
      </c>
      <c r="I52" t="s">
        <v>29</v>
      </c>
      <c r="J52" s="15">
        <v>45450</v>
      </c>
      <c r="K52" t="s">
        <v>36</v>
      </c>
      <c r="L52" t="str">
        <f t="shared" si="3"/>
        <v>NOK</v>
      </c>
      <c r="P52" t="s">
        <v>8</v>
      </c>
      <c r="Q52" t="s">
        <v>132</v>
      </c>
      <c r="R52" t="s">
        <v>133</v>
      </c>
      <c r="S52" t="s">
        <v>133</v>
      </c>
      <c r="T52" t="s">
        <v>133</v>
      </c>
      <c r="U52" t="s">
        <v>133</v>
      </c>
      <c r="V52" t="s">
        <v>133</v>
      </c>
      <c r="W52" t="s">
        <v>5</v>
      </c>
      <c r="X52">
        <v>0</v>
      </c>
      <c r="Y52" t="e">
        <f>_xlfn.XLOOKUP(C52,[1]Especificação!$G:$G,[1]Especificação!$C:$C)</f>
        <v>#N/A</v>
      </c>
    </row>
    <row r="53" spans="1:25" hidden="1" x14ac:dyDescent="0.3">
      <c r="A53" s="50" t="str">
        <f t="shared" si="1"/>
        <v>INSTRUMENT_CRRNCY_DNMNTN</v>
      </c>
      <c r="B53" t="s">
        <v>128</v>
      </c>
      <c r="C53" t="s">
        <v>205</v>
      </c>
      <c r="D53" t="s">
        <v>14</v>
      </c>
      <c r="E53" t="s">
        <v>38</v>
      </c>
      <c r="F53" t="s">
        <v>130</v>
      </c>
      <c r="G53" t="s">
        <v>131</v>
      </c>
      <c r="I53" t="s">
        <v>26</v>
      </c>
      <c r="J53" s="15">
        <v>45450</v>
      </c>
      <c r="K53" t="s">
        <v>38</v>
      </c>
      <c r="L53" t="str">
        <f t="shared" si="3"/>
        <v>OK</v>
      </c>
      <c r="P53" t="s">
        <v>30</v>
      </c>
      <c r="Q53" t="s">
        <v>132</v>
      </c>
      <c r="R53" t="s">
        <v>133</v>
      </c>
      <c r="S53" t="s">
        <v>133</v>
      </c>
      <c r="T53" t="s">
        <v>133</v>
      </c>
      <c r="U53" t="s">
        <v>133</v>
      </c>
      <c r="V53" t="s">
        <v>132</v>
      </c>
      <c r="W53" t="s">
        <v>5</v>
      </c>
      <c r="X53" t="s">
        <v>135</v>
      </c>
      <c r="Y53" t="str">
        <f>_xlfn.XLOOKUP(C53,[1]Especificação!$G:$G,[1]Especificação!$C:$C)</f>
        <v>F1. Fora âmbito | Campos concluídos - Sem necessidade de espec.</v>
      </c>
    </row>
    <row r="54" spans="1:25" hidden="1" x14ac:dyDescent="0.3">
      <c r="A54" s="50" t="str">
        <f t="shared" si="1"/>
        <v>INSTRUMENT_CRRYNG_AMNT_INSTRMNT</v>
      </c>
      <c r="B54" t="s">
        <v>128</v>
      </c>
      <c r="C54" t="s">
        <v>206</v>
      </c>
      <c r="D54" t="s">
        <v>14</v>
      </c>
      <c r="E54" t="s">
        <v>38</v>
      </c>
      <c r="F54" t="s">
        <v>130</v>
      </c>
      <c r="G54" t="s">
        <v>131</v>
      </c>
      <c r="I54" t="s">
        <v>26</v>
      </c>
      <c r="J54" s="15">
        <v>45450</v>
      </c>
      <c r="K54" t="s">
        <v>38</v>
      </c>
      <c r="L54" t="str">
        <f t="shared" si="3"/>
        <v>OK</v>
      </c>
      <c r="P54" t="s">
        <v>30</v>
      </c>
      <c r="Q54" t="s">
        <v>132</v>
      </c>
      <c r="R54" t="s">
        <v>133</v>
      </c>
      <c r="S54" t="s">
        <v>133</v>
      </c>
      <c r="T54" t="s">
        <v>133</v>
      </c>
      <c r="U54" t="s">
        <v>133</v>
      </c>
      <c r="V54" t="s">
        <v>132</v>
      </c>
      <c r="W54" t="s">
        <v>5</v>
      </c>
      <c r="X54" t="s">
        <v>135</v>
      </c>
      <c r="Y54" t="str">
        <f>_xlfn.XLOOKUP(C54,[1]Especificação!$G:$G,[1]Especificação!$C:$C)</f>
        <v>F1. Fora âmbito | Campos concluídos - Sem necessidade de espec.</v>
      </c>
    </row>
    <row r="55" spans="1:25" hidden="1" x14ac:dyDescent="0.3">
      <c r="A55" s="50" t="str">
        <f t="shared" si="1"/>
        <v>ENTITY_CSH</v>
      </c>
      <c r="B55" t="s">
        <v>142</v>
      </c>
      <c r="C55" t="s">
        <v>207</v>
      </c>
      <c r="D55" t="s">
        <v>14</v>
      </c>
      <c r="E55" t="s">
        <v>25</v>
      </c>
      <c r="F55" t="s">
        <v>130</v>
      </c>
      <c r="G55" t="s">
        <v>144</v>
      </c>
      <c r="H55" t="s">
        <v>145</v>
      </c>
      <c r="I55" t="s">
        <v>29</v>
      </c>
      <c r="J55" s="15">
        <v>45450</v>
      </c>
      <c r="K55" t="s">
        <v>25</v>
      </c>
      <c r="L55" t="str">
        <f t="shared" si="3"/>
        <v>OK</v>
      </c>
      <c r="P55" t="s">
        <v>13</v>
      </c>
      <c r="Q55" t="s">
        <v>132</v>
      </c>
      <c r="R55" t="s">
        <v>133</v>
      </c>
      <c r="S55" t="s">
        <v>133</v>
      </c>
      <c r="T55" t="s">
        <v>133</v>
      </c>
      <c r="U55" t="s">
        <v>133</v>
      </c>
      <c r="V55" t="s">
        <v>133</v>
      </c>
      <c r="W55" t="s">
        <v>5</v>
      </c>
      <c r="X55">
        <v>0</v>
      </c>
      <c r="Y55" t="e">
        <f>_xlfn.XLOOKUP(C55,[1]Especificação!$G:$G,[1]Especificação!$C:$C)</f>
        <v>#N/A</v>
      </c>
    </row>
    <row r="56" spans="1:25" hidden="1" x14ac:dyDescent="0.3">
      <c r="A56" s="50" t="str">
        <f t="shared" si="1"/>
        <v>ENTITY_CSH_PRVS</v>
      </c>
      <c r="B56" t="s">
        <v>142</v>
      </c>
      <c r="C56" t="s">
        <v>208</v>
      </c>
      <c r="D56" t="s">
        <v>14</v>
      </c>
      <c r="E56" t="s">
        <v>25</v>
      </c>
      <c r="F56" t="s">
        <v>130</v>
      </c>
      <c r="G56" t="s">
        <v>144</v>
      </c>
      <c r="H56" t="s">
        <v>145</v>
      </c>
      <c r="I56" t="s">
        <v>29</v>
      </c>
      <c r="J56" s="15">
        <v>45450</v>
      </c>
      <c r="K56" t="s">
        <v>25</v>
      </c>
      <c r="L56" t="str">
        <f t="shared" si="3"/>
        <v>OK</v>
      </c>
      <c r="P56" t="s">
        <v>13</v>
      </c>
      <c r="Q56" t="s">
        <v>132</v>
      </c>
      <c r="R56" t="s">
        <v>133</v>
      </c>
      <c r="S56" t="s">
        <v>133</v>
      </c>
      <c r="T56" t="s">
        <v>133</v>
      </c>
      <c r="U56" t="s">
        <v>133</v>
      </c>
      <c r="V56" t="s">
        <v>133</v>
      </c>
      <c r="W56" t="s">
        <v>5</v>
      </c>
      <c r="X56">
        <v>0</v>
      </c>
      <c r="Y56" t="e">
        <f>_xlfn.XLOOKUP(C56,[1]Especificação!$G:$G,[1]Especificação!$C:$C)</f>
        <v>#N/A</v>
      </c>
    </row>
    <row r="57" spans="1:25" hidden="1" x14ac:dyDescent="0.3">
      <c r="A57" s="50" t="str">
        <f t="shared" si="1"/>
        <v>INSTRUMENT_CSH_SWP_TRP</v>
      </c>
      <c r="B57" t="s">
        <v>128</v>
      </c>
      <c r="C57" t="s">
        <v>209</v>
      </c>
      <c r="D57" t="s">
        <v>14</v>
      </c>
      <c r="E57" t="s">
        <v>38</v>
      </c>
      <c r="F57" t="s">
        <v>130</v>
      </c>
      <c r="G57" t="s">
        <v>131</v>
      </c>
      <c r="I57" t="s">
        <v>26</v>
      </c>
      <c r="J57" s="15">
        <v>45450</v>
      </c>
      <c r="K57" t="s">
        <v>38</v>
      </c>
      <c r="L57" t="str">
        <f t="shared" si="3"/>
        <v>OK</v>
      </c>
      <c r="P57" t="s">
        <v>30</v>
      </c>
      <c r="Q57" t="s">
        <v>132</v>
      </c>
      <c r="R57" t="s">
        <v>133</v>
      </c>
      <c r="S57" t="s">
        <v>133</v>
      </c>
      <c r="T57" t="s">
        <v>133</v>
      </c>
      <c r="U57" t="s">
        <v>133</v>
      </c>
      <c r="V57" t="s">
        <v>132</v>
      </c>
      <c r="W57" t="s">
        <v>5</v>
      </c>
      <c r="X57" t="s">
        <v>135</v>
      </c>
      <c r="Y57" t="str">
        <f>_xlfn.XLOOKUP(C57,[1]Especificação!$G:$G,[1]Especificação!$C:$C)</f>
        <v>F1. Fora âmbito | Campos concluídos - Sem necessidade de espec.</v>
      </c>
    </row>
    <row r="58" spans="1:25" hidden="1" x14ac:dyDescent="0.3">
      <c r="A58" s="50" t="str">
        <f t="shared" si="1"/>
        <v>INSTRUMENT_CVNNT_STTS</v>
      </c>
      <c r="B58" t="s">
        <v>128</v>
      </c>
      <c r="C58" t="s">
        <v>210</v>
      </c>
      <c r="D58" t="s">
        <v>6</v>
      </c>
      <c r="E58" t="s">
        <v>37</v>
      </c>
      <c r="F58" t="s">
        <v>130</v>
      </c>
      <c r="G58" t="s">
        <v>170</v>
      </c>
      <c r="I58" t="s">
        <v>26</v>
      </c>
      <c r="J58" s="15">
        <v>45450</v>
      </c>
      <c r="K58" t="s">
        <v>37</v>
      </c>
      <c r="L58" t="str">
        <f t="shared" si="3"/>
        <v>OK</v>
      </c>
      <c r="P58" t="s">
        <v>27</v>
      </c>
      <c r="Q58" t="s">
        <v>132</v>
      </c>
      <c r="R58" t="s">
        <v>133</v>
      </c>
      <c r="S58" t="s">
        <v>133</v>
      </c>
      <c r="T58" t="s">
        <v>133</v>
      </c>
      <c r="U58" t="s">
        <v>133</v>
      </c>
      <c r="V58" t="s">
        <v>132</v>
      </c>
      <c r="W58" t="s">
        <v>146</v>
      </c>
      <c r="X58" t="s">
        <v>211</v>
      </c>
      <c r="Y58" t="str">
        <f>_xlfn.XLOOKUP(C58,[1]Especificação!$G:$G,[1]Especificação!$C:$C)</f>
        <v>F3. Fora âmbito | Fonte Manual LF</v>
      </c>
    </row>
    <row r="59" spans="1:25" hidden="1" x14ac:dyDescent="0.3">
      <c r="A59" s="50" t="str">
        <f t="shared" si="1"/>
        <v>INSTRUMENT_CVNNT_TYP</v>
      </c>
      <c r="B59" t="s">
        <v>128</v>
      </c>
      <c r="C59" t="s">
        <v>212</v>
      </c>
      <c r="D59" t="s">
        <v>6</v>
      </c>
      <c r="E59" t="s">
        <v>38</v>
      </c>
      <c r="F59" t="s">
        <v>130</v>
      </c>
      <c r="G59" t="s">
        <v>131</v>
      </c>
      <c r="I59" t="s">
        <v>26</v>
      </c>
      <c r="J59" s="15">
        <v>45450</v>
      </c>
      <c r="K59" t="s">
        <v>38</v>
      </c>
      <c r="L59" t="str">
        <f t="shared" si="3"/>
        <v>OK</v>
      </c>
      <c r="P59" t="s">
        <v>30</v>
      </c>
      <c r="Q59" t="s">
        <v>132</v>
      </c>
      <c r="R59" t="s">
        <v>133</v>
      </c>
      <c r="S59" t="s">
        <v>133</v>
      </c>
      <c r="T59" t="s">
        <v>133</v>
      </c>
      <c r="U59" t="s">
        <v>133</v>
      </c>
      <c r="V59" t="s">
        <v>132</v>
      </c>
      <c r="W59" t="s">
        <v>146</v>
      </c>
      <c r="X59" t="s">
        <v>211</v>
      </c>
      <c r="Y59" t="str">
        <f>_xlfn.XLOOKUP(C59,[1]Especificação!$G:$G,[1]Especificação!$C:$C)</f>
        <v>F3. Fora âmbito | Fonte Manual LF</v>
      </c>
    </row>
    <row r="60" spans="1:25" hidden="1" x14ac:dyDescent="0.3">
      <c r="A60" s="50" t="str">
        <f t="shared" si="1"/>
        <v>ENTITY_DBT_RPYMNT_CPCTY_SNR_DBT</v>
      </c>
      <c r="B60" t="s">
        <v>142</v>
      </c>
      <c r="C60" t="s">
        <v>213</v>
      </c>
      <c r="D60" t="s">
        <v>6</v>
      </c>
      <c r="E60" t="s">
        <v>37</v>
      </c>
      <c r="F60" t="s">
        <v>130</v>
      </c>
      <c r="G60" t="s">
        <v>170</v>
      </c>
      <c r="I60" t="s">
        <v>26</v>
      </c>
      <c r="J60" s="15">
        <v>45450</v>
      </c>
      <c r="K60" t="s">
        <v>37</v>
      </c>
      <c r="L60" t="str">
        <f t="shared" si="3"/>
        <v>OK</v>
      </c>
      <c r="P60" t="s">
        <v>27</v>
      </c>
      <c r="Q60" t="s">
        <v>132</v>
      </c>
      <c r="R60" t="s">
        <v>133</v>
      </c>
      <c r="S60" t="s">
        <v>133</v>
      </c>
      <c r="T60" t="s">
        <v>133</v>
      </c>
      <c r="U60" t="s">
        <v>133</v>
      </c>
      <c r="V60" t="s">
        <v>132</v>
      </c>
      <c r="W60" t="s">
        <v>146</v>
      </c>
      <c r="X60" t="s">
        <v>211</v>
      </c>
      <c r="Y60" t="str">
        <f>_xlfn.XLOOKUP(C60,[1]Especificação!$G:$G,[1]Especificação!$C:$C)</f>
        <v>B2. Re-especificação de campos complexos - Resto</v>
      </c>
    </row>
    <row r="61" spans="1:25" hidden="1" x14ac:dyDescent="0.3">
      <c r="A61" s="50" t="str">
        <f t="shared" si="1"/>
        <v>ENTITY_DBT_RPYMNT_CPCTY_TTL</v>
      </c>
      <c r="B61" t="s">
        <v>142</v>
      </c>
      <c r="C61" t="s">
        <v>214</v>
      </c>
      <c r="D61" t="s">
        <v>6</v>
      </c>
      <c r="E61" t="s">
        <v>38</v>
      </c>
      <c r="F61" t="s">
        <v>130</v>
      </c>
      <c r="G61" t="s">
        <v>131</v>
      </c>
      <c r="I61" t="s">
        <v>26</v>
      </c>
      <c r="J61" s="15">
        <v>45450</v>
      </c>
      <c r="K61" t="s">
        <v>38</v>
      </c>
      <c r="L61" t="str">
        <f t="shared" si="3"/>
        <v>OK</v>
      </c>
      <c r="P61" t="s">
        <v>30</v>
      </c>
      <c r="Q61" t="s">
        <v>132</v>
      </c>
      <c r="R61" t="s">
        <v>133</v>
      </c>
      <c r="S61" t="s">
        <v>133</v>
      </c>
      <c r="T61" t="s">
        <v>133</v>
      </c>
      <c r="U61" t="s">
        <v>133</v>
      </c>
      <c r="V61" t="s">
        <v>132</v>
      </c>
      <c r="W61" t="s">
        <v>5</v>
      </c>
      <c r="X61" t="s">
        <v>135</v>
      </c>
      <c r="Y61" t="str">
        <f>_xlfn.XLOOKUP(C61,[1]Especificação!$G:$G,[1]Especificação!$C:$C)</f>
        <v>B2. Re-especificação de campos complexos - Resto</v>
      </c>
    </row>
    <row r="62" spans="1:25" hidden="1" x14ac:dyDescent="0.3">
      <c r="A62" s="50" t="str">
        <f t="shared" si="1"/>
        <v>ENTITY_DBT_SRVC_RT</v>
      </c>
      <c r="B62" t="s">
        <v>142</v>
      </c>
      <c r="C62" t="s">
        <v>215</v>
      </c>
      <c r="D62" t="s">
        <v>14</v>
      </c>
      <c r="E62" t="s">
        <v>25</v>
      </c>
      <c r="F62" t="s">
        <v>130</v>
      </c>
      <c r="G62" t="s">
        <v>144</v>
      </c>
      <c r="H62" t="s">
        <v>145</v>
      </c>
      <c r="I62" t="s">
        <v>29</v>
      </c>
      <c r="J62" s="15">
        <v>45450</v>
      </c>
      <c r="K62" t="s">
        <v>25</v>
      </c>
      <c r="L62" t="str">
        <f t="shared" si="3"/>
        <v>OK</v>
      </c>
      <c r="P62" t="s">
        <v>13</v>
      </c>
      <c r="Q62" t="s">
        <v>132</v>
      </c>
      <c r="R62" t="s">
        <v>133</v>
      </c>
      <c r="S62" t="s">
        <v>133</v>
      </c>
      <c r="T62" t="s">
        <v>133</v>
      </c>
      <c r="U62" t="s">
        <v>133</v>
      </c>
      <c r="V62" t="s">
        <v>133</v>
      </c>
      <c r="W62" t="s">
        <v>5</v>
      </c>
      <c r="X62">
        <v>0</v>
      </c>
      <c r="Y62" t="e">
        <f>_xlfn.XLOOKUP(C62,[1]Especificação!$G:$G,[1]Especificação!$C:$C)</f>
        <v>#N/A</v>
      </c>
    </row>
    <row r="63" spans="1:25" hidden="1" x14ac:dyDescent="0.3">
      <c r="A63" s="50" t="str">
        <f t="shared" si="1"/>
        <v>ENTITY_DBT_SRVC_RT_12M</v>
      </c>
      <c r="B63" t="s">
        <v>142</v>
      </c>
      <c r="C63" t="s">
        <v>216</v>
      </c>
      <c r="D63" t="s">
        <v>14</v>
      </c>
      <c r="E63" t="s">
        <v>25</v>
      </c>
      <c r="F63" t="s">
        <v>130</v>
      </c>
      <c r="G63" t="s">
        <v>144</v>
      </c>
      <c r="H63" t="s">
        <v>145</v>
      </c>
      <c r="I63" t="s">
        <v>29</v>
      </c>
      <c r="J63" s="15">
        <v>45450</v>
      </c>
      <c r="K63" t="s">
        <v>25</v>
      </c>
      <c r="L63" t="str">
        <f t="shared" si="3"/>
        <v>OK</v>
      </c>
      <c r="P63" t="s">
        <v>13</v>
      </c>
      <c r="Q63" t="s">
        <v>132</v>
      </c>
      <c r="R63" t="s">
        <v>133</v>
      </c>
      <c r="S63" t="s">
        <v>133</v>
      </c>
      <c r="T63" t="s">
        <v>133</v>
      </c>
      <c r="U63" t="s">
        <v>133</v>
      </c>
      <c r="V63" t="s">
        <v>133</v>
      </c>
      <c r="W63" t="s">
        <v>5</v>
      </c>
      <c r="X63">
        <v>0</v>
      </c>
      <c r="Y63" t="e">
        <f>_xlfn.XLOOKUP(C63,[1]Especificação!$G:$G,[1]Especificação!$C:$C)</f>
        <v>#N/A</v>
      </c>
    </row>
    <row r="64" spans="1:25" hidden="1" x14ac:dyDescent="0.3">
      <c r="A64" s="50" t="str">
        <f t="shared" si="1"/>
        <v>INSTRUMENT_DBT_YLD</v>
      </c>
      <c r="B64" t="s">
        <v>128</v>
      </c>
      <c r="C64" t="s">
        <v>217</v>
      </c>
      <c r="D64" t="s">
        <v>6</v>
      </c>
      <c r="E64" t="s">
        <v>37</v>
      </c>
      <c r="F64" t="s">
        <v>130</v>
      </c>
      <c r="G64" t="s">
        <v>131</v>
      </c>
      <c r="I64" t="s">
        <v>26</v>
      </c>
      <c r="J64" s="15">
        <v>45450</v>
      </c>
      <c r="K64" t="s">
        <v>37</v>
      </c>
      <c r="L64" t="str">
        <f t="shared" si="3"/>
        <v>OK</v>
      </c>
      <c r="P64" t="s">
        <v>27</v>
      </c>
      <c r="Q64" t="s">
        <v>132</v>
      </c>
      <c r="R64" t="s">
        <v>133</v>
      </c>
      <c r="S64" t="s">
        <v>133</v>
      </c>
      <c r="T64" t="s">
        <v>133</v>
      </c>
      <c r="U64" t="s">
        <v>133</v>
      </c>
      <c r="V64" t="s">
        <v>133</v>
      </c>
      <c r="W64" t="s">
        <v>5</v>
      </c>
      <c r="X64">
        <v>0</v>
      </c>
      <c r="Y64" t="e">
        <f>_xlfn.XLOOKUP(C64,[1]Especificação!$G:$G,[1]Especificação!$C:$C)</f>
        <v>#N/A</v>
      </c>
    </row>
    <row r="65" spans="1:25" hidden="1" x14ac:dyDescent="0.3">
      <c r="A65" s="50" t="str">
        <f t="shared" si="1"/>
        <v>ENTITY_DCSD</v>
      </c>
      <c r="B65" t="s">
        <v>142</v>
      </c>
      <c r="C65" t="s">
        <v>218</v>
      </c>
      <c r="D65" t="s">
        <v>6</v>
      </c>
      <c r="E65" t="s">
        <v>38</v>
      </c>
      <c r="F65" t="s">
        <v>130</v>
      </c>
      <c r="G65" t="s">
        <v>131</v>
      </c>
      <c r="I65" t="s">
        <v>26</v>
      </c>
      <c r="J65" s="15">
        <v>45450</v>
      </c>
      <c r="K65" t="s">
        <v>38</v>
      </c>
      <c r="L65" t="str">
        <f t="shared" si="3"/>
        <v>OK</v>
      </c>
      <c r="P65" t="s">
        <v>30</v>
      </c>
      <c r="Q65" t="s">
        <v>132</v>
      </c>
      <c r="R65" t="s">
        <v>133</v>
      </c>
      <c r="S65" t="s">
        <v>133</v>
      </c>
      <c r="T65" t="s">
        <v>133</v>
      </c>
      <c r="U65" t="s">
        <v>133</v>
      </c>
      <c r="V65" t="s">
        <v>133</v>
      </c>
      <c r="W65" t="s">
        <v>5</v>
      </c>
      <c r="X65">
        <v>0</v>
      </c>
      <c r="Y65" t="e">
        <f>_xlfn.XLOOKUP(C65,[1]Especificação!$G:$G,[1]Especificação!$C:$C)</f>
        <v>#N/A</v>
      </c>
    </row>
    <row r="66" spans="1:25" hidden="1" x14ac:dyDescent="0.3">
      <c r="A66" s="50" t="str">
        <f t="shared" si="1"/>
        <v>ENTITY_DFLT_STTS</v>
      </c>
      <c r="B66" t="s">
        <v>142</v>
      </c>
      <c r="C66" s="10" t="s">
        <v>219</v>
      </c>
      <c r="D66" t="s">
        <v>14</v>
      </c>
      <c r="E66" t="s">
        <v>28</v>
      </c>
      <c r="F66" t="s">
        <v>149</v>
      </c>
      <c r="G66" t="s">
        <v>220</v>
      </c>
      <c r="H66" t="s">
        <v>221</v>
      </c>
      <c r="I66" t="s">
        <v>32</v>
      </c>
      <c r="J66" s="15">
        <v>45450</v>
      </c>
      <c r="K66" t="s">
        <v>28</v>
      </c>
      <c r="L66" t="str">
        <f t="shared" si="3"/>
        <v>NOK</v>
      </c>
      <c r="P66" t="s">
        <v>39</v>
      </c>
      <c r="Q66" t="s">
        <v>132</v>
      </c>
      <c r="R66" t="s">
        <v>133</v>
      </c>
      <c r="S66" t="s">
        <v>133</v>
      </c>
      <c r="T66" t="s">
        <v>133</v>
      </c>
      <c r="U66" t="s">
        <v>133</v>
      </c>
      <c r="V66" t="s">
        <v>132</v>
      </c>
      <c r="W66" t="s">
        <v>138</v>
      </c>
      <c r="X66" t="s">
        <v>222</v>
      </c>
      <c r="Y66" t="str">
        <f>_xlfn.XLOOKUP(C66,[1]Especificação!$G:$G,[1]Especificação!$C:$C)</f>
        <v xml:space="preserve">E. Campos com outras possíveis alterações - Dependente de decisões OSI </v>
      </c>
    </row>
    <row r="67" spans="1:25" hidden="1" x14ac:dyDescent="0.3">
      <c r="A67" s="50" t="str">
        <f t="shared" si="1"/>
        <v>INSTRUMENT_RFNNC_PRPS</v>
      </c>
      <c r="B67" t="s">
        <v>128</v>
      </c>
      <c r="C67" t="s">
        <v>223</v>
      </c>
      <c r="D67" t="s">
        <v>14</v>
      </c>
      <c r="E67" t="s">
        <v>25</v>
      </c>
      <c r="F67" t="s">
        <v>130</v>
      </c>
      <c r="G67" t="s">
        <v>224</v>
      </c>
      <c r="H67" t="s">
        <v>225</v>
      </c>
      <c r="I67" t="s">
        <v>29</v>
      </c>
      <c r="J67" s="15">
        <v>45450</v>
      </c>
      <c r="K67" t="s">
        <v>25</v>
      </c>
      <c r="L67" t="str">
        <f t="shared" si="3"/>
        <v>OK</v>
      </c>
      <c r="P67" t="s">
        <v>13</v>
      </c>
      <c r="Q67" t="s">
        <v>132</v>
      </c>
      <c r="R67" t="s">
        <v>133</v>
      </c>
      <c r="S67" t="s">
        <v>133</v>
      </c>
      <c r="T67" t="s">
        <v>133</v>
      </c>
      <c r="U67" t="s">
        <v>133</v>
      </c>
      <c r="V67" t="s">
        <v>133</v>
      </c>
      <c r="W67" t="s">
        <v>5</v>
      </c>
      <c r="X67">
        <v>0</v>
      </c>
      <c r="Y67" t="e">
        <f>_xlfn.XLOOKUP(C67,[1]Especificação!$G:$G,[1]Especificação!$C:$C)</f>
        <v>#N/A</v>
      </c>
    </row>
    <row r="68" spans="1:25" hidden="1" x14ac:dyDescent="0.3">
      <c r="A68" s="50" t="str">
        <f t="shared" si="1"/>
        <v>INSTRUMENT_DPD</v>
      </c>
      <c r="B68" t="s">
        <v>128</v>
      </c>
      <c r="C68" t="s">
        <v>226</v>
      </c>
      <c r="D68" t="s">
        <v>14</v>
      </c>
      <c r="E68" t="s">
        <v>36</v>
      </c>
      <c r="F68" t="s">
        <v>149</v>
      </c>
      <c r="G68" t="s">
        <v>163</v>
      </c>
      <c r="I68" t="s">
        <v>29</v>
      </c>
      <c r="J68" s="15">
        <v>45450</v>
      </c>
      <c r="K68" t="s">
        <v>36</v>
      </c>
      <c r="L68" t="str">
        <f t="shared" si="3"/>
        <v>NOK</v>
      </c>
      <c r="P68" t="s">
        <v>8</v>
      </c>
      <c r="Q68" t="s">
        <v>132</v>
      </c>
      <c r="R68" t="s">
        <v>133</v>
      </c>
      <c r="S68" t="s">
        <v>133</v>
      </c>
      <c r="T68" t="s">
        <v>133</v>
      </c>
      <c r="U68" t="s">
        <v>133</v>
      </c>
      <c r="V68" t="s">
        <v>132</v>
      </c>
      <c r="W68" t="s">
        <v>138</v>
      </c>
      <c r="X68" t="s">
        <v>166</v>
      </c>
      <c r="Y68" t="str">
        <f>_xlfn.XLOOKUP(C68,[1]Especificação!$G:$G,[1]Especificação!$C:$C)</f>
        <v>D. Campos com NOK controlos Corporativos</v>
      </c>
    </row>
    <row r="69" spans="1:25" hidden="1" x14ac:dyDescent="0.3">
      <c r="A69" s="50" t="str">
        <f t="shared" si="1"/>
        <v>INSTRUMENT_DPD_12M</v>
      </c>
      <c r="B69" t="s">
        <v>128</v>
      </c>
      <c r="C69" t="s">
        <v>227</v>
      </c>
      <c r="D69" t="s">
        <v>14</v>
      </c>
      <c r="E69" t="s">
        <v>36</v>
      </c>
      <c r="F69" t="s">
        <v>149</v>
      </c>
      <c r="G69" t="s">
        <v>163</v>
      </c>
      <c r="I69" t="s">
        <v>29</v>
      </c>
      <c r="J69" s="15">
        <v>45450</v>
      </c>
      <c r="K69" t="s">
        <v>36</v>
      </c>
      <c r="L69" t="str">
        <f t="shared" si="3"/>
        <v>NOK</v>
      </c>
      <c r="P69" t="s">
        <v>8</v>
      </c>
      <c r="Q69" t="s">
        <v>132</v>
      </c>
      <c r="R69" t="s">
        <v>133</v>
      </c>
      <c r="S69" t="s">
        <v>133</v>
      </c>
      <c r="T69" t="s">
        <v>133</v>
      </c>
      <c r="U69" t="s">
        <v>133</v>
      </c>
      <c r="V69" t="s">
        <v>133</v>
      </c>
      <c r="W69" t="s">
        <v>5</v>
      </c>
      <c r="X69">
        <v>0</v>
      </c>
      <c r="Y69" t="e">
        <f>_xlfn.XLOOKUP(C69,[1]Especificação!$G:$G,[1]Especificação!$C:$C)</f>
        <v>#N/A</v>
      </c>
    </row>
    <row r="70" spans="1:25" hidden="1" x14ac:dyDescent="0.3">
      <c r="A70" s="50" t="str">
        <f t="shared" ref="A70:A133" si="4">B70&amp;"_"&amp;C70</f>
        <v>INSTRUMENT_DPD_12M_FRBRNC_STTS</v>
      </c>
      <c r="B70" t="s">
        <v>128</v>
      </c>
      <c r="C70" t="s">
        <v>228</v>
      </c>
      <c r="D70" t="s">
        <v>14</v>
      </c>
      <c r="E70" t="s">
        <v>33</v>
      </c>
      <c r="F70" t="s">
        <v>149</v>
      </c>
      <c r="G70" t="s">
        <v>229</v>
      </c>
      <c r="I70" t="s">
        <v>29</v>
      </c>
      <c r="J70" s="15">
        <v>45450</v>
      </c>
      <c r="K70" t="s">
        <v>33</v>
      </c>
      <c r="L70" t="str">
        <f t="shared" si="3"/>
        <v>NOK</v>
      </c>
      <c r="N70" s="15">
        <v>44679</v>
      </c>
      <c r="O70" s="15">
        <v>44700</v>
      </c>
      <c r="P70" t="s">
        <v>13</v>
      </c>
      <c r="Q70" t="s">
        <v>132</v>
      </c>
      <c r="R70" t="s">
        <v>133</v>
      </c>
      <c r="S70" t="s">
        <v>133</v>
      </c>
      <c r="T70" t="s">
        <v>133</v>
      </c>
      <c r="U70" t="s">
        <v>133</v>
      </c>
      <c r="V70" t="s">
        <v>133</v>
      </c>
      <c r="W70" t="s">
        <v>5</v>
      </c>
      <c r="X70">
        <v>0</v>
      </c>
      <c r="Y70" t="e">
        <f>_xlfn.XLOOKUP(C70,[1]Especificação!$G:$G,[1]Especificação!$C:$C)</f>
        <v>#N/A</v>
      </c>
    </row>
    <row r="71" spans="1:25" hidden="1" x14ac:dyDescent="0.3">
      <c r="A71" s="50" t="str">
        <f t="shared" si="4"/>
        <v>INSTRUMENT_DPD_12M_PRFRMNG_STTS</v>
      </c>
      <c r="B71" t="s">
        <v>128</v>
      </c>
      <c r="C71" s="11" t="s">
        <v>48</v>
      </c>
      <c r="D71" t="s">
        <v>14</v>
      </c>
      <c r="E71" t="s">
        <v>33</v>
      </c>
      <c r="F71" t="s">
        <v>149</v>
      </c>
      <c r="G71" t="s">
        <v>230</v>
      </c>
      <c r="I71" t="s">
        <v>32</v>
      </c>
      <c r="J71" s="15">
        <v>45952</v>
      </c>
      <c r="K71" t="s">
        <v>38</v>
      </c>
      <c r="L71" t="s">
        <v>130</v>
      </c>
      <c r="N71" s="15">
        <v>45562</v>
      </c>
      <c r="O71" s="15">
        <v>45952</v>
      </c>
      <c r="P71" t="s">
        <v>39</v>
      </c>
      <c r="Q71" t="s">
        <v>132</v>
      </c>
      <c r="R71" t="s">
        <v>133</v>
      </c>
      <c r="S71" t="s">
        <v>133</v>
      </c>
      <c r="T71" t="s">
        <v>133</v>
      </c>
      <c r="U71" t="s">
        <v>133</v>
      </c>
      <c r="V71" t="s">
        <v>133</v>
      </c>
      <c r="W71" t="s">
        <v>5</v>
      </c>
      <c r="X71">
        <v>0</v>
      </c>
      <c r="Y71" t="e">
        <f>_xlfn.XLOOKUP(C71,[1]Especificação!$G:$G,[1]Especificação!$C:$C)</f>
        <v>#N/A</v>
      </c>
    </row>
    <row r="72" spans="1:25" hidden="1" x14ac:dyDescent="0.3">
      <c r="A72" s="50" t="str">
        <f t="shared" si="4"/>
        <v>INSTRUMENT_DPD_24M_FRBRNC_STTS</v>
      </c>
      <c r="B72" t="s">
        <v>128</v>
      </c>
      <c r="C72" t="s">
        <v>231</v>
      </c>
      <c r="D72" t="s">
        <v>14</v>
      </c>
      <c r="E72" t="s">
        <v>36</v>
      </c>
      <c r="F72" t="s">
        <v>149</v>
      </c>
      <c r="G72" t="s">
        <v>163</v>
      </c>
      <c r="I72" t="s">
        <v>29</v>
      </c>
      <c r="J72" s="15">
        <v>45450</v>
      </c>
      <c r="K72" t="s">
        <v>36</v>
      </c>
      <c r="L72" t="str">
        <f>F72</f>
        <v>NOK</v>
      </c>
      <c r="N72" s="15"/>
      <c r="O72" s="15"/>
      <c r="P72" t="s">
        <v>8</v>
      </c>
      <c r="Q72" t="s">
        <v>132</v>
      </c>
      <c r="R72" t="s">
        <v>133</v>
      </c>
      <c r="S72" t="s">
        <v>133</v>
      </c>
      <c r="T72" t="s">
        <v>133</v>
      </c>
      <c r="U72" t="s">
        <v>133</v>
      </c>
      <c r="V72" t="s">
        <v>133</v>
      </c>
      <c r="W72" t="s">
        <v>5</v>
      </c>
      <c r="X72">
        <v>0</v>
      </c>
      <c r="Y72" t="e">
        <f>_xlfn.XLOOKUP(C72,[1]Especificação!$G:$G,[1]Especificação!$C:$C)</f>
        <v>#N/A</v>
      </c>
    </row>
    <row r="73" spans="1:25" hidden="1" x14ac:dyDescent="0.3">
      <c r="A73" s="50" t="str">
        <f t="shared" si="4"/>
        <v>INSTRUMENT_DPD_24M_PRFRMNG_STTS</v>
      </c>
      <c r="B73" t="s">
        <v>128</v>
      </c>
      <c r="C73" s="11" t="s">
        <v>49</v>
      </c>
      <c r="D73" t="s">
        <v>14</v>
      </c>
      <c r="E73" t="s">
        <v>33</v>
      </c>
      <c r="F73" t="s">
        <v>149</v>
      </c>
      <c r="G73" t="s">
        <v>232</v>
      </c>
      <c r="I73" t="s">
        <v>32</v>
      </c>
      <c r="J73" s="15">
        <v>45952</v>
      </c>
      <c r="K73" t="s">
        <v>38</v>
      </c>
      <c r="L73" t="s">
        <v>130</v>
      </c>
      <c r="N73" s="15">
        <v>45562</v>
      </c>
      <c r="O73" s="15">
        <v>45952</v>
      </c>
      <c r="P73" t="s">
        <v>39</v>
      </c>
      <c r="Q73" t="s">
        <v>132</v>
      </c>
      <c r="R73" t="s">
        <v>133</v>
      </c>
      <c r="S73" t="s">
        <v>133</v>
      </c>
      <c r="T73" t="s">
        <v>133</v>
      </c>
      <c r="U73" t="s">
        <v>133</v>
      </c>
      <c r="V73" t="s">
        <v>133</v>
      </c>
      <c r="W73" t="s">
        <v>5</v>
      </c>
      <c r="X73">
        <v>0</v>
      </c>
      <c r="Y73" t="e">
        <f>_xlfn.XLOOKUP(C73,[1]Especificação!$G:$G,[1]Especificação!$C:$C)</f>
        <v>#N/A</v>
      </c>
    </row>
    <row r="74" spans="1:25" hidden="1" x14ac:dyDescent="0.3">
      <c r="A74" s="50" t="str">
        <f t="shared" si="4"/>
        <v>INSTRUMENT_DPD_FRBRNC_STTS</v>
      </c>
      <c r="B74" t="s">
        <v>128</v>
      </c>
      <c r="C74" t="s">
        <v>233</v>
      </c>
      <c r="D74" t="s">
        <v>14</v>
      </c>
      <c r="E74" t="s">
        <v>36</v>
      </c>
      <c r="F74" t="s">
        <v>149</v>
      </c>
      <c r="G74" t="s">
        <v>163</v>
      </c>
      <c r="I74" t="s">
        <v>29</v>
      </c>
      <c r="J74" s="15">
        <v>45450</v>
      </c>
      <c r="K74" t="s">
        <v>36</v>
      </c>
      <c r="L74" t="str">
        <f>F74</f>
        <v>NOK</v>
      </c>
      <c r="N74" s="15"/>
      <c r="O74" s="15"/>
      <c r="P74" t="s">
        <v>8</v>
      </c>
      <c r="Q74" t="s">
        <v>132</v>
      </c>
      <c r="R74" t="s">
        <v>133</v>
      </c>
      <c r="S74" t="s">
        <v>133</v>
      </c>
      <c r="T74" t="s">
        <v>133</v>
      </c>
      <c r="U74" t="s">
        <v>133</v>
      </c>
      <c r="V74" t="s">
        <v>133</v>
      </c>
      <c r="W74" t="s">
        <v>5</v>
      </c>
      <c r="X74">
        <v>0</v>
      </c>
      <c r="Y74" t="e">
        <f>_xlfn.XLOOKUP(C74,[1]Especificação!$G:$G,[1]Especificação!$C:$C)</f>
        <v>#N/A</v>
      </c>
    </row>
    <row r="75" spans="1:25" hidden="1" x14ac:dyDescent="0.3">
      <c r="A75" s="50" t="str">
        <f t="shared" si="4"/>
        <v>INSTRUMENT_DPD_PRFRMNG_STTS</v>
      </c>
      <c r="B75" t="s">
        <v>128</v>
      </c>
      <c r="C75" s="11" t="s">
        <v>50</v>
      </c>
      <c r="D75" t="s">
        <v>14</v>
      </c>
      <c r="E75" t="s">
        <v>33</v>
      </c>
      <c r="F75" t="s">
        <v>130</v>
      </c>
      <c r="G75" t="s">
        <v>232</v>
      </c>
      <c r="I75" t="s">
        <v>32</v>
      </c>
      <c r="J75" s="15">
        <v>45952</v>
      </c>
      <c r="K75" t="s">
        <v>38</v>
      </c>
      <c r="L75" t="s">
        <v>130</v>
      </c>
      <c r="N75" s="15">
        <v>45562</v>
      </c>
      <c r="O75" s="15">
        <v>45952</v>
      </c>
      <c r="P75" t="s">
        <v>39</v>
      </c>
      <c r="Q75" t="s">
        <v>132</v>
      </c>
      <c r="R75" t="s">
        <v>133</v>
      </c>
      <c r="S75" t="s">
        <v>133</v>
      </c>
      <c r="T75" t="s">
        <v>133</v>
      </c>
      <c r="U75" t="s">
        <v>133</v>
      </c>
      <c r="V75" t="s">
        <v>133</v>
      </c>
      <c r="W75" t="s">
        <v>5</v>
      </c>
      <c r="X75">
        <v>0</v>
      </c>
      <c r="Y75" t="e">
        <f>_xlfn.XLOOKUP(C75,[1]Especificação!$G:$G,[1]Especificação!$C:$C)</f>
        <v>#N/A</v>
      </c>
    </row>
    <row r="76" spans="1:25" hidden="1" x14ac:dyDescent="0.3">
      <c r="A76" s="50" t="str">
        <f t="shared" si="4"/>
        <v>INSTRUMENT_DSTI</v>
      </c>
      <c r="B76" t="s">
        <v>128</v>
      </c>
      <c r="C76" t="s">
        <v>234</v>
      </c>
      <c r="D76" t="s">
        <v>6</v>
      </c>
      <c r="E76" t="s">
        <v>20</v>
      </c>
      <c r="F76" t="s">
        <v>130</v>
      </c>
      <c r="G76" t="s">
        <v>235</v>
      </c>
      <c r="I76" t="s">
        <v>29</v>
      </c>
      <c r="J76" s="15">
        <v>45450</v>
      </c>
      <c r="K76" t="s">
        <v>20</v>
      </c>
      <c r="L76" t="str">
        <f>F76</f>
        <v>OK</v>
      </c>
      <c r="P76" t="s">
        <v>19</v>
      </c>
      <c r="Q76" t="s">
        <v>132</v>
      </c>
      <c r="R76" t="s">
        <v>133</v>
      </c>
      <c r="S76" t="s">
        <v>133</v>
      </c>
      <c r="T76" t="s">
        <v>133</v>
      </c>
      <c r="U76" t="s">
        <v>133</v>
      </c>
      <c r="V76" t="s">
        <v>133</v>
      </c>
      <c r="W76" t="s">
        <v>5</v>
      </c>
      <c r="X76">
        <v>0</v>
      </c>
      <c r="Y76" t="e">
        <f>_xlfn.XLOOKUP(C76,[1]Especificação!$G:$G,[1]Especificação!$C:$C)</f>
        <v>#N/A</v>
      </c>
    </row>
    <row r="77" spans="1:25" hidden="1" x14ac:dyDescent="0.3">
      <c r="A77" s="50" t="str">
        <f t="shared" si="4"/>
        <v>PROTECTION_TYP_PRTCTN</v>
      </c>
      <c r="B77" t="s">
        <v>161</v>
      </c>
      <c r="C77" s="10" t="s">
        <v>236</v>
      </c>
      <c r="D77" t="s">
        <v>14</v>
      </c>
      <c r="E77" t="s">
        <v>25</v>
      </c>
      <c r="F77" t="s">
        <v>149</v>
      </c>
      <c r="G77" t="s">
        <v>237</v>
      </c>
      <c r="H77" t="s">
        <v>238</v>
      </c>
      <c r="I77" t="s">
        <v>26</v>
      </c>
      <c r="J77" s="15">
        <v>45670</v>
      </c>
      <c r="K77" t="s">
        <v>38</v>
      </c>
      <c r="L77" t="s">
        <v>130</v>
      </c>
      <c r="M77" t="s">
        <v>239</v>
      </c>
      <c r="N77" s="15">
        <v>45492</v>
      </c>
      <c r="O77" s="15">
        <v>45646</v>
      </c>
      <c r="P77" t="s">
        <v>24</v>
      </c>
      <c r="Q77" t="s">
        <v>132</v>
      </c>
      <c r="R77" t="s">
        <v>132</v>
      </c>
      <c r="S77" t="s">
        <v>132</v>
      </c>
      <c r="T77" t="s">
        <v>133</v>
      </c>
      <c r="U77" t="s">
        <v>132</v>
      </c>
      <c r="V77" t="s">
        <v>133</v>
      </c>
      <c r="W77" t="s">
        <v>5</v>
      </c>
      <c r="X77">
        <v>0</v>
      </c>
      <c r="Y77" t="e">
        <f>_xlfn.XLOOKUP(C77,[1]Especificação!$G:$G,[1]Especificação!$C:$C)</f>
        <v>#N/A</v>
      </c>
    </row>
    <row r="78" spans="1:25" hidden="1" x14ac:dyDescent="0.3">
      <c r="A78" s="50" t="str">
        <f t="shared" si="4"/>
        <v>ENTITY_DT_BRTH</v>
      </c>
      <c r="B78" t="s">
        <v>142</v>
      </c>
      <c r="C78" t="s">
        <v>240</v>
      </c>
      <c r="D78" t="s">
        <v>6</v>
      </c>
      <c r="E78" t="s">
        <v>36</v>
      </c>
      <c r="F78" t="s">
        <v>149</v>
      </c>
      <c r="G78" t="s">
        <v>163</v>
      </c>
      <c r="I78" t="s">
        <v>29</v>
      </c>
      <c r="J78" s="15">
        <v>45450</v>
      </c>
      <c r="K78" t="s">
        <v>36</v>
      </c>
      <c r="L78" t="str">
        <f>F78</f>
        <v>NOK</v>
      </c>
      <c r="P78" t="s">
        <v>8</v>
      </c>
      <c r="Q78" t="s">
        <v>132</v>
      </c>
      <c r="R78" t="s">
        <v>133</v>
      </c>
      <c r="S78" t="s">
        <v>133</v>
      </c>
      <c r="T78" t="s">
        <v>133</v>
      </c>
      <c r="U78" t="s">
        <v>133</v>
      </c>
      <c r="V78" t="s">
        <v>133</v>
      </c>
      <c r="W78" t="s">
        <v>5</v>
      </c>
      <c r="X78">
        <v>0</v>
      </c>
      <c r="Y78" t="e">
        <f>_xlfn.XLOOKUP(C78,[1]Especificação!$G:$G,[1]Especificação!$C:$C)</f>
        <v>#N/A</v>
      </c>
    </row>
    <row r="79" spans="1:25" hidden="1" x14ac:dyDescent="0.3">
      <c r="A79" s="50" t="str">
        <f t="shared" si="4"/>
        <v>INSTRUMENT_DT_CMPLNT_MRTR_STTS_C19</v>
      </c>
      <c r="B79" t="s">
        <v>128</v>
      </c>
      <c r="C79" t="s">
        <v>241</v>
      </c>
      <c r="D79" t="s">
        <v>6</v>
      </c>
      <c r="E79" t="s">
        <v>38</v>
      </c>
      <c r="F79" t="s">
        <v>130</v>
      </c>
      <c r="G79" t="s">
        <v>131</v>
      </c>
      <c r="I79" t="s">
        <v>26</v>
      </c>
      <c r="J79" s="15">
        <v>45450</v>
      </c>
      <c r="K79" t="s">
        <v>38</v>
      </c>
      <c r="L79" t="str">
        <f>F79</f>
        <v>OK</v>
      </c>
      <c r="P79" t="s">
        <v>30</v>
      </c>
      <c r="Q79" t="s">
        <v>132</v>
      </c>
      <c r="R79" t="s">
        <v>133</v>
      </c>
      <c r="S79" t="s">
        <v>133</v>
      </c>
      <c r="T79" t="s">
        <v>133</v>
      </c>
      <c r="U79" t="s">
        <v>133</v>
      </c>
      <c r="V79" t="s">
        <v>133</v>
      </c>
      <c r="W79" t="s">
        <v>5</v>
      </c>
      <c r="X79">
        <v>0</v>
      </c>
      <c r="Y79" t="e">
        <f>_xlfn.XLOOKUP(C79,[1]Especificação!$G:$G,[1]Especificação!$C:$C)</f>
        <v>#N/A</v>
      </c>
    </row>
    <row r="80" spans="1:25" hidden="1" x14ac:dyDescent="0.3">
      <c r="A80" s="50" t="str">
        <f t="shared" si="4"/>
        <v>INSTRUMENT_DT_CMPLNT_MRTR_STTS_PRVS_C19</v>
      </c>
      <c r="B80" t="s">
        <v>128</v>
      </c>
      <c r="C80" t="s">
        <v>242</v>
      </c>
      <c r="D80" t="s">
        <v>6</v>
      </c>
      <c r="E80" t="s">
        <v>38</v>
      </c>
      <c r="F80" t="s">
        <v>130</v>
      </c>
      <c r="G80" t="s">
        <v>131</v>
      </c>
      <c r="I80" t="s">
        <v>26</v>
      </c>
      <c r="J80" s="15">
        <v>45450</v>
      </c>
      <c r="K80" t="s">
        <v>38</v>
      </c>
      <c r="L80" t="str">
        <f>F80</f>
        <v>OK</v>
      </c>
      <c r="P80" t="s">
        <v>30</v>
      </c>
      <c r="Q80" t="s">
        <v>132</v>
      </c>
      <c r="R80" t="s">
        <v>133</v>
      </c>
      <c r="S80" t="s">
        <v>133</v>
      </c>
      <c r="T80" t="s">
        <v>133</v>
      </c>
      <c r="U80" t="s">
        <v>133</v>
      </c>
      <c r="V80" t="s">
        <v>133</v>
      </c>
      <c r="W80" t="s">
        <v>5</v>
      </c>
      <c r="X80">
        <v>0</v>
      </c>
      <c r="Y80" t="e">
        <f>_xlfn.XLOOKUP(C80,[1]Especificação!$G:$G,[1]Especificação!$C:$C)</f>
        <v>#N/A</v>
      </c>
    </row>
    <row r="81" spans="1:25" hidden="1" x14ac:dyDescent="0.3">
      <c r="A81" s="50" t="str">
        <f t="shared" si="4"/>
        <v>PROTECTION_DT_PRTCTN_VL</v>
      </c>
      <c r="B81" t="s">
        <v>161</v>
      </c>
      <c r="C81" s="10" t="s">
        <v>243</v>
      </c>
      <c r="D81" t="s">
        <v>14</v>
      </c>
      <c r="E81" t="s">
        <v>35</v>
      </c>
      <c r="F81" t="s">
        <v>149</v>
      </c>
      <c r="G81" t="s">
        <v>244</v>
      </c>
      <c r="H81" t="s">
        <v>245</v>
      </c>
      <c r="I81" t="s">
        <v>26</v>
      </c>
      <c r="J81" s="15">
        <v>45670</v>
      </c>
      <c r="K81" t="s">
        <v>38</v>
      </c>
      <c r="L81" t="s">
        <v>130</v>
      </c>
      <c r="M81" t="s">
        <v>246</v>
      </c>
      <c r="N81" s="15">
        <v>45492</v>
      </c>
      <c r="O81" s="15">
        <v>45646</v>
      </c>
      <c r="P81" t="s">
        <v>24</v>
      </c>
      <c r="Q81" t="s">
        <v>132</v>
      </c>
      <c r="R81" t="s">
        <v>133</v>
      </c>
      <c r="S81" t="s">
        <v>133</v>
      </c>
      <c r="T81" t="s">
        <v>133</v>
      </c>
      <c r="U81" t="s">
        <v>133</v>
      </c>
      <c r="V81" t="s">
        <v>133</v>
      </c>
      <c r="W81" t="s">
        <v>5</v>
      </c>
      <c r="X81">
        <v>0</v>
      </c>
      <c r="Y81" t="e">
        <f>_xlfn.XLOOKUP(C81,[1]Especificação!$G:$G,[1]Especificação!$C:$C)</f>
        <v>#N/A</v>
      </c>
    </row>
    <row r="82" spans="1:25" hidden="1" x14ac:dyDescent="0.3">
      <c r="A82" s="50" t="str">
        <f t="shared" si="4"/>
        <v>ENTITY_DT_DFLT_STTS</v>
      </c>
      <c r="B82" t="s">
        <v>142</v>
      </c>
      <c r="C82" s="10" t="s">
        <v>247</v>
      </c>
      <c r="D82" t="s">
        <v>14</v>
      </c>
      <c r="E82" t="s">
        <v>28</v>
      </c>
      <c r="F82" t="s">
        <v>149</v>
      </c>
      <c r="G82" t="s">
        <v>220</v>
      </c>
      <c r="H82" t="s">
        <v>248</v>
      </c>
      <c r="I82" t="s">
        <v>32</v>
      </c>
      <c r="J82" s="15">
        <v>45450</v>
      </c>
      <c r="K82" t="s">
        <v>28</v>
      </c>
      <c r="L82" t="str">
        <f t="shared" ref="L82:L87" si="5">F82</f>
        <v>NOK</v>
      </c>
      <c r="P82" t="s">
        <v>39</v>
      </c>
      <c r="Q82" t="s">
        <v>132</v>
      </c>
      <c r="R82" t="s">
        <v>133</v>
      </c>
      <c r="S82" t="s">
        <v>133</v>
      </c>
      <c r="T82" t="s">
        <v>133</v>
      </c>
      <c r="U82" t="s">
        <v>133</v>
      </c>
      <c r="V82" t="s">
        <v>132</v>
      </c>
      <c r="W82" t="s">
        <v>138</v>
      </c>
      <c r="X82" t="s">
        <v>222</v>
      </c>
      <c r="Y82" t="str">
        <f>_xlfn.XLOOKUP(C82,[1]Especificação!$G:$G,[1]Especificação!$C:$C)</f>
        <v xml:space="preserve">E. Campos com outras possíveis alterações - Dependente de decisões OSI </v>
      </c>
    </row>
    <row r="83" spans="1:25" hidden="1" x14ac:dyDescent="0.3">
      <c r="A83" s="50" t="str">
        <f t="shared" si="4"/>
        <v>INSTRUMENT_DT_DFLT_STTS_INSTRMNT</v>
      </c>
      <c r="B83" t="s">
        <v>128</v>
      </c>
      <c r="C83" t="s">
        <v>249</v>
      </c>
      <c r="D83" t="s">
        <v>14</v>
      </c>
      <c r="E83" t="s">
        <v>35</v>
      </c>
      <c r="F83" t="s">
        <v>149</v>
      </c>
      <c r="G83" t="s">
        <v>250</v>
      </c>
      <c r="H83" t="s">
        <v>248</v>
      </c>
      <c r="I83" t="s">
        <v>29</v>
      </c>
      <c r="J83" s="15">
        <v>45450</v>
      </c>
      <c r="K83" t="s">
        <v>35</v>
      </c>
      <c r="L83" t="str">
        <f t="shared" si="5"/>
        <v>NOK</v>
      </c>
      <c r="O83" s="15"/>
      <c r="P83" t="s">
        <v>13</v>
      </c>
      <c r="Q83" t="s">
        <v>132</v>
      </c>
      <c r="R83" t="s">
        <v>133</v>
      </c>
      <c r="S83" t="s">
        <v>133</v>
      </c>
      <c r="T83" t="s">
        <v>133</v>
      </c>
      <c r="U83" t="s">
        <v>133</v>
      </c>
      <c r="V83" t="s">
        <v>132</v>
      </c>
      <c r="W83" t="s">
        <v>138</v>
      </c>
      <c r="X83" t="s">
        <v>139</v>
      </c>
      <c r="Y83" t="str">
        <f>_xlfn.XLOOKUP(C83,[1]Especificação!$G:$G,[1]Especificação!$C:$C)</f>
        <v>C. Campos em testes ou c/ incidências</v>
      </c>
    </row>
    <row r="84" spans="1:25" hidden="1" x14ac:dyDescent="0.3">
      <c r="A84" s="50" t="str">
        <f t="shared" si="4"/>
        <v>INSTRUMENT_DT_END_GP_PPAL</v>
      </c>
      <c r="B84" t="s">
        <v>128</v>
      </c>
      <c r="C84" t="s">
        <v>251</v>
      </c>
      <c r="D84" t="s">
        <v>14</v>
      </c>
      <c r="E84" t="s">
        <v>36</v>
      </c>
      <c r="F84" t="s">
        <v>149</v>
      </c>
      <c r="G84" t="s">
        <v>163</v>
      </c>
      <c r="I84" t="s">
        <v>29</v>
      </c>
      <c r="J84" s="15">
        <v>45450</v>
      </c>
      <c r="K84" t="s">
        <v>36</v>
      </c>
      <c r="L84" t="str">
        <f t="shared" si="5"/>
        <v>NOK</v>
      </c>
      <c r="P84" t="s">
        <v>8</v>
      </c>
      <c r="Q84" t="s">
        <v>132</v>
      </c>
      <c r="R84" t="s">
        <v>133</v>
      </c>
      <c r="S84" t="s">
        <v>133</v>
      </c>
      <c r="T84" t="s">
        <v>133</v>
      </c>
      <c r="U84" t="s">
        <v>133</v>
      </c>
      <c r="V84" t="s">
        <v>133</v>
      </c>
      <c r="W84" t="s">
        <v>5</v>
      </c>
      <c r="X84">
        <v>0</v>
      </c>
      <c r="Y84" t="e">
        <f>_xlfn.XLOOKUP(C84,[1]Especificação!$G:$G,[1]Especificação!$C:$C)</f>
        <v>#N/A</v>
      </c>
    </row>
    <row r="85" spans="1:25" hidden="1" x14ac:dyDescent="0.3">
      <c r="A85" s="50" t="str">
        <f t="shared" si="4"/>
        <v>INSTRUMENT_DT_END_GP_PPAL_C19</v>
      </c>
      <c r="B85" t="s">
        <v>128</v>
      </c>
      <c r="C85" t="s">
        <v>252</v>
      </c>
      <c r="D85" t="s">
        <v>6</v>
      </c>
      <c r="E85" t="s">
        <v>38</v>
      </c>
      <c r="F85" t="s">
        <v>130</v>
      </c>
      <c r="G85" t="s">
        <v>131</v>
      </c>
      <c r="I85" t="s">
        <v>26</v>
      </c>
      <c r="J85" s="15">
        <v>45450</v>
      </c>
      <c r="K85" t="s">
        <v>38</v>
      </c>
      <c r="L85" t="str">
        <f t="shared" si="5"/>
        <v>OK</v>
      </c>
      <c r="P85" t="s">
        <v>30</v>
      </c>
      <c r="Q85" t="s">
        <v>132</v>
      </c>
      <c r="R85" t="s">
        <v>133</v>
      </c>
      <c r="S85" t="s">
        <v>133</v>
      </c>
      <c r="T85" t="s">
        <v>133</v>
      </c>
      <c r="U85" t="s">
        <v>133</v>
      </c>
      <c r="V85" t="s">
        <v>133</v>
      </c>
      <c r="W85" t="s">
        <v>5</v>
      </c>
      <c r="X85">
        <v>0</v>
      </c>
      <c r="Y85" t="e">
        <f>_xlfn.XLOOKUP(C85,[1]Especificação!$G:$G,[1]Especificação!$C:$C)</f>
        <v>#N/A</v>
      </c>
    </row>
    <row r="86" spans="1:25" hidden="1" x14ac:dyDescent="0.3">
      <c r="A86" s="50" t="str">
        <f t="shared" si="4"/>
        <v>INSTRUMENT_DT_END_INTRST_ONLY</v>
      </c>
      <c r="B86" t="s">
        <v>128</v>
      </c>
      <c r="C86" t="s">
        <v>253</v>
      </c>
      <c r="D86" t="s">
        <v>14</v>
      </c>
      <c r="E86" t="s">
        <v>36</v>
      </c>
      <c r="F86" t="s">
        <v>149</v>
      </c>
      <c r="G86" t="s">
        <v>163</v>
      </c>
      <c r="I86" t="s">
        <v>29</v>
      </c>
      <c r="J86" s="15">
        <v>45450</v>
      </c>
      <c r="K86" t="s">
        <v>36</v>
      </c>
      <c r="L86" t="str">
        <f t="shared" si="5"/>
        <v>NOK</v>
      </c>
      <c r="P86" t="s">
        <v>8</v>
      </c>
      <c r="Q86" t="s">
        <v>132</v>
      </c>
      <c r="R86" t="s">
        <v>133</v>
      </c>
      <c r="S86" t="s">
        <v>133</v>
      </c>
      <c r="T86" t="s">
        <v>133</v>
      </c>
      <c r="U86" t="s">
        <v>133</v>
      </c>
      <c r="V86" t="s">
        <v>133</v>
      </c>
      <c r="W86" t="s">
        <v>5</v>
      </c>
      <c r="X86">
        <v>0</v>
      </c>
      <c r="Y86" t="e">
        <f>_xlfn.XLOOKUP(C86,[1]Especificação!$G:$G,[1]Especificação!$C:$C)</f>
        <v>#N/A</v>
      </c>
    </row>
    <row r="87" spans="1:25" hidden="1" x14ac:dyDescent="0.3">
      <c r="A87" s="50" t="str">
        <f t="shared" si="4"/>
        <v>INSTRUMENT_DT_END_INTRST_ONLY_C19</v>
      </c>
      <c r="B87" t="s">
        <v>128</v>
      </c>
      <c r="C87" t="s">
        <v>254</v>
      </c>
      <c r="D87" t="s">
        <v>6</v>
      </c>
      <c r="E87" t="s">
        <v>38</v>
      </c>
      <c r="F87" t="s">
        <v>130</v>
      </c>
      <c r="G87" t="s">
        <v>131</v>
      </c>
      <c r="I87" t="s">
        <v>26</v>
      </c>
      <c r="J87" s="15">
        <v>45450</v>
      </c>
      <c r="K87" t="s">
        <v>38</v>
      </c>
      <c r="L87" t="str">
        <f t="shared" si="5"/>
        <v>OK</v>
      </c>
      <c r="P87" t="s">
        <v>30</v>
      </c>
      <c r="Q87" t="s">
        <v>132</v>
      </c>
      <c r="R87" t="s">
        <v>133</v>
      </c>
      <c r="S87" t="s">
        <v>133</v>
      </c>
      <c r="T87" t="s">
        <v>133</v>
      </c>
      <c r="U87" t="s">
        <v>133</v>
      </c>
      <c r="V87" t="s">
        <v>133</v>
      </c>
      <c r="W87" t="s">
        <v>5</v>
      </c>
      <c r="X87">
        <v>0</v>
      </c>
      <c r="Y87" t="e">
        <f>_xlfn.XLOOKUP(C87,[1]Especificação!$G:$G,[1]Especificação!$C:$C)</f>
        <v>#N/A</v>
      </c>
    </row>
    <row r="88" spans="1:25" hidden="1" x14ac:dyDescent="0.3">
      <c r="A88" s="50" t="str">
        <f t="shared" si="4"/>
        <v>PROTECTION_CNSTRCTN_STTS</v>
      </c>
      <c r="B88" t="s">
        <v>161</v>
      </c>
      <c r="C88" s="11" t="s">
        <v>255</v>
      </c>
      <c r="D88" t="s">
        <v>6</v>
      </c>
      <c r="E88" t="s">
        <v>25</v>
      </c>
      <c r="F88" t="s">
        <v>149</v>
      </c>
      <c r="G88" t="s">
        <v>256</v>
      </c>
      <c r="H88" t="s">
        <v>238</v>
      </c>
      <c r="I88" t="s">
        <v>26</v>
      </c>
      <c r="J88" s="15">
        <v>45670</v>
      </c>
      <c r="K88" t="s">
        <v>38</v>
      </c>
      <c r="L88" t="s">
        <v>130</v>
      </c>
      <c r="N88" s="15">
        <v>45513</v>
      </c>
      <c r="O88" s="15">
        <v>45646</v>
      </c>
      <c r="P88" t="s">
        <v>24</v>
      </c>
      <c r="Q88" t="s">
        <v>132</v>
      </c>
      <c r="R88" t="s">
        <v>133</v>
      </c>
      <c r="S88" t="s">
        <v>133</v>
      </c>
      <c r="T88" t="s">
        <v>133</v>
      </c>
      <c r="U88" t="s">
        <v>133</v>
      </c>
      <c r="V88" t="s">
        <v>133</v>
      </c>
      <c r="W88" t="s">
        <v>5</v>
      </c>
      <c r="X88">
        <v>0</v>
      </c>
      <c r="Y88" t="e">
        <f>_xlfn.XLOOKUP(C88,[1]Especificação!$G:$G,[1]Especificação!$C:$C)</f>
        <v>#N/A</v>
      </c>
    </row>
    <row r="89" spans="1:25" hidden="1" x14ac:dyDescent="0.3">
      <c r="A89" s="50" t="str">
        <f t="shared" si="4"/>
        <v>ENTITY_DT_FNNCL_STTMTS</v>
      </c>
      <c r="B89" t="s">
        <v>142</v>
      </c>
      <c r="C89" t="s">
        <v>257</v>
      </c>
      <c r="D89" t="s">
        <v>14</v>
      </c>
      <c r="E89" t="s">
        <v>25</v>
      </c>
      <c r="F89" t="s">
        <v>149</v>
      </c>
      <c r="G89" t="s">
        <v>144</v>
      </c>
      <c r="H89" t="s">
        <v>145</v>
      </c>
      <c r="I89" t="s">
        <v>29</v>
      </c>
      <c r="J89" s="15">
        <v>45450</v>
      </c>
      <c r="K89" t="s">
        <v>25</v>
      </c>
      <c r="L89" t="str">
        <f t="shared" ref="L89:L101" si="6">F89</f>
        <v>NOK</v>
      </c>
      <c r="P89" t="s">
        <v>13</v>
      </c>
      <c r="Q89" t="s">
        <v>132</v>
      </c>
      <c r="R89" t="s">
        <v>133</v>
      </c>
      <c r="S89" t="s">
        <v>133</v>
      </c>
      <c r="T89" t="s">
        <v>133</v>
      </c>
      <c r="U89" t="s">
        <v>133</v>
      </c>
      <c r="V89" t="s">
        <v>132</v>
      </c>
      <c r="W89" t="s">
        <v>146</v>
      </c>
      <c r="X89" t="s">
        <v>147</v>
      </c>
      <c r="Y89" t="str">
        <f>_xlfn.XLOOKUP(C89,[1]Especificação!$G:$G,[1]Especificação!$C:$C)</f>
        <v>F4. Fora âmbito | Re-especificação de campos complexos - Dem. Fin. CIB</v>
      </c>
    </row>
    <row r="90" spans="1:25" hidden="1" x14ac:dyDescent="0.3">
      <c r="A90" s="50" t="str">
        <f t="shared" si="4"/>
        <v>ENTITY_DT_FNNCL_STTMTS_PRVS</v>
      </c>
      <c r="B90" t="s">
        <v>142</v>
      </c>
      <c r="C90" t="s">
        <v>258</v>
      </c>
      <c r="D90" t="s">
        <v>14</v>
      </c>
      <c r="E90" t="s">
        <v>25</v>
      </c>
      <c r="F90" t="s">
        <v>149</v>
      </c>
      <c r="G90" t="s">
        <v>144</v>
      </c>
      <c r="H90" t="s">
        <v>145</v>
      </c>
      <c r="I90" t="s">
        <v>29</v>
      </c>
      <c r="J90" s="15">
        <v>45450</v>
      </c>
      <c r="K90" t="s">
        <v>25</v>
      </c>
      <c r="L90" t="str">
        <f t="shared" si="6"/>
        <v>NOK</v>
      </c>
      <c r="P90" t="s">
        <v>13</v>
      </c>
      <c r="Q90" t="s">
        <v>132</v>
      </c>
      <c r="R90" t="s">
        <v>133</v>
      </c>
      <c r="S90" t="s">
        <v>133</v>
      </c>
      <c r="T90" t="s">
        <v>133</v>
      </c>
      <c r="U90" t="s">
        <v>133</v>
      </c>
      <c r="V90" t="s">
        <v>132</v>
      </c>
      <c r="W90" t="s">
        <v>146</v>
      </c>
      <c r="X90" t="s">
        <v>147</v>
      </c>
      <c r="Y90" t="str">
        <f>_xlfn.XLOOKUP(C90,[1]Especificação!$G:$G,[1]Especificação!$C:$C)</f>
        <v>F4. Fora âmbito | Re-especificação de campos complexos - Dem. Fin. CIB</v>
      </c>
    </row>
    <row r="91" spans="1:25" hidden="1" x14ac:dyDescent="0.3">
      <c r="A91" s="50" t="str">
        <f t="shared" si="4"/>
        <v>INSTRUMENT_RCVD_INTRST_24M</v>
      </c>
      <c r="B91" t="s">
        <v>128</v>
      </c>
      <c r="C91" t="s">
        <v>259</v>
      </c>
      <c r="D91" t="s">
        <v>14</v>
      </c>
      <c r="E91" t="s">
        <v>25</v>
      </c>
      <c r="F91" t="s">
        <v>130</v>
      </c>
      <c r="G91" t="s">
        <v>260</v>
      </c>
      <c r="I91" t="s">
        <v>29</v>
      </c>
      <c r="J91" s="15">
        <v>45450</v>
      </c>
      <c r="K91" t="s">
        <v>25</v>
      </c>
      <c r="L91" t="str">
        <f t="shared" si="6"/>
        <v>OK</v>
      </c>
      <c r="P91" t="s">
        <v>13</v>
      </c>
      <c r="Q91" t="s">
        <v>132</v>
      </c>
      <c r="R91" t="s">
        <v>133</v>
      </c>
      <c r="S91" t="s">
        <v>133</v>
      </c>
      <c r="T91" t="s">
        <v>133</v>
      </c>
      <c r="U91" t="s">
        <v>133</v>
      </c>
      <c r="V91" t="s">
        <v>132</v>
      </c>
      <c r="W91" t="s">
        <v>138</v>
      </c>
      <c r="X91" t="s">
        <v>153</v>
      </c>
      <c r="Y91" t="str">
        <f>_xlfn.XLOOKUP(C91,[1]Especificação!$G:$G,[1]Especificação!$C:$C)</f>
        <v>B2. Re-especificação de campos complexos - Resto</v>
      </c>
    </row>
    <row r="92" spans="1:25" hidden="1" x14ac:dyDescent="0.3">
      <c r="A92" s="50" t="str">
        <f t="shared" si="4"/>
        <v>INSTRUMENT_DT_FRBRNC_STTS_C19</v>
      </c>
      <c r="B92" t="s">
        <v>128</v>
      </c>
      <c r="C92" t="s">
        <v>261</v>
      </c>
      <c r="D92" t="s">
        <v>6</v>
      </c>
      <c r="E92" t="s">
        <v>38</v>
      </c>
      <c r="F92" t="s">
        <v>130</v>
      </c>
      <c r="G92" t="s">
        <v>131</v>
      </c>
      <c r="I92" t="s">
        <v>26</v>
      </c>
      <c r="J92" s="15">
        <v>45450</v>
      </c>
      <c r="K92" t="s">
        <v>38</v>
      </c>
      <c r="L92" t="str">
        <f t="shared" si="6"/>
        <v>OK</v>
      </c>
      <c r="P92" t="s">
        <v>30</v>
      </c>
      <c r="Q92" t="s">
        <v>132</v>
      </c>
      <c r="R92" t="s">
        <v>133</v>
      </c>
      <c r="S92" t="s">
        <v>133</v>
      </c>
      <c r="T92" t="s">
        <v>133</v>
      </c>
      <c r="U92" t="s">
        <v>133</v>
      </c>
      <c r="V92" t="s">
        <v>133</v>
      </c>
      <c r="W92" t="s">
        <v>5</v>
      </c>
      <c r="X92">
        <v>0</v>
      </c>
      <c r="Y92" t="e">
        <f>_xlfn.XLOOKUP(C92,[1]Especificação!$G:$G,[1]Especificação!$C:$C)</f>
        <v>#N/A</v>
      </c>
    </row>
    <row r="93" spans="1:25" hidden="1" x14ac:dyDescent="0.3">
      <c r="A93" s="50" t="str">
        <f t="shared" si="4"/>
        <v>INSTRUMENT_RCVD_INTRST_12M</v>
      </c>
      <c r="B93" t="s">
        <v>128</v>
      </c>
      <c r="C93" t="s">
        <v>262</v>
      </c>
      <c r="D93" t="s">
        <v>14</v>
      </c>
      <c r="E93" t="s">
        <v>25</v>
      </c>
      <c r="F93" t="s">
        <v>149</v>
      </c>
      <c r="G93" t="s">
        <v>178</v>
      </c>
      <c r="I93" t="s">
        <v>29</v>
      </c>
      <c r="J93" s="15">
        <v>45450</v>
      </c>
      <c r="K93" t="s">
        <v>25</v>
      </c>
      <c r="L93" t="str">
        <f t="shared" si="6"/>
        <v>NOK</v>
      </c>
      <c r="P93" t="s">
        <v>13</v>
      </c>
      <c r="Q93" t="s">
        <v>132</v>
      </c>
      <c r="R93" t="s">
        <v>133</v>
      </c>
      <c r="S93" t="s">
        <v>133</v>
      </c>
      <c r="T93" t="s">
        <v>133</v>
      </c>
      <c r="U93" t="s">
        <v>133</v>
      </c>
      <c r="V93" t="s">
        <v>132</v>
      </c>
      <c r="W93" t="s">
        <v>138</v>
      </c>
      <c r="X93" t="s">
        <v>153</v>
      </c>
      <c r="Y93" t="str">
        <f>_xlfn.XLOOKUP(C93,[1]Especificação!$G:$G,[1]Especificação!$C:$C)</f>
        <v>B2. Re-especificação de campos complexos - Resto</v>
      </c>
    </row>
    <row r="94" spans="1:25" hidden="1" x14ac:dyDescent="0.3">
      <c r="A94" s="50" t="str">
        <f t="shared" si="4"/>
        <v>INSTRUMENT_DT_FRBRNC_STTS_PRVS_C19</v>
      </c>
      <c r="B94" t="s">
        <v>128</v>
      </c>
      <c r="C94" t="s">
        <v>263</v>
      </c>
      <c r="D94" t="s">
        <v>6</v>
      </c>
      <c r="E94" t="s">
        <v>38</v>
      </c>
      <c r="F94" t="s">
        <v>130</v>
      </c>
      <c r="G94" t="s">
        <v>131</v>
      </c>
      <c r="I94" t="s">
        <v>26</v>
      </c>
      <c r="J94" s="15">
        <v>45450</v>
      </c>
      <c r="K94" t="s">
        <v>38</v>
      </c>
      <c r="L94" t="str">
        <f t="shared" si="6"/>
        <v>OK</v>
      </c>
      <c r="P94" t="s">
        <v>30</v>
      </c>
      <c r="Q94" t="s">
        <v>132</v>
      </c>
      <c r="R94" t="s">
        <v>133</v>
      </c>
      <c r="S94" t="s">
        <v>133</v>
      </c>
      <c r="T94" t="s">
        <v>133</v>
      </c>
      <c r="U94" t="s">
        <v>133</v>
      </c>
      <c r="V94" t="s">
        <v>133</v>
      </c>
      <c r="W94" t="s">
        <v>5</v>
      </c>
      <c r="X94">
        <v>0</v>
      </c>
      <c r="Y94" t="e">
        <f>_xlfn.XLOOKUP(C94,[1]Especificação!$G:$G,[1]Especificação!$C:$C)</f>
        <v>#N/A</v>
      </c>
    </row>
    <row r="95" spans="1:25" hidden="1" x14ac:dyDescent="0.3">
      <c r="A95" s="50" t="str">
        <f t="shared" si="4"/>
        <v>PROTECTION_DT_FRST_USG</v>
      </c>
      <c r="B95" t="s">
        <v>161</v>
      </c>
      <c r="C95" t="s">
        <v>264</v>
      </c>
      <c r="D95" t="s">
        <v>6</v>
      </c>
      <c r="E95" t="s">
        <v>36</v>
      </c>
      <c r="F95" t="s">
        <v>149</v>
      </c>
      <c r="G95" t="s">
        <v>265</v>
      </c>
      <c r="I95" t="s">
        <v>29</v>
      </c>
      <c r="J95" s="15">
        <v>45450</v>
      </c>
      <c r="K95" t="s">
        <v>36</v>
      </c>
      <c r="L95" t="str">
        <f t="shared" si="6"/>
        <v>NOK</v>
      </c>
      <c r="P95" t="s">
        <v>8</v>
      </c>
      <c r="Q95" t="s">
        <v>132</v>
      </c>
      <c r="R95" t="s">
        <v>133</v>
      </c>
      <c r="S95" t="s">
        <v>133</v>
      </c>
      <c r="T95" t="s">
        <v>133</v>
      </c>
      <c r="U95" t="s">
        <v>133</v>
      </c>
      <c r="V95" t="s">
        <v>133</v>
      </c>
      <c r="W95" t="s">
        <v>5</v>
      </c>
      <c r="X95">
        <v>0</v>
      </c>
      <c r="Y95" t="e">
        <f>_xlfn.XLOOKUP(C95,[1]Especificação!$G:$G,[1]Especificação!$C:$C)</f>
        <v>#N/A</v>
      </c>
    </row>
    <row r="96" spans="1:25" hidden="1" x14ac:dyDescent="0.3">
      <c r="A96" s="50" t="str">
        <f t="shared" si="4"/>
        <v>INSTRUMENT_DT_IMPRMNT_STTS</v>
      </c>
      <c r="B96" t="s">
        <v>128</v>
      </c>
      <c r="C96" s="11" t="s">
        <v>51</v>
      </c>
      <c r="D96" t="s">
        <v>14</v>
      </c>
      <c r="E96" t="s">
        <v>28</v>
      </c>
      <c r="F96" t="s">
        <v>149</v>
      </c>
      <c r="G96" t="s">
        <v>159</v>
      </c>
      <c r="H96" t="s">
        <v>266</v>
      </c>
      <c r="I96" t="s">
        <v>32</v>
      </c>
      <c r="J96" s="15">
        <v>45952</v>
      </c>
      <c r="K96" t="s">
        <v>38</v>
      </c>
      <c r="L96" t="s">
        <v>130</v>
      </c>
      <c r="N96" s="15">
        <v>45562</v>
      </c>
      <c r="O96" s="15">
        <v>45952</v>
      </c>
      <c r="P96" t="s">
        <v>39</v>
      </c>
      <c r="Q96" t="s">
        <v>132</v>
      </c>
      <c r="R96" t="s">
        <v>133</v>
      </c>
      <c r="S96" t="s">
        <v>133</v>
      </c>
      <c r="T96" t="s">
        <v>133</v>
      </c>
      <c r="U96" t="s">
        <v>133</v>
      </c>
      <c r="V96" t="s">
        <v>132</v>
      </c>
      <c r="W96" t="s">
        <v>5</v>
      </c>
      <c r="X96" t="s">
        <v>267</v>
      </c>
      <c r="Y96" t="str">
        <f>_xlfn.XLOOKUP(C96,[1]Especificação!$G:$G,[1]Especificação!$C:$C)</f>
        <v>F2. Fora âmbito | Campos em testes ou c/ incidências (LT - PM)</v>
      </c>
    </row>
    <row r="97" spans="1:25" hidden="1" x14ac:dyDescent="0.3">
      <c r="A97" s="50" t="str">
        <f t="shared" si="4"/>
        <v>INSTRUMENT_DT_IMPRMNT_STTS_PRVS</v>
      </c>
      <c r="B97" t="s">
        <v>128</v>
      </c>
      <c r="C97" s="11" t="s">
        <v>52</v>
      </c>
      <c r="D97" t="s">
        <v>14</v>
      </c>
      <c r="E97" t="s">
        <v>28</v>
      </c>
      <c r="F97" t="s">
        <v>149</v>
      </c>
      <c r="G97" t="s">
        <v>159</v>
      </c>
      <c r="H97" t="s">
        <v>266</v>
      </c>
      <c r="I97" t="s">
        <v>32</v>
      </c>
      <c r="J97" s="15">
        <v>45952</v>
      </c>
      <c r="K97" t="s">
        <v>38</v>
      </c>
      <c r="L97" t="s">
        <v>130</v>
      </c>
      <c r="N97" s="15">
        <v>45562</v>
      </c>
      <c r="O97" s="15">
        <v>45952</v>
      </c>
      <c r="P97" t="s">
        <v>39</v>
      </c>
      <c r="Q97" t="s">
        <v>132</v>
      </c>
      <c r="R97" t="s">
        <v>133</v>
      </c>
      <c r="S97" t="s">
        <v>133</v>
      </c>
      <c r="T97" t="s">
        <v>133</v>
      </c>
      <c r="U97" t="s">
        <v>133</v>
      </c>
      <c r="V97" t="s">
        <v>133</v>
      </c>
      <c r="W97" t="s">
        <v>5</v>
      </c>
      <c r="X97">
        <v>0</v>
      </c>
      <c r="Y97" t="e">
        <f>_xlfn.XLOOKUP(C97,[1]Especificação!$G:$G,[1]Especificação!$C:$C)</f>
        <v>#N/A</v>
      </c>
    </row>
    <row r="98" spans="1:25" hidden="1" x14ac:dyDescent="0.3">
      <c r="A98" s="50" t="str">
        <f t="shared" si="4"/>
        <v>INSTRUMENT_DT_INCPTN</v>
      </c>
      <c r="B98" t="s">
        <v>128</v>
      </c>
      <c r="C98" t="s">
        <v>268</v>
      </c>
      <c r="D98" t="s">
        <v>14</v>
      </c>
      <c r="E98" t="s">
        <v>36</v>
      </c>
      <c r="F98" t="s">
        <v>149</v>
      </c>
      <c r="G98" t="s">
        <v>163</v>
      </c>
      <c r="I98" t="s">
        <v>29</v>
      </c>
      <c r="J98" s="15">
        <v>45450</v>
      </c>
      <c r="K98" t="s">
        <v>36</v>
      </c>
      <c r="L98" t="str">
        <f t="shared" si="6"/>
        <v>NOK</v>
      </c>
      <c r="P98" t="s">
        <v>8</v>
      </c>
      <c r="Q98" t="s">
        <v>132</v>
      </c>
      <c r="R98" t="s">
        <v>133</v>
      </c>
      <c r="S98" t="s">
        <v>132</v>
      </c>
      <c r="T98" t="s">
        <v>133</v>
      </c>
      <c r="U98" t="s">
        <v>133</v>
      </c>
      <c r="V98" t="s">
        <v>132</v>
      </c>
      <c r="W98" t="s">
        <v>138</v>
      </c>
      <c r="X98" t="s">
        <v>166</v>
      </c>
      <c r="Y98" t="str">
        <f>_xlfn.XLOOKUP(C98,[1]Especificação!$G:$G,[1]Especificação!$C:$C)</f>
        <v>D. Campos com NOK controlos Corporativos</v>
      </c>
    </row>
    <row r="99" spans="1:25" hidden="1" x14ac:dyDescent="0.3">
      <c r="A99" s="50" t="str">
        <f t="shared" si="4"/>
        <v>ENTITY_DT_INTRNL_RTNG</v>
      </c>
      <c r="B99" t="s">
        <v>142</v>
      </c>
      <c r="C99" s="10" t="s">
        <v>269</v>
      </c>
      <c r="D99" t="s">
        <v>14</v>
      </c>
      <c r="E99" t="s">
        <v>33</v>
      </c>
      <c r="F99" t="s">
        <v>149</v>
      </c>
      <c r="G99" t="s">
        <v>270</v>
      </c>
      <c r="I99" t="s">
        <v>32</v>
      </c>
      <c r="J99" s="15">
        <v>45450</v>
      </c>
      <c r="K99" t="s">
        <v>33</v>
      </c>
      <c r="L99" t="str">
        <f t="shared" si="6"/>
        <v>NOK</v>
      </c>
      <c r="M99" t="s">
        <v>271</v>
      </c>
      <c r="N99" s="15">
        <v>45338</v>
      </c>
      <c r="O99" s="15">
        <v>45436</v>
      </c>
      <c r="P99" t="s">
        <v>24</v>
      </c>
      <c r="Q99" t="s">
        <v>132</v>
      </c>
      <c r="R99" t="s">
        <v>133</v>
      </c>
      <c r="S99" t="s">
        <v>133</v>
      </c>
      <c r="T99" t="s">
        <v>133</v>
      </c>
      <c r="U99" t="s">
        <v>133</v>
      </c>
      <c r="V99" t="s">
        <v>132</v>
      </c>
      <c r="W99" t="s">
        <v>138</v>
      </c>
      <c r="X99" t="s">
        <v>139</v>
      </c>
      <c r="Y99" t="str">
        <f>_xlfn.XLOOKUP(C99,[1]Especificação!$G:$G,[1]Especificação!$C:$C)</f>
        <v>C. Campos em testes ou c/ incidências</v>
      </c>
    </row>
    <row r="100" spans="1:25" hidden="1" x14ac:dyDescent="0.3">
      <c r="A100" s="50" t="str">
        <f t="shared" si="4"/>
        <v>INSTRUMENT_DT_INTRNL_RTNG</v>
      </c>
      <c r="B100" t="s">
        <v>128</v>
      </c>
      <c r="C100" s="10" t="s">
        <v>269</v>
      </c>
      <c r="D100" t="s">
        <v>14</v>
      </c>
      <c r="E100" t="s">
        <v>33</v>
      </c>
      <c r="F100" t="s">
        <v>149</v>
      </c>
      <c r="G100" t="s">
        <v>272</v>
      </c>
      <c r="I100" t="s">
        <v>32</v>
      </c>
      <c r="J100" s="15">
        <v>45450</v>
      </c>
      <c r="K100" t="s">
        <v>33</v>
      </c>
      <c r="L100" t="str">
        <f t="shared" si="6"/>
        <v>NOK</v>
      </c>
      <c r="M100" t="s">
        <v>271</v>
      </c>
      <c r="N100" s="15">
        <v>45338</v>
      </c>
      <c r="O100" s="15">
        <v>45436</v>
      </c>
      <c r="P100" t="s">
        <v>24</v>
      </c>
      <c r="Q100" t="s">
        <v>132</v>
      </c>
      <c r="R100" t="s">
        <v>133</v>
      </c>
      <c r="S100" t="s">
        <v>133</v>
      </c>
      <c r="T100" t="s">
        <v>133</v>
      </c>
      <c r="U100" t="s">
        <v>133</v>
      </c>
      <c r="V100" t="s">
        <v>132</v>
      </c>
      <c r="W100" t="s">
        <v>138</v>
      </c>
      <c r="X100" t="s">
        <v>139</v>
      </c>
      <c r="Y100" t="str">
        <f>_xlfn.XLOOKUP(C100,[1]Especificação!$G:$G,[1]Especificação!$C:$C)</f>
        <v>C. Campos em testes ou c/ incidências</v>
      </c>
    </row>
    <row r="101" spans="1:25" hidden="1" x14ac:dyDescent="0.3">
      <c r="A101" s="50" t="str">
        <f t="shared" si="4"/>
        <v>ENTITY_DT_INTTN_LGL_PRCDNGS_LE</v>
      </c>
      <c r="B101" t="s">
        <v>142</v>
      </c>
      <c r="C101" t="s">
        <v>273</v>
      </c>
      <c r="D101" t="s">
        <v>14</v>
      </c>
      <c r="E101" t="s">
        <v>38</v>
      </c>
      <c r="F101" t="s">
        <v>130</v>
      </c>
      <c r="G101" t="s">
        <v>131</v>
      </c>
      <c r="I101" t="s">
        <v>26</v>
      </c>
      <c r="J101" s="15">
        <v>45450</v>
      </c>
      <c r="K101" t="s">
        <v>38</v>
      </c>
      <c r="L101" t="str">
        <f t="shared" si="6"/>
        <v>OK</v>
      </c>
      <c r="P101" t="s">
        <v>30</v>
      </c>
      <c r="Q101" t="s">
        <v>132</v>
      </c>
      <c r="R101" t="s">
        <v>133</v>
      </c>
      <c r="S101" t="s">
        <v>133</v>
      </c>
      <c r="T101" t="s">
        <v>133</v>
      </c>
      <c r="U101" t="s">
        <v>133</v>
      </c>
      <c r="V101" t="s">
        <v>132</v>
      </c>
      <c r="W101" t="s">
        <v>5</v>
      </c>
      <c r="X101" t="s">
        <v>135</v>
      </c>
      <c r="Y101" t="str">
        <f>_xlfn.XLOOKUP(C101,[1]Especificação!$G:$G,[1]Especificação!$C:$C)</f>
        <v>F1. Fora âmbito | Campos concluídos - Sem necessidade de espec.</v>
      </c>
    </row>
    <row r="102" spans="1:25" hidden="1" x14ac:dyDescent="0.3">
      <c r="A102" s="50" t="str">
        <f t="shared" si="4"/>
        <v>PROTECTION_DVLPMNT_STTS</v>
      </c>
      <c r="B102" t="s">
        <v>161</v>
      </c>
      <c r="C102" s="10" t="s">
        <v>274</v>
      </c>
      <c r="D102" t="s">
        <v>14</v>
      </c>
      <c r="E102" t="s">
        <v>25</v>
      </c>
      <c r="F102" t="s">
        <v>149</v>
      </c>
      <c r="G102" t="s">
        <v>275</v>
      </c>
      <c r="H102" t="s">
        <v>238</v>
      </c>
      <c r="I102" t="s">
        <v>26</v>
      </c>
      <c r="J102" s="15">
        <v>45670</v>
      </c>
      <c r="K102" t="s">
        <v>38</v>
      </c>
      <c r="L102" t="s">
        <v>130</v>
      </c>
      <c r="M102" t="s">
        <v>276</v>
      </c>
      <c r="N102" s="15">
        <v>45513</v>
      </c>
      <c r="O102" s="15">
        <v>45646</v>
      </c>
      <c r="P102" t="s">
        <v>24</v>
      </c>
      <c r="Q102" t="s">
        <v>132</v>
      </c>
      <c r="R102" t="s">
        <v>133</v>
      </c>
      <c r="S102" t="s">
        <v>133</v>
      </c>
      <c r="T102" t="s">
        <v>133</v>
      </c>
      <c r="U102" t="s">
        <v>133</v>
      </c>
      <c r="V102" t="s">
        <v>133</v>
      </c>
      <c r="W102" t="s">
        <v>5</v>
      </c>
      <c r="X102">
        <v>0</v>
      </c>
      <c r="Y102" t="e">
        <f>_xlfn.XLOOKUP(C102,[1]Especificação!$G:$G,[1]Especificação!$C:$C)</f>
        <v>#N/A</v>
      </c>
    </row>
    <row r="103" spans="1:25" hidden="1" x14ac:dyDescent="0.3">
      <c r="A103" s="50" t="str">
        <f t="shared" si="4"/>
        <v>PROTECTION_DT_LST_FLL_APPRSL</v>
      </c>
      <c r="B103" t="s">
        <v>161</v>
      </c>
      <c r="C103" s="10" t="s">
        <v>277</v>
      </c>
      <c r="D103" t="s">
        <v>14</v>
      </c>
      <c r="E103" t="s">
        <v>35</v>
      </c>
      <c r="F103" t="s">
        <v>149</v>
      </c>
      <c r="G103" t="s">
        <v>186</v>
      </c>
      <c r="H103" t="s">
        <v>187</v>
      </c>
      <c r="I103" t="s">
        <v>26</v>
      </c>
      <c r="J103" s="15">
        <v>45670</v>
      </c>
      <c r="K103" t="s">
        <v>38</v>
      </c>
      <c r="L103" t="s">
        <v>130</v>
      </c>
      <c r="M103" t="s">
        <v>278</v>
      </c>
      <c r="N103" s="15">
        <v>45471</v>
      </c>
      <c r="O103" s="15">
        <v>45646</v>
      </c>
      <c r="P103" t="s">
        <v>24</v>
      </c>
      <c r="Q103" t="s">
        <v>132</v>
      </c>
      <c r="R103" t="s">
        <v>133</v>
      </c>
      <c r="S103" t="s">
        <v>133</v>
      </c>
      <c r="T103" t="s">
        <v>133</v>
      </c>
      <c r="U103" t="s">
        <v>133</v>
      </c>
      <c r="V103" t="s">
        <v>133</v>
      </c>
      <c r="W103" t="s">
        <v>5</v>
      </c>
      <c r="X103">
        <v>0</v>
      </c>
      <c r="Y103" t="e">
        <f>_xlfn.XLOOKUP(C103,[1]Especificação!$G:$G,[1]Especificação!$C:$C)</f>
        <v>#N/A</v>
      </c>
    </row>
    <row r="104" spans="1:25" hidden="1" x14ac:dyDescent="0.3">
      <c r="A104" s="50" t="str">
        <f t="shared" si="4"/>
        <v>PROTECTION_DT_MTRTY_PRTCTN</v>
      </c>
      <c r="B104" t="s">
        <v>161</v>
      </c>
      <c r="C104" t="s">
        <v>279</v>
      </c>
      <c r="D104" t="s">
        <v>14</v>
      </c>
      <c r="E104" t="s">
        <v>36</v>
      </c>
      <c r="F104" t="s">
        <v>149</v>
      </c>
      <c r="G104" t="s">
        <v>265</v>
      </c>
      <c r="I104" t="s">
        <v>29</v>
      </c>
      <c r="J104" s="15">
        <v>45450</v>
      </c>
      <c r="K104" t="s">
        <v>36</v>
      </c>
      <c r="L104" t="str">
        <f>F104</f>
        <v>NOK</v>
      </c>
      <c r="P104" t="s">
        <v>8</v>
      </c>
      <c r="Q104" t="s">
        <v>132</v>
      </c>
      <c r="R104" t="s">
        <v>133</v>
      </c>
      <c r="S104" t="s">
        <v>133</v>
      </c>
      <c r="T104" t="s">
        <v>133</v>
      </c>
      <c r="U104" t="s">
        <v>133</v>
      </c>
      <c r="V104" t="s">
        <v>133</v>
      </c>
      <c r="W104" t="s">
        <v>5</v>
      </c>
      <c r="X104">
        <v>0</v>
      </c>
      <c r="Y104" t="e">
        <f>_xlfn.XLOOKUP(C104,[1]Especificação!$G:$G,[1]Especificação!$C:$C)</f>
        <v>#N/A</v>
      </c>
    </row>
    <row r="105" spans="1:25" hidden="1" x14ac:dyDescent="0.3">
      <c r="A105" s="50" t="str">
        <f t="shared" si="4"/>
        <v>INSTRUMENT_SICR_ASSSSMNT_MTHD</v>
      </c>
      <c r="B105" t="s">
        <v>128</v>
      </c>
      <c r="C105" s="10" t="s">
        <v>280</v>
      </c>
      <c r="D105" t="s">
        <v>14</v>
      </c>
      <c r="E105" t="s">
        <v>28</v>
      </c>
      <c r="F105" t="s">
        <v>130</v>
      </c>
      <c r="G105" t="s">
        <v>281</v>
      </c>
      <c r="I105" t="s">
        <v>26</v>
      </c>
      <c r="J105" s="15">
        <v>45471</v>
      </c>
      <c r="K105" t="s">
        <v>38</v>
      </c>
      <c r="L105" t="str">
        <f>F105</f>
        <v>OK</v>
      </c>
      <c r="M105" t="s">
        <v>282</v>
      </c>
      <c r="O105" s="43" t="s">
        <v>283</v>
      </c>
      <c r="P105" t="s">
        <v>30</v>
      </c>
      <c r="Q105" t="s">
        <v>132</v>
      </c>
      <c r="R105" t="s">
        <v>133</v>
      </c>
      <c r="S105" t="s">
        <v>133</v>
      </c>
      <c r="T105" t="s">
        <v>133</v>
      </c>
      <c r="U105" t="s">
        <v>133</v>
      </c>
      <c r="V105" t="s">
        <v>132</v>
      </c>
      <c r="W105" t="s">
        <v>5</v>
      </c>
      <c r="X105" t="s">
        <v>135</v>
      </c>
      <c r="Y105" t="str">
        <f>_xlfn.XLOOKUP(C105,[1]Especificação!$G:$G,[1]Especificação!$C:$C)</f>
        <v>F1. Fora âmbito | Campos concluídos - Sem necessidade de espec.</v>
      </c>
    </row>
    <row r="106" spans="1:25" hidden="1" x14ac:dyDescent="0.3">
      <c r="A106" s="50" t="str">
        <f t="shared" si="4"/>
        <v>INSTRUMENT_DT_ORGNL_MTRTY</v>
      </c>
      <c r="B106" t="s">
        <v>128</v>
      </c>
      <c r="C106" t="s">
        <v>284</v>
      </c>
      <c r="D106" t="s">
        <v>14</v>
      </c>
      <c r="E106" t="s">
        <v>36</v>
      </c>
      <c r="F106" t="s">
        <v>149</v>
      </c>
      <c r="G106" t="s">
        <v>163</v>
      </c>
      <c r="I106" t="s">
        <v>29</v>
      </c>
      <c r="J106" s="15">
        <v>45450</v>
      </c>
      <c r="K106" t="s">
        <v>36</v>
      </c>
      <c r="L106" t="str">
        <f>F106</f>
        <v>NOK</v>
      </c>
      <c r="P106" t="s">
        <v>8</v>
      </c>
      <c r="Q106" t="s">
        <v>132</v>
      </c>
      <c r="R106" t="s">
        <v>133</v>
      </c>
      <c r="S106" t="s">
        <v>133</v>
      </c>
      <c r="T106" t="s">
        <v>133</v>
      </c>
      <c r="U106" t="s">
        <v>133</v>
      </c>
      <c r="V106" t="s">
        <v>132</v>
      </c>
      <c r="W106" t="s">
        <v>138</v>
      </c>
      <c r="X106" t="s">
        <v>166</v>
      </c>
      <c r="Y106" t="str">
        <f>_xlfn.XLOOKUP(C106,[1]Especificação!$G:$G,[1]Especificação!$C:$C)</f>
        <v>D. Campos com NOK controlos Corporativos</v>
      </c>
    </row>
    <row r="107" spans="1:25" hidden="1" x14ac:dyDescent="0.3">
      <c r="A107" s="50" t="str">
        <f t="shared" si="4"/>
        <v>PROTECTION_NTNL_ID</v>
      </c>
      <c r="B107" t="s">
        <v>161</v>
      </c>
      <c r="C107" s="10" t="s">
        <v>285</v>
      </c>
      <c r="D107" t="s">
        <v>14</v>
      </c>
      <c r="E107" t="s">
        <v>35</v>
      </c>
      <c r="F107" t="s">
        <v>149</v>
      </c>
      <c r="G107" t="s">
        <v>286</v>
      </c>
      <c r="I107" t="s">
        <v>26</v>
      </c>
      <c r="J107" s="15">
        <v>45670</v>
      </c>
      <c r="K107" t="s">
        <v>38</v>
      </c>
      <c r="L107" t="s">
        <v>130</v>
      </c>
      <c r="N107" s="15">
        <v>45513</v>
      </c>
      <c r="O107" s="15">
        <v>45646</v>
      </c>
      <c r="P107" t="s">
        <v>24</v>
      </c>
      <c r="Q107" t="s">
        <v>132</v>
      </c>
      <c r="R107" t="s">
        <v>133</v>
      </c>
      <c r="S107" t="s">
        <v>133</v>
      </c>
      <c r="T107" t="s">
        <v>133</v>
      </c>
      <c r="U107" t="s">
        <v>133</v>
      </c>
      <c r="V107" t="s">
        <v>133</v>
      </c>
      <c r="W107" t="s">
        <v>5</v>
      </c>
      <c r="X107">
        <v>0</v>
      </c>
      <c r="Y107" t="e">
        <f>_xlfn.XLOOKUP(C107,[1]Especificação!$G:$G,[1]Especificação!$C:$C)</f>
        <v>#N/A</v>
      </c>
    </row>
    <row r="108" spans="1:25" hidden="1" x14ac:dyDescent="0.3">
      <c r="A108" s="50" t="str">
        <f t="shared" si="4"/>
        <v>INSTRUMENT_DT_PRFRMNG_STTS</v>
      </c>
      <c r="B108" t="s">
        <v>128</v>
      </c>
      <c r="C108" s="11" t="s">
        <v>53</v>
      </c>
      <c r="D108" t="s">
        <v>14</v>
      </c>
      <c r="E108" t="s">
        <v>28</v>
      </c>
      <c r="F108" t="s">
        <v>130</v>
      </c>
      <c r="G108" t="s">
        <v>159</v>
      </c>
      <c r="H108" t="s">
        <v>266</v>
      </c>
      <c r="I108" t="s">
        <v>32</v>
      </c>
      <c r="J108" s="15">
        <v>45952</v>
      </c>
      <c r="K108" t="s">
        <v>38</v>
      </c>
      <c r="L108" t="s">
        <v>130</v>
      </c>
      <c r="N108" s="15">
        <v>45562</v>
      </c>
      <c r="O108" s="15">
        <v>45952</v>
      </c>
      <c r="P108" t="s">
        <v>39</v>
      </c>
      <c r="Q108" t="s">
        <v>132</v>
      </c>
      <c r="R108" t="s">
        <v>133</v>
      </c>
      <c r="S108" t="s">
        <v>133</v>
      </c>
      <c r="T108" t="s">
        <v>133</v>
      </c>
      <c r="U108" t="s">
        <v>133</v>
      </c>
      <c r="V108" t="s">
        <v>132</v>
      </c>
      <c r="W108" t="s">
        <v>5</v>
      </c>
      <c r="X108" t="s">
        <v>267</v>
      </c>
      <c r="Y108" t="str">
        <f>_xlfn.XLOOKUP(C108,[1]Especificação!$G:$G,[1]Especificação!$C:$C)</f>
        <v>F2. Fora âmbito | Campos em testes ou c/ incidências (LT - PM)</v>
      </c>
    </row>
    <row r="109" spans="1:25" hidden="1" x14ac:dyDescent="0.3">
      <c r="A109" s="50" t="str">
        <f t="shared" si="4"/>
        <v>ENTITY_DT_PRFRMNG_STTS_LE</v>
      </c>
      <c r="B109" t="s">
        <v>142</v>
      </c>
      <c r="C109" s="11" t="s">
        <v>287</v>
      </c>
      <c r="D109" t="s">
        <v>14</v>
      </c>
      <c r="E109" t="s">
        <v>28</v>
      </c>
      <c r="F109" t="s">
        <v>149</v>
      </c>
      <c r="G109" t="s">
        <v>220</v>
      </c>
      <c r="H109" t="s">
        <v>248</v>
      </c>
      <c r="I109" t="s">
        <v>32</v>
      </c>
      <c r="J109" s="15">
        <v>45450</v>
      </c>
      <c r="K109" t="s">
        <v>28</v>
      </c>
      <c r="L109" t="str">
        <f>F109</f>
        <v>NOK</v>
      </c>
      <c r="P109" t="s">
        <v>39</v>
      </c>
      <c r="Q109" t="s">
        <v>132</v>
      </c>
      <c r="R109" t="s">
        <v>133</v>
      </c>
      <c r="S109" t="s">
        <v>133</v>
      </c>
      <c r="T109" t="s">
        <v>133</v>
      </c>
      <c r="U109" t="s">
        <v>133</v>
      </c>
      <c r="V109" t="s">
        <v>132</v>
      </c>
      <c r="W109" t="s">
        <v>138</v>
      </c>
      <c r="X109" t="s">
        <v>222</v>
      </c>
      <c r="Y109" t="str">
        <f>_xlfn.XLOOKUP(C109,[1]Especificação!$G:$G,[1]Especificação!$C:$C)</f>
        <v xml:space="preserve">E. Campos com outras possíveis alterações - Dependente de decisões OSI </v>
      </c>
    </row>
    <row r="110" spans="1:25" hidden="1" x14ac:dyDescent="0.3">
      <c r="A110" s="50" t="str">
        <f t="shared" si="4"/>
        <v>INSTRUMENT_DT_PRFRMNG_STTS_PRVS</v>
      </c>
      <c r="B110" t="s">
        <v>128</v>
      </c>
      <c r="C110" s="11" t="s">
        <v>54</v>
      </c>
      <c r="D110" t="s">
        <v>14</v>
      </c>
      <c r="E110" t="s">
        <v>28</v>
      </c>
      <c r="F110" t="s">
        <v>130</v>
      </c>
      <c r="G110" t="s">
        <v>159</v>
      </c>
      <c r="H110" t="s">
        <v>266</v>
      </c>
      <c r="I110" t="s">
        <v>32</v>
      </c>
      <c r="J110" s="15">
        <v>45952</v>
      </c>
      <c r="K110" t="s">
        <v>38</v>
      </c>
      <c r="L110" t="s">
        <v>130</v>
      </c>
      <c r="N110" s="15">
        <v>45562</v>
      </c>
      <c r="O110" s="15">
        <v>45952</v>
      </c>
      <c r="P110" t="s">
        <v>39</v>
      </c>
      <c r="Q110" t="s">
        <v>132</v>
      </c>
      <c r="R110" t="s">
        <v>133</v>
      </c>
      <c r="S110" t="s">
        <v>133</v>
      </c>
      <c r="T110" t="s">
        <v>133</v>
      </c>
      <c r="U110" t="s">
        <v>133</v>
      </c>
      <c r="V110" t="s">
        <v>132</v>
      </c>
      <c r="W110" t="s">
        <v>5</v>
      </c>
      <c r="X110" t="s">
        <v>267</v>
      </c>
      <c r="Y110" t="str">
        <f>_xlfn.XLOOKUP(C110,[1]Especificação!$G:$G,[1]Especificação!$C:$C)</f>
        <v>F2. Fora âmbito | Campos em testes ou c/ incidências (LT - PM)</v>
      </c>
    </row>
    <row r="111" spans="1:25" hidden="1" x14ac:dyDescent="0.3">
      <c r="A111" s="50" t="str">
        <f t="shared" si="4"/>
        <v>INSTRUMENT_IFRS9_BHVRL_MTRTY</v>
      </c>
      <c r="B111" t="s">
        <v>128</v>
      </c>
      <c r="C111" s="10" t="s">
        <v>288</v>
      </c>
      <c r="D111" t="s">
        <v>14</v>
      </c>
      <c r="E111" t="s">
        <v>25</v>
      </c>
      <c r="F111" t="s">
        <v>130</v>
      </c>
      <c r="G111" t="s">
        <v>289</v>
      </c>
      <c r="H111" t="s">
        <v>290</v>
      </c>
      <c r="I111" t="s">
        <v>32</v>
      </c>
      <c r="J111" s="15">
        <v>45869</v>
      </c>
      <c r="K111" t="s">
        <v>38</v>
      </c>
      <c r="L111" t="s">
        <v>130</v>
      </c>
      <c r="M111" t="s">
        <v>291</v>
      </c>
      <c r="N111" s="15">
        <v>45534</v>
      </c>
      <c r="O111" s="15">
        <v>45747</v>
      </c>
      <c r="P111" t="s">
        <v>24</v>
      </c>
      <c r="Q111" t="s">
        <v>132</v>
      </c>
      <c r="R111" t="s">
        <v>133</v>
      </c>
      <c r="S111" t="s">
        <v>132</v>
      </c>
      <c r="T111" t="s">
        <v>133</v>
      </c>
      <c r="U111" t="s">
        <v>133</v>
      </c>
      <c r="V111" t="s">
        <v>132</v>
      </c>
      <c r="W111" t="s">
        <v>5</v>
      </c>
      <c r="X111" t="s">
        <v>267</v>
      </c>
      <c r="Y111" t="str">
        <f>_xlfn.XLOOKUP(C111,[1]Especificação!$G:$G,[1]Especificação!$C:$C)</f>
        <v>F2. Fora âmbito | Campos em testes ou c/ incidências (LT - PM)</v>
      </c>
    </row>
    <row r="112" spans="1:25" hidden="1" x14ac:dyDescent="0.3">
      <c r="A112" s="50" t="str">
        <f t="shared" si="4"/>
        <v>INSTRUMENT_DT_PST_D</v>
      </c>
      <c r="B112" t="s">
        <v>128</v>
      </c>
      <c r="C112" t="s">
        <v>292</v>
      </c>
      <c r="D112" t="s">
        <v>14</v>
      </c>
      <c r="E112" t="s">
        <v>36</v>
      </c>
      <c r="F112" t="s">
        <v>149</v>
      </c>
      <c r="G112" t="s">
        <v>163</v>
      </c>
      <c r="I112" t="s">
        <v>29</v>
      </c>
      <c r="J112" s="15">
        <v>45450</v>
      </c>
      <c r="K112" t="s">
        <v>36</v>
      </c>
      <c r="L112" t="str">
        <f t="shared" ref="L112:L120" si="7">F112</f>
        <v>NOK</v>
      </c>
      <c r="P112" t="s">
        <v>8</v>
      </c>
      <c r="Q112" t="s">
        <v>132</v>
      </c>
      <c r="R112" t="s">
        <v>133</v>
      </c>
      <c r="S112" t="s">
        <v>133</v>
      </c>
      <c r="T112" t="s">
        <v>133</v>
      </c>
      <c r="U112" t="s">
        <v>133</v>
      </c>
      <c r="V112" t="s">
        <v>132</v>
      </c>
      <c r="W112" t="s">
        <v>138</v>
      </c>
      <c r="X112" t="s">
        <v>166</v>
      </c>
      <c r="Y112" t="str">
        <f>_xlfn.XLOOKUP(C112,[1]Especificação!$G:$G,[1]Especificação!$C:$C)</f>
        <v>D. Campos com NOK controlos Corporativos</v>
      </c>
    </row>
    <row r="113" spans="1:25" hidden="1" x14ac:dyDescent="0.3">
      <c r="A113" s="50" t="str">
        <f t="shared" si="4"/>
        <v>ENTITY_DT_RFRNC</v>
      </c>
      <c r="B113" t="s">
        <v>142</v>
      </c>
      <c r="C113" t="s">
        <v>293</v>
      </c>
      <c r="D113" t="s">
        <v>14</v>
      </c>
      <c r="E113" t="s">
        <v>38</v>
      </c>
      <c r="F113" t="s">
        <v>130</v>
      </c>
      <c r="G113" t="s">
        <v>131</v>
      </c>
      <c r="I113" t="s">
        <v>26</v>
      </c>
      <c r="J113" s="15">
        <v>45450</v>
      </c>
      <c r="K113" t="s">
        <v>38</v>
      </c>
      <c r="L113" t="str">
        <f t="shared" si="7"/>
        <v>OK</v>
      </c>
      <c r="P113" t="s">
        <v>30</v>
      </c>
      <c r="Q113" t="s">
        <v>132</v>
      </c>
      <c r="R113" t="s">
        <v>133</v>
      </c>
      <c r="S113" t="s">
        <v>132</v>
      </c>
      <c r="T113" t="s">
        <v>133</v>
      </c>
      <c r="U113" t="s">
        <v>133</v>
      </c>
      <c r="V113" t="s">
        <v>132</v>
      </c>
      <c r="W113" t="s">
        <v>5</v>
      </c>
      <c r="X113" t="s">
        <v>135</v>
      </c>
      <c r="Y113" t="str">
        <f>_xlfn.XLOOKUP(C113,[1]Especificação!$G:$G,[1]Especificação!$C:$C)</f>
        <v>F1. Fora âmbito | Campos concluídos - Sem necessidade de espec.</v>
      </c>
    </row>
    <row r="114" spans="1:25" hidden="1" x14ac:dyDescent="0.3">
      <c r="A114" s="50" t="str">
        <f t="shared" si="4"/>
        <v>INSTR_ENTITY_DT_RFRNC</v>
      </c>
      <c r="B114" t="s">
        <v>193</v>
      </c>
      <c r="C114" t="s">
        <v>293</v>
      </c>
      <c r="D114" t="s">
        <v>14</v>
      </c>
      <c r="E114" t="s">
        <v>38</v>
      </c>
      <c r="F114" t="s">
        <v>130</v>
      </c>
      <c r="G114" t="s">
        <v>131</v>
      </c>
      <c r="I114" t="s">
        <v>26</v>
      </c>
      <c r="J114" s="15">
        <v>45450</v>
      </c>
      <c r="K114" t="s">
        <v>38</v>
      </c>
      <c r="L114" t="str">
        <f t="shared" si="7"/>
        <v>OK</v>
      </c>
      <c r="P114" t="s">
        <v>30</v>
      </c>
      <c r="Q114" t="s">
        <v>132</v>
      </c>
      <c r="R114" t="s">
        <v>133</v>
      </c>
      <c r="S114" t="s">
        <v>132</v>
      </c>
      <c r="T114" t="s">
        <v>133</v>
      </c>
      <c r="U114" t="s">
        <v>133</v>
      </c>
      <c r="V114" t="s">
        <v>132</v>
      </c>
      <c r="W114" t="s">
        <v>5</v>
      </c>
      <c r="X114" t="s">
        <v>135</v>
      </c>
      <c r="Y114" t="str">
        <f>_xlfn.XLOOKUP(C114,[1]Especificação!$G:$G,[1]Especificação!$C:$C)</f>
        <v>F1. Fora âmbito | Campos concluídos - Sem necessidade de espec.</v>
      </c>
    </row>
    <row r="115" spans="1:25" hidden="1" x14ac:dyDescent="0.3">
      <c r="A115" s="50" t="str">
        <f t="shared" si="4"/>
        <v>INSTR_PROTECTION_DT_RFRNC</v>
      </c>
      <c r="B115" t="s">
        <v>194</v>
      </c>
      <c r="C115" t="s">
        <v>293</v>
      </c>
      <c r="D115" t="s">
        <v>14</v>
      </c>
      <c r="E115" t="s">
        <v>38</v>
      </c>
      <c r="F115" t="s">
        <v>130</v>
      </c>
      <c r="G115" t="s">
        <v>131</v>
      </c>
      <c r="I115" t="s">
        <v>26</v>
      </c>
      <c r="J115" s="15">
        <v>45450</v>
      </c>
      <c r="K115" t="s">
        <v>38</v>
      </c>
      <c r="L115" t="str">
        <f t="shared" si="7"/>
        <v>OK</v>
      </c>
      <c r="P115" t="s">
        <v>30</v>
      </c>
      <c r="Q115" t="s">
        <v>132</v>
      </c>
      <c r="R115" t="s">
        <v>132</v>
      </c>
      <c r="S115" t="s">
        <v>132</v>
      </c>
      <c r="T115" t="s">
        <v>133</v>
      </c>
      <c r="U115" t="s">
        <v>133</v>
      </c>
      <c r="V115" t="s">
        <v>133</v>
      </c>
      <c r="W115" t="s">
        <v>5</v>
      </c>
      <c r="X115">
        <v>0</v>
      </c>
      <c r="Y115" t="str">
        <f>_xlfn.XLOOKUP(C115,[1]Especificação!$G:$G,[1]Especificação!$C:$C)</f>
        <v>F1. Fora âmbito | Campos concluídos - Sem necessidade de espec.</v>
      </c>
    </row>
    <row r="116" spans="1:25" hidden="1" x14ac:dyDescent="0.3">
      <c r="A116" s="50" t="str">
        <f t="shared" si="4"/>
        <v>INSTRUMENT_DT_RFRNC</v>
      </c>
      <c r="B116" t="s">
        <v>128</v>
      </c>
      <c r="C116" t="s">
        <v>293</v>
      </c>
      <c r="D116" t="s">
        <v>14</v>
      </c>
      <c r="E116" t="s">
        <v>38</v>
      </c>
      <c r="F116" t="s">
        <v>130</v>
      </c>
      <c r="G116" t="s">
        <v>131</v>
      </c>
      <c r="I116" t="s">
        <v>26</v>
      </c>
      <c r="J116" s="15">
        <v>45450</v>
      </c>
      <c r="K116" t="s">
        <v>38</v>
      </c>
      <c r="L116" t="str">
        <f t="shared" si="7"/>
        <v>OK</v>
      </c>
      <c r="P116" t="s">
        <v>30</v>
      </c>
      <c r="Q116" t="s">
        <v>132</v>
      </c>
      <c r="R116" t="s">
        <v>132</v>
      </c>
      <c r="S116" t="s">
        <v>132</v>
      </c>
      <c r="T116" t="s">
        <v>133</v>
      </c>
      <c r="U116" t="s">
        <v>132</v>
      </c>
      <c r="V116" t="s">
        <v>132</v>
      </c>
      <c r="W116" t="s">
        <v>5</v>
      </c>
      <c r="X116" t="s">
        <v>135</v>
      </c>
      <c r="Y116" t="str">
        <f>_xlfn.XLOOKUP(C116,[1]Especificação!$G:$G,[1]Especificação!$C:$C)</f>
        <v>F1. Fora âmbito | Campos concluídos - Sem necessidade de espec.</v>
      </c>
    </row>
    <row r="117" spans="1:25" hidden="1" x14ac:dyDescent="0.3">
      <c r="A117" s="50" t="str">
        <f t="shared" si="4"/>
        <v>PROTECTION_DT_RFRNC</v>
      </c>
      <c r="B117" t="s">
        <v>161</v>
      </c>
      <c r="C117" t="s">
        <v>293</v>
      </c>
      <c r="D117" t="s">
        <v>14</v>
      </c>
      <c r="E117" t="s">
        <v>38</v>
      </c>
      <c r="F117" t="s">
        <v>130</v>
      </c>
      <c r="G117" t="s">
        <v>131</v>
      </c>
      <c r="I117" t="s">
        <v>26</v>
      </c>
      <c r="J117" s="15">
        <v>45450</v>
      </c>
      <c r="K117" t="s">
        <v>38</v>
      </c>
      <c r="L117" t="str">
        <f t="shared" si="7"/>
        <v>OK</v>
      </c>
      <c r="P117" t="s">
        <v>30</v>
      </c>
      <c r="Q117" t="s">
        <v>132</v>
      </c>
      <c r="R117" t="s">
        <v>132</v>
      </c>
      <c r="S117" t="s">
        <v>132</v>
      </c>
      <c r="T117" t="s">
        <v>133</v>
      </c>
      <c r="U117" t="s">
        <v>132</v>
      </c>
      <c r="V117" t="s">
        <v>133</v>
      </c>
      <c r="W117" t="s">
        <v>5</v>
      </c>
      <c r="X117">
        <v>0</v>
      </c>
      <c r="Y117" t="str">
        <f>_xlfn.XLOOKUP(C117,[1]Especificação!$G:$G,[1]Especificação!$C:$C)</f>
        <v>F1. Fora âmbito | Campos concluídos - Sem necessidade de espec.</v>
      </c>
    </row>
    <row r="118" spans="1:25" hidden="1" x14ac:dyDescent="0.3">
      <c r="A118" s="50" t="str">
        <f t="shared" si="4"/>
        <v>INSTRUMENT_DT_STRT_GP_PPAL</v>
      </c>
      <c r="B118" t="s">
        <v>128</v>
      </c>
      <c r="C118" t="s">
        <v>294</v>
      </c>
      <c r="D118" t="s">
        <v>14</v>
      </c>
      <c r="E118" t="s">
        <v>36</v>
      </c>
      <c r="F118" t="s">
        <v>149</v>
      </c>
      <c r="G118" t="s">
        <v>163</v>
      </c>
      <c r="I118" t="s">
        <v>29</v>
      </c>
      <c r="J118" s="15">
        <v>45450</v>
      </c>
      <c r="K118" t="s">
        <v>36</v>
      </c>
      <c r="L118" t="str">
        <f t="shared" si="7"/>
        <v>NOK</v>
      </c>
      <c r="P118" t="s">
        <v>8</v>
      </c>
      <c r="Q118" t="s">
        <v>132</v>
      </c>
      <c r="R118" t="s">
        <v>133</v>
      </c>
      <c r="S118" t="s">
        <v>133</v>
      </c>
      <c r="T118" t="s">
        <v>133</v>
      </c>
      <c r="U118" t="s">
        <v>133</v>
      </c>
      <c r="V118" t="s">
        <v>133</v>
      </c>
      <c r="W118" t="s">
        <v>5</v>
      </c>
      <c r="X118">
        <v>0</v>
      </c>
      <c r="Y118" t="e">
        <f>_xlfn.XLOOKUP(C118,[1]Especificação!$G:$G,[1]Especificação!$C:$C)</f>
        <v>#N/A</v>
      </c>
    </row>
    <row r="119" spans="1:25" hidden="1" x14ac:dyDescent="0.3">
      <c r="A119" s="50" t="str">
        <f t="shared" si="4"/>
        <v>INSTRUMENT_DT_STRT_INTRST_ONLY</v>
      </c>
      <c r="B119" t="s">
        <v>128</v>
      </c>
      <c r="C119" t="s">
        <v>295</v>
      </c>
      <c r="D119" t="s">
        <v>14</v>
      </c>
      <c r="E119" t="s">
        <v>36</v>
      </c>
      <c r="F119" t="s">
        <v>149</v>
      </c>
      <c r="G119" t="s">
        <v>163</v>
      </c>
      <c r="I119" t="s">
        <v>29</v>
      </c>
      <c r="J119" s="15">
        <v>45450</v>
      </c>
      <c r="K119" t="s">
        <v>36</v>
      </c>
      <c r="L119" t="str">
        <f t="shared" si="7"/>
        <v>NOK</v>
      </c>
      <c r="P119" t="s">
        <v>8</v>
      </c>
      <c r="Q119" t="s">
        <v>132</v>
      </c>
      <c r="R119" t="s">
        <v>133</v>
      </c>
      <c r="S119" t="s">
        <v>133</v>
      </c>
      <c r="T119" t="s">
        <v>133</v>
      </c>
      <c r="U119" t="s">
        <v>133</v>
      </c>
      <c r="V119" t="s">
        <v>133</v>
      </c>
      <c r="W119" t="s">
        <v>5</v>
      </c>
      <c r="X119">
        <v>0</v>
      </c>
      <c r="Y119" t="e">
        <f>_xlfn.XLOOKUP(C119,[1]Especificação!$G:$G,[1]Especificação!$C:$C)</f>
        <v>#N/A</v>
      </c>
    </row>
    <row r="120" spans="1:25" hidden="1" x14ac:dyDescent="0.3">
      <c r="A120" s="50" t="str">
        <f t="shared" si="4"/>
        <v>INSTRUMENT_DT_VLTN</v>
      </c>
      <c r="B120" t="s">
        <v>128</v>
      </c>
      <c r="C120" t="s">
        <v>296</v>
      </c>
      <c r="D120" t="s">
        <v>6</v>
      </c>
      <c r="E120" t="s">
        <v>38</v>
      </c>
      <c r="F120" t="s">
        <v>130</v>
      </c>
      <c r="G120" t="s">
        <v>131</v>
      </c>
      <c r="I120" t="s">
        <v>26</v>
      </c>
      <c r="J120" s="15">
        <v>45450</v>
      </c>
      <c r="K120" t="s">
        <v>38</v>
      </c>
      <c r="L120" t="str">
        <f t="shared" si="7"/>
        <v>OK</v>
      </c>
      <c r="P120" t="s">
        <v>30</v>
      </c>
      <c r="Q120" t="s">
        <v>132</v>
      </c>
      <c r="R120" t="s">
        <v>133</v>
      </c>
      <c r="S120" t="s">
        <v>133</v>
      </c>
      <c r="T120" t="s">
        <v>133</v>
      </c>
      <c r="U120" t="s">
        <v>133</v>
      </c>
      <c r="V120" t="s">
        <v>133</v>
      </c>
      <c r="W120" t="s">
        <v>5</v>
      </c>
      <c r="X120">
        <v>0</v>
      </c>
      <c r="Y120" t="e">
        <f>_xlfn.XLOOKUP(C120,[1]Especificação!$G:$G,[1]Especificação!$C:$C)</f>
        <v>#N/A</v>
      </c>
    </row>
    <row r="121" spans="1:25" hidden="1" x14ac:dyDescent="0.3">
      <c r="A121" s="50" t="str">
        <f t="shared" si="4"/>
        <v>INSTRUMENT_POCI</v>
      </c>
      <c r="B121" t="s">
        <v>128</v>
      </c>
      <c r="C121" s="10" t="s">
        <v>297</v>
      </c>
      <c r="D121" t="s">
        <v>14</v>
      </c>
      <c r="E121" t="s">
        <v>38</v>
      </c>
      <c r="F121" t="s">
        <v>130</v>
      </c>
      <c r="G121" t="s">
        <v>131</v>
      </c>
      <c r="I121" t="s">
        <v>26</v>
      </c>
      <c r="J121" s="15">
        <v>45520</v>
      </c>
      <c r="K121" t="s">
        <v>25</v>
      </c>
      <c r="M121" t="s">
        <v>298</v>
      </c>
      <c r="N121" s="15"/>
      <c r="O121" s="15"/>
      <c r="P121" t="s">
        <v>30</v>
      </c>
      <c r="Q121" t="s">
        <v>132</v>
      </c>
      <c r="R121" t="s">
        <v>133</v>
      </c>
      <c r="S121" t="s">
        <v>133</v>
      </c>
      <c r="T121" t="s">
        <v>133</v>
      </c>
      <c r="U121" t="s">
        <v>133</v>
      </c>
      <c r="V121" t="s">
        <v>133</v>
      </c>
      <c r="W121" t="s">
        <v>5</v>
      </c>
      <c r="X121">
        <v>0</v>
      </c>
      <c r="Y121" t="e">
        <f>_xlfn.XLOOKUP(C121,[1]Especificação!$G:$G,[1]Especificação!$C:$C)</f>
        <v>#N/A</v>
      </c>
    </row>
    <row r="122" spans="1:25" hidden="1" x14ac:dyDescent="0.3">
      <c r="A122" s="50" t="str">
        <f t="shared" si="4"/>
        <v>INSTRUMENT_EAD</v>
      </c>
      <c r="B122" t="s">
        <v>128</v>
      </c>
      <c r="C122" s="10" t="s">
        <v>299</v>
      </c>
      <c r="D122" t="s">
        <v>14</v>
      </c>
      <c r="E122" t="s">
        <v>33</v>
      </c>
      <c r="F122" t="s">
        <v>130</v>
      </c>
      <c r="G122" t="s">
        <v>300</v>
      </c>
      <c r="I122" t="s">
        <v>32</v>
      </c>
      <c r="J122" s="15">
        <v>45463</v>
      </c>
      <c r="K122" t="s">
        <v>33</v>
      </c>
      <c r="L122" t="s">
        <v>149</v>
      </c>
      <c r="M122" t="s">
        <v>301</v>
      </c>
      <c r="N122" s="15">
        <v>45338</v>
      </c>
      <c r="O122" s="15">
        <v>45436</v>
      </c>
      <c r="P122" t="s">
        <v>24</v>
      </c>
      <c r="Q122" t="s">
        <v>132</v>
      </c>
      <c r="R122" t="s">
        <v>132</v>
      </c>
      <c r="S122" t="s">
        <v>133</v>
      </c>
      <c r="T122" t="s">
        <v>133</v>
      </c>
      <c r="U122" t="s">
        <v>132</v>
      </c>
      <c r="V122" t="s">
        <v>132</v>
      </c>
      <c r="W122" t="s">
        <v>138</v>
      </c>
      <c r="X122" t="s">
        <v>139</v>
      </c>
      <c r="Y122" t="str">
        <f>_xlfn.XLOOKUP(C122,[1]Especificação!$G:$G,[1]Especificação!$C:$C)</f>
        <v>C. Campos em testes ou c/ incidências</v>
      </c>
    </row>
    <row r="123" spans="1:25" hidden="1" x14ac:dyDescent="0.3">
      <c r="A123" s="50" t="str">
        <f t="shared" si="4"/>
        <v>INSTRUMENT_EBA_CMPLNT_MRTR_ST_C19</v>
      </c>
      <c r="B123" t="s">
        <v>128</v>
      </c>
      <c r="C123" t="s">
        <v>302</v>
      </c>
      <c r="D123" t="s">
        <v>6</v>
      </c>
      <c r="E123" t="s">
        <v>38</v>
      </c>
      <c r="F123" t="s">
        <v>130</v>
      </c>
      <c r="G123" t="s">
        <v>131</v>
      </c>
      <c r="I123" t="s">
        <v>26</v>
      </c>
      <c r="J123" s="15">
        <v>45450</v>
      </c>
      <c r="K123" t="s">
        <v>38</v>
      </c>
      <c r="L123" t="str">
        <f>F123</f>
        <v>OK</v>
      </c>
      <c r="P123" t="s">
        <v>30</v>
      </c>
      <c r="Q123" t="s">
        <v>132</v>
      </c>
      <c r="R123" t="s">
        <v>133</v>
      </c>
      <c r="S123" t="s">
        <v>133</v>
      </c>
      <c r="T123" t="s">
        <v>133</v>
      </c>
      <c r="U123" t="s">
        <v>133</v>
      </c>
      <c r="V123" t="s">
        <v>133</v>
      </c>
      <c r="W123" t="s">
        <v>5</v>
      </c>
      <c r="X123">
        <v>0</v>
      </c>
      <c r="Y123" t="e">
        <f>_xlfn.XLOOKUP(C123,[1]Especificação!$G:$G,[1]Especificação!$C:$C)</f>
        <v>#N/A</v>
      </c>
    </row>
    <row r="124" spans="1:25" hidden="1" x14ac:dyDescent="0.3">
      <c r="A124" s="50" t="str">
        <f t="shared" si="4"/>
        <v>INSTRUMENT_OTSTNDNG_NMNL_AMNT_INSTRMNT_PRVS</v>
      </c>
      <c r="B124" t="s">
        <v>128</v>
      </c>
      <c r="C124" s="11" t="s">
        <v>303</v>
      </c>
      <c r="D124" t="s">
        <v>14</v>
      </c>
      <c r="E124" t="s">
        <v>35</v>
      </c>
      <c r="F124" t="s">
        <v>130</v>
      </c>
      <c r="G124" t="s">
        <v>304</v>
      </c>
      <c r="H124" t="s">
        <v>305</v>
      </c>
      <c r="I124" t="s">
        <v>32</v>
      </c>
      <c r="J124" s="15">
        <v>45952</v>
      </c>
      <c r="K124" t="s">
        <v>38</v>
      </c>
      <c r="L124" t="s">
        <v>130</v>
      </c>
      <c r="N124" s="15"/>
      <c r="O124" s="15">
        <v>45952</v>
      </c>
      <c r="P124" t="s">
        <v>39</v>
      </c>
      <c r="Q124" t="s">
        <v>132</v>
      </c>
      <c r="R124" t="s">
        <v>133</v>
      </c>
      <c r="S124" t="s">
        <v>133</v>
      </c>
      <c r="T124" t="s">
        <v>133</v>
      </c>
      <c r="U124" t="s">
        <v>133</v>
      </c>
      <c r="V124" t="s">
        <v>133</v>
      </c>
      <c r="W124" t="s">
        <v>5</v>
      </c>
      <c r="X124">
        <v>0</v>
      </c>
      <c r="Y124" t="e">
        <f>_xlfn.XLOOKUP(C124,[1]Especificação!$G:$G,[1]Especificação!$C:$C)</f>
        <v>#N/A</v>
      </c>
    </row>
    <row r="125" spans="1:25" hidden="1" x14ac:dyDescent="0.3">
      <c r="A125" s="50" t="str">
        <f t="shared" si="4"/>
        <v>INSTRUMENT_INSTLMNT_PAY</v>
      </c>
      <c r="B125" t="s">
        <v>128</v>
      </c>
      <c r="C125" t="s">
        <v>306</v>
      </c>
      <c r="D125" t="s">
        <v>6</v>
      </c>
      <c r="E125" t="s">
        <v>25</v>
      </c>
      <c r="F125" t="s">
        <v>130</v>
      </c>
      <c r="G125" t="s">
        <v>307</v>
      </c>
      <c r="I125" t="s">
        <v>29</v>
      </c>
      <c r="J125" s="15">
        <v>45450</v>
      </c>
      <c r="K125" t="s">
        <v>25</v>
      </c>
      <c r="L125" t="str">
        <f t="shared" ref="L125:L156" si="8">F125</f>
        <v>OK</v>
      </c>
      <c r="P125" t="s">
        <v>27</v>
      </c>
      <c r="Q125" t="s">
        <v>132</v>
      </c>
      <c r="R125" t="s">
        <v>133</v>
      </c>
      <c r="S125" t="s">
        <v>133</v>
      </c>
      <c r="T125" t="s">
        <v>133</v>
      </c>
      <c r="U125" t="s">
        <v>133</v>
      </c>
      <c r="V125" t="s">
        <v>133</v>
      </c>
      <c r="W125" t="s">
        <v>5</v>
      </c>
      <c r="X125">
        <v>0</v>
      </c>
      <c r="Y125" t="e">
        <f>_xlfn.XLOOKUP(C125,[1]Especificação!$G:$G,[1]Especificação!$C:$C)</f>
        <v>#N/A</v>
      </c>
    </row>
    <row r="126" spans="1:25" hidden="1" x14ac:dyDescent="0.3">
      <c r="A126" s="50" t="str">
        <f t="shared" si="4"/>
        <v>ENTITY_EC_GRP_ID</v>
      </c>
      <c r="B126" t="s">
        <v>142</v>
      </c>
      <c r="C126" t="s">
        <v>308</v>
      </c>
      <c r="D126" t="s">
        <v>6</v>
      </c>
      <c r="E126" t="s">
        <v>20</v>
      </c>
      <c r="F126" t="s">
        <v>130</v>
      </c>
      <c r="G126" t="s">
        <v>235</v>
      </c>
      <c r="I126" t="s">
        <v>29</v>
      </c>
      <c r="J126" s="15">
        <v>45450</v>
      </c>
      <c r="K126" t="s">
        <v>20</v>
      </c>
      <c r="L126" t="str">
        <f t="shared" si="8"/>
        <v>OK</v>
      </c>
      <c r="P126" t="s">
        <v>19</v>
      </c>
      <c r="Q126" t="s">
        <v>132</v>
      </c>
      <c r="R126" t="s">
        <v>133</v>
      </c>
      <c r="S126" t="s">
        <v>133</v>
      </c>
      <c r="T126" t="s">
        <v>133</v>
      </c>
      <c r="U126" t="s">
        <v>133</v>
      </c>
      <c r="V126" t="s">
        <v>132</v>
      </c>
      <c r="W126" t="s">
        <v>138</v>
      </c>
      <c r="X126" t="s">
        <v>153</v>
      </c>
      <c r="Y126" t="str">
        <f>_xlfn.XLOOKUP(C126,[1]Especificação!$G:$G,[1]Especificação!$C:$C)</f>
        <v>B2. Re-especificação de campos complexos - Resto</v>
      </c>
    </row>
    <row r="127" spans="1:25" hidden="1" x14ac:dyDescent="0.3">
      <c r="A127" s="50" t="str">
        <f t="shared" si="4"/>
        <v>ENTITY_EC_GRP_NM</v>
      </c>
      <c r="B127" t="s">
        <v>142</v>
      </c>
      <c r="C127" t="s">
        <v>309</v>
      </c>
      <c r="D127" t="s">
        <v>6</v>
      </c>
      <c r="E127" t="s">
        <v>20</v>
      </c>
      <c r="F127" t="s">
        <v>130</v>
      </c>
      <c r="G127" t="s">
        <v>235</v>
      </c>
      <c r="I127" t="s">
        <v>29</v>
      </c>
      <c r="J127" s="15">
        <v>45450</v>
      </c>
      <c r="K127" t="s">
        <v>20</v>
      </c>
      <c r="L127" t="str">
        <f t="shared" si="8"/>
        <v>OK</v>
      </c>
      <c r="P127" t="s">
        <v>19</v>
      </c>
      <c r="Q127" t="s">
        <v>132</v>
      </c>
      <c r="R127" t="s">
        <v>133</v>
      </c>
      <c r="S127" t="s">
        <v>132</v>
      </c>
      <c r="T127" t="s">
        <v>133</v>
      </c>
      <c r="U127" t="s">
        <v>133</v>
      </c>
      <c r="V127" t="s">
        <v>132</v>
      </c>
      <c r="W127" t="s">
        <v>138</v>
      </c>
      <c r="X127" t="s">
        <v>153</v>
      </c>
      <c r="Y127" t="str">
        <f>_xlfn.XLOOKUP(C127,[1]Especificação!$G:$G,[1]Especificação!$C:$C)</f>
        <v>B2. Re-especificação de campos complexos - Resto</v>
      </c>
    </row>
    <row r="128" spans="1:25" hidden="1" x14ac:dyDescent="0.3">
      <c r="A128" s="50" t="str">
        <f t="shared" si="4"/>
        <v>ENTITY_ECNMC_ACTVTY</v>
      </c>
      <c r="B128" t="s">
        <v>142</v>
      </c>
      <c r="C128" t="s">
        <v>310</v>
      </c>
      <c r="D128" t="s">
        <v>14</v>
      </c>
      <c r="E128" t="s">
        <v>38</v>
      </c>
      <c r="F128" t="s">
        <v>130</v>
      </c>
      <c r="G128" t="s">
        <v>131</v>
      </c>
      <c r="I128" t="s">
        <v>26</v>
      </c>
      <c r="J128" s="15">
        <v>45952</v>
      </c>
      <c r="K128" t="s">
        <v>38</v>
      </c>
      <c r="L128" t="s">
        <v>130</v>
      </c>
      <c r="O128" s="15">
        <v>45952</v>
      </c>
      <c r="P128" t="s">
        <v>30</v>
      </c>
      <c r="Q128" t="s">
        <v>132</v>
      </c>
      <c r="R128" t="s">
        <v>133</v>
      </c>
      <c r="S128" t="s">
        <v>132</v>
      </c>
      <c r="T128" t="s">
        <v>133</v>
      </c>
      <c r="U128" t="s">
        <v>132</v>
      </c>
      <c r="V128" t="s">
        <v>132</v>
      </c>
      <c r="W128" t="s">
        <v>5</v>
      </c>
      <c r="X128" t="s">
        <v>135</v>
      </c>
      <c r="Y128" t="str">
        <f>_xlfn.XLOOKUP(C128,[1]Especificação!$G:$G,[1]Especificação!$C:$C)</f>
        <v>B2. Re-especificação de campos complexos - Resto</v>
      </c>
    </row>
    <row r="129" spans="1:25" hidden="1" x14ac:dyDescent="0.3">
      <c r="A129" s="50" t="str">
        <f t="shared" si="4"/>
        <v>INSTRUMENT_EIR</v>
      </c>
      <c r="B129" t="s">
        <v>128</v>
      </c>
      <c r="C129" t="s">
        <v>311</v>
      </c>
      <c r="D129" t="s">
        <v>14</v>
      </c>
      <c r="E129" t="s">
        <v>36</v>
      </c>
      <c r="F129" t="s">
        <v>149</v>
      </c>
      <c r="G129" t="s">
        <v>163</v>
      </c>
      <c r="I129" t="s">
        <v>29</v>
      </c>
      <c r="J129" s="15">
        <v>45450</v>
      </c>
      <c r="K129" t="s">
        <v>36</v>
      </c>
      <c r="L129" t="str">
        <f t="shared" si="8"/>
        <v>NOK</v>
      </c>
      <c r="P129" t="s">
        <v>8</v>
      </c>
      <c r="Q129" t="s">
        <v>132</v>
      </c>
      <c r="R129" t="s">
        <v>133</v>
      </c>
      <c r="S129" t="s">
        <v>133</v>
      </c>
      <c r="T129" t="s">
        <v>133</v>
      </c>
      <c r="U129" t="s">
        <v>133</v>
      </c>
      <c r="V129" t="s">
        <v>132</v>
      </c>
      <c r="W129" t="s">
        <v>138</v>
      </c>
      <c r="X129" t="s">
        <v>166</v>
      </c>
      <c r="Y129" t="str">
        <f>_xlfn.XLOOKUP(C129,[1]Especificação!$G:$G,[1]Especificação!$C:$C)</f>
        <v>D. Campos com NOK controlos Corporativos</v>
      </c>
    </row>
    <row r="130" spans="1:25" hidden="1" x14ac:dyDescent="0.3">
      <c r="A130" s="50" t="str">
        <f t="shared" si="4"/>
        <v>INSTRUMENT_EIR_INCPTN</v>
      </c>
      <c r="B130" t="s">
        <v>128</v>
      </c>
      <c r="C130" t="s">
        <v>312</v>
      </c>
      <c r="D130" t="s">
        <v>14</v>
      </c>
      <c r="E130" t="s">
        <v>36</v>
      </c>
      <c r="F130" t="s">
        <v>149</v>
      </c>
      <c r="G130" t="s">
        <v>163</v>
      </c>
      <c r="I130" t="s">
        <v>29</v>
      </c>
      <c r="J130" s="15">
        <v>45450</v>
      </c>
      <c r="K130" t="s">
        <v>36</v>
      </c>
      <c r="L130" t="str">
        <f t="shared" si="8"/>
        <v>NOK</v>
      </c>
      <c r="P130" t="s">
        <v>8</v>
      </c>
      <c r="Q130" t="s">
        <v>132</v>
      </c>
      <c r="R130" t="s">
        <v>133</v>
      </c>
      <c r="S130" t="s">
        <v>132</v>
      </c>
      <c r="T130" t="s">
        <v>133</v>
      </c>
      <c r="U130" t="s">
        <v>133</v>
      </c>
      <c r="V130" t="s">
        <v>133</v>
      </c>
      <c r="W130" t="s">
        <v>5</v>
      </c>
      <c r="X130">
        <v>0</v>
      </c>
      <c r="Y130" t="e">
        <f>_xlfn.XLOOKUP(C130,[1]Especificação!$G:$G,[1]Especificação!$C:$C)</f>
        <v>#N/A</v>
      </c>
    </row>
    <row r="131" spans="1:25" hidden="1" x14ac:dyDescent="0.3">
      <c r="A131" s="50" t="str">
        <f t="shared" si="4"/>
        <v>INSTRUMENT_ELGBLTY_ECB</v>
      </c>
      <c r="B131" t="s">
        <v>128</v>
      </c>
      <c r="C131" t="s">
        <v>313</v>
      </c>
      <c r="D131" t="s">
        <v>6</v>
      </c>
      <c r="E131" t="s">
        <v>38</v>
      </c>
      <c r="F131" t="s">
        <v>130</v>
      </c>
      <c r="G131" t="s">
        <v>131</v>
      </c>
      <c r="I131" t="s">
        <v>26</v>
      </c>
      <c r="J131" s="15">
        <v>45450</v>
      </c>
      <c r="K131" t="s">
        <v>38</v>
      </c>
      <c r="L131" t="str">
        <f t="shared" si="8"/>
        <v>OK</v>
      </c>
      <c r="P131" t="s">
        <v>30</v>
      </c>
      <c r="Q131" t="s">
        <v>132</v>
      </c>
      <c r="R131" t="s">
        <v>133</v>
      </c>
      <c r="S131" t="s">
        <v>133</v>
      </c>
      <c r="T131" t="s">
        <v>133</v>
      </c>
      <c r="U131" t="s">
        <v>133</v>
      </c>
      <c r="V131" t="s">
        <v>133</v>
      </c>
      <c r="W131" t="s">
        <v>5</v>
      </c>
      <c r="X131">
        <v>0</v>
      </c>
      <c r="Y131" t="e">
        <f>_xlfn.XLOOKUP(C131,[1]Especificação!$G:$G,[1]Especificação!$C:$C)</f>
        <v>#N/A</v>
      </c>
    </row>
    <row r="132" spans="1:25" hidden="1" x14ac:dyDescent="0.3">
      <c r="A132" s="50" t="str">
        <f t="shared" si="4"/>
        <v>ENTITY_EMPLYMNT_STTS</v>
      </c>
      <c r="B132" t="s">
        <v>142</v>
      </c>
      <c r="C132" t="s">
        <v>314</v>
      </c>
      <c r="D132" t="s">
        <v>6</v>
      </c>
      <c r="E132" t="s">
        <v>38</v>
      </c>
      <c r="F132" t="s">
        <v>130</v>
      </c>
      <c r="G132" t="s">
        <v>131</v>
      </c>
      <c r="I132" t="s">
        <v>26</v>
      </c>
      <c r="J132" s="15">
        <v>45450</v>
      </c>
      <c r="K132" t="s">
        <v>38</v>
      </c>
      <c r="L132" t="str">
        <f t="shared" si="8"/>
        <v>OK</v>
      </c>
      <c r="P132" t="s">
        <v>30</v>
      </c>
      <c r="Q132" t="s">
        <v>132</v>
      </c>
      <c r="R132" t="s">
        <v>133</v>
      </c>
      <c r="S132" t="s">
        <v>133</v>
      </c>
      <c r="T132" t="s">
        <v>133</v>
      </c>
      <c r="U132" t="s">
        <v>133</v>
      </c>
      <c r="V132" t="s">
        <v>133</v>
      </c>
      <c r="W132" t="s">
        <v>5</v>
      </c>
      <c r="X132">
        <v>0</v>
      </c>
      <c r="Y132" t="e">
        <f>_xlfn.XLOOKUP(C132,[1]Especificação!$G:$G,[1]Especificação!$C:$C)</f>
        <v>#N/A</v>
      </c>
    </row>
    <row r="133" spans="1:25" hidden="1" x14ac:dyDescent="0.3">
      <c r="A133" s="50" t="str">
        <f t="shared" si="4"/>
        <v>ENTITY_EMPLYMNT_STTS_INTRNL</v>
      </c>
      <c r="B133" t="s">
        <v>142</v>
      </c>
      <c r="C133" t="s">
        <v>315</v>
      </c>
      <c r="D133" t="s">
        <v>6</v>
      </c>
      <c r="E133" t="s">
        <v>38</v>
      </c>
      <c r="F133" t="s">
        <v>130</v>
      </c>
      <c r="G133" t="s">
        <v>131</v>
      </c>
      <c r="I133" t="s">
        <v>26</v>
      </c>
      <c r="J133" s="15">
        <v>45450</v>
      </c>
      <c r="K133" t="s">
        <v>38</v>
      </c>
      <c r="L133" t="str">
        <f t="shared" si="8"/>
        <v>OK</v>
      </c>
      <c r="P133" t="s">
        <v>30</v>
      </c>
      <c r="Q133" t="s">
        <v>132</v>
      </c>
      <c r="R133" t="s">
        <v>133</v>
      </c>
      <c r="S133" t="s">
        <v>133</v>
      </c>
      <c r="T133" t="s">
        <v>133</v>
      </c>
      <c r="U133" t="s">
        <v>133</v>
      </c>
      <c r="V133" t="s">
        <v>133</v>
      </c>
      <c r="W133" t="s">
        <v>5</v>
      </c>
      <c r="X133">
        <v>0</v>
      </c>
      <c r="Y133" t="e">
        <f>_xlfn.XLOOKUP(C133,[1]Especificação!$G:$G,[1]Especificação!$C:$C)</f>
        <v>#N/A</v>
      </c>
    </row>
    <row r="134" spans="1:25" hidden="1" x14ac:dyDescent="0.3">
      <c r="A134" s="50" t="str">
        <f t="shared" ref="A134:A197" si="9">B134&amp;"_"&amp;C134</f>
        <v>ENTITY_ENTRPRS_SZ_LE</v>
      </c>
      <c r="B134" t="s">
        <v>142</v>
      </c>
      <c r="C134" t="s">
        <v>316</v>
      </c>
      <c r="D134" t="s">
        <v>14</v>
      </c>
      <c r="E134" t="s">
        <v>36</v>
      </c>
      <c r="F134" t="s">
        <v>149</v>
      </c>
      <c r="G134" t="s">
        <v>163</v>
      </c>
      <c r="I134" t="s">
        <v>29</v>
      </c>
      <c r="J134" s="15">
        <v>45952</v>
      </c>
      <c r="K134" t="s">
        <v>38</v>
      </c>
      <c r="L134" t="s">
        <v>130</v>
      </c>
      <c r="O134" s="15">
        <v>45952</v>
      </c>
      <c r="P134" t="s">
        <v>8</v>
      </c>
      <c r="Q134" t="s">
        <v>132</v>
      </c>
      <c r="R134" t="s">
        <v>133</v>
      </c>
      <c r="S134" t="s">
        <v>133</v>
      </c>
      <c r="T134" t="s">
        <v>133</v>
      </c>
      <c r="U134" t="s">
        <v>133</v>
      </c>
      <c r="V134" t="s">
        <v>133</v>
      </c>
      <c r="W134" t="s">
        <v>5</v>
      </c>
      <c r="X134">
        <v>0</v>
      </c>
      <c r="Y134" t="e">
        <f>_xlfn.XLOOKUP(C134,[1]Especificação!$G:$G,[1]Especificação!$C:$C)</f>
        <v>#N/A</v>
      </c>
    </row>
    <row r="135" spans="1:25" hidden="1" x14ac:dyDescent="0.3">
      <c r="A135" s="50" t="str">
        <f t="shared" si="9"/>
        <v>ENTITY_ENTTY_ID</v>
      </c>
      <c r="B135" t="s">
        <v>142</v>
      </c>
      <c r="C135" t="s">
        <v>317</v>
      </c>
      <c r="D135" t="s">
        <v>14</v>
      </c>
      <c r="E135" t="s">
        <v>36</v>
      </c>
      <c r="F135" t="s">
        <v>149</v>
      </c>
      <c r="G135" t="s">
        <v>163</v>
      </c>
      <c r="I135" t="s">
        <v>29</v>
      </c>
      <c r="J135" s="15">
        <v>45450</v>
      </c>
      <c r="K135" t="s">
        <v>36</v>
      </c>
      <c r="L135" t="str">
        <f t="shared" si="8"/>
        <v>NOK</v>
      </c>
      <c r="P135" t="s">
        <v>8</v>
      </c>
      <c r="Q135" t="s">
        <v>132</v>
      </c>
      <c r="R135" t="s">
        <v>133</v>
      </c>
      <c r="S135" t="s">
        <v>132</v>
      </c>
      <c r="T135" t="s">
        <v>133</v>
      </c>
      <c r="U135" t="s">
        <v>132</v>
      </c>
      <c r="V135" t="s">
        <v>132</v>
      </c>
      <c r="W135" t="s">
        <v>138</v>
      </c>
      <c r="X135" t="s">
        <v>166</v>
      </c>
      <c r="Y135" t="str">
        <f>_xlfn.XLOOKUP(C135,[1]Especificação!$G:$G,[1]Especificação!$C:$C)</f>
        <v>D. Campos com NOK controlos Corporativos</v>
      </c>
    </row>
    <row r="136" spans="1:25" hidden="1" x14ac:dyDescent="0.3">
      <c r="A136" s="50" t="str">
        <f t="shared" si="9"/>
        <v>INSTR_ENTITY_ENTTY_ID</v>
      </c>
      <c r="B136" t="s">
        <v>193</v>
      </c>
      <c r="C136" t="s">
        <v>317</v>
      </c>
      <c r="D136" t="s">
        <v>14</v>
      </c>
      <c r="E136" t="s">
        <v>36</v>
      </c>
      <c r="F136" t="s">
        <v>149</v>
      </c>
      <c r="G136" t="s">
        <v>163</v>
      </c>
      <c r="I136" t="s">
        <v>29</v>
      </c>
      <c r="J136" s="15">
        <v>45450</v>
      </c>
      <c r="K136" t="s">
        <v>36</v>
      </c>
      <c r="L136" t="str">
        <f t="shared" si="8"/>
        <v>NOK</v>
      </c>
      <c r="P136" t="s">
        <v>8</v>
      </c>
      <c r="Q136" t="s">
        <v>132</v>
      </c>
      <c r="R136" t="s">
        <v>133</v>
      </c>
      <c r="S136" t="s">
        <v>132</v>
      </c>
      <c r="T136" t="s">
        <v>133</v>
      </c>
      <c r="U136" t="s">
        <v>133</v>
      </c>
      <c r="V136" t="s">
        <v>132</v>
      </c>
      <c r="W136" t="s">
        <v>138</v>
      </c>
      <c r="X136" t="s">
        <v>166</v>
      </c>
      <c r="Y136" t="str">
        <f>_xlfn.XLOOKUP(C136,[1]Especificação!$G:$G,[1]Especificação!$C:$C)</f>
        <v>D. Campos com NOK controlos Corporativos</v>
      </c>
    </row>
    <row r="137" spans="1:25" hidden="1" x14ac:dyDescent="0.3">
      <c r="A137" s="50" t="str">
        <f t="shared" si="9"/>
        <v>ENTITY_ENTTY_NM</v>
      </c>
      <c r="B137" t="s">
        <v>142</v>
      </c>
      <c r="C137" t="s">
        <v>318</v>
      </c>
      <c r="D137" t="s">
        <v>14</v>
      </c>
      <c r="E137" t="s">
        <v>38</v>
      </c>
      <c r="F137" t="s">
        <v>130</v>
      </c>
      <c r="G137" t="s">
        <v>131</v>
      </c>
      <c r="I137" t="s">
        <v>26</v>
      </c>
      <c r="J137" s="15">
        <v>45450</v>
      </c>
      <c r="K137" t="s">
        <v>38</v>
      </c>
      <c r="L137" t="str">
        <f t="shared" si="8"/>
        <v>OK</v>
      </c>
      <c r="P137" t="s">
        <v>30</v>
      </c>
      <c r="Q137" t="s">
        <v>132</v>
      </c>
      <c r="R137" t="s">
        <v>133</v>
      </c>
      <c r="S137" t="s">
        <v>132</v>
      </c>
      <c r="T137" t="s">
        <v>133</v>
      </c>
      <c r="U137" t="s">
        <v>133</v>
      </c>
      <c r="V137" t="s">
        <v>132</v>
      </c>
      <c r="W137" t="s">
        <v>5</v>
      </c>
      <c r="X137" t="s">
        <v>135</v>
      </c>
      <c r="Y137" t="str">
        <f>_xlfn.XLOOKUP(C137,[1]Especificação!$G:$G,[1]Especificação!$C:$C)</f>
        <v>F1. Fora âmbito | Campos concluídos - Sem necessidade de espec.</v>
      </c>
    </row>
    <row r="138" spans="1:25" hidden="1" x14ac:dyDescent="0.3">
      <c r="A138" s="50" t="str">
        <f t="shared" si="9"/>
        <v>ENTITY_EQTY</v>
      </c>
      <c r="B138" t="s">
        <v>142</v>
      </c>
      <c r="C138" t="s">
        <v>319</v>
      </c>
      <c r="D138" t="s">
        <v>14</v>
      </c>
      <c r="E138" t="s">
        <v>25</v>
      </c>
      <c r="F138" t="s">
        <v>130</v>
      </c>
      <c r="G138" t="s">
        <v>144</v>
      </c>
      <c r="H138" t="s">
        <v>145</v>
      </c>
      <c r="I138" t="s">
        <v>29</v>
      </c>
      <c r="J138" s="15">
        <v>45450</v>
      </c>
      <c r="K138" t="s">
        <v>25</v>
      </c>
      <c r="L138" t="str">
        <f t="shared" si="8"/>
        <v>OK</v>
      </c>
      <c r="P138" t="s">
        <v>13</v>
      </c>
      <c r="Q138" t="s">
        <v>132</v>
      </c>
      <c r="R138" t="s">
        <v>133</v>
      </c>
      <c r="S138" t="s">
        <v>132</v>
      </c>
      <c r="T138" t="s">
        <v>133</v>
      </c>
      <c r="U138" t="s">
        <v>133</v>
      </c>
      <c r="V138" t="s">
        <v>132</v>
      </c>
      <c r="W138" t="s">
        <v>146</v>
      </c>
      <c r="X138" t="s">
        <v>147</v>
      </c>
      <c r="Y138" t="str">
        <f>_xlfn.XLOOKUP(C138,[1]Especificação!$G:$G,[1]Especificação!$C:$C)</f>
        <v>F4. Fora âmbito | Re-especificação de campos complexos - Dem. Fin. CIB</v>
      </c>
    </row>
    <row r="139" spans="1:25" hidden="1" x14ac:dyDescent="0.3">
      <c r="A139" s="50" t="str">
        <f t="shared" si="9"/>
        <v>ENTITY_EQTY_PRVS</v>
      </c>
      <c r="B139" t="s">
        <v>142</v>
      </c>
      <c r="C139" t="s">
        <v>320</v>
      </c>
      <c r="D139" t="s">
        <v>14</v>
      </c>
      <c r="E139" t="s">
        <v>25</v>
      </c>
      <c r="F139" t="s">
        <v>130</v>
      </c>
      <c r="G139" t="s">
        <v>144</v>
      </c>
      <c r="H139" t="s">
        <v>145</v>
      </c>
      <c r="I139" t="s">
        <v>29</v>
      </c>
      <c r="J139" s="15">
        <v>45450</v>
      </c>
      <c r="K139" t="s">
        <v>25</v>
      </c>
      <c r="L139" t="str">
        <f t="shared" si="8"/>
        <v>OK</v>
      </c>
      <c r="P139" t="s">
        <v>13</v>
      </c>
      <c r="Q139" t="s">
        <v>132</v>
      </c>
      <c r="R139" t="s">
        <v>133</v>
      </c>
      <c r="S139" t="s">
        <v>133</v>
      </c>
      <c r="T139" t="s">
        <v>133</v>
      </c>
      <c r="U139" t="s">
        <v>133</v>
      </c>
      <c r="V139" t="s">
        <v>132</v>
      </c>
      <c r="W139" t="s">
        <v>146</v>
      </c>
      <c r="X139" t="s">
        <v>147</v>
      </c>
      <c r="Y139" t="str">
        <f>_xlfn.XLOOKUP(C139,[1]Especificação!$G:$G,[1]Especificação!$C:$C)</f>
        <v>F4. Fora âmbito | Re-especificação de campos complexos - Dem. Fin. CIB</v>
      </c>
    </row>
    <row r="140" spans="1:25" hidden="1" x14ac:dyDescent="0.3">
      <c r="A140" s="50" t="str">
        <f t="shared" si="9"/>
        <v>INSTRUMENT_EXPCTD_LSS_CRR</v>
      </c>
      <c r="B140" t="s">
        <v>128</v>
      </c>
      <c r="C140" t="s">
        <v>321</v>
      </c>
      <c r="D140" t="s">
        <v>6</v>
      </c>
      <c r="E140" t="s">
        <v>31</v>
      </c>
      <c r="F140" t="s">
        <v>130</v>
      </c>
      <c r="G140" t="s">
        <v>175</v>
      </c>
      <c r="I140" t="s">
        <v>29</v>
      </c>
      <c r="J140" s="15">
        <v>45460</v>
      </c>
      <c r="K140" t="s">
        <v>33</v>
      </c>
      <c r="L140" t="str">
        <f t="shared" si="8"/>
        <v>OK</v>
      </c>
      <c r="N140" s="15">
        <v>45324</v>
      </c>
      <c r="O140" s="15">
        <v>45379</v>
      </c>
      <c r="P140" t="s">
        <v>19</v>
      </c>
      <c r="Q140" t="s">
        <v>132</v>
      </c>
      <c r="R140" t="s">
        <v>133</v>
      </c>
      <c r="S140" t="s">
        <v>133</v>
      </c>
      <c r="T140" t="s">
        <v>133</v>
      </c>
      <c r="U140" t="s">
        <v>133</v>
      </c>
      <c r="V140" t="s">
        <v>133</v>
      </c>
      <c r="W140" t="s">
        <v>5</v>
      </c>
      <c r="X140">
        <v>0</v>
      </c>
      <c r="Y140" t="e">
        <f>_xlfn.XLOOKUP(C140,[1]Especificação!$G:$G,[1]Especificação!$C:$C)</f>
        <v>#N/A</v>
      </c>
    </row>
    <row r="141" spans="1:25" hidden="1" x14ac:dyDescent="0.3">
      <c r="A141" s="50" t="str">
        <f t="shared" si="9"/>
        <v>INSTRUMENT_EXPSR_IN_SCP</v>
      </c>
      <c r="B141" t="s">
        <v>128</v>
      </c>
      <c r="C141" t="s">
        <v>322</v>
      </c>
      <c r="D141" t="s">
        <v>14</v>
      </c>
      <c r="E141" t="s">
        <v>38</v>
      </c>
      <c r="F141" t="s">
        <v>130</v>
      </c>
      <c r="G141" t="s">
        <v>131</v>
      </c>
      <c r="I141" t="s">
        <v>26</v>
      </c>
      <c r="J141" s="15">
        <v>45450</v>
      </c>
      <c r="K141" t="s">
        <v>38</v>
      </c>
      <c r="L141" t="str">
        <f t="shared" si="8"/>
        <v>OK</v>
      </c>
      <c r="P141" t="s">
        <v>30</v>
      </c>
      <c r="Q141" t="s">
        <v>132</v>
      </c>
      <c r="R141" t="s">
        <v>133</v>
      </c>
      <c r="S141" t="s">
        <v>133</v>
      </c>
      <c r="T141" t="s">
        <v>133</v>
      </c>
      <c r="U141" t="s">
        <v>133</v>
      </c>
      <c r="V141" t="s">
        <v>132</v>
      </c>
      <c r="W141" t="s">
        <v>5</v>
      </c>
      <c r="X141" t="s">
        <v>135</v>
      </c>
      <c r="Y141" t="str">
        <f>_xlfn.XLOOKUP(C141,[1]Especificação!$G:$G,[1]Especificação!$C:$C)</f>
        <v>F1. Fora âmbito | Campos concluídos - Sem necessidade de espec.</v>
      </c>
    </row>
    <row r="142" spans="1:25" hidden="1" x14ac:dyDescent="0.3">
      <c r="A142" s="50" t="str">
        <f t="shared" si="9"/>
        <v>INSTRUMENT_FRBRNC_STTS_INSTRMNT</v>
      </c>
      <c r="B142" t="s">
        <v>128</v>
      </c>
      <c r="C142" t="s">
        <v>323</v>
      </c>
      <c r="D142" t="s">
        <v>14</v>
      </c>
      <c r="E142" t="s">
        <v>25</v>
      </c>
      <c r="F142" t="s">
        <v>130</v>
      </c>
      <c r="G142" t="s">
        <v>444</v>
      </c>
      <c r="H142" t="s">
        <v>324</v>
      </c>
      <c r="I142" t="s">
        <v>29</v>
      </c>
      <c r="J142" s="15">
        <v>45450</v>
      </c>
      <c r="K142" t="s">
        <v>25</v>
      </c>
      <c r="L142" t="str">
        <f t="shared" si="8"/>
        <v>OK</v>
      </c>
      <c r="P142" t="s">
        <v>13</v>
      </c>
      <c r="Q142" t="s">
        <v>132</v>
      </c>
      <c r="R142" t="s">
        <v>133</v>
      </c>
      <c r="S142" t="s">
        <v>132</v>
      </c>
      <c r="T142" t="s">
        <v>133</v>
      </c>
      <c r="U142" t="s">
        <v>133</v>
      </c>
      <c r="V142" t="s">
        <v>132</v>
      </c>
      <c r="W142" t="s">
        <v>138</v>
      </c>
      <c r="X142" t="s">
        <v>153</v>
      </c>
      <c r="Y142" t="str">
        <f>_xlfn.XLOOKUP(C142,[1]Especificação!$G:$G,[1]Especificação!$C:$C)</f>
        <v>B2. Re-especificação de campos complexos - Resto</v>
      </c>
    </row>
    <row r="143" spans="1:25" hidden="1" x14ac:dyDescent="0.3">
      <c r="A143" s="50" t="str">
        <f t="shared" si="9"/>
        <v>ENTITY_EXTRNL_RTNG_PRVS</v>
      </c>
      <c r="B143" t="s">
        <v>142</v>
      </c>
      <c r="C143" s="10" t="s">
        <v>325</v>
      </c>
      <c r="D143" t="s">
        <v>14</v>
      </c>
      <c r="E143" t="s">
        <v>25</v>
      </c>
      <c r="F143" t="s">
        <v>130</v>
      </c>
      <c r="G143" t="s">
        <v>326</v>
      </c>
      <c r="H143" t="s">
        <v>327</v>
      </c>
      <c r="I143" t="s">
        <v>32</v>
      </c>
      <c r="J143" s="15">
        <v>45450</v>
      </c>
      <c r="K143" t="s">
        <v>25</v>
      </c>
      <c r="L143" t="str">
        <f t="shared" si="8"/>
        <v>OK</v>
      </c>
      <c r="P143" t="s">
        <v>34</v>
      </c>
      <c r="Q143" t="s">
        <v>132</v>
      </c>
      <c r="R143" t="s">
        <v>133</v>
      </c>
      <c r="S143" t="s">
        <v>133</v>
      </c>
      <c r="T143" t="s">
        <v>133</v>
      </c>
      <c r="U143" t="s">
        <v>133</v>
      </c>
      <c r="V143" t="s">
        <v>132</v>
      </c>
      <c r="W143" t="s">
        <v>138</v>
      </c>
      <c r="X143" t="s">
        <v>153</v>
      </c>
      <c r="Y143" t="str">
        <f>_xlfn.XLOOKUP(C143,[1]Especificação!$G:$G,[1]Especificação!$C:$C)</f>
        <v>B2. Re-especificação de campos complexos - Resto</v>
      </c>
    </row>
    <row r="144" spans="1:25" hidden="1" x14ac:dyDescent="0.3">
      <c r="A144" s="50" t="str">
        <f t="shared" si="9"/>
        <v>ENTITY_EXTRNL_RTNG_NM</v>
      </c>
      <c r="B144" t="s">
        <v>142</v>
      </c>
      <c r="C144" s="10" t="s">
        <v>328</v>
      </c>
      <c r="D144" t="s">
        <v>14</v>
      </c>
      <c r="E144" t="s">
        <v>25</v>
      </c>
      <c r="F144" t="s">
        <v>149</v>
      </c>
      <c r="G144" t="s">
        <v>326</v>
      </c>
      <c r="H144" t="s">
        <v>327</v>
      </c>
      <c r="I144" t="s">
        <v>32</v>
      </c>
      <c r="J144" s="15">
        <v>45450</v>
      </c>
      <c r="K144" t="s">
        <v>25</v>
      </c>
      <c r="L144" t="str">
        <f t="shared" si="8"/>
        <v>NOK</v>
      </c>
      <c r="P144" t="s">
        <v>34</v>
      </c>
      <c r="Q144" t="s">
        <v>132</v>
      </c>
      <c r="R144" t="s">
        <v>133</v>
      </c>
      <c r="S144" t="s">
        <v>133</v>
      </c>
      <c r="T144" t="s">
        <v>133</v>
      </c>
      <c r="U144" t="s">
        <v>133</v>
      </c>
      <c r="V144" t="s">
        <v>132</v>
      </c>
      <c r="W144" t="s">
        <v>138</v>
      </c>
      <c r="X144" t="s">
        <v>153</v>
      </c>
      <c r="Y144" t="str">
        <f>_xlfn.XLOOKUP(C144,[1]Especificação!$G:$G,[1]Especificação!$C:$C)</f>
        <v>B2. Re-especificação de campos complexos - Resto</v>
      </c>
    </row>
    <row r="145" spans="1:25" x14ac:dyDescent="0.3">
      <c r="A145" s="50" t="str">
        <f t="shared" si="9"/>
        <v>INSTRUMENT_FLD_SYNDCTN</v>
      </c>
      <c r="B145" t="s">
        <v>128</v>
      </c>
      <c r="C145" t="s">
        <v>329</v>
      </c>
      <c r="D145" t="s">
        <v>6</v>
      </c>
      <c r="E145" t="s">
        <v>56</v>
      </c>
      <c r="F145" t="s">
        <v>130</v>
      </c>
      <c r="G145" t="s">
        <v>330</v>
      </c>
      <c r="H145" t="s">
        <v>331</v>
      </c>
      <c r="I145" t="s">
        <v>29</v>
      </c>
      <c r="J145" s="15">
        <v>45953</v>
      </c>
      <c r="K145" t="s">
        <v>38</v>
      </c>
      <c r="L145" t="str">
        <f t="shared" si="8"/>
        <v>OK</v>
      </c>
      <c r="O145" s="15">
        <v>45952</v>
      </c>
      <c r="P145" t="s">
        <v>13</v>
      </c>
      <c r="Q145" t="s">
        <v>132</v>
      </c>
      <c r="R145" t="s">
        <v>133</v>
      </c>
      <c r="S145" t="s">
        <v>133</v>
      </c>
      <c r="T145" t="s">
        <v>133</v>
      </c>
      <c r="U145" t="s">
        <v>133</v>
      </c>
      <c r="V145" t="s">
        <v>132</v>
      </c>
      <c r="W145" t="s">
        <v>138</v>
      </c>
      <c r="X145" t="s">
        <v>332</v>
      </c>
      <c r="Y145" t="str">
        <f>_xlfn.XLOOKUP(C145,[1]Especificação!$G:$G,[1]Especificação!$C:$C)</f>
        <v>B1. Re-especificação de campos complexos | Sindicados</v>
      </c>
    </row>
    <row r="146" spans="1:25" hidden="1" x14ac:dyDescent="0.3">
      <c r="A146" s="50" t="str">
        <f t="shared" si="9"/>
        <v>ENTITY_FLG_BNKRPTCY_IN_GRP</v>
      </c>
      <c r="B146" t="s">
        <v>142</v>
      </c>
      <c r="C146" t="s">
        <v>333</v>
      </c>
      <c r="D146" t="s">
        <v>14</v>
      </c>
      <c r="E146" t="s">
        <v>38</v>
      </c>
      <c r="F146" t="s">
        <v>130</v>
      </c>
      <c r="G146" t="s">
        <v>131</v>
      </c>
      <c r="I146" t="s">
        <v>26</v>
      </c>
      <c r="J146" s="15">
        <v>45450</v>
      </c>
      <c r="K146" t="s">
        <v>38</v>
      </c>
      <c r="L146" t="str">
        <f t="shared" si="8"/>
        <v>OK</v>
      </c>
      <c r="P146" t="s">
        <v>30</v>
      </c>
      <c r="Q146" t="s">
        <v>132</v>
      </c>
      <c r="R146" t="s">
        <v>133</v>
      </c>
      <c r="S146" t="s">
        <v>133</v>
      </c>
      <c r="T146" t="s">
        <v>133</v>
      </c>
      <c r="U146" t="s">
        <v>133</v>
      </c>
      <c r="V146" t="s">
        <v>133</v>
      </c>
      <c r="W146" t="s">
        <v>5</v>
      </c>
      <c r="X146">
        <v>0</v>
      </c>
      <c r="Y146" t="e">
        <f>_xlfn.XLOOKUP(C146,[1]Especificação!$G:$G,[1]Especificação!$C:$C)</f>
        <v>#N/A</v>
      </c>
    </row>
    <row r="147" spans="1:25" hidden="1" x14ac:dyDescent="0.3">
      <c r="A147" s="50" t="str">
        <f t="shared" si="9"/>
        <v>ENTITY_FLG_HGH_CDS</v>
      </c>
      <c r="B147" t="s">
        <v>142</v>
      </c>
      <c r="C147" t="s">
        <v>334</v>
      </c>
      <c r="D147" t="s">
        <v>14</v>
      </c>
      <c r="E147" t="s">
        <v>38</v>
      </c>
      <c r="F147" t="s">
        <v>130</v>
      </c>
      <c r="G147" t="s">
        <v>131</v>
      </c>
      <c r="I147" t="s">
        <v>26</v>
      </c>
      <c r="J147" s="15">
        <v>45450</v>
      </c>
      <c r="K147" t="s">
        <v>38</v>
      </c>
      <c r="L147" t="str">
        <f t="shared" si="8"/>
        <v>OK</v>
      </c>
      <c r="P147" t="s">
        <v>30</v>
      </c>
      <c r="Q147" t="s">
        <v>132</v>
      </c>
      <c r="R147" t="s">
        <v>133</v>
      </c>
      <c r="S147" t="s">
        <v>133</v>
      </c>
      <c r="T147" t="s">
        <v>133</v>
      </c>
      <c r="U147" t="s">
        <v>133</v>
      </c>
      <c r="V147" t="s">
        <v>133</v>
      </c>
      <c r="W147" t="s">
        <v>5</v>
      </c>
      <c r="X147">
        <v>0</v>
      </c>
      <c r="Y147" t="e">
        <f>_xlfn.XLOOKUP(C147,[1]Especificação!$G:$G,[1]Especificação!$C:$C)</f>
        <v>#N/A</v>
      </c>
    </row>
    <row r="148" spans="1:25" hidden="1" x14ac:dyDescent="0.3">
      <c r="A148" s="50" t="str">
        <f t="shared" si="9"/>
        <v>ENTITY_FLG_ISDA_CRDT_EVNT</v>
      </c>
      <c r="B148" t="s">
        <v>142</v>
      </c>
      <c r="C148" t="s">
        <v>335</v>
      </c>
      <c r="D148" t="s">
        <v>14</v>
      </c>
      <c r="E148" t="s">
        <v>38</v>
      </c>
      <c r="F148" t="s">
        <v>130</v>
      </c>
      <c r="G148" t="s">
        <v>131</v>
      </c>
      <c r="I148" t="s">
        <v>26</v>
      </c>
      <c r="J148" s="15">
        <v>45450</v>
      </c>
      <c r="K148" t="s">
        <v>38</v>
      </c>
      <c r="L148" t="str">
        <f t="shared" si="8"/>
        <v>OK</v>
      </c>
      <c r="P148" t="s">
        <v>30</v>
      </c>
      <c r="Q148" t="s">
        <v>132</v>
      </c>
      <c r="R148" t="s">
        <v>133</v>
      </c>
      <c r="S148" t="s">
        <v>133</v>
      </c>
      <c r="T148" t="s">
        <v>133</v>
      </c>
      <c r="U148" t="s">
        <v>133</v>
      </c>
      <c r="V148" t="s">
        <v>133</v>
      </c>
      <c r="W148" t="s">
        <v>5</v>
      </c>
      <c r="X148">
        <v>0</v>
      </c>
      <c r="Y148" t="e">
        <f>_xlfn.XLOOKUP(C148,[1]Especificação!$G:$G,[1]Especificação!$C:$C)</f>
        <v>#N/A</v>
      </c>
    </row>
    <row r="149" spans="1:25" hidden="1" x14ac:dyDescent="0.3">
      <c r="A149" s="50" t="str">
        <f t="shared" si="9"/>
        <v>INSTRUMENT_FLG_LBO</v>
      </c>
      <c r="B149" t="s">
        <v>128</v>
      </c>
      <c r="C149" t="s">
        <v>336</v>
      </c>
      <c r="D149" t="s">
        <v>6</v>
      </c>
      <c r="E149" t="s">
        <v>38</v>
      </c>
      <c r="F149" t="s">
        <v>130</v>
      </c>
      <c r="G149" t="s">
        <v>131</v>
      </c>
      <c r="I149" t="s">
        <v>26</v>
      </c>
      <c r="J149" s="15">
        <v>45450</v>
      </c>
      <c r="K149" t="s">
        <v>38</v>
      </c>
      <c r="L149" t="str">
        <f t="shared" si="8"/>
        <v>OK</v>
      </c>
      <c r="P149" t="s">
        <v>30</v>
      </c>
      <c r="Q149" t="s">
        <v>132</v>
      </c>
      <c r="R149" t="s">
        <v>133</v>
      </c>
      <c r="S149" t="s">
        <v>133</v>
      </c>
      <c r="T149" t="s">
        <v>133</v>
      </c>
      <c r="U149" t="s">
        <v>133</v>
      </c>
      <c r="V149" t="s">
        <v>132</v>
      </c>
      <c r="W149" t="s">
        <v>146</v>
      </c>
      <c r="X149" t="s">
        <v>211</v>
      </c>
      <c r="Y149" t="str">
        <f>_xlfn.XLOOKUP(C149,[1]Especificação!$G:$G,[1]Especificação!$C:$C)</f>
        <v>B2. Re-especificação de campos complexos - Resto</v>
      </c>
    </row>
    <row r="150" spans="1:25" hidden="1" x14ac:dyDescent="0.3">
      <c r="A150" s="50" t="str">
        <f t="shared" si="9"/>
        <v>ENTITY_FLG_NN_ACCRL</v>
      </c>
      <c r="B150" t="s">
        <v>142</v>
      </c>
      <c r="C150" t="s">
        <v>337</v>
      </c>
      <c r="D150" t="s">
        <v>14</v>
      </c>
      <c r="E150" t="s">
        <v>38</v>
      </c>
      <c r="F150" t="s">
        <v>130</v>
      </c>
      <c r="G150" t="s">
        <v>131</v>
      </c>
      <c r="I150" t="s">
        <v>26</v>
      </c>
      <c r="J150" s="15">
        <v>45450</v>
      </c>
      <c r="K150" t="s">
        <v>38</v>
      </c>
      <c r="L150" t="str">
        <f t="shared" si="8"/>
        <v>OK</v>
      </c>
      <c r="P150" t="s">
        <v>30</v>
      </c>
      <c r="Q150" t="s">
        <v>132</v>
      </c>
      <c r="R150" t="s">
        <v>133</v>
      </c>
      <c r="S150" t="s">
        <v>133</v>
      </c>
      <c r="T150" t="s">
        <v>133</v>
      </c>
      <c r="U150" t="s">
        <v>133</v>
      </c>
      <c r="V150" t="s">
        <v>133</v>
      </c>
      <c r="W150" t="s">
        <v>5</v>
      </c>
      <c r="X150">
        <v>0</v>
      </c>
      <c r="Y150" t="e">
        <f>_xlfn.XLOOKUP(C150,[1]Especificação!$G:$G,[1]Especificação!$C:$C)</f>
        <v>#N/A</v>
      </c>
    </row>
    <row r="151" spans="1:25" hidden="1" x14ac:dyDescent="0.3">
      <c r="A151" s="50" t="str">
        <f t="shared" si="9"/>
        <v>ENTITY_FLG_RQST_BNKRPTCY</v>
      </c>
      <c r="B151" t="s">
        <v>142</v>
      </c>
      <c r="C151" t="s">
        <v>338</v>
      </c>
      <c r="D151" t="s">
        <v>14</v>
      </c>
      <c r="E151" t="s">
        <v>38</v>
      </c>
      <c r="F151" t="s">
        <v>130</v>
      </c>
      <c r="G151" t="s">
        <v>131</v>
      </c>
      <c r="I151" t="s">
        <v>26</v>
      </c>
      <c r="J151" s="15">
        <v>45450</v>
      </c>
      <c r="K151" t="s">
        <v>38</v>
      </c>
      <c r="L151" t="str">
        <f t="shared" si="8"/>
        <v>OK</v>
      </c>
      <c r="P151" t="s">
        <v>30</v>
      </c>
      <c r="Q151" t="s">
        <v>132</v>
      </c>
      <c r="R151" t="s">
        <v>133</v>
      </c>
      <c r="S151" t="s">
        <v>133</v>
      </c>
      <c r="T151" t="s">
        <v>133</v>
      </c>
      <c r="U151" t="s">
        <v>133</v>
      </c>
      <c r="V151" t="s">
        <v>133</v>
      </c>
      <c r="W151" t="s">
        <v>5</v>
      </c>
      <c r="X151">
        <v>0</v>
      </c>
      <c r="Y151" t="e">
        <f>_xlfn.XLOOKUP(C151,[1]Especificação!$G:$G,[1]Especificação!$C:$C)</f>
        <v>#N/A</v>
      </c>
    </row>
    <row r="152" spans="1:25" hidden="1" x14ac:dyDescent="0.3">
      <c r="A152" s="50" t="str">
        <f t="shared" si="9"/>
        <v>ENTITY_FLG_RQST_DSTRSSD_RSTRCTRNG</v>
      </c>
      <c r="B152" t="s">
        <v>142</v>
      </c>
      <c r="C152" t="s">
        <v>339</v>
      </c>
      <c r="D152" t="s">
        <v>14</v>
      </c>
      <c r="E152" t="s">
        <v>20</v>
      </c>
      <c r="F152" t="s">
        <v>149</v>
      </c>
      <c r="G152" t="s">
        <v>340</v>
      </c>
      <c r="I152" t="s">
        <v>29</v>
      </c>
      <c r="J152" s="15">
        <v>45450</v>
      </c>
      <c r="K152" t="s">
        <v>20</v>
      </c>
      <c r="L152" t="str">
        <f t="shared" si="8"/>
        <v>NOK</v>
      </c>
      <c r="P152" t="s">
        <v>13</v>
      </c>
      <c r="Q152" t="s">
        <v>132</v>
      </c>
      <c r="R152" t="s">
        <v>133</v>
      </c>
      <c r="S152" t="s">
        <v>133</v>
      </c>
      <c r="T152" t="s">
        <v>133</v>
      </c>
      <c r="U152" t="s">
        <v>133</v>
      </c>
      <c r="V152" t="s">
        <v>133</v>
      </c>
      <c r="W152" t="s">
        <v>5</v>
      </c>
      <c r="X152">
        <v>0</v>
      </c>
      <c r="Y152" t="e">
        <f>_xlfn.XLOOKUP(C152,[1]Especificação!$G:$G,[1]Especificação!$C:$C)</f>
        <v>#N/A</v>
      </c>
    </row>
    <row r="153" spans="1:25" hidden="1" x14ac:dyDescent="0.3">
      <c r="A153" s="50" t="str">
        <f t="shared" si="9"/>
        <v>ENTITY_FLG_RQST_EMRGNCY_FNDNG</v>
      </c>
      <c r="B153" t="s">
        <v>142</v>
      </c>
      <c r="C153" t="s">
        <v>341</v>
      </c>
      <c r="D153" t="s">
        <v>14</v>
      </c>
      <c r="E153" t="s">
        <v>38</v>
      </c>
      <c r="F153" t="s">
        <v>130</v>
      </c>
      <c r="G153" t="s">
        <v>131</v>
      </c>
      <c r="I153" t="s">
        <v>29</v>
      </c>
      <c r="J153" s="15">
        <v>45450</v>
      </c>
      <c r="K153" t="s">
        <v>38</v>
      </c>
      <c r="L153" t="str">
        <f t="shared" si="8"/>
        <v>OK</v>
      </c>
      <c r="O153" s="15">
        <v>45952</v>
      </c>
      <c r="P153" t="s">
        <v>30</v>
      </c>
      <c r="Q153" t="s">
        <v>132</v>
      </c>
      <c r="R153" t="s">
        <v>133</v>
      </c>
      <c r="S153" t="s">
        <v>133</v>
      </c>
      <c r="T153" t="s">
        <v>133</v>
      </c>
      <c r="U153" t="s">
        <v>133</v>
      </c>
      <c r="V153" t="s">
        <v>132</v>
      </c>
      <c r="W153" t="s">
        <v>5</v>
      </c>
      <c r="X153" t="s">
        <v>135</v>
      </c>
      <c r="Y153" t="str">
        <f>_xlfn.XLOOKUP(C153,[1]Especificação!$G:$G,[1]Especificação!$C:$C)</f>
        <v>A. Novos Campos</v>
      </c>
    </row>
    <row r="154" spans="1:25" hidden="1" x14ac:dyDescent="0.3">
      <c r="A154" s="50" t="str">
        <f t="shared" si="9"/>
        <v>ENTITY_FLG_SLL_WTH_LSS</v>
      </c>
      <c r="B154" t="s">
        <v>142</v>
      </c>
      <c r="C154" t="s">
        <v>342</v>
      </c>
      <c r="D154" t="s">
        <v>14</v>
      </c>
      <c r="E154" t="s">
        <v>38</v>
      </c>
      <c r="F154" t="s">
        <v>130</v>
      </c>
      <c r="G154" t="s">
        <v>131</v>
      </c>
      <c r="I154" t="s">
        <v>26</v>
      </c>
      <c r="J154" s="15">
        <v>45450</v>
      </c>
      <c r="K154" t="s">
        <v>38</v>
      </c>
      <c r="L154" t="str">
        <f t="shared" si="8"/>
        <v>OK</v>
      </c>
      <c r="P154" t="s">
        <v>30</v>
      </c>
      <c r="Q154" t="s">
        <v>132</v>
      </c>
      <c r="R154" t="s">
        <v>133</v>
      </c>
      <c r="S154" t="s">
        <v>133</v>
      </c>
      <c r="T154" t="s">
        <v>133</v>
      </c>
      <c r="U154" t="s">
        <v>133</v>
      </c>
      <c r="V154" t="s">
        <v>133</v>
      </c>
      <c r="W154" t="s">
        <v>5</v>
      </c>
      <c r="X154">
        <v>0</v>
      </c>
      <c r="Y154" t="e">
        <f>_xlfn.XLOOKUP(C154,[1]Especificação!$G:$G,[1]Especificação!$C:$C)</f>
        <v>#N/A</v>
      </c>
    </row>
    <row r="155" spans="1:25" hidden="1" x14ac:dyDescent="0.3">
      <c r="A155" s="50" t="str">
        <f t="shared" si="9"/>
        <v>ENTITY_FR_CSH_FLW</v>
      </c>
      <c r="B155" t="s">
        <v>142</v>
      </c>
      <c r="C155" t="s">
        <v>343</v>
      </c>
      <c r="D155" t="s">
        <v>14</v>
      </c>
      <c r="E155" t="s">
        <v>20</v>
      </c>
      <c r="F155" t="s">
        <v>130</v>
      </c>
      <c r="G155" t="s">
        <v>235</v>
      </c>
      <c r="I155" t="s">
        <v>29</v>
      </c>
      <c r="J155" s="15">
        <v>45450</v>
      </c>
      <c r="K155" t="s">
        <v>20</v>
      </c>
      <c r="L155" t="str">
        <f t="shared" si="8"/>
        <v>OK</v>
      </c>
      <c r="P155" t="s">
        <v>19</v>
      </c>
      <c r="Q155" t="s">
        <v>132</v>
      </c>
      <c r="R155" t="s">
        <v>133</v>
      </c>
      <c r="S155" t="s">
        <v>133</v>
      </c>
      <c r="T155" t="s">
        <v>133</v>
      </c>
      <c r="U155" t="s">
        <v>133</v>
      </c>
      <c r="V155" t="s">
        <v>132</v>
      </c>
      <c r="W155" t="s">
        <v>138</v>
      </c>
      <c r="X155" t="s">
        <v>153</v>
      </c>
      <c r="Y155" t="str">
        <f>_xlfn.XLOOKUP(C155,[1]Especificação!$G:$G,[1]Especificação!$C:$C)</f>
        <v>B2. Re-especificação de campos complexos - Resto</v>
      </c>
    </row>
    <row r="156" spans="1:25" hidden="1" x14ac:dyDescent="0.3">
      <c r="A156" s="50" t="str">
        <f t="shared" si="9"/>
        <v>ENTITY_FR_CSH_FLW_T1</v>
      </c>
      <c r="B156" t="s">
        <v>142</v>
      </c>
      <c r="C156" t="s">
        <v>344</v>
      </c>
      <c r="D156" t="s">
        <v>14</v>
      </c>
      <c r="E156" t="s">
        <v>20</v>
      </c>
      <c r="F156" t="s">
        <v>130</v>
      </c>
      <c r="G156" t="s">
        <v>235</v>
      </c>
      <c r="I156" t="s">
        <v>29</v>
      </c>
      <c r="J156" s="15">
        <v>45450</v>
      </c>
      <c r="K156" t="s">
        <v>20</v>
      </c>
      <c r="L156" t="str">
        <f t="shared" si="8"/>
        <v>OK</v>
      </c>
      <c r="P156" t="s">
        <v>19</v>
      </c>
      <c r="Q156" t="s">
        <v>132</v>
      </c>
      <c r="R156" t="s">
        <v>133</v>
      </c>
      <c r="S156" t="s">
        <v>133</v>
      </c>
      <c r="T156" t="s">
        <v>133</v>
      </c>
      <c r="U156" t="s">
        <v>133</v>
      </c>
      <c r="V156" t="s">
        <v>132</v>
      </c>
      <c r="W156" t="s">
        <v>138</v>
      </c>
      <c r="X156" t="s">
        <v>153</v>
      </c>
      <c r="Y156" t="str">
        <f>_xlfn.XLOOKUP(C156,[1]Especificação!$G:$G,[1]Especificação!$C:$C)</f>
        <v>B2. Re-especificação de campos complexos - Resto</v>
      </c>
    </row>
    <row r="157" spans="1:25" hidden="1" x14ac:dyDescent="0.3">
      <c r="A157" s="50" t="str">
        <f t="shared" si="9"/>
        <v>ENTITY_FR_CSH_FLW_T2</v>
      </c>
      <c r="B157" t="s">
        <v>142</v>
      </c>
      <c r="C157" t="s">
        <v>345</v>
      </c>
      <c r="D157" t="s">
        <v>14</v>
      </c>
      <c r="E157" t="s">
        <v>20</v>
      </c>
      <c r="F157" t="s">
        <v>130</v>
      </c>
      <c r="G157" t="s">
        <v>235</v>
      </c>
      <c r="I157" t="s">
        <v>29</v>
      </c>
      <c r="J157" s="15">
        <v>45450</v>
      </c>
      <c r="K157" t="s">
        <v>20</v>
      </c>
      <c r="L157" t="str">
        <f t="shared" ref="L157:L188" si="10">F157</f>
        <v>OK</v>
      </c>
      <c r="P157" t="s">
        <v>19</v>
      </c>
      <c r="Q157" t="s">
        <v>132</v>
      </c>
      <c r="R157" t="s">
        <v>133</v>
      </c>
      <c r="S157" t="s">
        <v>133</v>
      </c>
      <c r="T157" t="s">
        <v>133</v>
      </c>
      <c r="U157" t="s">
        <v>133</v>
      </c>
      <c r="V157" t="s">
        <v>132</v>
      </c>
      <c r="W157" t="s">
        <v>138</v>
      </c>
      <c r="X157" t="s">
        <v>153</v>
      </c>
      <c r="Y157" t="str">
        <f>_xlfn.XLOOKUP(C157,[1]Especificação!$G:$G,[1]Especificação!$C:$C)</f>
        <v>B2. Re-especificação de campos complexos - Resto</v>
      </c>
    </row>
    <row r="158" spans="1:25" hidden="1" x14ac:dyDescent="0.3">
      <c r="A158" s="50" t="str">
        <f t="shared" si="9"/>
        <v>ENTITY_FR_CSH_FLW_T3</v>
      </c>
      <c r="B158" t="s">
        <v>142</v>
      </c>
      <c r="C158" t="s">
        <v>346</v>
      </c>
      <c r="D158" t="s">
        <v>14</v>
      </c>
      <c r="E158" t="s">
        <v>20</v>
      </c>
      <c r="F158" t="s">
        <v>130</v>
      </c>
      <c r="G158" t="s">
        <v>235</v>
      </c>
      <c r="I158" t="s">
        <v>29</v>
      </c>
      <c r="J158" s="15">
        <v>45450</v>
      </c>
      <c r="K158" t="s">
        <v>20</v>
      </c>
      <c r="L158" t="str">
        <f t="shared" si="10"/>
        <v>OK</v>
      </c>
      <c r="P158" t="s">
        <v>19</v>
      </c>
      <c r="Q158" t="s">
        <v>132</v>
      </c>
      <c r="R158" t="s">
        <v>133</v>
      </c>
      <c r="S158" t="s">
        <v>133</v>
      </c>
      <c r="T158" t="s">
        <v>133</v>
      </c>
      <c r="U158" t="s">
        <v>133</v>
      </c>
      <c r="V158" t="s">
        <v>132</v>
      </c>
      <c r="W158" t="s">
        <v>138</v>
      </c>
      <c r="X158" t="s">
        <v>153</v>
      </c>
      <c r="Y158" t="str">
        <f>_xlfn.XLOOKUP(C158,[1]Especificação!$G:$G,[1]Especificação!$C:$C)</f>
        <v>B2. Re-especificação de campos complexos - Resto</v>
      </c>
    </row>
    <row r="159" spans="1:25" hidden="1" x14ac:dyDescent="0.3">
      <c r="A159" s="50" t="str">
        <f t="shared" si="9"/>
        <v>INSTRUMENT_FRBRNC_STTS_C19</v>
      </c>
      <c r="B159" t="s">
        <v>128</v>
      </c>
      <c r="C159" t="s">
        <v>347</v>
      </c>
      <c r="D159" t="s">
        <v>6</v>
      </c>
      <c r="E159" t="s">
        <v>38</v>
      </c>
      <c r="F159" t="s">
        <v>130</v>
      </c>
      <c r="G159" t="s">
        <v>131</v>
      </c>
      <c r="I159" t="s">
        <v>26</v>
      </c>
      <c r="J159" s="15">
        <v>45450</v>
      </c>
      <c r="K159" t="s">
        <v>38</v>
      </c>
      <c r="L159" t="str">
        <f t="shared" si="10"/>
        <v>OK</v>
      </c>
      <c r="P159" t="s">
        <v>30</v>
      </c>
      <c r="Q159" t="s">
        <v>132</v>
      </c>
      <c r="R159" t="s">
        <v>133</v>
      </c>
      <c r="S159" t="s">
        <v>133</v>
      </c>
      <c r="T159" t="s">
        <v>133</v>
      </c>
      <c r="U159" t="s">
        <v>133</v>
      </c>
      <c r="V159" t="s">
        <v>133</v>
      </c>
      <c r="W159" t="s">
        <v>5</v>
      </c>
      <c r="X159">
        <v>0</v>
      </c>
      <c r="Y159" t="e">
        <f>_xlfn.XLOOKUP(C159,[1]Especificação!$G:$G,[1]Especificação!$C:$C)</f>
        <v>#N/A</v>
      </c>
    </row>
    <row r="160" spans="1:25" hidden="1" x14ac:dyDescent="0.3">
      <c r="A160" s="50" t="str">
        <f t="shared" si="9"/>
        <v>ENTITY_EXTRNL_RTNG</v>
      </c>
      <c r="B160" t="s">
        <v>142</v>
      </c>
      <c r="C160" s="10" t="s">
        <v>348</v>
      </c>
      <c r="D160" t="s">
        <v>14</v>
      </c>
      <c r="E160" t="s">
        <v>25</v>
      </c>
      <c r="F160" t="s">
        <v>130</v>
      </c>
      <c r="G160" t="s">
        <v>326</v>
      </c>
      <c r="H160" t="s">
        <v>327</v>
      </c>
      <c r="I160" t="s">
        <v>32</v>
      </c>
      <c r="J160" s="15">
        <v>45450</v>
      </c>
      <c r="K160" t="s">
        <v>25</v>
      </c>
      <c r="L160" t="str">
        <f t="shared" si="10"/>
        <v>OK</v>
      </c>
      <c r="P160" t="s">
        <v>34</v>
      </c>
      <c r="Q160" t="s">
        <v>132</v>
      </c>
      <c r="R160" t="s">
        <v>133</v>
      </c>
      <c r="S160" t="s">
        <v>133</v>
      </c>
      <c r="T160" t="s">
        <v>133</v>
      </c>
      <c r="U160" t="s">
        <v>133</v>
      </c>
      <c r="V160" t="s">
        <v>132</v>
      </c>
      <c r="W160" t="s">
        <v>138</v>
      </c>
      <c r="X160" t="s">
        <v>153</v>
      </c>
      <c r="Y160" t="str">
        <f>_xlfn.XLOOKUP(C160,[1]Especificação!$G:$G,[1]Especificação!$C:$C)</f>
        <v>B2. Re-especificação de campos complexos - Resto</v>
      </c>
    </row>
    <row r="161" spans="1:25" hidden="1" x14ac:dyDescent="0.3">
      <c r="A161" s="50" t="str">
        <f t="shared" si="9"/>
        <v>ENTITY_GCC_PRNT_ID</v>
      </c>
      <c r="B161" t="s">
        <v>142</v>
      </c>
      <c r="C161" t="s">
        <v>349</v>
      </c>
      <c r="D161" t="s">
        <v>14</v>
      </c>
      <c r="E161" t="s">
        <v>38</v>
      </c>
      <c r="F161" t="s">
        <v>130</v>
      </c>
      <c r="G161" t="s">
        <v>131</v>
      </c>
      <c r="I161" t="s">
        <v>26</v>
      </c>
      <c r="J161" s="15">
        <v>45450</v>
      </c>
      <c r="K161" t="s">
        <v>38</v>
      </c>
      <c r="L161" t="str">
        <f t="shared" si="10"/>
        <v>OK</v>
      </c>
      <c r="P161" t="s">
        <v>30</v>
      </c>
      <c r="Q161" t="s">
        <v>132</v>
      </c>
      <c r="R161" t="s">
        <v>133</v>
      </c>
      <c r="S161" t="s">
        <v>133</v>
      </c>
      <c r="T161" t="s">
        <v>133</v>
      </c>
      <c r="U161" t="s">
        <v>133</v>
      </c>
      <c r="V161" t="s">
        <v>132</v>
      </c>
      <c r="W161" t="s">
        <v>5</v>
      </c>
      <c r="X161" t="s">
        <v>135</v>
      </c>
      <c r="Y161" t="str">
        <f>_xlfn.XLOOKUP(C161,[1]Especificação!$G:$G,[1]Especificação!$C:$C)</f>
        <v>F1. Fora âmbito | Campos concluídos - Sem necessidade de espec.</v>
      </c>
    </row>
    <row r="162" spans="1:25" hidden="1" x14ac:dyDescent="0.3">
      <c r="A162" s="50" t="str">
        <f t="shared" si="9"/>
        <v>ENTITY_GCC_PRNT_NM</v>
      </c>
      <c r="B162" t="s">
        <v>142</v>
      </c>
      <c r="C162" t="s">
        <v>350</v>
      </c>
      <c r="D162" t="s">
        <v>14</v>
      </c>
      <c r="E162" t="s">
        <v>38</v>
      </c>
      <c r="F162" t="s">
        <v>130</v>
      </c>
      <c r="G162" t="s">
        <v>131</v>
      </c>
      <c r="I162" t="s">
        <v>26</v>
      </c>
      <c r="J162" s="15">
        <v>45450</v>
      </c>
      <c r="K162" t="s">
        <v>38</v>
      </c>
      <c r="L162" t="str">
        <f t="shared" si="10"/>
        <v>OK</v>
      </c>
      <c r="P162" t="s">
        <v>30</v>
      </c>
      <c r="Q162" t="s">
        <v>132</v>
      </c>
      <c r="R162" t="s">
        <v>133</v>
      </c>
      <c r="S162" t="s">
        <v>133</v>
      </c>
      <c r="T162" t="s">
        <v>133</v>
      </c>
      <c r="U162" t="s">
        <v>133</v>
      </c>
      <c r="V162" t="s">
        <v>132</v>
      </c>
      <c r="W162" t="s">
        <v>5</v>
      </c>
      <c r="X162" t="s">
        <v>135</v>
      </c>
      <c r="Y162" t="str">
        <f>_xlfn.XLOOKUP(C162,[1]Especificação!$G:$G,[1]Especificação!$C:$C)</f>
        <v>F1. Fora âmbito | Campos concluídos - Sem necessidade de espec.</v>
      </c>
    </row>
    <row r="163" spans="1:25" hidden="1" x14ac:dyDescent="0.3">
      <c r="A163" s="50" t="str">
        <f t="shared" si="9"/>
        <v>ENTITY_GDWILL</v>
      </c>
      <c r="B163" t="s">
        <v>142</v>
      </c>
      <c r="C163" t="s">
        <v>351</v>
      </c>
      <c r="D163" t="s">
        <v>14</v>
      </c>
      <c r="E163" t="s">
        <v>38</v>
      </c>
      <c r="F163" t="s">
        <v>130</v>
      </c>
      <c r="G163" t="s">
        <v>131</v>
      </c>
      <c r="I163" t="s">
        <v>26</v>
      </c>
      <c r="J163" s="15">
        <v>45450</v>
      </c>
      <c r="K163" t="s">
        <v>38</v>
      </c>
      <c r="L163" t="str">
        <f t="shared" si="10"/>
        <v>OK</v>
      </c>
      <c r="P163" t="s">
        <v>30</v>
      </c>
      <c r="Q163" t="s">
        <v>132</v>
      </c>
      <c r="R163" t="s">
        <v>133</v>
      </c>
      <c r="S163" t="s">
        <v>133</v>
      </c>
      <c r="T163" t="s">
        <v>133</v>
      </c>
      <c r="U163" t="s">
        <v>133</v>
      </c>
      <c r="V163" t="s">
        <v>133</v>
      </c>
      <c r="W163" t="s">
        <v>5</v>
      </c>
      <c r="X163">
        <v>0</v>
      </c>
      <c r="Y163" t="e">
        <f>_xlfn.XLOOKUP(C163,[1]Especificação!$G:$G,[1]Especificação!$C:$C)</f>
        <v>#N/A</v>
      </c>
    </row>
    <row r="164" spans="1:25" hidden="1" x14ac:dyDescent="0.3">
      <c r="A164" s="50" t="str">
        <f t="shared" si="9"/>
        <v>ENTITY_GDWILL_PRVS</v>
      </c>
      <c r="B164" t="s">
        <v>142</v>
      </c>
      <c r="C164" t="s">
        <v>352</v>
      </c>
      <c r="D164" t="s">
        <v>14</v>
      </c>
      <c r="E164" t="s">
        <v>38</v>
      </c>
      <c r="F164" t="s">
        <v>130</v>
      </c>
      <c r="G164" t="s">
        <v>131</v>
      </c>
      <c r="I164" t="s">
        <v>26</v>
      </c>
      <c r="J164" s="15">
        <v>45450</v>
      </c>
      <c r="K164" t="s">
        <v>38</v>
      </c>
      <c r="L164" t="str">
        <f t="shared" si="10"/>
        <v>OK</v>
      </c>
      <c r="P164" t="s">
        <v>30</v>
      </c>
      <c r="Q164" t="s">
        <v>132</v>
      </c>
      <c r="R164" t="s">
        <v>133</v>
      </c>
      <c r="S164" t="s">
        <v>133</v>
      </c>
      <c r="T164" t="s">
        <v>133</v>
      </c>
      <c r="U164" t="s">
        <v>133</v>
      </c>
      <c r="V164" t="s">
        <v>133</v>
      </c>
      <c r="W164" t="s">
        <v>5</v>
      </c>
      <c r="X164">
        <v>0</v>
      </c>
      <c r="Y164" t="e">
        <f>_xlfn.XLOOKUP(C164,[1]Especificação!$G:$G,[1]Especificação!$C:$C)</f>
        <v>#N/A</v>
      </c>
    </row>
    <row r="165" spans="1:25" hidden="1" x14ac:dyDescent="0.3">
      <c r="A165" s="50" t="str">
        <f t="shared" si="9"/>
        <v>INSTRUMENT_GRC_PRD_CPTL_INTRST_C19</v>
      </c>
      <c r="B165" t="s">
        <v>128</v>
      </c>
      <c r="C165" t="s">
        <v>353</v>
      </c>
      <c r="D165" t="s">
        <v>6</v>
      </c>
      <c r="E165" t="s">
        <v>38</v>
      </c>
      <c r="F165" t="s">
        <v>130</v>
      </c>
      <c r="G165" t="s">
        <v>131</v>
      </c>
      <c r="I165" t="s">
        <v>26</v>
      </c>
      <c r="J165" s="15">
        <v>45450</v>
      </c>
      <c r="K165" t="s">
        <v>38</v>
      </c>
      <c r="L165" t="str">
        <f t="shared" si="10"/>
        <v>OK</v>
      </c>
      <c r="P165" t="s">
        <v>30</v>
      </c>
      <c r="Q165" t="s">
        <v>132</v>
      </c>
      <c r="R165" t="s">
        <v>133</v>
      </c>
      <c r="S165" t="s">
        <v>133</v>
      </c>
      <c r="T165" t="s">
        <v>133</v>
      </c>
      <c r="U165" t="s">
        <v>133</v>
      </c>
      <c r="V165" t="s">
        <v>133</v>
      </c>
      <c r="W165" t="s">
        <v>5</v>
      </c>
      <c r="X165">
        <v>0</v>
      </c>
      <c r="Y165" t="e">
        <f>_xlfn.XLOOKUP(C165,[1]Especificação!$G:$G,[1]Especificação!$C:$C)</f>
        <v>#N/A</v>
      </c>
    </row>
    <row r="166" spans="1:25" hidden="1" x14ac:dyDescent="0.3">
      <c r="A166" s="50" t="str">
        <f t="shared" si="9"/>
        <v>INSTRUMENT_GRNTR_ID</v>
      </c>
      <c r="B166" t="s">
        <v>128</v>
      </c>
      <c r="C166" t="s">
        <v>354</v>
      </c>
      <c r="D166" t="s">
        <v>6</v>
      </c>
      <c r="E166" t="s">
        <v>38</v>
      </c>
      <c r="F166" t="s">
        <v>130</v>
      </c>
      <c r="G166" t="s">
        <v>131</v>
      </c>
      <c r="I166" t="s">
        <v>26</v>
      </c>
      <c r="J166" s="15">
        <v>45450</v>
      </c>
      <c r="K166" t="s">
        <v>38</v>
      </c>
      <c r="L166" t="str">
        <f t="shared" si="10"/>
        <v>OK</v>
      </c>
      <c r="P166" t="s">
        <v>30</v>
      </c>
      <c r="Q166" t="s">
        <v>132</v>
      </c>
      <c r="R166" t="s">
        <v>133</v>
      </c>
      <c r="S166" t="s">
        <v>133</v>
      </c>
      <c r="T166" t="s">
        <v>133</v>
      </c>
      <c r="U166" t="s">
        <v>133</v>
      </c>
      <c r="V166" t="s">
        <v>133</v>
      </c>
      <c r="W166" t="s">
        <v>5</v>
      </c>
      <c r="X166">
        <v>0</v>
      </c>
      <c r="Y166" t="e">
        <f>_xlfn.XLOOKUP(C166,[1]Especificação!$G:$G,[1]Especificação!$C:$C)</f>
        <v>#N/A</v>
      </c>
    </row>
    <row r="167" spans="1:25" hidden="1" x14ac:dyDescent="0.3">
      <c r="A167" s="50" t="str">
        <f t="shared" si="9"/>
        <v>INSTRUMENT_GRNTR_ID_TYP</v>
      </c>
      <c r="B167" t="s">
        <v>128</v>
      </c>
      <c r="C167" t="s">
        <v>355</v>
      </c>
      <c r="D167" t="s">
        <v>6</v>
      </c>
      <c r="E167" t="s">
        <v>38</v>
      </c>
      <c r="F167" t="s">
        <v>130</v>
      </c>
      <c r="G167" t="s">
        <v>131</v>
      </c>
      <c r="I167" t="s">
        <v>26</v>
      </c>
      <c r="J167" s="15">
        <v>45450</v>
      </c>
      <c r="K167" t="s">
        <v>38</v>
      </c>
      <c r="L167" t="str">
        <f t="shared" si="10"/>
        <v>OK</v>
      </c>
      <c r="P167" t="s">
        <v>30</v>
      </c>
      <c r="Q167" t="s">
        <v>132</v>
      </c>
      <c r="R167" t="s">
        <v>133</v>
      </c>
      <c r="S167" t="s">
        <v>133</v>
      </c>
      <c r="T167" t="s">
        <v>133</v>
      </c>
      <c r="U167" t="s">
        <v>133</v>
      </c>
      <c r="V167" t="s">
        <v>133</v>
      </c>
      <c r="W167" t="s">
        <v>5</v>
      </c>
      <c r="X167">
        <v>0</v>
      </c>
      <c r="Y167" t="e">
        <f>_xlfn.XLOOKUP(C167,[1]Especificação!$G:$G,[1]Especificação!$C:$C)</f>
        <v>#N/A</v>
      </c>
    </row>
    <row r="168" spans="1:25" hidden="1" x14ac:dyDescent="0.3">
      <c r="A168" s="50" t="str">
        <f t="shared" si="9"/>
        <v>ENTITY_GRP_EBITDA</v>
      </c>
      <c r="B168" t="s">
        <v>142</v>
      </c>
      <c r="C168" t="s">
        <v>356</v>
      </c>
      <c r="D168" t="s">
        <v>14</v>
      </c>
      <c r="E168" t="s">
        <v>38</v>
      </c>
      <c r="F168" t="s">
        <v>130</v>
      </c>
      <c r="G168" t="s">
        <v>131</v>
      </c>
      <c r="I168" t="s">
        <v>26</v>
      </c>
      <c r="J168" s="15">
        <v>45450</v>
      </c>
      <c r="K168" t="s">
        <v>38</v>
      </c>
      <c r="L168" t="str">
        <f t="shared" si="10"/>
        <v>OK</v>
      </c>
      <c r="P168" t="s">
        <v>30</v>
      </c>
      <c r="Q168" t="s">
        <v>132</v>
      </c>
      <c r="R168" t="s">
        <v>133</v>
      </c>
      <c r="S168" t="s">
        <v>133</v>
      </c>
      <c r="T168" t="s">
        <v>133</v>
      </c>
      <c r="U168" t="s">
        <v>133</v>
      </c>
      <c r="V168" t="s">
        <v>132</v>
      </c>
      <c r="W168" t="s">
        <v>5</v>
      </c>
      <c r="X168" t="s">
        <v>135</v>
      </c>
      <c r="Y168" t="str">
        <f>_xlfn.XLOOKUP(C168,[1]Especificação!$G:$G,[1]Especificação!$C:$C)</f>
        <v>F1. Fora âmbito | Campos concluídos - Sem necessidade de espec.</v>
      </c>
    </row>
    <row r="169" spans="1:25" hidden="1" x14ac:dyDescent="0.3">
      <c r="A169" s="50" t="str">
        <f t="shared" si="9"/>
        <v>ENTITY_GRP_EQTY</v>
      </c>
      <c r="B169" t="s">
        <v>142</v>
      </c>
      <c r="C169" t="s">
        <v>357</v>
      </c>
      <c r="D169" t="s">
        <v>14</v>
      </c>
      <c r="E169" t="s">
        <v>38</v>
      </c>
      <c r="F169" t="s">
        <v>130</v>
      </c>
      <c r="G169" t="s">
        <v>131</v>
      </c>
      <c r="I169" t="s">
        <v>26</v>
      </c>
      <c r="J169" s="15">
        <v>45450</v>
      </c>
      <c r="K169" t="s">
        <v>38</v>
      </c>
      <c r="L169" t="str">
        <f t="shared" si="10"/>
        <v>OK</v>
      </c>
      <c r="P169" t="s">
        <v>30</v>
      </c>
      <c r="Q169" t="s">
        <v>132</v>
      </c>
      <c r="R169" t="s">
        <v>133</v>
      </c>
      <c r="S169" t="s">
        <v>132</v>
      </c>
      <c r="T169" t="s">
        <v>133</v>
      </c>
      <c r="U169" t="s">
        <v>133</v>
      </c>
      <c r="V169" t="s">
        <v>132</v>
      </c>
      <c r="W169" t="s">
        <v>5</v>
      </c>
      <c r="X169" t="s">
        <v>135</v>
      </c>
      <c r="Y169" t="str">
        <f>_xlfn.XLOOKUP(C169,[1]Especificação!$G:$G,[1]Especificação!$C:$C)</f>
        <v>F1. Fora âmbito | Campos concluídos - Sem necessidade de espec.</v>
      </c>
    </row>
    <row r="170" spans="1:25" hidden="1" x14ac:dyDescent="0.3">
      <c r="A170" s="50" t="str">
        <f t="shared" si="9"/>
        <v>ENTITY_GRP_NT_DBT</v>
      </c>
      <c r="B170" t="s">
        <v>142</v>
      </c>
      <c r="C170" t="s">
        <v>358</v>
      </c>
      <c r="D170" t="s">
        <v>14</v>
      </c>
      <c r="E170" t="s">
        <v>38</v>
      </c>
      <c r="F170" t="s">
        <v>130</v>
      </c>
      <c r="G170" t="s">
        <v>131</v>
      </c>
      <c r="I170" t="s">
        <v>26</v>
      </c>
      <c r="J170" s="15">
        <v>45450</v>
      </c>
      <c r="K170" t="s">
        <v>38</v>
      </c>
      <c r="L170" t="str">
        <f t="shared" si="10"/>
        <v>OK</v>
      </c>
      <c r="P170" t="s">
        <v>30</v>
      </c>
      <c r="Q170" t="s">
        <v>132</v>
      </c>
      <c r="R170" t="s">
        <v>133</v>
      </c>
      <c r="S170" t="s">
        <v>133</v>
      </c>
      <c r="T170" t="s">
        <v>133</v>
      </c>
      <c r="U170" t="s">
        <v>133</v>
      </c>
      <c r="V170" t="s">
        <v>132</v>
      </c>
      <c r="W170" t="s">
        <v>5</v>
      </c>
      <c r="X170" t="s">
        <v>135</v>
      </c>
      <c r="Y170" t="str">
        <f>_xlfn.XLOOKUP(C170,[1]Especificação!$G:$G,[1]Especificação!$C:$C)</f>
        <v>F1. Fora âmbito | Campos concluídos - Sem necessidade de espec.</v>
      </c>
    </row>
    <row r="171" spans="1:25" hidden="1" x14ac:dyDescent="0.3">
      <c r="A171" s="50" t="str">
        <f t="shared" si="9"/>
        <v>ENTITY_GRP_TTL_DBT</v>
      </c>
      <c r="B171" t="s">
        <v>142</v>
      </c>
      <c r="C171" t="s">
        <v>359</v>
      </c>
      <c r="D171" t="s">
        <v>6</v>
      </c>
      <c r="E171" t="s">
        <v>25</v>
      </c>
      <c r="F171" t="s">
        <v>130</v>
      </c>
      <c r="G171" t="s">
        <v>144</v>
      </c>
      <c r="H171" t="s">
        <v>145</v>
      </c>
      <c r="I171" t="s">
        <v>29</v>
      </c>
      <c r="J171" s="15">
        <v>45450</v>
      </c>
      <c r="K171" t="s">
        <v>25</v>
      </c>
      <c r="L171" t="str">
        <f t="shared" si="10"/>
        <v>OK</v>
      </c>
      <c r="P171" t="s">
        <v>13</v>
      </c>
      <c r="Q171" t="s">
        <v>132</v>
      </c>
      <c r="R171" t="s">
        <v>133</v>
      </c>
      <c r="S171" t="s">
        <v>132</v>
      </c>
      <c r="T171" t="s">
        <v>133</v>
      </c>
      <c r="U171" t="s">
        <v>133</v>
      </c>
      <c r="V171" t="s">
        <v>133</v>
      </c>
      <c r="W171" t="s">
        <v>5</v>
      </c>
      <c r="X171">
        <v>0</v>
      </c>
      <c r="Y171" t="e">
        <f>_xlfn.XLOOKUP(C171,[1]Especificação!$G:$G,[1]Especificação!$C:$C)</f>
        <v>#N/A</v>
      </c>
    </row>
    <row r="172" spans="1:25" hidden="1" x14ac:dyDescent="0.3">
      <c r="A172" s="50" t="str">
        <f t="shared" si="9"/>
        <v>INSTRUMENT_GRSS_CRRYNG_AMNT_INSTRMNT</v>
      </c>
      <c r="B172" t="s">
        <v>128</v>
      </c>
      <c r="C172" t="s">
        <v>360</v>
      </c>
      <c r="D172" t="s">
        <v>14</v>
      </c>
      <c r="E172" t="s">
        <v>38</v>
      </c>
      <c r="F172" t="s">
        <v>130</v>
      </c>
      <c r="G172" t="s">
        <v>131</v>
      </c>
      <c r="I172" t="s">
        <v>26</v>
      </c>
      <c r="J172" s="15">
        <v>45450</v>
      </c>
      <c r="K172" t="s">
        <v>38</v>
      </c>
      <c r="L172" t="str">
        <f t="shared" si="10"/>
        <v>OK</v>
      </c>
      <c r="P172" t="s">
        <v>30</v>
      </c>
      <c r="Q172" t="s">
        <v>132</v>
      </c>
      <c r="R172" t="s">
        <v>132</v>
      </c>
      <c r="S172" t="s">
        <v>132</v>
      </c>
      <c r="T172" t="s">
        <v>133</v>
      </c>
      <c r="U172" t="s">
        <v>132</v>
      </c>
      <c r="V172" t="s">
        <v>132</v>
      </c>
      <c r="W172" t="s">
        <v>5</v>
      </c>
      <c r="X172" t="s">
        <v>135</v>
      </c>
      <c r="Y172" t="str">
        <f>_xlfn.XLOOKUP(C172,[1]Especificação!$G:$G,[1]Especificação!$C:$C)</f>
        <v>F1. Fora âmbito | Campos concluídos - Sem necessidade de espec.</v>
      </c>
    </row>
    <row r="173" spans="1:25" hidden="1" x14ac:dyDescent="0.3">
      <c r="A173" s="50" t="str">
        <f t="shared" si="9"/>
        <v>INSTRUMENT_HEDGE_ID</v>
      </c>
      <c r="B173" t="s">
        <v>128</v>
      </c>
      <c r="C173" t="s">
        <v>361</v>
      </c>
      <c r="D173" t="s">
        <v>6</v>
      </c>
      <c r="E173" t="s">
        <v>38</v>
      </c>
      <c r="F173" t="s">
        <v>130</v>
      </c>
      <c r="G173" t="s">
        <v>131</v>
      </c>
      <c r="I173" t="s">
        <v>26</v>
      </c>
      <c r="J173" s="15">
        <v>45450</v>
      </c>
      <c r="K173" t="s">
        <v>38</v>
      </c>
      <c r="L173" t="str">
        <f t="shared" si="10"/>
        <v>OK</v>
      </c>
      <c r="P173" t="s">
        <v>30</v>
      </c>
      <c r="Q173" t="s">
        <v>132</v>
      </c>
      <c r="R173" t="s">
        <v>133</v>
      </c>
      <c r="S173" t="s">
        <v>133</v>
      </c>
      <c r="T173" t="s">
        <v>133</v>
      </c>
      <c r="U173" t="s">
        <v>133</v>
      </c>
      <c r="V173" t="s">
        <v>133</v>
      </c>
      <c r="W173" t="s">
        <v>5</v>
      </c>
      <c r="X173">
        <v>0</v>
      </c>
      <c r="Y173" t="e">
        <f>_xlfn.XLOOKUP(C173,[1]Especificação!$G:$G,[1]Especificação!$C:$C)</f>
        <v>#N/A</v>
      </c>
    </row>
    <row r="174" spans="1:25" hidden="1" x14ac:dyDescent="0.3">
      <c r="A174" s="50" t="str">
        <f t="shared" si="9"/>
        <v>PROTECTION_HRCT_MV</v>
      </c>
      <c r="B174" t="s">
        <v>161</v>
      </c>
      <c r="C174" t="s">
        <v>362</v>
      </c>
      <c r="D174" t="s">
        <v>14</v>
      </c>
      <c r="E174" t="s">
        <v>38</v>
      </c>
      <c r="F174" t="s">
        <v>130</v>
      </c>
      <c r="G174" t="s">
        <v>131</v>
      </c>
      <c r="I174" t="s">
        <v>26</v>
      </c>
      <c r="J174" s="15">
        <v>45450</v>
      </c>
      <c r="K174" t="s">
        <v>38</v>
      </c>
      <c r="L174" t="str">
        <f t="shared" si="10"/>
        <v>OK</v>
      </c>
      <c r="P174" t="s">
        <v>30</v>
      </c>
      <c r="Q174" t="s">
        <v>132</v>
      </c>
      <c r="R174" t="s">
        <v>133</v>
      </c>
      <c r="S174" t="s">
        <v>133</v>
      </c>
      <c r="T174" t="s">
        <v>133</v>
      </c>
      <c r="U174" t="s">
        <v>133</v>
      </c>
      <c r="V174" t="s">
        <v>133</v>
      </c>
      <c r="W174" t="s">
        <v>5</v>
      </c>
      <c r="X174">
        <v>0</v>
      </c>
      <c r="Y174" t="e">
        <f>_xlfn.XLOOKUP(C174,[1]Especificação!$G:$G,[1]Especificação!$C:$C)</f>
        <v>#N/A</v>
      </c>
    </row>
    <row r="175" spans="1:25" hidden="1" x14ac:dyDescent="0.3">
      <c r="A175" s="50" t="str">
        <f t="shared" si="9"/>
        <v>INSTRUMENT_IDCMB</v>
      </c>
      <c r="B175" t="s">
        <v>128</v>
      </c>
      <c r="C175" s="11" t="s">
        <v>363</v>
      </c>
      <c r="D175" t="s">
        <v>6</v>
      </c>
      <c r="E175" t="s">
        <v>33</v>
      </c>
      <c r="F175" t="s">
        <v>149</v>
      </c>
      <c r="G175" s="86" t="s">
        <v>364</v>
      </c>
      <c r="I175" t="s">
        <v>32</v>
      </c>
      <c r="J175" s="15">
        <v>45450</v>
      </c>
      <c r="K175" t="s">
        <v>33</v>
      </c>
      <c r="L175" t="str">
        <f t="shared" si="10"/>
        <v>NOK</v>
      </c>
      <c r="N175" s="15">
        <v>45328</v>
      </c>
      <c r="O175" s="15">
        <v>45330</v>
      </c>
      <c r="P175" t="s">
        <v>19</v>
      </c>
      <c r="Q175" t="s">
        <v>132</v>
      </c>
      <c r="R175" t="s">
        <v>132</v>
      </c>
      <c r="S175" t="s">
        <v>132</v>
      </c>
      <c r="T175" t="s">
        <v>133</v>
      </c>
      <c r="U175" t="s">
        <v>132</v>
      </c>
      <c r="V175" t="s">
        <v>132</v>
      </c>
      <c r="W175" t="s">
        <v>138</v>
      </c>
      <c r="X175" t="s">
        <v>139</v>
      </c>
      <c r="Y175" t="str">
        <f>_xlfn.XLOOKUP(C175,[1]Especificação!$G:$G,[1]Especificação!$C:$C)</f>
        <v>C. Campos em testes ou c/ incidências</v>
      </c>
    </row>
    <row r="176" spans="1:25" hidden="1" x14ac:dyDescent="0.3">
      <c r="A176" s="50" t="str">
        <f t="shared" si="9"/>
        <v>ENTITY_EBITDA_PRVS</v>
      </c>
      <c r="B176" t="s">
        <v>142</v>
      </c>
      <c r="C176" t="s">
        <v>365</v>
      </c>
      <c r="D176" t="s">
        <v>14</v>
      </c>
      <c r="E176" t="s">
        <v>25</v>
      </c>
      <c r="F176" t="s">
        <v>130</v>
      </c>
      <c r="G176" t="s">
        <v>366</v>
      </c>
      <c r="I176" t="s">
        <v>29</v>
      </c>
      <c r="J176" s="15">
        <v>45450</v>
      </c>
      <c r="K176" t="s">
        <v>25</v>
      </c>
      <c r="L176" t="str">
        <f t="shared" si="10"/>
        <v>OK</v>
      </c>
      <c r="P176" t="s">
        <v>13</v>
      </c>
      <c r="Q176" t="s">
        <v>132</v>
      </c>
      <c r="R176" t="s">
        <v>133</v>
      </c>
      <c r="S176" t="s">
        <v>133</v>
      </c>
      <c r="T176" t="s">
        <v>133</v>
      </c>
      <c r="U176" t="s">
        <v>133</v>
      </c>
      <c r="V176" t="s">
        <v>132</v>
      </c>
      <c r="W176" t="s">
        <v>146</v>
      </c>
      <c r="X176" t="s">
        <v>147</v>
      </c>
      <c r="Y176" t="str">
        <f>_xlfn.XLOOKUP(C176,[1]Especificação!$G:$G,[1]Especificação!$C:$C)</f>
        <v>F4. Fora âmbito | Re-especificação de campos complexos - Dem. Fin. CIB</v>
      </c>
    </row>
    <row r="177" spans="1:25" hidden="1" x14ac:dyDescent="0.3">
      <c r="A177" s="50" t="str">
        <f t="shared" si="9"/>
        <v>INSTRUMENT_IFRS9_CCF</v>
      </c>
      <c r="B177" t="s">
        <v>128</v>
      </c>
      <c r="C177" t="s">
        <v>367</v>
      </c>
      <c r="D177" t="s">
        <v>14</v>
      </c>
      <c r="E177" t="s">
        <v>38</v>
      </c>
      <c r="F177" t="s">
        <v>130</v>
      </c>
      <c r="G177" t="s">
        <v>131</v>
      </c>
      <c r="I177" t="s">
        <v>26</v>
      </c>
      <c r="J177" s="15">
        <v>45450</v>
      </c>
      <c r="K177" t="s">
        <v>38</v>
      </c>
      <c r="L177" t="str">
        <f t="shared" si="10"/>
        <v>OK</v>
      </c>
      <c r="M177" t="s">
        <v>368</v>
      </c>
      <c r="P177" t="s">
        <v>30</v>
      </c>
      <c r="Q177" t="s">
        <v>132</v>
      </c>
      <c r="R177" t="s">
        <v>133</v>
      </c>
      <c r="S177" t="s">
        <v>133</v>
      </c>
      <c r="T177" t="s">
        <v>133</v>
      </c>
      <c r="U177" t="s">
        <v>133</v>
      </c>
      <c r="V177" t="s">
        <v>133</v>
      </c>
      <c r="W177" t="s">
        <v>5</v>
      </c>
      <c r="X177">
        <v>0</v>
      </c>
      <c r="Y177" t="e">
        <f>_xlfn.XLOOKUP(C177,[1]Especificação!$G:$G,[1]Especificação!$C:$C)</f>
        <v>#N/A</v>
      </c>
    </row>
    <row r="178" spans="1:25" hidden="1" x14ac:dyDescent="0.3">
      <c r="A178" s="50" t="str">
        <f t="shared" si="9"/>
        <v>INSTRUMENT_IFRS9_EAD</v>
      </c>
      <c r="B178" t="s">
        <v>128</v>
      </c>
      <c r="C178" t="s">
        <v>369</v>
      </c>
      <c r="D178" t="s">
        <v>14</v>
      </c>
      <c r="E178" t="s">
        <v>36</v>
      </c>
      <c r="F178" t="s">
        <v>149</v>
      </c>
      <c r="G178" t="s">
        <v>163</v>
      </c>
      <c r="I178" t="s">
        <v>29</v>
      </c>
      <c r="J178" s="15">
        <v>45450</v>
      </c>
      <c r="K178" t="s">
        <v>36</v>
      </c>
      <c r="L178" t="str">
        <f t="shared" si="10"/>
        <v>NOK</v>
      </c>
      <c r="M178" t="s">
        <v>368</v>
      </c>
      <c r="P178" t="s">
        <v>8</v>
      </c>
      <c r="Q178" t="s">
        <v>132</v>
      </c>
      <c r="R178" t="s">
        <v>133</v>
      </c>
      <c r="S178" t="s">
        <v>133</v>
      </c>
      <c r="T178" t="s">
        <v>133</v>
      </c>
      <c r="U178" t="s">
        <v>133</v>
      </c>
      <c r="V178" t="s">
        <v>133</v>
      </c>
      <c r="W178" t="s">
        <v>5</v>
      </c>
      <c r="X178">
        <v>0</v>
      </c>
      <c r="Y178" t="e">
        <f>_xlfn.XLOOKUP(C178,[1]Especificação!$G:$G,[1]Especificação!$C:$C)</f>
        <v>#N/A</v>
      </c>
    </row>
    <row r="179" spans="1:25" hidden="1" x14ac:dyDescent="0.3">
      <c r="A179" s="50" t="str">
        <f t="shared" si="9"/>
        <v>INSTRUMENT_IFRS9_LGD</v>
      </c>
      <c r="B179" t="s">
        <v>128</v>
      </c>
      <c r="C179" t="s">
        <v>370</v>
      </c>
      <c r="D179" t="s">
        <v>14</v>
      </c>
      <c r="E179" t="s">
        <v>38</v>
      </c>
      <c r="F179" t="s">
        <v>130</v>
      </c>
      <c r="G179" t="s">
        <v>131</v>
      </c>
      <c r="I179" t="s">
        <v>26</v>
      </c>
      <c r="J179" s="15">
        <v>45450</v>
      </c>
      <c r="K179" t="s">
        <v>38</v>
      </c>
      <c r="L179" t="str">
        <f t="shared" si="10"/>
        <v>OK</v>
      </c>
      <c r="M179" t="s">
        <v>368</v>
      </c>
      <c r="P179" t="s">
        <v>30</v>
      </c>
      <c r="Q179" t="s">
        <v>132</v>
      </c>
      <c r="R179" t="s">
        <v>133</v>
      </c>
      <c r="S179" t="s">
        <v>133</v>
      </c>
      <c r="T179" t="s">
        <v>133</v>
      </c>
      <c r="U179" t="s">
        <v>133</v>
      </c>
      <c r="V179" t="s">
        <v>133</v>
      </c>
      <c r="W179" t="s">
        <v>5</v>
      </c>
      <c r="X179">
        <v>0</v>
      </c>
      <c r="Y179" t="e">
        <f>_xlfn.XLOOKUP(C179,[1]Especificação!$G:$G,[1]Especificação!$C:$C)</f>
        <v>#N/A</v>
      </c>
    </row>
    <row r="180" spans="1:25" hidden="1" x14ac:dyDescent="0.3">
      <c r="A180" s="50" t="str">
        <f t="shared" si="9"/>
        <v>INSTRUMENT_IMPRMNT_ASSSSMNT_MTHD</v>
      </c>
      <c r="B180" t="s">
        <v>128</v>
      </c>
      <c r="C180" t="s">
        <v>371</v>
      </c>
      <c r="D180" t="s">
        <v>14</v>
      </c>
      <c r="E180" t="s">
        <v>38</v>
      </c>
      <c r="F180" t="s">
        <v>130</v>
      </c>
      <c r="G180" t="s">
        <v>131</v>
      </c>
      <c r="I180" t="s">
        <v>26</v>
      </c>
      <c r="J180" s="15">
        <v>45450</v>
      </c>
      <c r="K180" t="s">
        <v>38</v>
      </c>
      <c r="L180" t="str">
        <f t="shared" si="10"/>
        <v>OK</v>
      </c>
      <c r="P180" t="s">
        <v>30</v>
      </c>
      <c r="Q180" t="s">
        <v>132</v>
      </c>
      <c r="R180" t="s">
        <v>133</v>
      </c>
      <c r="S180" t="s">
        <v>133</v>
      </c>
      <c r="T180" t="s">
        <v>133</v>
      </c>
      <c r="U180" t="s">
        <v>133</v>
      </c>
      <c r="V180" t="s">
        <v>132</v>
      </c>
      <c r="W180" t="s">
        <v>5</v>
      </c>
      <c r="X180" t="s">
        <v>135</v>
      </c>
      <c r="Y180" t="str">
        <f>_xlfn.XLOOKUP(C180,[1]Especificação!$G:$G,[1]Especificação!$C:$C)</f>
        <v>F1. Fora âmbito | Campos concluídos - Sem necessidade de espec.</v>
      </c>
    </row>
    <row r="181" spans="1:25" hidden="1" x14ac:dyDescent="0.3">
      <c r="A181" s="50" t="str">
        <f t="shared" si="9"/>
        <v>INSTRUMENT_IMPRMNT_CLCLTN_MTHD</v>
      </c>
      <c r="B181" t="s">
        <v>128</v>
      </c>
      <c r="C181" t="s">
        <v>372</v>
      </c>
      <c r="D181" t="s">
        <v>14</v>
      </c>
      <c r="E181" t="s">
        <v>36</v>
      </c>
      <c r="F181" t="s">
        <v>149</v>
      </c>
      <c r="G181" t="s">
        <v>163</v>
      </c>
      <c r="I181" t="s">
        <v>29</v>
      </c>
      <c r="J181" s="15">
        <v>45450</v>
      </c>
      <c r="K181" t="s">
        <v>36</v>
      </c>
      <c r="L181" t="str">
        <f t="shared" si="10"/>
        <v>NOK</v>
      </c>
      <c r="P181" t="s">
        <v>8</v>
      </c>
      <c r="Q181" t="s">
        <v>132</v>
      </c>
      <c r="R181" t="s">
        <v>133</v>
      </c>
      <c r="S181" t="s">
        <v>133</v>
      </c>
      <c r="T181" t="s">
        <v>133</v>
      </c>
      <c r="U181" t="s">
        <v>133</v>
      </c>
      <c r="V181" t="s">
        <v>133</v>
      </c>
      <c r="W181" t="s">
        <v>5</v>
      </c>
      <c r="X181">
        <v>0</v>
      </c>
      <c r="Y181" t="e">
        <f>_xlfn.XLOOKUP(C181,[1]Especificação!$G:$G,[1]Especificação!$C:$C)</f>
        <v>#N/A</v>
      </c>
    </row>
    <row r="182" spans="1:25" hidden="1" x14ac:dyDescent="0.3">
      <c r="A182" s="50" t="str">
        <f t="shared" si="9"/>
        <v>INSTRUMENT_IMPRMNT_STTS</v>
      </c>
      <c r="B182" t="s">
        <v>128</v>
      </c>
      <c r="C182" s="11" t="s">
        <v>44</v>
      </c>
      <c r="D182" t="s">
        <v>14</v>
      </c>
      <c r="E182" t="s">
        <v>28</v>
      </c>
      <c r="F182" t="s">
        <v>149</v>
      </c>
      <c r="G182" t="s">
        <v>373</v>
      </c>
      <c r="I182" t="s">
        <v>32</v>
      </c>
      <c r="J182" s="15">
        <v>45952</v>
      </c>
      <c r="K182" t="s">
        <v>36</v>
      </c>
      <c r="L182" t="s">
        <v>149</v>
      </c>
      <c r="M182" t="s">
        <v>1273</v>
      </c>
      <c r="N182" s="15"/>
      <c r="O182" s="15">
        <v>45952</v>
      </c>
      <c r="P182" t="s">
        <v>39</v>
      </c>
      <c r="Q182" t="s">
        <v>132</v>
      </c>
      <c r="R182" t="s">
        <v>132</v>
      </c>
      <c r="S182" t="s">
        <v>132</v>
      </c>
      <c r="T182" t="s">
        <v>133</v>
      </c>
      <c r="U182" t="s">
        <v>133</v>
      </c>
      <c r="V182" t="s">
        <v>132</v>
      </c>
      <c r="W182" t="s">
        <v>5</v>
      </c>
      <c r="X182" t="s">
        <v>267</v>
      </c>
      <c r="Y182" t="str">
        <f>_xlfn.XLOOKUP(C182,[1]Especificação!$G:$G,[1]Especificação!$C:$C)</f>
        <v>F2. Fora âmbito | Campos em testes ou c/ incidências (LT - PM)</v>
      </c>
    </row>
    <row r="183" spans="1:25" hidden="1" x14ac:dyDescent="0.3">
      <c r="A183" s="50" t="str">
        <f t="shared" si="9"/>
        <v>INSTRUMENT_IMPRMNT_STTS_PRVS</v>
      </c>
      <c r="B183" t="s">
        <v>128</v>
      </c>
      <c r="C183" s="11" t="s">
        <v>46</v>
      </c>
      <c r="D183" t="s">
        <v>14</v>
      </c>
      <c r="E183" t="s">
        <v>28</v>
      </c>
      <c r="F183" t="s">
        <v>130</v>
      </c>
      <c r="G183" t="s">
        <v>159</v>
      </c>
      <c r="H183" t="s">
        <v>266</v>
      </c>
      <c r="I183" t="s">
        <v>32</v>
      </c>
      <c r="J183" s="15">
        <v>45952</v>
      </c>
      <c r="K183" t="s">
        <v>36</v>
      </c>
      <c r="L183" t="s">
        <v>149</v>
      </c>
      <c r="M183" t="s">
        <v>1272</v>
      </c>
      <c r="N183" s="15"/>
      <c r="O183" s="15">
        <v>45952</v>
      </c>
      <c r="P183" t="s">
        <v>39</v>
      </c>
      <c r="Q183" t="s">
        <v>132</v>
      </c>
      <c r="R183" t="s">
        <v>133</v>
      </c>
      <c r="S183" t="s">
        <v>133</v>
      </c>
      <c r="T183" t="s">
        <v>133</v>
      </c>
      <c r="U183" t="s">
        <v>133</v>
      </c>
      <c r="V183" t="s">
        <v>132</v>
      </c>
      <c r="W183" t="s">
        <v>5</v>
      </c>
      <c r="X183" t="s">
        <v>267</v>
      </c>
      <c r="Y183" t="str">
        <f>_xlfn.XLOOKUP(C183,[1]Especificação!$G:$G,[1]Especificação!$C:$C)</f>
        <v>F2. Fora âmbito | Campos em testes ou c/ incidências (LT - PM)</v>
      </c>
    </row>
    <row r="184" spans="1:25" hidden="1" x14ac:dyDescent="0.3">
      <c r="A184" s="50" t="str">
        <f t="shared" si="9"/>
        <v>ENTITY_INCM_SC</v>
      </c>
      <c r="B184" t="s">
        <v>142</v>
      </c>
      <c r="C184" t="s">
        <v>374</v>
      </c>
      <c r="D184" t="s">
        <v>6</v>
      </c>
      <c r="E184" t="s">
        <v>20</v>
      </c>
      <c r="F184" t="s">
        <v>130</v>
      </c>
      <c r="G184" t="s">
        <v>375</v>
      </c>
      <c r="I184" t="s">
        <v>29</v>
      </c>
      <c r="J184" s="15">
        <v>45450</v>
      </c>
      <c r="K184" t="s">
        <v>20</v>
      </c>
      <c r="L184" t="str">
        <f t="shared" si="10"/>
        <v>OK</v>
      </c>
      <c r="P184" t="s">
        <v>13</v>
      </c>
      <c r="Q184" t="s">
        <v>132</v>
      </c>
      <c r="R184" t="s">
        <v>133</v>
      </c>
      <c r="S184" t="s">
        <v>133</v>
      </c>
      <c r="T184" t="s">
        <v>133</v>
      </c>
      <c r="U184" t="s">
        <v>133</v>
      </c>
      <c r="V184" t="s">
        <v>133</v>
      </c>
      <c r="W184" t="s">
        <v>5</v>
      </c>
      <c r="X184">
        <v>0</v>
      </c>
      <c r="Y184" t="e">
        <f>_xlfn.XLOOKUP(C184,[1]Especificação!$G:$G,[1]Especificação!$C:$C)</f>
        <v>#N/A</v>
      </c>
    </row>
    <row r="185" spans="1:25" hidden="1" x14ac:dyDescent="0.3">
      <c r="A185" s="50" t="str">
        <f t="shared" si="9"/>
        <v>ENTITY_EBITDA</v>
      </c>
      <c r="B185" t="s">
        <v>142</v>
      </c>
      <c r="C185" t="s">
        <v>376</v>
      </c>
      <c r="D185" t="s">
        <v>14</v>
      </c>
      <c r="E185" t="s">
        <v>25</v>
      </c>
      <c r="F185" t="s">
        <v>130</v>
      </c>
      <c r="G185" t="s">
        <v>366</v>
      </c>
      <c r="I185" t="s">
        <v>29</v>
      </c>
      <c r="J185" s="15">
        <v>45450</v>
      </c>
      <c r="K185" t="s">
        <v>25</v>
      </c>
      <c r="L185" t="str">
        <f t="shared" si="10"/>
        <v>OK</v>
      </c>
      <c r="P185" t="s">
        <v>13</v>
      </c>
      <c r="Q185" t="s">
        <v>132</v>
      </c>
      <c r="R185" t="s">
        <v>133</v>
      </c>
      <c r="S185" t="s">
        <v>133</v>
      </c>
      <c r="T185" t="s">
        <v>133</v>
      </c>
      <c r="U185" t="s">
        <v>133</v>
      </c>
      <c r="V185" t="s">
        <v>132</v>
      </c>
      <c r="W185" t="s">
        <v>146</v>
      </c>
      <c r="X185" t="s">
        <v>147</v>
      </c>
      <c r="Y185" t="str">
        <f>_xlfn.XLOOKUP(C185,[1]Especificação!$G:$G,[1]Especificação!$C:$C)</f>
        <v>F4. Fora âmbito | Re-especificação de campos complexos - Dem. Fin. CIB</v>
      </c>
    </row>
    <row r="186" spans="1:25" hidden="1" x14ac:dyDescent="0.3">
      <c r="A186" s="50" t="str">
        <f t="shared" si="9"/>
        <v>INSTRUMENT_INSTR_SNRTY_CLSS</v>
      </c>
      <c r="B186" t="s">
        <v>128</v>
      </c>
      <c r="C186" t="s">
        <v>377</v>
      </c>
      <c r="D186" t="s">
        <v>6</v>
      </c>
      <c r="E186" t="s">
        <v>38</v>
      </c>
      <c r="F186" t="s">
        <v>130</v>
      </c>
      <c r="G186" t="s">
        <v>131</v>
      </c>
      <c r="I186" t="s">
        <v>26</v>
      </c>
      <c r="J186" s="15">
        <v>45450</v>
      </c>
      <c r="K186" t="s">
        <v>38</v>
      </c>
      <c r="L186" t="str">
        <f t="shared" si="10"/>
        <v>OK</v>
      </c>
      <c r="P186" t="s">
        <v>30</v>
      </c>
      <c r="Q186" t="s">
        <v>132</v>
      </c>
      <c r="R186" t="s">
        <v>133</v>
      </c>
      <c r="S186" t="s">
        <v>133</v>
      </c>
      <c r="T186" t="s">
        <v>133</v>
      </c>
      <c r="U186" t="s">
        <v>133</v>
      </c>
      <c r="V186" t="s">
        <v>132</v>
      </c>
      <c r="W186" t="s">
        <v>5</v>
      </c>
      <c r="X186" t="s">
        <v>135</v>
      </c>
      <c r="Y186" t="str">
        <f>_xlfn.XLOOKUP(C186,[1]Especificação!$G:$G,[1]Especificação!$C:$C)</f>
        <v>F1. Fora âmbito | Campos concluídos - Sem necessidade de espec.</v>
      </c>
    </row>
    <row r="187" spans="1:25" hidden="1" x14ac:dyDescent="0.3">
      <c r="A187" s="50" t="str">
        <f t="shared" si="9"/>
        <v>INSTRUMENT_INSTRMNT_CLSS</v>
      </c>
      <c r="B187" t="s">
        <v>128</v>
      </c>
      <c r="C187" t="s">
        <v>378</v>
      </c>
      <c r="D187" t="s">
        <v>6</v>
      </c>
      <c r="E187" t="s">
        <v>38</v>
      </c>
      <c r="F187" t="s">
        <v>130</v>
      </c>
      <c r="G187" t="s">
        <v>131</v>
      </c>
      <c r="I187" t="s">
        <v>26</v>
      </c>
      <c r="J187" s="15">
        <v>45450</v>
      </c>
      <c r="K187" t="s">
        <v>38</v>
      </c>
      <c r="L187" t="str">
        <f t="shared" si="10"/>
        <v>OK</v>
      </c>
      <c r="P187" t="s">
        <v>30</v>
      </c>
      <c r="Q187" t="s">
        <v>132</v>
      </c>
      <c r="R187" t="s">
        <v>133</v>
      </c>
      <c r="S187" t="s">
        <v>133</v>
      </c>
      <c r="T187" t="s">
        <v>133</v>
      </c>
      <c r="U187" t="s">
        <v>133</v>
      </c>
      <c r="V187" t="s">
        <v>133</v>
      </c>
      <c r="W187" t="s">
        <v>5</v>
      </c>
      <c r="X187">
        <v>0</v>
      </c>
      <c r="Y187" t="e">
        <f>_xlfn.XLOOKUP(C187,[1]Especificação!$G:$G,[1]Especificação!$C:$C)</f>
        <v>#N/A</v>
      </c>
    </row>
    <row r="188" spans="1:25" hidden="1" x14ac:dyDescent="0.3">
      <c r="A188" s="50" t="str">
        <f t="shared" si="9"/>
        <v>INSTR_ENTITY_INSTRMNT_ID</v>
      </c>
      <c r="B188" t="s">
        <v>193</v>
      </c>
      <c r="C188" t="s">
        <v>379</v>
      </c>
      <c r="D188" t="s">
        <v>14</v>
      </c>
      <c r="E188" t="s">
        <v>38</v>
      </c>
      <c r="F188" t="s">
        <v>130</v>
      </c>
      <c r="G188" t="s">
        <v>131</v>
      </c>
      <c r="I188" t="s">
        <v>26</v>
      </c>
      <c r="J188" s="15">
        <v>45450</v>
      </c>
      <c r="K188" t="s">
        <v>38</v>
      </c>
      <c r="L188" t="str">
        <f t="shared" si="10"/>
        <v>OK</v>
      </c>
      <c r="P188" t="s">
        <v>30</v>
      </c>
      <c r="Q188" t="s">
        <v>132</v>
      </c>
      <c r="R188" t="s">
        <v>133</v>
      </c>
      <c r="S188" t="s">
        <v>132</v>
      </c>
      <c r="T188" t="s">
        <v>133</v>
      </c>
      <c r="U188" t="s">
        <v>133</v>
      </c>
      <c r="V188" t="s">
        <v>132</v>
      </c>
      <c r="W188" t="s">
        <v>5</v>
      </c>
      <c r="X188" t="s">
        <v>135</v>
      </c>
      <c r="Y188" t="str">
        <f>_xlfn.XLOOKUP(C188,[1]Especificação!$G:$G,[1]Especificação!$C:$C)</f>
        <v>F1. Fora âmbito | Campos concluídos - Sem necessidade de espec.</v>
      </c>
    </row>
    <row r="189" spans="1:25" hidden="1" x14ac:dyDescent="0.3">
      <c r="A189" s="50" t="str">
        <f t="shared" si="9"/>
        <v>INSTR_PROTECTION_INSTRMNT_ID</v>
      </c>
      <c r="B189" t="s">
        <v>194</v>
      </c>
      <c r="C189" t="s">
        <v>379</v>
      </c>
      <c r="D189" t="s">
        <v>14</v>
      </c>
      <c r="E189" t="s">
        <v>38</v>
      </c>
      <c r="F189" t="s">
        <v>130</v>
      </c>
      <c r="G189" t="s">
        <v>131</v>
      </c>
      <c r="I189" t="s">
        <v>26</v>
      </c>
      <c r="J189" s="15">
        <v>45450</v>
      </c>
      <c r="K189" t="s">
        <v>38</v>
      </c>
      <c r="L189" t="str">
        <f t="shared" ref="L189:L220" si="11">F189</f>
        <v>OK</v>
      </c>
      <c r="P189" t="s">
        <v>30</v>
      </c>
      <c r="Q189" t="s">
        <v>132</v>
      </c>
      <c r="R189" t="s">
        <v>132</v>
      </c>
      <c r="S189" t="s">
        <v>132</v>
      </c>
      <c r="T189" t="s">
        <v>133</v>
      </c>
      <c r="U189" t="s">
        <v>133</v>
      </c>
      <c r="V189" t="s">
        <v>133</v>
      </c>
      <c r="W189" t="s">
        <v>5</v>
      </c>
      <c r="X189">
        <v>0</v>
      </c>
      <c r="Y189" t="str">
        <f>_xlfn.XLOOKUP(C189,[1]Especificação!$G:$G,[1]Especificação!$C:$C)</f>
        <v>F1. Fora âmbito | Campos concluídos - Sem necessidade de espec.</v>
      </c>
    </row>
    <row r="190" spans="1:25" hidden="1" x14ac:dyDescent="0.3">
      <c r="A190" s="50" t="str">
        <f t="shared" si="9"/>
        <v>INSTRUMENT_INSTRMNT_ID</v>
      </c>
      <c r="B190" t="s">
        <v>128</v>
      </c>
      <c r="C190" t="s">
        <v>379</v>
      </c>
      <c r="D190" t="s">
        <v>14</v>
      </c>
      <c r="E190" t="s">
        <v>38</v>
      </c>
      <c r="F190" t="s">
        <v>130</v>
      </c>
      <c r="G190" t="s">
        <v>131</v>
      </c>
      <c r="I190" t="s">
        <v>26</v>
      </c>
      <c r="J190" s="15">
        <v>45450</v>
      </c>
      <c r="K190" t="s">
        <v>38</v>
      </c>
      <c r="L190" t="str">
        <f t="shared" si="11"/>
        <v>OK</v>
      </c>
      <c r="P190" t="s">
        <v>30</v>
      </c>
      <c r="Q190" t="s">
        <v>132</v>
      </c>
      <c r="R190" t="s">
        <v>132</v>
      </c>
      <c r="S190" t="s">
        <v>132</v>
      </c>
      <c r="T190" t="s">
        <v>133</v>
      </c>
      <c r="U190" t="s">
        <v>132</v>
      </c>
      <c r="V190" t="s">
        <v>132</v>
      </c>
      <c r="W190" t="s">
        <v>5</v>
      </c>
      <c r="X190" t="s">
        <v>135</v>
      </c>
      <c r="Y190" t="str">
        <f>_xlfn.XLOOKUP(C190,[1]Especificação!$G:$G,[1]Especificação!$C:$C)</f>
        <v>F1. Fora âmbito | Campos concluídos - Sem necessidade de espec.</v>
      </c>
    </row>
    <row r="191" spans="1:25" hidden="1" x14ac:dyDescent="0.3">
      <c r="A191" s="50" t="str">
        <f t="shared" si="9"/>
        <v>ENTITY_INTRNL_RTNG</v>
      </c>
      <c r="B191" t="s">
        <v>142</v>
      </c>
      <c r="C191" s="10" t="s">
        <v>380</v>
      </c>
      <c r="D191" t="s">
        <v>14</v>
      </c>
      <c r="E191" t="s">
        <v>33</v>
      </c>
      <c r="F191" t="s">
        <v>149</v>
      </c>
      <c r="G191" t="s">
        <v>381</v>
      </c>
      <c r="I191" t="s">
        <v>32</v>
      </c>
      <c r="J191" s="15">
        <v>45450</v>
      </c>
      <c r="K191" t="s">
        <v>33</v>
      </c>
      <c r="L191" t="str">
        <f t="shared" si="11"/>
        <v>NOK</v>
      </c>
      <c r="M191" t="s">
        <v>271</v>
      </c>
      <c r="N191" s="15">
        <v>45338</v>
      </c>
      <c r="O191" s="15">
        <v>45436</v>
      </c>
      <c r="P191" t="s">
        <v>24</v>
      </c>
      <c r="Q191" t="s">
        <v>132</v>
      </c>
      <c r="R191" t="s">
        <v>133</v>
      </c>
      <c r="S191" t="s">
        <v>133</v>
      </c>
      <c r="T191" t="s">
        <v>133</v>
      </c>
      <c r="U191" t="s">
        <v>133</v>
      </c>
      <c r="V191" t="s">
        <v>132</v>
      </c>
      <c r="W191" t="s">
        <v>138</v>
      </c>
      <c r="X191" t="s">
        <v>139</v>
      </c>
      <c r="Y191" t="str">
        <f>_xlfn.XLOOKUP(C191,[1]Especificação!$G:$G,[1]Especificação!$C:$C)</f>
        <v>C. Campos em testes ou c/ incidências</v>
      </c>
    </row>
    <row r="192" spans="1:25" hidden="1" x14ac:dyDescent="0.3">
      <c r="A192" s="50" t="str">
        <f t="shared" si="9"/>
        <v>INSTRUMENT_INTRNL_RTNG</v>
      </c>
      <c r="B192" t="s">
        <v>128</v>
      </c>
      <c r="C192" s="10" t="s">
        <v>380</v>
      </c>
      <c r="D192" t="s">
        <v>14</v>
      </c>
      <c r="E192" t="s">
        <v>33</v>
      </c>
      <c r="F192" t="s">
        <v>149</v>
      </c>
      <c r="G192" t="s">
        <v>381</v>
      </c>
      <c r="I192" t="s">
        <v>32</v>
      </c>
      <c r="J192" s="15">
        <v>45450</v>
      </c>
      <c r="K192" t="s">
        <v>33</v>
      </c>
      <c r="L192" t="str">
        <f t="shared" si="11"/>
        <v>NOK</v>
      </c>
      <c r="M192" t="s">
        <v>271</v>
      </c>
      <c r="N192" s="15">
        <v>45338</v>
      </c>
      <c r="O192" s="15">
        <v>45436</v>
      </c>
      <c r="P192" t="s">
        <v>24</v>
      </c>
      <c r="Q192" t="s">
        <v>132</v>
      </c>
      <c r="R192" t="s">
        <v>133</v>
      </c>
      <c r="S192" t="s">
        <v>133</v>
      </c>
      <c r="T192" t="s">
        <v>133</v>
      </c>
      <c r="U192" t="s">
        <v>133</v>
      </c>
      <c r="V192" t="s">
        <v>132</v>
      </c>
      <c r="W192" t="s">
        <v>138</v>
      </c>
      <c r="X192" t="s">
        <v>139</v>
      </c>
      <c r="Y192" t="str">
        <f>_xlfn.XLOOKUP(C192,[1]Especificação!$G:$G,[1]Especificação!$C:$C)</f>
        <v>C. Campos em testes ou c/ incidências</v>
      </c>
    </row>
    <row r="193" spans="1:25" hidden="1" x14ac:dyDescent="0.3">
      <c r="A193" s="50" t="str">
        <f t="shared" si="9"/>
        <v>INSTRUMENT_INTRNL_RTNG_INCPTN</v>
      </c>
      <c r="B193" t="s">
        <v>128</v>
      </c>
      <c r="C193" t="s">
        <v>382</v>
      </c>
      <c r="D193" t="s">
        <v>14</v>
      </c>
      <c r="E193" t="s">
        <v>35</v>
      </c>
      <c r="F193" t="s">
        <v>149</v>
      </c>
      <c r="G193" t="s">
        <v>383</v>
      </c>
      <c r="H193" t="s">
        <v>384</v>
      </c>
      <c r="I193" t="s">
        <v>29</v>
      </c>
      <c r="J193" s="15">
        <v>45450</v>
      </c>
      <c r="K193" t="s">
        <v>35</v>
      </c>
      <c r="L193" t="str">
        <f t="shared" si="11"/>
        <v>NOK</v>
      </c>
      <c r="P193" t="s">
        <v>13</v>
      </c>
      <c r="Q193" t="s">
        <v>132</v>
      </c>
      <c r="R193" t="s">
        <v>133</v>
      </c>
      <c r="S193" t="s">
        <v>133</v>
      </c>
      <c r="T193" t="s">
        <v>133</v>
      </c>
      <c r="U193" t="s">
        <v>133</v>
      </c>
      <c r="V193" t="s">
        <v>132</v>
      </c>
      <c r="W193" t="s">
        <v>138</v>
      </c>
      <c r="X193" t="s">
        <v>139</v>
      </c>
      <c r="Y193" t="str">
        <f>_xlfn.XLOOKUP(C193,[1]Especificação!$G:$G,[1]Especificação!$C:$C)</f>
        <v>C. Campos em testes ou c/ incidências</v>
      </c>
    </row>
    <row r="194" spans="1:25" hidden="1" x14ac:dyDescent="0.3">
      <c r="A194" s="50" t="str">
        <f t="shared" si="9"/>
        <v>ENTITY_INTRNL_RTNG_PRVS</v>
      </c>
      <c r="B194" t="s">
        <v>142</v>
      </c>
      <c r="C194" s="10" t="s">
        <v>385</v>
      </c>
      <c r="D194" t="s">
        <v>14</v>
      </c>
      <c r="E194" t="s">
        <v>33</v>
      </c>
      <c r="F194" t="s">
        <v>130</v>
      </c>
      <c r="G194" s="86" t="s">
        <v>272</v>
      </c>
      <c r="I194" t="s">
        <v>32</v>
      </c>
      <c r="J194" s="15">
        <v>45450</v>
      </c>
      <c r="K194" t="s">
        <v>33</v>
      </c>
      <c r="L194" t="str">
        <f t="shared" si="11"/>
        <v>OK</v>
      </c>
      <c r="M194" t="s">
        <v>271</v>
      </c>
      <c r="N194" s="15">
        <v>45338</v>
      </c>
      <c r="O194" s="15">
        <v>45436</v>
      </c>
      <c r="P194" t="s">
        <v>24</v>
      </c>
      <c r="Q194" t="s">
        <v>132</v>
      </c>
      <c r="R194" t="s">
        <v>133</v>
      </c>
      <c r="S194" t="s">
        <v>133</v>
      </c>
      <c r="T194" t="s">
        <v>133</v>
      </c>
      <c r="U194" t="s">
        <v>133</v>
      </c>
      <c r="V194" t="s">
        <v>132</v>
      </c>
      <c r="W194" t="s">
        <v>138</v>
      </c>
      <c r="X194" t="s">
        <v>139</v>
      </c>
      <c r="Y194" t="str">
        <f>_xlfn.XLOOKUP(C194,[1]Especificação!$G:$G,[1]Especificação!$C:$C)</f>
        <v>C. Campos em testes ou c/ incidências</v>
      </c>
    </row>
    <row r="195" spans="1:25" hidden="1" x14ac:dyDescent="0.3">
      <c r="A195" s="50" t="str">
        <f t="shared" si="9"/>
        <v>ENTITY_INTRNL_SGMNT</v>
      </c>
      <c r="B195" t="s">
        <v>142</v>
      </c>
      <c r="C195" t="s">
        <v>386</v>
      </c>
      <c r="D195" t="s">
        <v>14</v>
      </c>
      <c r="E195" t="s">
        <v>38</v>
      </c>
      <c r="F195" t="s">
        <v>130</v>
      </c>
      <c r="G195" t="s">
        <v>131</v>
      </c>
      <c r="I195" t="s">
        <v>26</v>
      </c>
      <c r="J195" s="15">
        <v>45450</v>
      </c>
      <c r="K195" t="s">
        <v>38</v>
      </c>
      <c r="L195" t="str">
        <f t="shared" si="11"/>
        <v>OK</v>
      </c>
      <c r="P195" t="s">
        <v>30</v>
      </c>
      <c r="Q195" t="s">
        <v>132</v>
      </c>
      <c r="R195" t="s">
        <v>133</v>
      </c>
      <c r="S195" t="s">
        <v>133</v>
      </c>
      <c r="T195" t="s">
        <v>133</v>
      </c>
      <c r="U195" t="s">
        <v>133</v>
      </c>
      <c r="V195" t="s">
        <v>132</v>
      </c>
      <c r="W195" t="s">
        <v>5</v>
      </c>
      <c r="X195" t="s">
        <v>135</v>
      </c>
      <c r="Y195" t="str">
        <f>_xlfn.XLOOKUP(C195,[1]Especificação!$G:$G,[1]Especificação!$C:$C)</f>
        <v>F1. Fora âmbito | Campos concluídos - Sem necessidade de espec.</v>
      </c>
    </row>
    <row r="196" spans="1:25" hidden="1" x14ac:dyDescent="0.3">
      <c r="A196" s="50" t="str">
        <f t="shared" si="9"/>
        <v>INSTRUMENT_INTRNL_SGMNT</v>
      </c>
      <c r="B196" t="s">
        <v>128</v>
      </c>
      <c r="C196" t="s">
        <v>386</v>
      </c>
      <c r="D196" t="s">
        <v>14</v>
      </c>
      <c r="E196" t="s">
        <v>38</v>
      </c>
      <c r="F196" t="s">
        <v>130</v>
      </c>
      <c r="G196" t="s">
        <v>131</v>
      </c>
      <c r="I196" t="s">
        <v>26</v>
      </c>
      <c r="J196" s="15">
        <v>45450</v>
      </c>
      <c r="K196" t="s">
        <v>38</v>
      </c>
      <c r="L196" t="str">
        <f t="shared" si="11"/>
        <v>OK</v>
      </c>
      <c r="P196" t="s">
        <v>30</v>
      </c>
      <c r="Q196" t="s">
        <v>132</v>
      </c>
      <c r="R196" t="s">
        <v>133</v>
      </c>
      <c r="S196" t="s">
        <v>133</v>
      </c>
      <c r="T196" t="s">
        <v>133</v>
      </c>
      <c r="U196" t="s">
        <v>132</v>
      </c>
      <c r="V196" t="s">
        <v>132</v>
      </c>
      <c r="W196" t="s">
        <v>5</v>
      </c>
      <c r="X196" t="s">
        <v>135</v>
      </c>
      <c r="Y196" t="str">
        <f>_xlfn.XLOOKUP(C196,[1]Especificação!$G:$G,[1]Especificação!$C:$C)</f>
        <v>F1. Fora âmbito | Campos concluídos - Sem necessidade de espec.</v>
      </c>
    </row>
    <row r="197" spans="1:25" hidden="1" x14ac:dyDescent="0.3">
      <c r="A197" s="50" t="str">
        <f t="shared" si="9"/>
        <v>INSTRUMENT_INTRNL_SGMNT_CAT_MSTA</v>
      </c>
      <c r="B197" t="s">
        <v>128</v>
      </c>
      <c r="C197" t="s">
        <v>387</v>
      </c>
      <c r="D197" t="s">
        <v>6</v>
      </c>
      <c r="E197" t="s">
        <v>38</v>
      </c>
      <c r="F197" t="s">
        <v>130</v>
      </c>
      <c r="G197" t="s">
        <v>131</v>
      </c>
      <c r="I197" t="s">
        <v>26</v>
      </c>
      <c r="J197" s="15">
        <v>45450</v>
      </c>
      <c r="K197" t="s">
        <v>38</v>
      </c>
      <c r="L197" t="str">
        <f t="shared" si="11"/>
        <v>OK</v>
      </c>
      <c r="P197" t="s">
        <v>30</v>
      </c>
      <c r="Q197" t="s">
        <v>132</v>
      </c>
      <c r="R197" t="s">
        <v>133</v>
      </c>
      <c r="S197" t="s">
        <v>133</v>
      </c>
      <c r="T197" t="s">
        <v>133</v>
      </c>
      <c r="U197" t="s">
        <v>132</v>
      </c>
      <c r="V197" t="s">
        <v>133</v>
      </c>
      <c r="W197" t="s">
        <v>5</v>
      </c>
      <c r="X197">
        <v>0</v>
      </c>
      <c r="Y197" t="e">
        <f>_xlfn.XLOOKUP(C197,[1]Especificação!$G:$G,[1]Especificação!$C:$C)</f>
        <v>#N/A</v>
      </c>
    </row>
    <row r="198" spans="1:25" hidden="1" x14ac:dyDescent="0.3">
      <c r="A198" s="50" t="str">
        <f t="shared" ref="A198:A261" si="12">B198&amp;"_"&amp;C198</f>
        <v>INSTRUMENT_INTRNL_SGMNT_CATGSUB</v>
      </c>
      <c r="B198" t="s">
        <v>128</v>
      </c>
      <c r="C198" t="s">
        <v>388</v>
      </c>
      <c r="D198" t="s">
        <v>6</v>
      </c>
      <c r="E198" t="s">
        <v>38</v>
      </c>
      <c r="F198" t="s">
        <v>130</v>
      </c>
      <c r="G198" t="s">
        <v>131</v>
      </c>
      <c r="I198" t="s">
        <v>26</v>
      </c>
      <c r="J198" s="15">
        <v>45450</v>
      </c>
      <c r="K198" t="s">
        <v>38</v>
      </c>
      <c r="L198" t="str">
        <f t="shared" si="11"/>
        <v>OK</v>
      </c>
      <c r="P198" t="s">
        <v>30</v>
      </c>
      <c r="Q198" t="s">
        <v>132</v>
      </c>
      <c r="R198" t="s">
        <v>133</v>
      </c>
      <c r="S198" t="s">
        <v>133</v>
      </c>
      <c r="T198" t="s">
        <v>133</v>
      </c>
      <c r="U198" t="s">
        <v>132</v>
      </c>
      <c r="V198" t="s">
        <v>133</v>
      </c>
      <c r="W198" t="s">
        <v>5</v>
      </c>
      <c r="X198">
        <v>0</v>
      </c>
      <c r="Y198" t="e">
        <f>_xlfn.XLOOKUP(C198,[1]Especificação!$G:$G,[1]Especificação!$C:$C)</f>
        <v>#N/A</v>
      </c>
    </row>
    <row r="199" spans="1:25" hidden="1" x14ac:dyDescent="0.3">
      <c r="A199" s="50" t="str">
        <f t="shared" si="12"/>
        <v>INSTRUMENT_INTRNL_SGMNT_IFRS9</v>
      </c>
      <c r="B199" t="s">
        <v>128</v>
      </c>
      <c r="C199" t="s">
        <v>389</v>
      </c>
      <c r="D199" t="s">
        <v>6</v>
      </c>
      <c r="E199" t="s">
        <v>38</v>
      </c>
      <c r="F199" t="s">
        <v>130</v>
      </c>
      <c r="G199" t="s">
        <v>131</v>
      </c>
      <c r="I199" t="s">
        <v>26</v>
      </c>
      <c r="J199" s="15">
        <v>45450</v>
      </c>
      <c r="K199" t="s">
        <v>38</v>
      </c>
      <c r="L199" t="str">
        <f t="shared" si="11"/>
        <v>OK</v>
      </c>
      <c r="M199" t="s">
        <v>368</v>
      </c>
      <c r="P199" t="s">
        <v>30</v>
      </c>
      <c r="Q199" t="s">
        <v>132</v>
      </c>
      <c r="R199" t="s">
        <v>133</v>
      </c>
      <c r="S199" t="s">
        <v>133</v>
      </c>
      <c r="T199" t="s">
        <v>133</v>
      </c>
      <c r="U199" t="s">
        <v>133</v>
      </c>
      <c r="V199" t="s">
        <v>133</v>
      </c>
      <c r="W199" t="s">
        <v>5</v>
      </c>
      <c r="X199">
        <v>0</v>
      </c>
      <c r="Y199" t="e">
        <f>_xlfn.XLOOKUP(C199,[1]Especificação!$G:$G,[1]Especificação!$C:$C)</f>
        <v>#N/A</v>
      </c>
    </row>
    <row r="200" spans="1:25" hidden="1" x14ac:dyDescent="0.3">
      <c r="A200" s="50" t="str">
        <f t="shared" si="12"/>
        <v>ENTITY_INTRNL_UNT</v>
      </c>
      <c r="B200" t="s">
        <v>142</v>
      </c>
      <c r="C200" t="s">
        <v>390</v>
      </c>
      <c r="D200" t="s">
        <v>14</v>
      </c>
      <c r="E200" t="s">
        <v>38</v>
      </c>
      <c r="F200" t="s">
        <v>130</v>
      </c>
      <c r="G200" t="s">
        <v>131</v>
      </c>
      <c r="I200" t="s">
        <v>26</v>
      </c>
      <c r="J200" s="15">
        <v>45450</v>
      </c>
      <c r="K200" t="s">
        <v>38</v>
      </c>
      <c r="L200" t="str">
        <f t="shared" si="11"/>
        <v>OK</v>
      </c>
      <c r="P200" t="s">
        <v>30</v>
      </c>
      <c r="Q200" t="s">
        <v>132</v>
      </c>
      <c r="R200" t="s">
        <v>133</v>
      </c>
      <c r="S200" t="s">
        <v>133</v>
      </c>
      <c r="T200" t="s">
        <v>133</v>
      </c>
      <c r="U200" t="s">
        <v>133</v>
      </c>
      <c r="V200" t="s">
        <v>132</v>
      </c>
      <c r="W200" t="s">
        <v>5</v>
      </c>
      <c r="X200" t="s">
        <v>135</v>
      </c>
      <c r="Y200" t="str">
        <f>_xlfn.XLOOKUP(C200,[1]Especificação!$G:$G,[1]Especificação!$C:$C)</f>
        <v>F1. Fora âmbito | Campos concluídos - Sem necessidade de espec.</v>
      </c>
    </row>
    <row r="201" spans="1:25" hidden="1" x14ac:dyDescent="0.3">
      <c r="A201" s="50" t="str">
        <f t="shared" si="12"/>
        <v>INSTRUMENT_INTRNL_UNT</v>
      </c>
      <c r="B201" t="s">
        <v>128</v>
      </c>
      <c r="C201" t="s">
        <v>390</v>
      </c>
      <c r="D201" t="s">
        <v>14</v>
      </c>
      <c r="E201" t="s">
        <v>38</v>
      </c>
      <c r="F201" t="s">
        <v>130</v>
      </c>
      <c r="G201" t="s">
        <v>131</v>
      </c>
      <c r="I201" t="s">
        <v>26</v>
      </c>
      <c r="J201" s="15">
        <v>45450</v>
      </c>
      <c r="K201" t="s">
        <v>38</v>
      </c>
      <c r="L201" t="str">
        <f t="shared" si="11"/>
        <v>OK</v>
      </c>
      <c r="P201" t="s">
        <v>30</v>
      </c>
      <c r="Q201" t="s">
        <v>132</v>
      </c>
      <c r="R201" t="s">
        <v>133</v>
      </c>
      <c r="S201" t="s">
        <v>133</v>
      </c>
      <c r="T201" t="s">
        <v>133</v>
      </c>
      <c r="U201" t="s">
        <v>133</v>
      </c>
      <c r="V201" t="s">
        <v>132</v>
      </c>
      <c r="W201" t="s">
        <v>5</v>
      </c>
      <c r="X201" t="s">
        <v>135</v>
      </c>
      <c r="Y201" t="str">
        <f>_xlfn.XLOOKUP(C201,[1]Especificação!$G:$G,[1]Especificação!$C:$C)</f>
        <v>F1. Fora âmbito | Campos concluídos - Sem necessidade de espec.</v>
      </c>
    </row>
    <row r="202" spans="1:25" hidden="1" x14ac:dyDescent="0.3">
      <c r="A202" s="50" t="str">
        <f t="shared" si="12"/>
        <v>INSTRUMENT_INTRST_RT_RST_FRQNCY</v>
      </c>
      <c r="B202" t="s">
        <v>128</v>
      </c>
      <c r="C202" t="s">
        <v>391</v>
      </c>
      <c r="D202" t="s">
        <v>14</v>
      </c>
      <c r="E202" t="s">
        <v>38</v>
      </c>
      <c r="F202" t="s">
        <v>130</v>
      </c>
      <c r="G202" t="s">
        <v>131</v>
      </c>
      <c r="I202" t="s">
        <v>26</v>
      </c>
      <c r="J202" s="15">
        <v>45450</v>
      </c>
      <c r="K202" t="s">
        <v>38</v>
      </c>
      <c r="L202" t="str">
        <f t="shared" si="11"/>
        <v>OK</v>
      </c>
      <c r="P202" t="s">
        <v>30</v>
      </c>
      <c r="Q202" t="s">
        <v>132</v>
      </c>
      <c r="R202" t="s">
        <v>133</v>
      </c>
      <c r="S202" t="s">
        <v>133</v>
      </c>
      <c r="T202" t="s">
        <v>133</v>
      </c>
      <c r="U202" t="s">
        <v>133</v>
      </c>
      <c r="V202" t="s">
        <v>133</v>
      </c>
      <c r="W202" t="s">
        <v>5</v>
      </c>
      <c r="X202">
        <v>0</v>
      </c>
      <c r="Y202" t="e">
        <f>_xlfn.XLOOKUP(C202,[1]Especificação!$G:$G,[1]Especificação!$C:$C)</f>
        <v>#N/A</v>
      </c>
    </row>
    <row r="203" spans="1:25" hidden="1" x14ac:dyDescent="0.3">
      <c r="A203" s="50" t="str">
        <f t="shared" si="12"/>
        <v>INSTRUMENT_ISIN</v>
      </c>
      <c r="B203" t="s">
        <v>128</v>
      </c>
      <c r="C203" t="s">
        <v>392</v>
      </c>
      <c r="D203" t="s">
        <v>6</v>
      </c>
      <c r="E203" t="s">
        <v>38</v>
      </c>
      <c r="F203" t="s">
        <v>130</v>
      </c>
      <c r="G203" t="s">
        <v>131</v>
      </c>
      <c r="I203" t="s">
        <v>26</v>
      </c>
      <c r="J203" s="15">
        <v>45450</v>
      </c>
      <c r="K203" t="s">
        <v>38</v>
      </c>
      <c r="L203" t="str">
        <f t="shared" si="11"/>
        <v>OK</v>
      </c>
      <c r="P203" t="s">
        <v>30</v>
      </c>
      <c r="Q203" t="s">
        <v>132</v>
      </c>
      <c r="R203" t="s">
        <v>133</v>
      </c>
      <c r="S203" t="s">
        <v>133</v>
      </c>
      <c r="T203" t="s">
        <v>133</v>
      </c>
      <c r="U203" t="s">
        <v>133</v>
      </c>
      <c r="V203" t="s">
        <v>133</v>
      </c>
      <c r="W203" t="s">
        <v>5</v>
      </c>
      <c r="X203">
        <v>0</v>
      </c>
      <c r="Y203" t="e">
        <f>_xlfn.XLOOKUP(C203,[1]Especificação!$G:$G,[1]Especificação!$C:$C)</f>
        <v>#N/A</v>
      </c>
    </row>
    <row r="204" spans="1:25" hidden="1" x14ac:dyDescent="0.3">
      <c r="A204" s="50" t="str">
        <f t="shared" si="12"/>
        <v>INSTRUMENT_ISIN_SCRTSTN</v>
      </c>
      <c r="B204" t="s">
        <v>128</v>
      </c>
      <c r="C204" t="s">
        <v>393</v>
      </c>
      <c r="D204" t="s">
        <v>6</v>
      </c>
      <c r="E204" t="s">
        <v>38</v>
      </c>
      <c r="F204" t="s">
        <v>130</v>
      </c>
      <c r="G204" t="s">
        <v>131</v>
      </c>
      <c r="I204" t="s">
        <v>26</v>
      </c>
      <c r="J204" s="15">
        <v>45450</v>
      </c>
      <c r="K204" t="s">
        <v>38</v>
      </c>
      <c r="L204" t="str">
        <f t="shared" si="11"/>
        <v>OK</v>
      </c>
      <c r="P204" t="s">
        <v>30</v>
      </c>
      <c r="Q204" t="s">
        <v>132</v>
      </c>
      <c r="R204" t="s">
        <v>133</v>
      </c>
      <c r="S204" t="s">
        <v>133</v>
      </c>
      <c r="T204" t="s">
        <v>133</v>
      </c>
      <c r="U204" t="s">
        <v>133</v>
      </c>
      <c r="V204" t="s">
        <v>133</v>
      </c>
      <c r="W204" t="s">
        <v>5</v>
      </c>
      <c r="X204">
        <v>0</v>
      </c>
      <c r="Y204" t="e">
        <f>_xlfn.XLOOKUP(C204,[1]Especificação!$G:$G,[1]Especificação!$C:$C)</f>
        <v>#N/A</v>
      </c>
    </row>
    <row r="205" spans="1:25" hidden="1" x14ac:dyDescent="0.3">
      <c r="A205" s="50" t="str">
        <f t="shared" si="12"/>
        <v>INSTRUMENT_ISSR_CNTRY</v>
      </c>
      <c r="B205" t="s">
        <v>128</v>
      </c>
      <c r="C205" t="s">
        <v>394</v>
      </c>
      <c r="D205" t="s">
        <v>6</v>
      </c>
      <c r="E205" t="s">
        <v>38</v>
      </c>
      <c r="F205" t="s">
        <v>130</v>
      </c>
      <c r="G205" t="s">
        <v>131</v>
      </c>
      <c r="I205" t="s">
        <v>26</v>
      </c>
      <c r="J205" s="15">
        <v>45450</v>
      </c>
      <c r="K205" t="s">
        <v>38</v>
      </c>
      <c r="L205" t="str">
        <f t="shared" si="11"/>
        <v>OK</v>
      </c>
      <c r="P205" t="s">
        <v>30</v>
      </c>
      <c r="Q205" t="s">
        <v>132</v>
      </c>
      <c r="R205" t="s">
        <v>133</v>
      </c>
      <c r="S205" t="s">
        <v>132</v>
      </c>
      <c r="T205" t="s">
        <v>133</v>
      </c>
      <c r="U205" t="s">
        <v>133</v>
      </c>
      <c r="V205" t="s">
        <v>133</v>
      </c>
      <c r="W205" t="s">
        <v>5</v>
      </c>
      <c r="X205">
        <v>0</v>
      </c>
      <c r="Y205" t="e">
        <f>_xlfn.XLOOKUP(C205,[1]Especificação!$G:$G,[1]Especificação!$C:$C)</f>
        <v>#N/A</v>
      </c>
    </row>
    <row r="206" spans="1:25" hidden="1" x14ac:dyDescent="0.3">
      <c r="A206" s="50" t="str">
        <f t="shared" si="12"/>
        <v>INSTRUMENT_ISSR_ESA_2010</v>
      </c>
      <c r="B206" t="s">
        <v>128</v>
      </c>
      <c r="C206" t="s">
        <v>395</v>
      </c>
      <c r="D206" t="s">
        <v>6</v>
      </c>
      <c r="E206" t="s">
        <v>36</v>
      </c>
      <c r="F206" t="s">
        <v>149</v>
      </c>
      <c r="G206" t="s">
        <v>163</v>
      </c>
      <c r="I206" t="s">
        <v>29</v>
      </c>
      <c r="J206" s="15">
        <v>45450</v>
      </c>
      <c r="K206" t="s">
        <v>36</v>
      </c>
      <c r="L206" t="str">
        <f t="shared" si="11"/>
        <v>NOK</v>
      </c>
      <c r="P206" t="s">
        <v>8</v>
      </c>
      <c r="Q206" t="s">
        <v>132</v>
      </c>
      <c r="R206" t="s">
        <v>133</v>
      </c>
      <c r="S206" t="s">
        <v>133</v>
      </c>
      <c r="T206" t="s">
        <v>133</v>
      </c>
      <c r="U206" t="s">
        <v>133</v>
      </c>
      <c r="V206" t="s">
        <v>133</v>
      </c>
      <c r="W206" t="s">
        <v>5</v>
      </c>
      <c r="X206">
        <v>0</v>
      </c>
      <c r="Y206" t="e">
        <f>_xlfn.XLOOKUP(C206,[1]Especificação!$G:$G,[1]Especificação!$C:$C)</f>
        <v>#N/A</v>
      </c>
    </row>
    <row r="207" spans="1:25" hidden="1" x14ac:dyDescent="0.3">
      <c r="A207" s="50" t="str">
        <f t="shared" si="12"/>
        <v>INSTRUMENT_ISSR_ID</v>
      </c>
      <c r="B207" t="s">
        <v>128</v>
      </c>
      <c r="C207" t="s">
        <v>396</v>
      </c>
      <c r="D207" t="s">
        <v>6</v>
      </c>
      <c r="E207" t="s">
        <v>38</v>
      </c>
      <c r="F207" t="s">
        <v>130</v>
      </c>
      <c r="G207" t="s">
        <v>131</v>
      </c>
      <c r="I207" t="s">
        <v>26</v>
      </c>
      <c r="J207" s="15">
        <v>45450</v>
      </c>
      <c r="K207" t="s">
        <v>38</v>
      </c>
      <c r="L207" t="str">
        <f t="shared" si="11"/>
        <v>OK</v>
      </c>
      <c r="P207" t="s">
        <v>30</v>
      </c>
      <c r="Q207" t="s">
        <v>132</v>
      </c>
      <c r="R207" t="s">
        <v>133</v>
      </c>
      <c r="S207" t="s">
        <v>133</v>
      </c>
      <c r="T207" t="s">
        <v>133</v>
      </c>
      <c r="U207" t="s">
        <v>133</v>
      </c>
      <c r="V207" t="s">
        <v>133</v>
      </c>
      <c r="W207" t="s">
        <v>5</v>
      </c>
      <c r="X207">
        <v>0</v>
      </c>
      <c r="Y207" t="e">
        <f>_xlfn.XLOOKUP(C207,[1]Especificação!$G:$G,[1]Especificação!$C:$C)</f>
        <v>#N/A</v>
      </c>
    </row>
    <row r="208" spans="1:25" hidden="1" x14ac:dyDescent="0.3">
      <c r="A208" s="50" t="str">
        <f t="shared" si="12"/>
        <v>INSTRUMENT_ISSR_ID_TYP</v>
      </c>
      <c r="B208" t="s">
        <v>128</v>
      </c>
      <c r="C208" t="s">
        <v>397</v>
      </c>
      <c r="D208" t="s">
        <v>6</v>
      </c>
      <c r="E208" t="s">
        <v>38</v>
      </c>
      <c r="F208" t="s">
        <v>130</v>
      </c>
      <c r="G208" t="s">
        <v>131</v>
      </c>
      <c r="I208" t="s">
        <v>26</v>
      </c>
      <c r="J208" s="15">
        <v>45450</v>
      </c>
      <c r="K208" t="s">
        <v>38</v>
      </c>
      <c r="L208" t="str">
        <f t="shared" si="11"/>
        <v>OK</v>
      </c>
      <c r="P208" t="s">
        <v>30</v>
      </c>
      <c r="Q208" t="s">
        <v>132</v>
      </c>
      <c r="R208" t="s">
        <v>133</v>
      </c>
      <c r="S208" t="s">
        <v>133</v>
      </c>
      <c r="T208" t="s">
        <v>133</v>
      </c>
      <c r="U208" t="s">
        <v>133</v>
      </c>
      <c r="V208" t="s">
        <v>133</v>
      </c>
      <c r="W208" t="s">
        <v>5</v>
      </c>
      <c r="X208">
        <v>0</v>
      </c>
      <c r="Y208" t="e">
        <f>_xlfn.XLOOKUP(C208,[1]Especificação!$G:$G,[1]Especificação!$C:$C)</f>
        <v>#N/A</v>
      </c>
    </row>
    <row r="209" spans="1:25" hidden="1" x14ac:dyDescent="0.3">
      <c r="A209" s="50" t="str">
        <f t="shared" si="12"/>
        <v>INSTRUMENT_ISSR_NACE_SCTR</v>
      </c>
      <c r="B209" t="s">
        <v>128</v>
      </c>
      <c r="C209" t="s">
        <v>398</v>
      </c>
      <c r="D209" t="s">
        <v>6</v>
      </c>
      <c r="E209" t="s">
        <v>38</v>
      </c>
      <c r="F209" t="s">
        <v>130</v>
      </c>
      <c r="G209" t="s">
        <v>131</v>
      </c>
      <c r="I209" t="s">
        <v>26</v>
      </c>
      <c r="J209" s="15">
        <v>45450</v>
      </c>
      <c r="K209" t="s">
        <v>38</v>
      </c>
      <c r="L209" t="str">
        <f t="shared" si="11"/>
        <v>OK</v>
      </c>
      <c r="P209" t="s">
        <v>30</v>
      </c>
      <c r="Q209" t="s">
        <v>132</v>
      </c>
      <c r="R209" t="s">
        <v>133</v>
      </c>
      <c r="S209" t="s">
        <v>132</v>
      </c>
      <c r="T209" t="s">
        <v>133</v>
      </c>
      <c r="U209" t="s">
        <v>133</v>
      </c>
      <c r="V209" t="s">
        <v>133</v>
      </c>
      <c r="W209" t="s">
        <v>5</v>
      </c>
      <c r="X209">
        <v>0</v>
      </c>
      <c r="Y209" t="e">
        <f>_xlfn.XLOOKUP(C209,[1]Especificação!$G:$G,[1]Especificação!$C:$C)</f>
        <v>#N/A</v>
      </c>
    </row>
    <row r="210" spans="1:25" hidden="1" x14ac:dyDescent="0.3">
      <c r="A210" s="50" t="str">
        <f t="shared" si="12"/>
        <v>INSTRUMENT_ISSR_RTNG</v>
      </c>
      <c r="B210" t="s">
        <v>128</v>
      </c>
      <c r="C210" t="s">
        <v>399</v>
      </c>
      <c r="D210" t="s">
        <v>6</v>
      </c>
      <c r="E210" t="s">
        <v>37</v>
      </c>
      <c r="F210" t="s">
        <v>130</v>
      </c>
      <c r="G210" t="s">
        <v>170</v>
      </c>
      <c r="I210" t="s">
        <v>26</v>
      </c>
      <c r="J210" s="15">
        <v>45450</v>
      </c>
      <c r="K210" t="s">
        <v>37</v>
      </c>
      <c r="L210" t="str">
        <f t="shared" si="11"/>
        <v>OK</v>
      </c>
      <c r="P210" t="s">
        <v>27</v>
      </c>
      <c r="Q210" t="s">
        <v>132</v>
      </c>
      <c r="R210" t="s">
        <v>133</v>
      </c>
      <c r="S210" t="s">
        <v>133</v>
      </c>
      <c r="T210" t="s">
        <v>133</v>
      </c>
      <c r="U210" t="s">
        <v>133</v>
      </c>
      <c r="V210" t="s">
        <v>133</v>
      </c>
      <c r="W210" t="s">
        <v>5</v>
      </c>
      <c r="X210">
        <v>0</v>
      </c>
      <c r="Y210" t="e">
        <f>_xlfn.XLOOKUP(C210,[1]Especificação!$G:$G,[1]Especificação!$C:$C)</f>
        <v>#N/A</v>
      </c>
    </row>
    <row r="211" spans="1:25" hidden="1" x14ac:dyDescent="0.3">
      <c r="A211" s="50" t="str">
        <f t="shared" si="12"/>
        <v>INSTRUMENT_ISSR_RTNG_SRC</v>
      </c>
      <c r="B211" t="s">
        <v>128</v>
      </c>
      <c r="C211" t="s">
        <v>400</v>
      </c>
      <c r="D211" t="s">
        <v>6</v>
      </c>
      <c r="E211" t="s">
        <v>37</v>
      </c>
      <c r="F211" t="s">
        <v>130</v>
      </c>
      <c r="G211" t="s">
        <v>170</v>
      </c>
      <c r="I211" t="s">
        <v>26</v>
      </c>
      <c r="J211" s="15">
        <v>45450</v>
      </c>
      <c r="K211" t="s">
        <v>37</v>
      </c>
      <c r="L211" t="str">
        <f t="shared" si="11"/>
        <v>OK</v>
      </c>
      <c r="P211" t="s">
        <v>27</v>
      </c>
      <c r="Q211" t="s">
        <v>132</v>
      </c>
      <c r="R211" t="s">
        <v>133</v>
      </c>
      <c r="S211" t="s">
        <v>133</v>
      </c>
      <c r="T211" t="s">
        <v>133</v>
      </c>
      <c r="U211" t="s">
        <v>133</v>
      </c>
      <c r="V211" t="s">
        <v>133</v>
      </c>
      <c r="W211" t="s">
        <v>5</v>
      </c>
      <c r="X211">
        <v>0</v>
      </c>
      <c r="Y211" t="e">
        <f>_xlfn.XLOOKUP(C211,[1]Especificação!$G:$G,[1]Especificação!$C:$C)</f>
        <v>#N/A</v>
      </c>
    </row>
    <row r="212" spans="1:25" hidden="1" x14ac:dyDescent="0.3">
      <c r="A212" s="50" t="str">
        <f t="shared" si="12"/>
        <v>INSTRUMENT_ISSR_TYP</v>
      </c>
      <c r="B212" t="s">
        <v>128</v>
      </c>
      <c r="C212" t="s">
        <v>401</v>
      </c>
      <c r="D212" t="s">
        <v>6</v>
      </c>
      <c r="E212" t="s">
        <v>38</v>
      </c>
      <c r="F212" t="s">
        <v>130</v>
      </c>
      <c r="G212" t="s">
        <v>131</v>
      </c>
      <c r="I212" t="s">
        <v>26</v>
      </c>
      <c r="J212" s="15">
        <v>45450</v>
      </c>
      <c r="K212" t="s">
        <v>38</v>
      </c>
      <c r="L212" t="str">
        <f t="shared" si="11"/>
        <v>OK</v>
      </c>
      <c r="P212" t="s">
        <v>30</v>
      </c>
      <c r="Q212" t="s">
        <v>132</v>
      </c>
      <c r="R212" t="s">
        <v>133</v>
      </c>
      <c r="S212" t="s">
        <v>133</v>
      </c>
      <c r="T212" t="s">
        <v>133</v>
      </c>
      <c r="U212" t="s">
        <v>133</v>
      </c>
      <c r="V212" t="s">
        <v>133</v>
      </c>
      <c r="W212" t="s">
        <v>5</v>
      </c>
      <c r="X212">
        <v>0</v>
      </c>
      <c r="Y212" t="e">
        <f>_xlfn.XLOOKUP(C212,[1]Especificação!$G:$G,[1]Especificação!$C:$C)</f>
        <v>#N/A</v>
      </c>
    </row>
    <row r="213" spans="1:25" hidden="1" x14ac:dyDescent="0.3">
      <c r="A213" s="50" t="str">
        <f t="shared" si="12"/>
        <v>INSTR_ENTITY_JNT_LBLTY_AMNT</v>
      </c>
      <c r="B213" t="s">
        <v>193</v>
      </c>
      <c r="C213" t="s">
        <v>402</v>
      </c>
      <c r="D213" t="s">
        <v>14</v>
      </c>
      <c r="E213" t="s">
        <v>38</v>
      </c>
      <c r="F213" t="s">
        <v>130</v>
      </c>
      <c r="G213" t="s">
        <v>131</v>
      </c>
      <c r="I213" t="s">
        <v>26</v>
      </c>
      <c r="J213" s="15">
        <v>45450</v>
      </c>
      <c r="K213" t="s">
        <v>38</v>
      </c>
      <c r="L213" t="str">
        <f t="shared" si="11"/>
        <v>OK</v>
      </c>
      <c r="P213" t="s">
        <v>30</v>
      </c>
      <c r="Q213" t="s">
        <v>132</v>
      </c>
      <c r="R213" t="s">
        <v>133</v>
      </c>
      <c r="S213" t="s">
        <v>133</v>
      </c>
      <c r="T213" t="s">
        <v>133</v>
      </c>
      <c r="U213" t="s">
        <v>133</v>
      </c>
      <c r="V213" t="s">
        <v>132</v>
      </c>
      <c r="W213" t="s">
        <v>5</v>
      </c>
      <c r="X213" t="s">
        <v>135</v>
      </c>
      <c r="Y213" t="str">
        <f>_xlfn.XLOOKUP(C213,[1]Especificação!$G:$G,[1]Especificação!$C:$C)</f>
        <v>F1. Fora âmbito | Campos concluídos - Sem necessidade de espec.</v>
      </c>
    </row>
    <row r="214" spans="1:25" hidden="1" x14ac:dyDescent="0.3">
      <c r="A214" s="50" t="str">
        <f t="shared" si="12"/>
        <v>INSTRUMENT_LCL_INSTMRNT_ID</v>
      </c>
      <c r="B214" t="s">
        <v>128</v>
      </c>
      <c r="C214" t="s">
        <v>403</v>
      </c>
      <c r="D214" t="s">
        <v>6</v>
      </c>
      <c r="E214" t="s">
        <v>36</v>
      </c>
      <c r="F214" t="s">
        <v>149</v>
      </c>
      <c r="G214" t="s">
        <v>163</v>
      </c>
      <c r="I214" t="s">
        <v>29</v>
      </c>
      <c r="J214" s="15">
        <v>45450</v>
      </c>
      <c r="K214" t="s">
        <v>36</v>
      </c>
      <c r="L214" t="str">
        <f t="shared" si="11"/>
        <v>NOK</v>
      </c>
      <c r="P214" t="s">
        <v>8</v>
      </c>
      <c r="Q214" t="s">
        <v>132</v>
      </c>
      <c r="R214" t="s">
        <v>132</v>
      </c>
      <c r="S214" t="s">
        <v>132</v>
      </c>
      <c r="T214" t="s">
        <v>133</v>
      </c>
      <c r="U214" t="s">
        <v>133</v>
      </c>
      <c r="V214" t="s">
        <v>133</v>
      </c>
      <c r="W214" t="s">
        <v>5</v>
      </c>
      <c r="X214">
        <v>0</v>
      </c>
      <c r="Y214" t="e">
        <f>_xlfn.XLOOKUP(C214,[1]Especificação!$G:$G,[1]Especificação!$C:$C)</f>
        <v>#N/A</v>
      </c>
    </row>
    <row r="215" spans="1:25" hidden="1" x14ac:dyDescent="0.3">
      <c r="A215" s="50" t="str">
        <f t="shared" si="12"/>
        <v>INSTRUMENT_LCR_BFFR_CTGRY</v>
      </c>
      <c r="B215" t="s">
        <v>128</v>
      </c>
      <c r="C215" t="s">
        <v>404</v>
      </c>
      <c r="D215" t="s">
        <v>6</v>
      </c>
      <c r="E215" t="s">
        <v>38</v>
      </c>
      <c r="F215" t="s">
        <v>130</v>
      </c>
      <c r="G215" t="s">
        <v>131</v>
      </c>
      <c r="I215" t="s">
        <v>26</v>
      </c>
      <c r="J215" s="15">
        <v>45450</v>
      </c>
      <c r="K215" t="s">
        <v>38</v>
      </c>
      <c r="L215" t="str">
        <f t="shared" si="11"/>
        <v>OK</v>
      </c>
      <c r="P215" t="s">
        <v>30</v>
      </c>
      <c r="Q215" t="s">
        <v>132</v>
      </c>
      <c r="R215" t="s">
        <v>133</v>
      </c>
      <c r="S215" t="s">
        <v>133</v>
      </c>
      <c r="T215" t="s">
        <v>133</v>
      </c>
      <c r="U215" t="s">
        <v>133</v>
      </c>
      <c r="V215" t="s">
        <v>133</v>
      </c>
      <c r="W215" t="s">
        <v>5</v>
      </c>
      <c r="X215">
        <v>0</v>
      </c>
      <c r="Y215" t="e">
        <f>_xlfn.XLOOKUP(C215,[1]Especificação!$G:$G,[1]Especificação!$C:$C)</f>
        <v>#N/A</v>
      </c>
    </row>
    <row r="216" spans="1:25" hidden="1" x14ac:dyDescent="0.3">
      <c r="A216" s="50" t="str">
        <f t="shared" si="12"/>
        <v>INSTRUMENT_LCRE</v>
      </c>
      <c r="B216" t="s">
        <v>128</v>
      </c>
      <c r="C216" s="11" t="s">
        <v>405</v>
      </c>
      <c r="D216" t="s">
        <v>14</v>
      </c>
      <c r="E216" t="s">
        <v>28</v>
      </c>
      <c r="F216" t="s">
        <v>130</v>
      </c>
      <c r="G216" t="s">
        <v>159</v>
      </c>
      <c r="H216" t="s">
        <v>406</v>
      </c>
      <c r="I216" t="s">
        <v>32</v>
      </c>
      <c r="J216" s="15">
        <v>45450</v>
      </c>
      <c r="K216" t="s">
        <v>28</v>
      </c>
      <c r="L216" t="str">
        <f t="shared" si="11"/>
        <v>OK</v>
      </c>
      <c r="P216" t="s">
        <v>39</v>
      </c>
      <c r="Q216" t="s">
        <v>132</v>
      </c>
      <c r="R216" t="s">
        <v>133</v>
      </c>
      <c r="S216" t="s">
        <v>133</v>
      </c>
      <c r="T216" t="s">
        <v>133</v>
      </c>
      <c r="U216" t="s">
        <v>133</v>
      </c>
      <c r="V216" t="s">
        <v>133</v>
      </c>
      <c r="W216" t="s">
        <v>5</v>
      </c>
      <c r="X216">
        <v>0</v>
      </c>
      <c r="Y216" t="e">
        <f>_xlfn.XLOOKUP(C216,[1]Especificação!$G:$G,[1]Especificação!$C:$C)</f>
        <v>#N/A</v>
      </c>
    </row>
    <row r="217" spans="1:25" hidden="1" x14ac:dyDescent="0.3">
      <c r="A217" s="50" t="str">
        <f t="shared" si="12"/>
        <v>ENTITY_LEI</v>
      </c>
      <c r="B217" t="s">
        <v>142</v>
      </c>
      <c r="C217" t="s">
        <v>407</v>
      </c>
      <c r="D217" t="s">
        <v>14</v>
      </c>
      <c r="E217" t="s">
        <v>38</v>
      </c>
      <c r="F217" t="s">
        <v>130</v>
      </c>
      <c r="G217" t="s">
        <v>131</v>
      </c>
      <c r="I217" t="s">
        <v>26</v>
      </c>
      <c r="J217" s="15">
        <v>45450</v>
      </c>
      <c r="K217" t="s">
        <v>38</v>
      </c>
      <c r="L217" t="str">
        <f t="shared" si="11"/>
        <v>OK</v>
      </c>
      <c r="P217" t="s">
        <v>30</v>
      </c>
      <c r="Q217" t="s">
        <v>132</v>
      </c>
      <c r="R217" t="s">
        <v>133</v>
      </c>
      <c r="S217" t="s">
        <v>132</v>
      </c>
      <c r="T217" t="s">
        <v>133</v>
      </c>
      <c r="U217" t="s">
        <v>133</v>
      </c>
      <c r="V217" t="s">
        <v>132</v>
      </c>
      <c r="W217" t="s">
        <v>5</v>
      </c>
      <c r="X217" t="s">
        <v>135</v>
      </c>
      <c r="Y217" t="str">
        <f>_xlfn.XLOOKUP(C217,[1]Especificação!$G:$G,[1]Especificação!$C:$C)</f>
        <v>F1. Fora âmbito | Campos concluídos - Sem necessidade de espec.</v>
      </c>
    </row>
    <row r="218" spans="1:25" hidden="1" x14ac:dyDescent="0.3">
      <c r="A218" s="50" t="str">
        <f t="shared" si="12"/>
        <v>INSTRUMENT_LGD</v>
      </c>
      <c r="B218" t="s">
        <v>128</v>
      </c>
      <c r="C218" t="s">
        <v>408</v>
      </c>
      <c r="D218" t="s">
        <v>14</v>
      </c>
      <c r="E218" t="s">
        <v>38</v>
      </c>
      <c r="F218" t="s">
        <v>130</v>
      </c>
      <c r="G218" t="s">
        <v>131</v>
      </c>
      <c r="I218" t="s">
        <v>26</v>
      </c>
      <c r="J218" s="15">
        <v>45450</v>
      </c>
      <c r="K218" t="s">
        <v>38</v>
      </c>
      <c r="L218" t="str">
        <f t="shared" si="11"/>
        <v>OK</v>
      </c>
      <c r="P218" t="s">
        <v>30</v>
      </c>
      <c r="Q218" t="s">
        <v>132</v>
      </c>
      <c r="R218" t="s">
        <v>133</v>
      </c>
      <c r="S218" t="s">
        <v>133</v>
      </c>
      <c r="T218" t="s">
        <v>133</v>
      </c>
      <c r="U218" t="s">
        <v>133</v>
      </c>
      <c r="V218" t="s">
        <v>132</v>
      </c>
      <c r="W218" t="s">
        <v>5</v>
      </c>
      <c r="X218" t="s">
        <v>135</v>
      </c>
      <c r="Y218" t="str">
        <f>_xlfn.XLOOKUP(C218,[1]Especificação!$G:$G,[1]Especificação!$C:$C)</f>
        <v>F1. Fora âmbito | Campos concluídos - Sem necessidade de espec.</v>
      </c>
    </row>
    <row r="219" spans="1:25" hidden="1" x14ac:dyDescent="0.3">
      <c r="A219" s="50" t="str">
        <f t="shared" si="12"/>
        <v>INSTRUMENT_LGL_PRCDNG_STTS</v>
      </c>
      <c r="B219" t="s">
        <v>128</v>
      </c>
      <c r="C219" t="s">
        <v>409</v>
      </c>
      <c r="D219" t="s">
        <v>14</v>
      </c>
      <c r="E219" t="s">
        <v>38</v>
      </c>
      <c r="F219" t="s">
        <v>130</v>
      </c>
      <c r="G219" t="s">
        <v>131</v>
      </c>
      <c r="I219" t="s">
        <v>26</v>
      </c>
      <c r="J219" s="15">
        <v>45450</v>
      </c>
      <c r="K219" t="s">
        <v>38</v>
      </c>
      <c r="L219" t="str">
        <f t="shared" si="11"/>
        <v>OK</v>
      </c>
      <c r="P219" t="s">
        <v>30</v>
      </c>
      <c r="Q219" t="s">
        <v>132</v>
      </c>
      <c r="R219" t="s">
        <v>133</v>
      </c>
      <c r="S219" t="s">
        <v>133</v>
      </c>
      <c r="T219" t="s">
        <v>133</v>
      </c>
      <c r="U219" t="s">
        <v>133</v>
      </c>
      <c r="V219" t="s">
        <v>133</v>
      </c>
      <c r="W219" t="s">
        <v>5</v>
      </c>
      <c r="X219">
        <v>0</v>
      </c>
      <c r="Y219" t="e">
        <f>_xlfn.XLOOKUP(C219,[1]Especificação!$G:$G,[1]Especificação!$C:$C)</f>
        <v>#N/A</v>
      </c>
    </row>
    <row r="220" spans="1:25" hidden="1" x14ac:dyDescent="0.3">
      <c r="A220" s="50" t="str">
        <f t="shared" si="12"/>
        <v>ENTITY_LGL_PRCDNG_STTS_LE</v>
      </c>
      <c r="B220" t="s">
        <v>142</v>
      </c>
      <c r="C220" t="s">
        <v>410</v>
      </c>
      <c r="D220" t="s">
        <v>14</v>
      </c>
      <c r="E220" t="s">
        <v>36</v>
      </c>
      <c r="F220" t="s">
        <v>149</v>
      </c>
      <c r="G220" t="s">
        <v>163</v>
      </c>
      <c r="I220" t="s">
        <v>29</v>
      </c>
      <c r="J220" s="15">
        <v>45450</v>
      </c>
      <c r="K220" t="s">
        <v>36</v>
      </c>
      <c r="L220" t="str">
        <f t="shared" si="11"/>
        <v>NOK</v>
      </c>
      <c r="P220" t="s">
        <v>8</v>
      </c>
      <c r="Q220" t="s">
        <v>132</v>
      </c>
      <c r="R220" t="s">
        <v>133</v>
      </c>
      <c r="S220" t="s">
        <v>133</v>
      </c>
      <c r="T220" t="s">
        <v>133</v>
      </c>
      <c r="U220" t="s">
        <v>133</v>
      </c>
      <c r="V220" t="s">
        <v>132</v>
      </c>
      <c r="W220" t="s">
        <v>138</v>
      </c>
      <c r="X220" t="s">
        <v>166</v>
      </c>
      <c r="Y220" t="str">
        <f>_xlfn.XLOOKUP(C220,[1]Especificação!$G:$G,[1]Especificação!$C:$C)</f>
        <v>D. Campos com NOK controlos Corporativos</v>
      </c>
    </row>
    <row r="221" spans="1:25" hidden="1" x14ac:dyDescent="0.3">
      <c r="A221" s="50" t="str">
        <f t="shared" si="12"/>
        <v>INSTRUMENT_LND_DRGTN</v>
      </c>
      <c r="B221" t="s">
        <v>128</v>
      </c>
      <c r="C221" t="s">
        <v>411</v>
      </c>
      <c r="D221" t="s">
        <v>6</v>
      </c>
      <c r="E221" t="s">
        <v>38</v>
      </c>
      <c r="F221" t="s">
        <v>130</v>
      </c>
      <c r="G221" t="s">
        <v>131</v>
      </c>
      <c r="I221" t="s">
        <v>26</v>
      </c>
      <c r="J221" s="15">
        <v>45450</v>
      </c>
      <c r="K221" t="s">
        <v>38</v>
      </c>
      <c r="L221" t="str">
        <f t="shared" ref="L221:L244" si="13">F221</f>
        <v>OK</v>
      </c>
      <c r="P221" t="s">
        <v>30</v>
      </c>
      <c r="Q221" t="s">
        <v>132</v>
      </c>
      <c r="R221" t="s">
        <v>133</v>
      </c>
      <c r="S221" t="s">
        <v>133</v>
      </c>
      <c r="T221" t="s">
        <v>133</v>
      </c>
      <c r="U221" t="s">
        <v>133</v>
      </c>
      <c r="V221" t="s">
        <v>133</v>
      </c>
      <c r="W221" t="s">
        <v>5</v>
      </c>
      <c r="X221">
        <v>0</v>
      </c>
      <c r="Y221" t="e">
        <f>_xlfn.XLOOKUP(C221,[1]Especificação!$G:$G,[1]Especificação!$C:$C)</f>
        <v>#N/A</v>
      </c>
    </row>
    <row r="222" spans="1:25" hidden="1" x14ac:dyDescent="0.3">
      <c r="A222" s="50" t="str">
        <f t="shared" si="12"/>
        <v>INSTRUMENT_LSTI</v>
      </c>
      <c r="B222" t="s">
        <v>128</v>
      </c>
      <c r="C222" t="s">
        <v>412</v>
      </c>
      <c r="D222" t="s">
        <v>6</v>
      </c>
      <c r="E222" t="s">
        <v>20</v>
      </c>
      <c r="F222" t="s">
        <v>130</v>
      </c>
      <c r="G222" t="s">
        <v>235</v>
      </c>
      <c r="I222" t="s">
        <v>29</v>
      </c>
      <c r="J222" s="15">
        <v>45450</v>
      </c>
      <c r="K222" t="s">
        <v>20</v>
      </c>
      <c r="L222" t="str">
        <f t="shared" si="13"/>
        <v>OK</v>
      </c>
      <c r="P222" t="s">
        <v>19</v>
      </c>
      <c r="Q222" t="s">
        <v>132</v>
      </c>
      <c r="R222" t="s">
        <v>133</v>
      </c>
      <c r="S222" t="s">
        <v>133</v>
      </c>
      <c r="T222" t="s">
        <v>133</v>
      </c>
      <c r="U222" t="s">
        <v>133</v>
      </c>
      <c r="V222" t="s">
        <v>133</v>
      </c>
      <c r="W222" t="s">
        <v>5</v>
      </c>
      <c r="X222">
        <v>0</v>
      </c>
      <c r="Y222" t="e">
        <f>_xlfn.XLOOKUP(C222,[1]Especificação!$G:$G,[1]Especificação!$C:$C)</f>
        <v>#N/A</v>
      </c>
    </row>
    <row r="223" spans="1:25" hidden="1" x14ac:dyDescent="0.3">
      <c r="A223" s="50" t="str">
        <f t="shared" si="12"/>
        <v>ENTITY_LTI</v>
      </c>
      <c r="B223" t="s">
        <v>142</v>
      </c>
      <c r="C223" t="s">
        <v>413</v>
      </c>
      <c r="D223" t="s">
        <v>6</v>
      </c>
      <c r="E223" t="s">
        <v>20</v>
      </c>
      <c r="F223" t="s">
        <v>149</v>
      </c>
      <c r="G223" t="s">
        <v>375</v>
      </c>
      <c r="I223" t="s">
        <v>29</v>
      </c>
      <c r="J223" s="15">
        <v>45952</v>
      </c>
      <c r="K223" t="s">
        <v>38</v>
      </c>
      <c r="L223" t="s">
        <v>130</v>
      </c>
      <c r="O223" s="15">
        <v>45952</v>
      </c>
      <c r="P223" t="s">
        <v>13</v>
      </c>
      <c r="Q223" t="s">
        <v>132</v>
      </c>
      <c r="R223" t="s">
        <v>133</v>
      </c>
      <c r="S223" t="s">
        <v>133</v>
      </c>
      <c r="T223" t="s">
        <v>133</v>
      </c>
      <c r="U223" t="s">
        <v>133</v>
      </c>
      <c r="V223" t="s">
        <v>133</v>
      </c>
      <c r="W223" t="s">
        <v>5</v>
      </c>
      <c r="X223">
        <v>0</v>
      </c>
      <c r="Y223" t="e">
        <f>_xlfn.XLOOKUP(C223,[1]Especificação!$G:$G,[1]Especificação!$C:$C)</f>
        <v>#N/A</v>
      </c>
    </row>
    <row r="224" spans="1:25" hidden="1" x14ac:dyDescent="0.3">
      <c r="A224" s="50" t="str">
        <f t="shared" si="12"/>
        <v>INSTRUMENT_LTI_INSTRMNT</v>
      </c>
      <c r="B224" t="s">
        <v>128</v>
      </c>
      <c r="C224" t="s">
        <v>414</v>
      </c>
      <c r="D224" t="s">
        <v>6</v>
      </c>
      <c r="E224" t="s">
        <v>20</v>
      </c>
      <c r="F224" t="s">
        <v>130</v>
      </c>
      <c r="G224" t="s">
        <v>235</v>
      </c>
      <c r="I224" t="s">
        <v>29</v>
      </c>
      <c r="J224" s="15">
        <v>45450</v>
      </c>
      <c r="K224" t="s">
        <v>20</v>
      </c>
      <c r="L224" t="str">
        <f t="shared" si="13"/>
        <v>OK</v>
      </c>
      <c r="P224" t="s">
        <v>19</v>
      </c>
      <c r="Q224" t="s">
        <v>132</v>
      </c>
      <c r="R224" t="s">
        <v>133</v>
      </c>
      <c r="S224" t="s">
        <v>133</v>
      </c>
      <c r="T224" t="s">
        <v>133</v>
      </c>
      <c r="U224" t="s">
        <v>133</v>
      </c>
      <c r="V224" t="s">
        <v>133</v>
      </c>
      <c r="W224" t="s">
        <v>5</v>
      </c>
      <c r="X224">
        <v>0</v>
      </c>
      <c r="Y224" t="e">
        <f>_xlfn.XLOOKUP(C224,[1]Especificação!$G:$G,[1]Especificação!$C:$C)</f>
        <v>#N/A</v>
      </c>
    </row>
    <row r="225" spans="1:25" hidden="1" x14ac:dyDescent="0.3">
      <c r="A225" s="50" t="str">
        <f t="shared" si="12"/>
        <v>INSTRUMENT_LTV</v>
      </c>
      <c r="B225" t="s">
        <v>128</v>
      </c>
      <c r="C225" t="s">
        <v>415</v>
      </c>
      <c r="D225" t="s">
        <v>14</v>
      </c>
      <c r="E225" t="s">
        <v>36</v>
      </c>
      <c r="F225" t="s">
        <v>149</v>
      </c>
      <c r="G225" t="s">
        <v>163</v>
      </c>
      <c r="I225" t="s">
        <v>29</v>
      </c>
      <c r="J225" s="15">
        <v>45450</v>
      </c>
      <c r="K225" t="s">
        <v>36</v>
      </c>
      <c r="L225" t="str">
        <f t="shared" si="13"/>
        <v>NOK</v>
      </c>
      <c r="P225" t="s">
        <v>8</v>
      </c>
      <c r="Q225" t="s">
        <v>132</v>
      </c>
      <c r="R225" t="s">
        <v>133</v>
      </c>
      <c r="S225" t="s">
        <v>132</v>
      </c>
      <c r="T225" t="s">
        <v>133</v>
      </c>
      <c r="U225" t="s">
        <v>133</v>
      </c>
      <c r="V225" t="s">
        <v>133</v>
      </c>
      <c r="W225" t="s">
        <v>5</v>
      </c>
      <c r="X225">
        <v>0</v>
      </c>
      <c r="Y225" t="e">
        <f>_xlfn.XLOOKUP(C225,[1]Especificação!$G:$G,[1]Especificação!$C:$C)</f>
        <v>#N/A</v>
      </c>
    </row>
    <row r="226" spans="1:25" hidden="1" x14ac:dyDescent="0.3">
      <c r="A226" s="50" t="str">
        <f t="shared" si="12"/>
        <v>INSTRUMENT_LTV_INCPTN</v>
      </c>
      <c r="B226" t="s">
        <v>128</v>
      </c>
      <c r="C226" t="s">
        <v>416</v>
      </c>
      <c r="D226" t="s">
        <v>14</v>
      </c>
      <c r="E226" t="s">
        <v>38</v>
      </c>
      <c r="F226" t="s">
        <v>130</v>
      </c>
      <c r="G226" t="s">
        <v>131</v>
      </c>
      <c r="I226" t="s">
        <v>26</v>
      </c>
      <c r="J226" s="15">
        <v>45450</v>
      </c>
      <c r="K226" t="s">
        <v>38</v>
      </c>
      <c r="L226" t="str">
        <f t="shared" si="13"/>
        <v>OK</v>
      </c>
      <c r="P226" t="s">
        <v>30</v>
      </c>
      <c r="Q226" t="s">
        <v>132</v>
      </c>
      <c r="R226" t="s">
        <v>133</v>
      </c>
      <c r="S226" t="s">
        <v>132</v>
      </c>
      <c r="T226" t="s">
        <v>133</v>
      </c>
      <c r="U226" t="s">
        <v>133</v>
      </c>
      <c r="V226" t="s">
        <v>133</v>
      </c>
      <c r="W226" t="s">
        <v>5</v>
      </c>
      <c r="X226">
        <v>0</v>
      </c>
      <c r="Y226" t="e">
        <f>_xlfn.XLOOKUP(C226,[1]Especificação!$G:$G,[1]Especificação!$C:$C)</f>
        <v>#N/A</v>
      </c>
    </row>
    <row r="227" spans="1:25" hidden="1" x14ac:dyDescent="0.3">
      <c r="A227" s="50" t="str">
        <f t="shared" si="12"/>
        <v>INSTRUMENT_LTV_NPE</v>
      </c>
      <c r="B227" t="s">
        <v>128</v>
      </c>
      <c r="C227" s="11" t="s">
        <v>417</v>
      </c>
      <c r="D227" t="s">
        <v>14</v>
      </c>
      <c r="E227" t="s">
        <v>33</v>
      </c>
      <c r="F227" t="s">
        <v>130</v>
      </c>
      <c r="G227" t="s">
        <v>232</v>
      </c>
      <c r="I227" t="s">
        <v>32</v>
      </c>
      <c r="J227" s="15">
        <v>45450</v>
      </c>
      <c r="K227" t="s">
        <v>33</v>
      </c>
      <c r="L227" t="str">
        <f t="shared" si="13"/>
        <v>OK</v>
      </c>
      <c r="N227" s="15">
        <v>44697</v>
      </c>
      <c r="O227" s="15">
        <v>44708</v>
      </c>
      <c r="P227" t="s">
        <v>39</v>
      </c>
      <c r="Q227" t="s">
        <v>132</v>
      </c>
      <c r="R227" t="s">
        <v>133</v>
      </c>
      <c r="S227" t="s">
        <v>133</v>
      </c>
      <c r="T227" t="s">
        <v>133</v>
      </c>
      <c r="U227" t="s">
        <v>133</v>
      </c>
      <c r="V227" t="s">
        <v>133</v>
      </c>
      <c r="W227" t="s">
        <v>5</v>
      </c>
      <c r="X227">
        <v>0</v>
      </c>
      <c r="Y227" t="e">
        <f>_xlfn.XLOOKUP(C227,[1]Especificação!$G:$G,[1]Especificação!$C:$C)</f>
        <v>#N/A</v>
      </c>
    </row>
    <row r="228" spans="1:25" hidden="1" x14ac:dyDescent="0.3">
      <c r="A228" s="50" t="str">
        <f t="shared" si="12"/>
        <v>ENTITY_LVRG</v>
      </c>
      <c r="B228" t="s">
        <v>142</v>
      </c>
      <c r="C228" t="s">
        <v>418</v>
      </c>
      <c r="D228" t="s">
        <v>14</v>
      </c>
      <c r="E228" t="s">
        <v>38</v>
      </c>
      <c r="F228" t="s">
        <v>130</v>
      </c>
      <c r="G228" t="s">
        <v>131</v>
      </c>
      <c r="I228" t="s">
        <v>26</v>
      </c>
      <c r="J228" s="15">
        <v>45450</v>
      </c>
      <c r="K228" t="s">
        <v>38</v>
      </c>
      <c r="L228" t="str">
        <f t="shared" si="13"/>
        <v>OK</v>
      </c>
      <c r="N228" s="15"/>
      <c r="O228" s="15"/>
      <c r="P228" t="s">
        <v>30</v>
      </c>
      <c r="Q228" t="s">
        <v>132</v>
      </c>
      <c r="R228" t="s">
        <v>133</v>
      </c>
      <c r="S228" t="s">
        <v>133</v>
      </c>
      <c r="T228" t="s">
        <v>133</v>
      </c>
      <c r="U228" t="s">
        <v>133</v>
      </c>
      <c r="V228" t="s">
        <v>132</v>
      </c>
      <c r="W228" t="s">
        <v>5</v>
      </c>
      <c r="X228" t="s">
        <v>135</v>
      </c>
      <c r="Y228" t="str">
        <f>_xlfn.XLOOKUP(C228,[1]Especificação!$G:$G,[1]Especificação!$C:$C)</f>
        <v>F1. Fora âmbito | Campos concluídos - Sem necessidade de espec.</v>
      </c>
    </row>
    <row r="229" spans="1:25" hidden="1" x14ac:dyDescent="0.3">
      <c r="A229" s="50" t="str">
        <f t="shared" si="12"/>
        <v>INSTRUMENT_LVRG_FNNC_FLG</v>
      </c>
      <c r="B229" t="s">
        <v>128</v>
      </c>
      <c r="C229" t="s">
        <v>419</v>
      </c>
      <c r="D229" t="s">
        <v>6</v>
      </c>
      <c r="E229" t="s">
        <v>38</v>
      </c>
      <c r="F229" t="s">
        <v>130</v>
      </c>
      <c r="G229" t="s">
        <v>131</v>
      </c>
      <c r="I229" t="s">
        <v>26</v>
      </c>
      <c r="J229" s="15">
        <v>45450</v>
      </c>
      <c r="K229" t="s">
        <v>38</v>
      </c>
      <c r="L229" t="str">
        <f t="shared" si="13"/>
        <v>OK</v>
      </c>
      <c r="N229" s="15"/>
      <c r="O229" s="15"/>
      <c r="P229" t="s">
        <v>30</v>
      </c>
      <c r="Q229" t="s">
        <v>132</v>
      </c>
      <c r="R229" t="s">
        <v>133</v>
      </c>
      <c r="S229" t="s">
        <v>133</v>
      </c>
      <c r="T229" t="s">
        <v>133</v>
      </c>
      <c r="U229" t="s">
        <v>133</v>
      </c>
      <c r="V229" t="s">
        <v>132</v>
      </c>
      <c r="W229" t="s">
        <v>146</v>
      </c>
      <c r="X229" t="s">
        <v>211</v>
      </c>
      <c r="Y229" t="str">
        <f>_xlfn.XLOOKUP(C229,[1]Especificação!$G:$G,[1]Especificação!$C:$C)</f>
        <v>B2. Re-especificação de campos complexos - Resto</v>
      </c>
    </row>
    <row r="230" spans="1:25" hidden="1" x14ac:dyDescent="0.3">
      <c r="A230" s="50" t="str">
        <f t="shared" si="12"/>
        <v>ENTITY_LVRG_PRVS</v>
      </c>
      <c r="B230" t="s">
        <v>142</v>
      </c>
      <c r="C230" t="s">
        <v>420</v>
      </c>
      <c r="D230" t="s">
        <v>14</v>
      </c>
      <c r="E230" t="s">
        <v>38</v>
      </c>
      <c r="F230" t="s">
        <v>130</v>
      </c>
      <c r="G230" t="s">
        <v>131</v>
      </c>
      <c r="I230" t="s">
        <v>26</v>
      </c>
      <c r="J230" s="15">
        <v>45450</v>
      </c>
      <c r="K230" t="s">
        <v>38</v>
      </c>
      <c r="L230" t="str">
        <f t="shared" si="13"/>
        <v>OK</v>
      </c>
      <c r="N230" s="15"/>
      <c r="O230" s="15"/>
      <c r="P230" t="s">
        <v>30</v>
      </c>
      <c r="Q230" t="s">
        <v>132</v>
      </c>
      <c r="R230" t="s">
        <v>133</v>
      </c>
      <c r="S230" t="s">
        <v>133</v>
      </c>
      <c r="T230" t="s">
        <v>133</v>
      </c>
      <c r="U230" t="s">
        <v>133</v>
      </c>
      <c r="V230" t="s">
        <v>132</v>
      </c>
      <c r="W230" t="s">
        <v>5</v>
      </c>
      <c r="X230" t="s">
        <v>135</v>
      </c>
      <c r="Y230" t="str">
        <f>_xlfn.XLOOKUP(C230,[1]Especificação!$G:$G,[1]Especificação!$C:$C)</f>
        <v>F1. Fora âmbito | Campos concluídos - Sem necessidade de espec.</v>
      </c>
    </row>
    <row r="231" spans="1:25" hidden="1" x14ac:dyDescent="0.3">
      <c r="A231" s="50" t="str">
        <f t="shared" si="12"/>
        <v>INSTR_ENTITY_MN_ENTTY_ID</v>
      </c>
      <c r="B231" t="s">
        <v>193</v>
      </c>
      <c r="C231" s="11" t="s">
        <v>421</v>
      </c>
      <c r="D231" t="s">
        <v>14</v>
      </c>
      <c r="E231" t="s">
        <v>35</v>
      </c>
      <c r="F231" t="s">
        <v>130</v>
      </c>
      <c r="G231" s="86" t="s">
        <v>422</v>
      </c>
      <c r="H231" t="s">
        <v>423</v>
      </c>
      <c r="I231" t="s">
        <v>32</v>
      </c>
      <c r="J231" s="15">
        <v>45450</v>
      </c>
      <c r="K231" t="s">
        <v>35</v>
      </c>
      <c r="L231" t="str">
        <f t="shared" si="13"/>
        <v>OK</v>
      </c>
      <c r="N231" s="15">
        <v>45324</v>
      </c>
      <c r="O231" s="15">
        <v>45372</v>
      </c>
      <c r="P231" t="s">
        <v>39</v>
      </c>
      <c r="Q231" t="s">
        <v>132</v>
      </c>
      <c r="R231" t="s">
        <v>133</v>
      </c>
      <c r="S231" t="s">
        <v>132</v>
      </c>
      <c r="T231" t="s">
        <v>133</v>
      </c>
      <c r="U231" t="s">
        <v>133</v>
      </c>
      <c r="V231" t="s">
        <v>132</v>
      </c>
      <c r="W231" t="s">
        <v>138</v>
      </c>
      <c r="X231" t="s">
        <v>139</v>
      </c>
      <c r="Y231" t="str">
        <f>_xlfn.XLOOKUP(C231,[1]Especificação!$G:$G,[1]Especificação!$C:$C)</f>
        <v>C. Campos em testes ou c/ incidências</v>
      </c>
    </row>
    <row r="232" spans="1:25" hidden="1" x14ac:dyDescent="0.3">
      <c r="A232" s="50" t="str">
        <f t="shared" si="12"/>
        <v>PROTECTION_MN_PRPS</v>
      </c>
      <c r="B232" t="s">
        <v>161</v>
      </c>
      <c r="C232" t="s">
        <v>424</v>
      </c>
      <c r="D232" t="s">
        <v>6</v>
      </c>
      <c r="E232" t="s">
        <v>36</v>
      </c>
      <c r="F232" t="s">
        <v>149</v>
      </c>
      <c r="G232" t="s">
        <v>163</v>
      </c>
      <c r="I232" t="s">
        <v>29</v>
      </c>
      <c r="J232" s="15">
        <v>45450</v>
      </c>
      <c r="K232" t="s">
        <v>36</v>
      </c>
      <c r="L232" t="str">
        <f t="shared" si="13"/>
        <v>NOK</v>
      </c>
      <c r="N232" s="15"/>
      <c r="O232" s="15"/>
      <c r="P232" t="s">
        <v>8</v>
      </c>
      <c r="Q232" t="s">
        <v>132</v>
      </c>
      <c r="R232" t="s">
        <v>133</v>
      </c>
      <c r="S232" t="s">
        <v>133</v>
      </c>
      <c r="T232" t="s">
        <v>133</v>
      </c>
      <c r="U232" t="s">
        <v>133</v>
      </c>
      <c r="V232" t="s">
        <v>133</v>
      </c>
      <c r="W232" t="s">
        <v>5</v>
      </c>
      <c r="X232">
        <v>0</v>
      </c>
      <c r="Y232" t="e">
        <f>_xlfn.XLOOKUP(C232,[1]Especificação!$G:$G,[1]Especificação!$C:$C)</f>
        <v>#N/A</v>
      </c>
    </row>
    <row r="233" spans="1:25" hidden="1" x14ac:dyDescent="0.3">
      <c r="A233" s="50" t="str">
        <f t="shared" si="12"/>
        <v>ENTITY_MNTHL_INCM</v>
      </c>
      <c r="B233" t="s">
        <v>142</v>
      </c>
      <c r="C233" t="s">
        <v>425</v>
      </c>
      <c r="D233" t="s">
        <v>6</v>
      </c>
      <c r="E233" t="s">
        <v>20</v>
      </c>
      <c r="F233" t="s">
        <v>130</v>
      </c>
      <c r="G233" t="s">
        <v>375</v>
      </c>
      <c r="I233" t="s">
        <v>29</v>
      </c>
      <c r="J233" s="15">
        <v>45450</v>
      </c>
      <c r="K233" t="s">
        <v>20</v>
      </c>
      <c r="L233" t="str">
        <f t="shared" si="13"/>
        <v>OK</v>
      </c>
      <c r="N233" s="15"/>
      <c r="O233" s="15"/>
      <c r="P233" t="s">
        <v>13</v>
      </c>
      <c r="Q233" t="s">
        <v>132</v>
      </c>
      <c r="R233" t="s">
        <v>133</v>
      </c>
      <c r="S233" t="s">
        <v>133</v>
      </c>
      <c r="T233" t="s">
        <v>133</v>
      </c>
      <c r="U233" t="s">
        <v>133</v>
      </c>
      <c r="V233" t="s">
        <v>133</v>
      </c>
      <c r="W233" t="s">
        <v>5</v>
      </c>
      <c r="X233">
        <v>0</v>
      </c>
      <c r="Y233" t="e">
        <f>_xlfn.XLOOKUP(C233,[1]Especificação!$G:$G,[1]Especificação!$C:$C)</f>
        <v>#N/A</v>
      </c>
    </row>
    <row r="234" spans="1:25" hidden="1" x14ac:dyDescent="0.3">
      <c r="A234" s="50" t="str">
        <f t="shared" si="12"/>
        <v>ENTITY_MNTHL_INCM_SLR</v>
      </c>
      <c r="B234" t="s">
        <v>142</v>
      </c>
      <c r="C234" t="s">
        <v>426</v>
      </c>
      <c r="D234" t="s">
        <v>6</v>
      </c>
      <c r="E234" t="s">
        <v>20</v>
      </c>
      <c r="F234" t="s">
        <v>149</v>
      </c>
      <c r="G234" t="s">
        <v>375</v>
      </c>
      <c r="I234" t="s">
        <v>29</v>
      </c>
      <c r="J234" s="15">
        <v>45450</v>
      </c>
      <c r="K234" t="s">
        <v>20</v>
      </c>
      <c r="L234" t="str">
        <f t="shared" si="13"/>
        <v>NOK</v>
      </c>
      <c r="N234" s="15"/>
      <c r="O234" s="15"/>
      <c r="P234" t="s">
        <v>13</v>
      </c>
      <c r="Q234" t="s">
        <v>132</v>
      </c>
      <c r="R234" t="s">
        <v>133</v>
      </c>
      <c r="S234" t="s">
        <v>133</v>
      </c>
      <c r="T234" t="s">
        <v>133</v>
      </c>
      <c r="U234" t="s">
        <v>133</v>
      </c>
      <c r="V234" t="s">
        <v>133</v>
      </c>
      <c r="W234" t="s">
        <v>5</v>
      </c>
      <c r="X234">
        <v>0</v>
      </c>
      <c r="Y234" t="e">
        <f>_xlfn.XLOOKUP(C234,[1]Especificação!$G:$G,[1]Especificação!$C:$C)</f>
        <v>#N/A</v>
      </c>
    </row>
    <row r="235" spans="1:25" hidden="1" x14ac:dyDescent="0.3">
      <c r="A235" s="50" t="str">
        <f t="shared" si="12"/>
        <v>ENTITY_MNTHL_TRNVR</v>
      </c>
      <c r="B235" t="s">
        <v>142</v>
      </c>
      <c r="C235" t="s">
        <v>427</v>
      </c>
      <c r="D235" t="s">
        <v>6</v>
      </c>
      <c r="E235" t="s">
        <v>20</v>
      </c>
      <c r="F235" t="s">
        <v>130</v>
      </c>
      <c r="G235" t="s">
        <v>375</v>
      </c>
      <c r="I235" t="s">
        <v>29</v>
      </c>
      <c r="J235" s="15">
        <v>45952</v>
      </c>
      <c r="K235" t="s">
        <v>36</v>
      </c>
      <c r="L235" t="s">
        <v>149</v>
      </c>
      <c r="M235" t="s">
        <v>1323</v>
      </c>
      <c r="N235" s="15"/>
      <c r="O235" s="15">
        <v>45952</v>
      </c>
      <c r="P235" t="s">
        <v>13</v>
      </c>
      <c r="Q235" t="s">
        <v>132</v>
      </c>
      <c r="R235" t="s">
        <v>133</v>
      </c>
      <c r="S235" t="s">
        <v>133</v>
      </c>
      <c r="T235" t="s">
        <v>133</v>
      </c>
      <c r="U235" t="s">
        <v>133</v>
      </c>
      <c r="V235" t="s">
        <v>133</v>
      </c>
      <c r="W235" t="s">
        <v>5</v>
      </c>
      <c r="X235">
        <v>0</v>
      </c>
      <c r="Y235" t="e">
        <f>_xlfn.XLOOKUP(C235,[1]Especificação!$G:$G,[1]Especificação!$C:$C)</f>
        <v>#N/A</v>
      </c>
    </row>
    <row r="236" spans="1:25" hidden="1" x14ac:dyDescent="0.3">
      <c r="A236" s="50" t="str">
        <f t="shared" si="12"/>
        <v>INSTRUMENT_MTRTY_LTST_FRBRNC_MSR_C19</v>
      </c>
      <c r="B236" t="s">
        <v>128</v>
      </c>
      <c r="C236" t="s">
        <v>428</v>
      </c>
      <c r="D236" t="s">
        <v>6</v>
      </c>
      <c r="E236" t="s">
        <v>38</v>
      </c>
      <c r="F236" t="s">
        <v>130</v>
      </c>
      <c r="G236" t="s">
        <v>131</v>
      </c>
      <c r="I236" t="s">
        <v>26</v>
      </c>
      <c r="J236" s="15">
        <v>45450</v>
      </c>
      <c r="K236" t="s">
        <v>38</v>
      </c>
      <c r="L236" t="str">
        <f t="shared" si="13"/>
        <v>OK</v>
      </c>
      <c r="N236" s="15"/>
      <c r="O236" s="15"/>
      <c r="P236" t="s">
        <v>30</v>
      </c>
      <c r="Q236" t="s">
        <v>132</v>
      </c>
      <c r="R236" t="s">
        <v>133</v>
      </c>
      <c r="S236" t="s">
        <v>133</v>
      </c>
      <c r="T236" t="s">
        <v>133</v>
      </c>
      <c r="U236" t="s">
        <v>133</v>
      </c>
      <c r="V236" t="s">
        <v>133</v>
      </c>
      <c r="W236" t="s">
        <v>5</v>
      </c>
      <c r="X236">
        <v>0</v>
      </c>
      <c r="Y236" t="e">
        <f>_xlfn.XLOOKUP(C236,[1]Especificação!$G:$G,[1]Especificação!$C:$C)</f>
        <v>#N/A</v>
      </c>
    </row>
    <row r="237" spans="1:25" hidden="1" x14ac:dyDescent="0.3">
      <c r="A237" s="50" t="str">
        <f t="shared" si="12"/>
        <v>INSTRUMENT_MTRTY_LTST_MRTR_C19</v>
      </c>
      <c r="B237" t="s">
        <v>128</v>
      </c>
      <c r="C237" t="s">
        <v>429</v>
      </c>
      <c r="D237" t="s">
        <v>6</v>
      </c>
      <c r="E237" t="s">
        <v>38</v>
      </c>
      <c r="F237" t="s">
        <v>130</v>
      </c>
      <c r="G237" t="s">
        <v>131</v>
      </c>
      <c r="I237" t="s">
        <v>26</v>
      </c>
      <c r="J237" s="15">
        <v>45450</v>
      </c>
      <c r="K237" t="s">
        <v>38</v>
      </c>
      <c r="L237" t="str">
        <f t="shared" si="13"/>
        <v>OK</v>
      </c>
      <c r="N237" s="15"/>
      <c r="O237" s="15"/>
      <c r="P237" t="s">
        <v>30</v>
      </c>
      <c r="Q237" t="s">
        <v>132</v>
      </c>
      <c r="R237" t="s">
        <v>133</v>
      </c>
      <c r="S237" t="s">
        <v>133</v>
      </c>
      <c r="T237" t="s">
        <v>133</v>
      </c>
      <c r="U237" t="s">
        <v>133</v>
      </c>
      <c r="V237" t="s">
        <v>133</v>
      </c>
      <c r="W237" t="s">
        <v>5</v>
      </c>
      <c r="X237">
        <v>0</v>
      </c>
      <c r="Y237" t="e">
        <f>_xlfn.XLOOKUP(C237,[1]Especificação!$G:$G,[1]Especificação!$C:$C)</f>
        <v>#N/A</v>
      </c>
    </row>
    <row r="238" spans="1:25" hidden="1" x14ac:dyDescent="0.3">
      <c r="A238" s="50" t="str">
        <f t="shared" si="12"/>
        <v>INSTRUMENT_NMBR_FRBRNC_MSRS</v>
      </c>
      <c r="B238" t="s">
        <v>128</v>
      </c>
      <c r="C238" t="s">
        <v>430</v>
      </c>
      <c r="D238" t="s">
        <v>14</v>
      </c>
      <c r="E238" t="s">
        <v>38</v>
      </c>
      <c r="F238" t="s">
        <v>130</v>
      </c>
      <c r="G238" t="s">
        <v>131</v>
      </c>
      <c r="I238" t="s">
        <v>26</v>
      </c>
      <c r="J238" s="15">
        <v>45450</v>
      </c>
      <c r="K238" t="s">
        <v>38</v>
      </c>
      <c r="L238" t="str">
        <f t="shared" si="13"/>
        <v>OK</v>
      </c>
      <c r="N238" s="15"/>
      <c r="O238" s="15"/>
      <c r="P238" t="s">
        <v>30</v>
      </c>
      <c r="Q238" t="s">
        <v>132</v>
      </c>
      <c r="R238" t="s">
        <v>133</v>
      </c>
      <c r="S238" t="s">
        <v>133</v>
      </c>
      <c r="T238" t="s">
        <v>133</v>
      </c>
      <c r="U238" t="s">
        <v>133</v>
      </c>
      <c r="V238" t="s">
        <v>132</v>
      </c>
      <c r="W238" t="s">
        <v>5</v>
      </c>
      <c r="X238" t="s">
        <v>135</v>
      </c>
      <c r="Y238" t="str">
        <f>_xlfn.XLOOKUP(C238,[1]Especificação!$G:$G,[1]Especificação!$C:$C)</f>
        <v>F1. Fora âmbito | Campos concluídos - Sem necessidade de espec.</v>
      </c>
    </row>
    <row r="239" spans="1:25" hidden="1" x14ac:dyDescent="0.3">
      <c r="A239" s="50" t="str">
        <f t="shared" si="12"/>
        <v>ENTITY_NT_INCM</v>
      </c>
      <c r="B239" t="s">
        <v>142</v>
      </c>
      <c r="C239" t="s">
        <v>431</v>
      </c>
      <c r="D239" t="s">
        <v>14</v>
      </c>
      <c r="E239" t="s">
        <v>25</v>
      </c>
      <c r="F239" t="s">
        <v>130</v>
      </c>
      <c r="G239" t="s">
        <v>144</v>
      </c>
      <c r="H239" t="s">
        <v>145</v>
      </c>
      <c r="I239" t="s">
        <v>29</v>
      </c>
      <c r="J239" s="15">
        <v>45450</v>
      </c>
      <c r="K239" t="s">
        <v>25</v>
      </c>
      <c r="L239" t="str">
        <f t="shared" si="13"/>
        <v>OK</v>
      </c>
      <c r="N239" s="15"/>
      <c r="O239" s="15"/>
      <c r="P239" t="s">
        <v>13</v>
      </c>
      <c r="Q239" t="s">
        <v>132</v>
      </c>
      <c r="R239" t="s">
        <v>133</v>
      </c>
      <c r="S239" t="s">
        <v>133</v>
      </c>
      <c r="T239" t="s">
        <v>133</v>
      </c>
      <c r="U239" t="s">
        <v>133</v>
      </c>
      <c r="V239" t="s">
        <v>132</v>
      </c>
      <c r="W239" t="s">
        <v>146</v>
      </c>
      <c r="X239" t="s">
        <v>147</v>
      </c>
      <c r="Y239" t="str">
        <f>_xlfn.XLOOKUP(C239,[1]Especificação!$G:$G,[1]Especificação!$C:$C)</f>
        <v>F4. Fora âmbito | Re-especificação de campos complexos - Dem. Fin. CIB</v>
      </c>
    </row>
    <row r="240" spans="1:25" hidden="1" x14ac:dyDescent="0.3">
      <c r="A240" s="50" t="str">
        <f t="shared" si="12"/>
        <v>ENTITY_NT_INCM_PRVS</v>
      </c>
      <c r="B240" t="s">
        <v>142</v>
      </c>
      <c r="C240" t="s">
        <v>432</v>
      </c>
      <c r="D240" t="s">
        <v>14</v>
      </c>
      <c r="E240" t="s">
        <v>25</v>
      </c>
      <c r="F240" t="s">
        <v>130</v>
      </c>
      <c r="G240" t="s">
        <v>144</v>
      </c>
      <c r="H240" t="s">
        <v>145</v>
      </c>
      <c r="I240" t="s">
        <v>29</v>
      </c>
      <c r="J240" s="15">
        <v>45450</v>
      </c>
      <c r="K240" t="s">
        <v>25</v>
      </c>
      <c r="L240" t="str">
        <f t="shared" si="13"/>
        <v>OK</v>
      </c>
      <c r="N240" s="15"/>
      <c r="O240" s="15"/>
      <c r="P240" t="s">
        <v>13</v>
      </c>
      <c r="Q240" t="s">
        <v>132</v>
      </c>
      <c r="R240" t="s">
        <v>133</v>
      </c>
      <c r="S240" t="s">
        <v>133</v>
      </c>
      <c r="T240" t="s">
        <v>133</v>
      </c>
      <c r="U240" t="s">
        <v>133</v>
      </c>
      <c r="V240" t="s">
        <v>132</v>
      </c>
      <c r="W240" t="s">
        <v>146</v>
      </c>
      <c r="X240" t="s">
        <v>147</v>
      </c>
      <c r="Y240" t="str">
        <f>_xlfn.XLOOKUP(C240,[1]Especificação!$G:$G,[1]Especificação!$C:$C)</f>
        <v>F4. Fora âmbito | Re-especificação de campos complexos - Dem. Fin. CIB</v>
      </c>
    </row>
    <row r="241" spans="1:25" hidden="1" x14ac:dyDescent="0.3">
      <c r="A241" s="50" t="str">
        <f t="shared" si="12"/>
        <v>INSTRUMENT_RWA_MTHD</v>
      </c>
      <c r="B241" t="s">
        <v>128</v>
      </c>
      <c r="C241" s="10" t="s">
        <v>433</v>
      </c>
      <c r="D241" t="s">
        <v>14</v>
      </c>
      <c r="E241" t="s">
        <v>33</v>
      </c>
      <c r="F241" t="s">
        <v>130</v>
      </c>
      <c r="G241" t="s">
        <v>272</v>
      </c>
      <c r="H241" t="s">
        <v>434</v>
      </c>
      <c r="I241" t="s">
        <v>26</v>
      </c>
      <c r="J241" s="15">
        <v>45463</v>
      </c>
      <c r="K241" t="s">
        <v>38</v>
      </c>
      <c r="L241" t="str">
        <f t="shared" si="13"/>
        <v>OK</v>
      </c>
      <c r="M241" t="s">
        <v>435</v>
      </c>
      <c r="N241" s="15"/>
      <c r="O241" s="15">
        <v>45463</v>
      </c>
      <c r="P241" t="s">
        <v>30</v>
      </c>
      <c r="Q241" t="s">
        <v>132</v>
      </c>
      <c r="R241" t="s">
        <v>133</v>
      </c>
      <c r="S241" t="s">
        <v>133</v>
      </c>
      <c r="T241" t="s">
        <v>133</v>
      </c>
      <c r="U241" t="s">
        <v>133</v>
      </c>
      <c r="V241" t="s">
        <v>132</v>
      </c>
      <c r="W241" t="s">
        <v>5</v>
      </c>
      <c r="X241" t="s">
        <v>135</v>
      </c>
      <c r="Y241" t="str">
        <f>_xlfn.XLOOKUP(C241,[1]Especificação!$G:$G,[1]Especificação!$C:$C)</f>
        <v>F1. Fora âmbito | Campos concluídos - Sem necessidade de espec.</v>
      </c>
    </row>
    <row r="242" spans="1:25" hidden="1" x14ac:dyDescent="0.3">
      <c r="A242" s="50" t="str">
        <f t="shared" si="12"/>
        <v>INSTRUMENT_OBSRVD_AGNT_ID</v>
      </c>
      <c r="B242" t="s">
        <v>128</v>
      </c>
      <c r="C242" t="s">
        <v>436</v>
      </c>
      <c r="D242" t="s">
        <v>14</v>
      </c>
      <c r="E242" t="s">
        <v>38</v>
      </c>
      <c r="F242" t="s">
        <v>130</v>
      </c>
      <c r="G242" t="s">
        <v>131</v>
      </c>
      <c r="I242" t="s">
        <v>26</v>
      </c>
      <c r="J242" s="15">
        <v>45450</v>
      </c>
      <c r="K242" t="s">
        <v>38</v>
      </c>
      <c r="L242" t="str">
        <f t="shared" si="13"/>
        <v>OK</v>
      </c>
      <c r="N242" s="15"/>
      <c r="O242" s="15"/>
      <c r="P242" t="s">
        <v>30</v>
      </c>
      <c r="Q242" t="s">
        <v>132</v>
      </c>
      <c r="R242" t="s">
        <v>133</v>
      </c>
      <c r="S242" t="s">
        <v>133</v>
      </c>
      <c r="T242" t="s">
        <v>133</v>
      </c>
      <c r="U242" t="s">
        <v>133</v>
      </c>
      <c r="V242" t="s">
        <v>132</v>
      </c>
      <c r="W242" t="s">
        <v>5</v>
      </c>
      <c r="X242" t="s">
        <v>135</v>
      </c>
      <c r="Y242" t="str">
        <f>_xlfn.XLOOKUP(C242,[1]Especificação!$G:$G,[1]Especificação!$C:$C)</f>
        <v>F1. Fora âmbito | Campos concluídos - Sem necessidade de espec.</v>
      </c>
    </row>
    <row r="243" spans="1:25" hidden="1" x14ac:dyDescent="0.3">
      <c r="A243" s="50" t="str">
        <f t="shared" si="12"/>
        <v>INSTRUMENT_OBSRVD_AGNT_NM</v>
      </c>
      <c r="B243" t="s">
        <v>128</v>
      </c>
      <c r="C243" t="s">
        <v>437</v>
      </c>
      <c r="D243" t="s">
        <v>14</v>
      </c>
      <c r="E243" t="s">
        <v>38</v>
      </c>
      <c r="F243" t="s">
        <v>130</v>
      </c>
      <c r="G243" t="s">
        <v>131</v>
      </c>
      <c r="I243" t="s">
        <v>26</v>
      </c>
      <c r="J243" s="15">
        <v>45450</v>
      </c>
      <c r="K243" t="s">
        <v>38</v>
      </c>
      <c r="L243" t="str">
        <f t="shared" si="13"/>
        <v>OK</v>
      </c>
      <c r="N243" s="15"/>
      <c r="O243" s="15"/>
      <c r="P243" t="s">
        <v>30</v>
      </c>
      <c r="Q243" t="s">
        <v>132</v>
      </c>
      <c r="R243" t="s">
        <v>133</v>
      </c>
      <c r="S243" t="s">
        <v>133</v>
      </c>
      <c r="T243" t="s">
        <v>133</v>
      </c>
      <c r="U243" t="s">
        <v>133</v>
      </c>
      <c r="V243" t="s">
        <v>132</v>
      </c>
      <c r="W243" t="s">
        <v>5</v>
      </c>
      <c r="X243" t="s">
        <v>135</v>
      </c>
      <c r="Y243" t="str">
        <f>_xlfn.XLOOKUP(C243,[1]Especificação!$G:$G,[1]Especificação!$C:$C)</f>
        <v>F1. Fora âmbito | Campos concluídos - Sem necessidade de espec.</v>
      </c>
    </row>
    <row r="244" spans="1:25" hidden="1" x14ac:dyDescent="0.3">
      <c r="A244" s="50" t="str">
        <f t="shared" si="12"/>
        <v>INSTRUMENT_OFF_BLNC_SHT_AMNT_INSTRMNT</v>
      </c>
      <c r="B244" t="s">
        <v>128</v>
      </c>
      <c r="C244" t="s">
        <v>438</v>
      </c>
      <c r="D244" t="s">
        <v>14</v>
      </c>
      <c r="E244" t="s">
        <v>36</v>
      </c>
      <c r="F244" t="s">
        <v>149</v>
      </c>
      <c r="G244" t="s">
        <v>163</v>
      </c>
      <c r="I244" t="s">
        <v>29</v>
      </c>
      <c r="J244" s="15">
        <v>45450</v>
      </c>
      <c r="K244" t="s">
        <v>36</v>
      </c>
      <c r="L244" t="str">
        <f t="shared" si="13"/>
        <v>NOK</v>
      </c>
      <c r="N244" s="15"/>
      <c r="O244" s="15"/>
      <c r="P244" t="s">
        <v>8</v>
      </c>
      <c r="Q244" t="s">
        <v>132</v>
      </c>
      <c r="R244" t="s">
        <v>132</v>
      </c>
      <c r="S244" t="s">
        <v>133</v>
      </c>
      <c r="T244" t="s">
        <v>133</v>
      </c>
      <c r="U244" t="s">
        <v>132</v>
      </c>
      <c r="V244" t="s">
        <v>132</v>
      </c>
      <c r="W244" t="s">
        <v>138</v>
      </c>
      <c r="X244" t="s">
        <v>166</v>
      </c>
      <c r="Y244" t="str">
        <f>_xlfn.XLOOKUP(C244,[1]Especificação!$G:$G,[1]Especificação!$C:$C)</f>
        <v>D. Campos com NOK controlos Corporativos</v>
      </c>
    </row>
    <row r="245" spans="1:25" hidden="1" x14ac:dyDescent="0.3">
      <c r="A245" s="50" t="str">
        <f t="shared" si="12"/>
        <v>INSTRUMENT_OFF_BLNC_SHT_AMNT_INSTRMNT_PRVS</v>
      </c>
      <c r="B245" t="s">
        <v>128</v>
      </c>
      <c r="C245" s="10" t="s">
        <v>439</v>
      </c>
      <c r="D245" t="s">
        <v>14</v>
      </c>
      <c r="E245" t="s">
        <v>35</v>
      </c>
      <c r="F245" t="s">
        <v>130</v>
      </c>
      <c r="G245" t="s">
        <v>304</v>
      </c>
      <c r="H245" t="s">
        <v>440</v>
      </c>
      <c r="I245" t="s">
        <v>32</v>
      </c>
      <c r="J245" s="15">
        <v>45952</v>
      </c>
      <c r="K245" t="s">
        <v>38</v>
      </c>
      <c r="L245" t="s">
        <v>130</v>
      </c>
      <c r="N245" s="15">
        <v>45471</v>
      </c>
      <c r="O245" s="15">
        <v>45952</v>
      </c>
      <c r="P245" t="s">
        <v>24</v>
      </c>
      <c r="Q245" t="s">
        <v>132</v>
      </c>
      <c r="R245" t="s">
        <v>133</v>
      </c>
      <c r="S245" t="s">
        <v>133</v>
      </c>
      <c r="T245" t="s">
        <v>133</v>
      </c>
      <c r="U245" t="s">
        <v>133</v>
      </c>
      <c r="V245" t="s">
        <v>133</v>
      </c>
      <c r="W245" t="s">
        <v>5</v>
      </c>
      <c r="X245">
        <v>0</v>
      </c>
      <c r="Y245" t="e">
        <f>_xlfn.XLOOKUP(C245,[1]Especificação!$G:$G,[1]Especificação!$C:$C)</f>
        <v>#N/A</v>
      </c>
    </row>
    <row r="246" spans="1:25" hidden="1" x14ac:dyDescent="0.3">
      <c r="A246" s="50" t="str">
        <f t="shared" si="12"/>
        <v>PROTECTION_DT_ORGNL_PRTCTN_VL</v>
      </c>
      <c r="B246" t="s">
        <v>161</v>
      </c>
      <c r="C246" s="10" t="s">
        <v>43</v>
      </c>
      <c r="D246" t="s">
        <v>14</v>
      </c>
      <c r="E246" t="s">
        <v>35</v>
      </c>
      <c r="F246" t="s">
        <v>149</v>
      </c>
      <c r="G246" t="s">
        <v>186</v>
      </c>
      <c r="H246" t="s">
        <v>187</v>
      </c>
      <c r="I246" t="s">
        <v>26</v>
      </c>
      <c r="J246" s="15">
        <v>45670</v>
      </c>
      <c r="K246" t="s">
        <v>38</v>
      </c>
      <c r="L246" t="s">
        <v>130</v>
      </c>
      <c r="N246" s="15">
        <v>45555</v>
      </c>
      <c r="O246" s="15">
        <v>45646</v>
      </c>
      <c r="P246" t="s">
        <v>24</v>
      </c>
      <c r="Q246" t="s">
        <v>132</v>
      </c>
      <c r="R246" t="s">
        <v>133</v>
      </c>
      <c r="S246" t="s">
        <v>133</v>
      </c>
      <c r="T246" t="s">
        <v>133</v>
      </c>
      <c r="U246" t="s">
        <v>133</v>
      </c>
      <c r="V246" t="s">
        <v>133</v>
      </c>
      <c r="W246" t="s">
        <v>5</v>
      </c>
      <c r="X246">
        <v>0</v>
      </c>
      <c r="Y246" t="e">
        <f>_xlfn.XLOOKUP(C246,[1]Especificação!$G:$G,[1]Especificação!$C:$C)</f>
        <v>#N/A</v>
      </c>
    </row>
    <row r="247" spans="1:25" hidden="1" x14ac:dyDescent="0.3">
      <c r="A247" s="50" t="str">
        <f t="shared" si="12"/>
        <v>ENTITY_OSI_ID</v>
      </c>
      <c r="B247" t="s">
        <v>142</v>
      </c>
      <c r="C247" t="s">
        <v>441</v>
      </c>
      <c r="D247" t="s">
        <v>14</v>
      </c>
      <c r="E247" t="s">
        <v>38</v>
      </c>
      <c r="F247" t="s">
        <v>130</v>
      </c>
      <c r="G247" t="s">
        <v>131</v>
      </c>
      <c r="I247" t="s">
        <v>26</v>
      </c>
      <c r="J247" s="15">
        <v>45450</v>
      </c>
      <c r="K247" t="s">
        <v>38</v>
      </c>
      <c r="L247" t="str">
        <f t="shared" ref="L247:L273" si="14">F247</f>
        <v>OK</v>
      </c>
      <c r="N247" s="15"/>
      <c r="O247" s="15"/>
      <c r="P247" t="s">
        <v>30</v>
      </c>
      <c r="Q247" t="s">
        <v>132</v>
      </c>
      <c r="R247" t="s">
        <v>133</v>
      </c>
      <c r="S247" t="s">
        <v>133</v>
      </c>
      <c r="T247" t="s">
        <v>133</v>
      </c>
      <c r="U247" t="s">
        <v>133</v>
      </c>
      <c r="V247" t="s">
        <v>132</v>
      </c>
      <c r="W247" t="s">
        <v>5</v>
      </c>
      <c r="X247" t="s">
        <v>135</v>
      </c>
      <c r="Y247" t="str">
        <f>_xlfn.XLOOKUP(C247,[1]Especificação!$G:$G,[1]Especificação!$C:$C)</f>
        <v>F1. Fora âmbito | Campos concluídos - Sem necessidade de espec.</v>
      </c>
    </row>
    <row r="248" spans="1:25" hidden="1" x14ac:dyDescent="0.3">
      <c r="A248" s="50" t="str">
        <f t="shared" si="12"/>
        <v>INSTRUMENT_OTSTNDNG_NMNL_AMNT_INSTRMNT</v>
      </c>
      <c r="B248" t="s">
        <v>128</v>
      </c>
      <c r="C248" t="s">
        <v>442</v>
      </c>
      <c r="D248" t="s">
        <v>14</v>
      </c>
      <c r="E248" t="s">
        <v>36</v>
      </c>
      <c r="F248" t="s">
        <v>149</v>
      </c>
      <c r="G248" t="s">
        <v>163</v>
      </c>
      <c r="I248" t="s">
        <v>29</v>
      </c>
      <c r="J248" s="15">
        <v>45952</v>
      </c>
      <c r="K248" t="s">
        <v>38</v>
      </c>
      <c r="L248" t="s">
        <v>130</v>
      </c>
      <c r="N248" s="15"/>
      <c r="O248" s="15">
        <v>45952</v>
      </c>
      <c r="P248" t="s">
        <v>8</v>
      </c>
      <c r="Q248" t="s">
        <v>132</v>
      </c>
      <c r="R248" t="s">
        <v>133</v>
      </c>
      <c r="S248" t="s">
        <v>133</v>
      </c>
      <c r="T248" t="s">
        <v>133</v>
      </c>
      <c r="U248" t="s">
        <v>133</v>
      </c>
      <c r="V248" t="s">
        <v>132</v>
      </c>
      <c r="W248" t="s">
        <v>138</v>
      </c>
      <c r="X248" t="s">
        <v>166</v>
      </c>
      <c r="Y248" t="str">
        <f>_xlfn.XLOOKUP(C248,[1]Especificação!$G:$G,[1]Especificação!$C:$C)</f>
        <v>D. Campos com NOK controlos Corporativos</v>
      </c>
    </row>
    <row r="249" spans="1:25" hidden="1" x14ac:dyDescent="0.3">
      <c r="A249" s="50" t="str">
        <f t="shared" si="12"/>
        <v>INSTRUMENT_DT_FRBRNC_STTS_PRVS</v>
      </c>
      <c r="B249" t="s">
        <v>128</v>
      </c>
      <c r="C249" t="s">
        <v>443</v>
      </c>
      <c r="D249" t="s">
        <v>14</v>
      </c>
      <c r="E249" t="s">
        <v>25</v>
      </c>
      <c r="F249" t="s">
        <v>149</v>
      </c>
      <c r="G249" t="s">
        <v>444</v>
      </c>
      <c r="H249" t="s">
        <v>324</v>
      </c>
      <c r="I249" t="s">
        <v>29</v>
      </c>
      <c r="J249" s="15">
        <v>45450</v>
      </c>
      <c r="K249" t="s">
        <v>25</v>
      </c>
      <c r="L249" t="str">
        <f t="shared" si="14"/>
        <v>NOK</v>
      </c>
      <c r="P249" t="s">
        <v>13</v>
      </c>
      <c r="Q249" t="s">
        <v>132</v>
      </c>
      <c r="R249" t="s">
        <v>133</v>
      </c>
      <c r="S249" t="s">
        <v>133</v>
      </c>
      <c r="T249" t="s">
        <v>133</v>
      </c>
      <c r="U249" t="s">
        <v>133</v>
      </c>
      <c r="V249" t="s">
        <v>133</v>
      </c>
      <c r="W249" t="s">
        <v>5</v>
      </c>
      <c r="X249">
        <v>0</v>
      </c>
      <c r="Y249" t="e">
        <f>_xlfn.XLOOKUP(C249,[1]Especificação!$G:$G,[1]Especificação!$C:$C)</f>
        <v>#N/A</v>
      </c>
    </row>
    <row r="250" spans="1:25" hidden="1" x14ac:dyDescent="0.3">
      <c r="A250" s="50" t="str">
        <f t="shared" si="12"/>
        <v>ENTITY_OWND_BY_SPNSR</v>
      </c>
      <c r="B250" t="s">
        <v>142</v>
      </c>
      <c r="C250" t="s">
        <v>445</v>
      </c>
      <c r="D250" t="s">
        <v>6</v>
      </c>
      <c r="E250" t="s">
        <v>38</v>
      </c>
      <c r="F250" t="s">
        <v>130</v>
      </c>
      <c r="G250" t="s">
        <v>131</v>
      </c>
      <c r="I250" t="s">
        <v>26</v>
      </c>
      <c r="J250" s="15">
        <v>45450</v>
      </c>
      <c r="K250" t="s">
        <v>38</v>
      </c>
      <c r="L250" t="str">
        <f t="shared" si="14"/>
        <v>OK</v>
      </c>
      <c r="N250" s="15"/>
      <c r="O250" s="15"/>
      <c r="P250" t="s">
        <v>30</v>
      </c>
      <c r="Q250" t="s">
        <v>132</v>
      </c>
      <c r="R250" t="s">
        <v>133</v>
      </c>
      <c r="S250" t="s">
        <v>133</v>
      </c>
      <c r="T250" t="s">
        <v>133</v>
      </c>
      <c r="U250" t="s">
        <v>133</v>
      </c>
      <c r="V250" t="s">
        <v>132</v>
      </c>
      <c r="W250" t="s">
        <v>146</v>
      </c>
      <c r="X250" t="s">
        <v>211</v>
      </c>
      <c r="Y250" t="str">
        <f>_xlfn.XLOOKUP(C250,[1]Especificação!$G:$G,[1]Especificação!$C:$C)</f>
        <v>F3. Fora âmbito | Fonte Manual LF</v>
      </c>
    </row>
    <row r="251" spans="1:25" hidden="1" x14ac:dyDescent="0.3">
      <c r="A251" s="50" t="str">
        <f t="shared" si="12"/>
        <v>INSTRUMENT_PBLC_GRNT_SCHM_C19_NM</v>
      </c>
      <c r="B251" t="s">
        <v>128</v>
      </c>
      <c r="C251" t="s">
        <v>446</v>
      </c>
      <c r="D251" t="s">
        <v>6</v>
      </c>
      <c r="E251" t="s">
        <v>38</v>
      </c>
      <c r="F251" t="s">
        <v>130</v>
      </c>
      <c r="G251" t="s">
        <v>131</v>
      </c>
      <c r="I251" t="s">
        <v>26</v>
      </c>
      <c r="J251" s="15">
        <v>45450</v>
      </c>
      <c r="K251" t="s">
        <v>38</v>
      </c>
      <c r="L251" t="str">
        <f t="shared" si="14"/>
        <v>OK</v>
      </c>
      <c r="N251" s="15"/>
      <c r="O251" s="15"/>
      <c r="P251" t="s">
        <v>30</v>
      </c>
      <c r="Q251" t="s">
        <v>132</v>
      </c>
      <c r="R251" t="s">
        <v>133</v>
      </c>
      <c r="S251" t="s">
        <v>133</v>
      </c>
      <c r="T251" t="s">
        <v>133</v>
      </c>
      <c r="U251" t="s">
        <v>133</v>
      </c>
      <c r="V251" t="s">
        <v>133</v>
      </c>
      <c r="W251" t="s">
        <v>5</v>
      </c>
      <c r="X251">
        <v>0</v>
      </c>
      <c r="Y251" t="e">
        <f>_xlfn.XLOOKUP(C251,[1]Especificação!$G:$G,[1]Especificação!$C:$C)</f>
        <v>#N/A</v>
      </c>
    </row>
    <row r="252" spans="1:25" hidden="1" x14ac:dyDescent="0.3">
      <c r="A252" s="50" t="str">
        <f t="shared" si="12"/>
        <v>INSTRUMENT_PD_CRR_INCPTN</v>
      </c>
      <c r="B252" t="s">
        <v>128</v>
      </c>
      <c r="C252" t="s">
        <v>447</v>
      </c>
      <c r="D252" t="s">
        <v>14</v>
      </c>
      <c r="E252" t="s">
        <v>35</v>
      </c>
      <c r="F252" t="s">
        <v>130</v>
      </c>
      <c r="G252" s="86" t="s">
        <v>304</v>
      </c>
      <c r="H252" t="s">
        <v>448</v>
      </c>
      <c r="I252" t="s">
        <v>29</v>
      </c>
      <c r="J252" s="15">
        <v>45450</v>
      </c>
      <c r="K252" t="s">
        <v>35</v>
      </c>
      <c r="L252" t="str">
        <f t="shared" si="14"/>
        <v>OK</v>
      </c>
      <c r="N252" s="15">
        <v>45338</v>
      </c>
      <c r="O252" s="15">
        <v>45439</v>
      </c>
      <c r="P252" t="s">
        <v>13</v>
      </c>
      <c r="Q252" t="s">
        <v>132</v>
      </c>
      <c r="R252" t="s">
        <v>133</v>
      </c>
      <c r="S252" t="s">
        <v>133</v>
      </c>
      <c r="T252" t="s">
        <v>133</v>
      </c>
      <c r="U252" t="s">
        <v>133</v>
      </c>
      <c r="V252" t="s">
        <v>132</v>
      </c>
      <c r="W252" t="s">
        <v>138</v>
      </c>
      <c r="X252" t="s">
        <v>139</v>
      </c>
      <c r="Y252" t="str">
        <f>_xlfn.XLOOKUP(C252,[1]Especificação!$G:$G,[1]Especificação!$C:$C)</f>
        <v>C. Campos em testes ou c/ incidências</v>
      </c>
    </row>
    <row r="253" spans="1:25" hidden="1" x14ac:dyDescent="0.3">
      <c r="A253" s="50" t="str">
        <f t="shared" si="12"/>
        <v>ENTITY_PD_CRR_RD</v>
      </c>
      <c r="B253" t="s">
        <v>142</v>
      </c>
      <c r="C253" t="s">
        <v>449</v>
      </c>
      <c r="D253" t="s">
        <v>14</v>
      </c>
      <c r="E253" t="s">
        <v>36</v>
      </c>
      <c r="F253" t="s">
        <v>149</v>
      </c>
      <c r="G253" t="s">
        <v>163</v>
      </c>
      <c r="I253" t="s">
        <v>29</v>
      </c>
      <c r="J253" s="15">
        <v>45450</v>
      </c>
      <c r="K253" t="s">
        <v>36</v>
      </c>
      <c r="L253" t="str">
        <f t="shared" si="14"/>
        <v>NOK</v>
      </c>
      <c r="N253" s="15"/>
      <c r="O253" s="15"/>
      <c r="P253" t="s">
        <v>8</v>
      </c>
      <c r="Q253" t="s">
        <v>132</v>
      </c>
      <c r="R253" t="s">
        <v>133</v>
      </c>
      <c r="S253" t="s">
        <v>133</v>
      </c>
      <c r="T253" t="s">
        <v>133</v>
      </c>
      <c r="U253" t="s">
        <v>133</v>
      </c>
      <c r="V253" t="s">
        <v>132</v>
      </c>
      <c r="W253" t="s">
        <v>138</v>
      </c>
      <c r="X253" t="s">
        <v>166</v>
      </c>
      <c r="Y253" t="str">
        <f>_xlfn.XLOOKUP(C253,[1]Especificação!$G:$G,[1]Especificação!$C:$C)</f>
        <v>D. Campos com NOK controlos Corporativos</v>
      </c>
    </row>
    <row r="254" spans="1:25" hidden="1" x14ac:dyDescent="0.3">
      <c r="A254" s="50" t="str">
        <f t="shared" si="12"/>
        <v>INSTRUMENT_PD_CRR_RD</v>
      </c>
      <c r="B254" t="s">
        <v>128</v>
      </c>
      <c r="C254" t="s">
        <v>449</v>
      </c>
      <c r="D254" t="s">
        <v>14</v>
      </c>
      <c r="E254" t="s">
        <v>36</v>
      </c>
      <c r="F254" t="s">
        <v>149</v>
      </c>
      <c r="G254" t="s">
        <v>163</v>
      </c>
      <c r="I254" t="s">
        <v>29</v>
      </c>
      <c r="J254" s="15">
        <v>45450</v>
      </c>
      <c r="K254" t="s">
        <v>36</v>
      </c>
      <c r="L254" t="str">
        <f t="shared" si="14"/>
        <v>NOK</v>
      </c>
      <c r="N254" s="15"/>
      <c r="O254" s="15"/>
      <c r="P254" t="s">
        <v>8</v>
      </c>
      <c r="Q254" t="s">
        <v>132</v>
      </c>
      <c r="R254" t="s">
        <v>133</v>
      </c>
      <c r="S254" t="s">
        <v>133</v>
      </c>
      <c r="T254" t="s">
        <v>133</v>
      </c>
      <c r="U254" t="s">
        <v>133</v>
      </c>
      <c r="V254" t="s">
        <v>132</v>
      </c>
      <c r="W254" t="s">
        <v>138</v>
      </c>
      <c r="X254" t="s">
        <v>166</v>
      </c>
      <c r="Y254" t="str">
        <f>_xlfn.XLOOKUP(C254,[1]Especificação!$G:$G,[1]Especificação!$C:$C)</f>
        <v>D. Campos com NOK controlos Corporativos</v>
      </c>
    </row>
    <row r="255" spans="1:25" hidden="1" x14ac:dyDescent="0.3">
      <c r="A255" s="50" t="str">
        <f t="shared" si="12"/>
        <v>ENTITY_PD_CRR_RD_T1</v>
      </c>
      <c r="B255" t="s">
        <v>142</v>
      </c>
      <c r="C255" s="11" t="s">
        <v>450</v>
      </c>
      <c r="D255" t="s">
        <v>6</v>
      </c>
      <c r="E255" t="s">
        <v>33</v>
      </c>
      <c r="F255" t="s">
        <v>149</v>
      </c>
      <c r="G255" t="s">
        <v>381</v>
      </c>
      <c r="I255" t="s">
        <v>32</v>
      </c>
      <c r="J255" s="15">
        <v>45450</v>
      </c>
      <c r="K255" t="s">
        <v>33</v>
      </c>
      <c r="L255" t="str">
        <f t="shared" si="14"/>
        <v>NOK</v>
      </c>
      <c r="N255" s="15">
        <v>44750</v>
      </c>
      <c r="O255" s="15">
        <v>45267</v>
      </c>
      <c r="P255" t="s">
        <v>24</v>
      </c>
      <c r="Q255" t="s">
        <v>132</v>
      </c>
      <c r="R255" t="s">
        <v>133</v>
      </c>
      <c r="S255" t="s">
        <v>133</v>
      </c>
      <c r="T255" t="s">
        <v>133</v>
      </c>
      <c r="U255" t="s">
        <v>133</v>
      </c>
      <c r="V255" t="s">
        <v>133</v>
      </c>
      <c r="W255" t="s">
        <v>5</v>
      </c>
      <c r="X255">
        <v>0</v>
      </c>
      <c r="Y255" t="e">
        <f>_xlfn.XLOOKUP(C255,[1]Especificação!$G:$G,[1]Especificação!$C:$C)</f>
        <v>#N/A</v>
      </c>
    </row>
    <row r="256" spans="1:25" hidden="1" x14ac:dyDescent="0.3">
      <c r="A256" s="50" t="str">
        <f t="shared" si="12"/>
        <v>INSTRUMENT_PD_CRR_RD_T1</v>
      </c>
      <c r="B256" t="s">
        <v>128</v>
      </c>
      <c r="C256" s="11" t="s">
        <v>450</v>
      </c>
      <c r="D256" t="s">
        <v>6</v>
      </c>
      <c r="E256" t="s">
        <v>33</v>
      </c>
      <c r="F256" t="s">
        <v>149</v>
      </c>
      <c r="G256" t="s">
        <v>381</v>
      </c>
      <c r="I256" t="s">
        <v>32</v>
      </c>
      <c r="J256" s="15">
        <v>45450</v>
      </c>
      <c r="K256" t="s">
        <v>33</v>
      </c>
      <c r="L256" t="str">
        <f t="shared" si="14"/>
        <v>NOK</v>
      </c>
      <c r="N256" s="15">
        <v>45281</v>
      </c>
      <c r="O256" s="15">
        <v>45330</v>
      </c>
      <c r="P256" t="s">
        <v>24</v>
      </c>
      <c r="Q256" t="s">
        <v>132</v>
      </c>
      <c r="R256" t="s">
        <v>133</v>
      </c>
      <c r="S256" t="s">
        <v>133</v>
      </c>
      <c r="T256" t="s">
        <v>133</v>
      </c>
      <c r="U256" t="s">
        <v>133</v>
      </c>
      <c r="V256" t="s">
        <v>133</v>
      </c>
      <c r="W256" t="s">
        <v>5</v>
      </c>
      <c r="X256">
        <v>0</v>
      </c>
      <c r="Y256" t="e">
        <f>_xlfn.XLOOKUP(C256,[1]Especificação!$G:$G,[1]Especificação!$C:$C)</f>
        <v>#N/A</v>
      </c>
    </row>
    <row r="257" spans="1:25" hidden="1" x14ac:dyDescent="0.3">
      <c r="A257" s="50" t="str">
        <f t="shared" si="12"/>
        <v>INSTRUMENT_PD_IFRS9_12M_INCPTN</v>
      </c>
      <c r="B257" t="s">
        <v>128</v>
      </c>
      <c r="C257" t="s">
        <v>451</v>
      </c>
      <c r="D257" t="s">
        <v>14</v>
      </c>
      <c r="E257" t="s">
        <v>38</v>
      </c>
      <c r="F257" t="s">
        <v>130</v>
      </c>
      <c r="G257" t="s">
        <v>131</v>
      </c>
      <c r="I257" t="s">
        <v>26</v>
      </c>
      <c r="J257" s="15">
        <v>45450</v>
      </c>
      <c r="K257" t="s">
        <v>38</v>
      </c>
      <c r="L257" t="str">
        <f t="shared" si="14"/>
        <v>OK</v>
      </c>
      <c r="M257" t="s">
        <v>368</v>
      </c>
      <c r="N257" s="15"/>
      <c r="O257" s="15"/>
      <c r="P257" t="s">
        <v>30</v>
      </c>
      <c r="Q257" t="s">
        <v>132</v>
      </c>
      <c r="R257" t="s">
        <v>133</v>
      </c>
      <c r="S257" t="s">
        <v>133</v>
      </c>
      <c r="T257" t="s">
        <v>133</v>
      </c>
      <c r="U257" t="s">
        <v>133</v>
      </c>
      <c r="V257" t="s">
        <v>132</v>
      </c>
      <c r="W257" t="s">
        <v>5</v>
      </c>
      <c r="X257" t="s">
        <v>135</v>
      </c>
      <c r="Y257" t="str">
        <f>_xlfn.XLOOKUP(C257,[1]Especificação!$G:$G,[1]Especificação!$C:$C)</f>
        <v>F1. Fora âmbito | Campos concluídos - Sem necessidade de espec.</v>
      </c>
    </row>
    <row r="258" spans="1:25" hidden="1" x14ac:dyDescent="0.3">
      <c r="A258" s="50" t="str">
        <f t="shared" si="12"/>
        <v>ENTITY_PD_IFRS9_12M_RD</v>
      </c>
      <c r="B258" t="s">
        <v>142</v>
      </c>
      <c r="C258" t="s">
        <v>452</v>
      </c>
      <c r="D258" t="s">
        <v>14</v>
      </c>
      <c r="E258" t="s">
        <v>28</v>
      </c>
      <c r="F258" t="s">
        <v>149</v>
      </c>
      <c r="G258" t="s">
        <v>453</v>
      </c>
      <c r="I258" t="s">
        <v>29</v>
      </c>
      <c r="J258" s="15">
        <v>45450</v>
      </c>
      <c r="K258" t="s">
        <v>28</v>
      </c>
      <c r="L258" t="str">
        <f t="shared" si="14"/>
        <v>NOK</v>
      </c>
      <c r="M258" t="s">
        <v>368</v>
      </c>
      <c r="N258" s="15"/>
      <c r="O258" s="15"/>
      <c r="P258" t="s">
        <v>8</v>
      </c>
      <c r="Q258" t="s">
        <v>132</v>
      </c>
      <c r="R258" t="s">
        <v>133</v>
      </c>
      <c r="S258" t="s">
        <v>133</v>
      </c>
      <c r="T258" t="s">
        <v>133</v>
      </c>
      <c r="U258" t="s">
        <v>133</v>
      </c>
      <c r="V258" t="s">
        <v>132</v>
      </c>
      <c r="W258" t="s">
        <v>138</v>
      </c>
      <c r="X258" t="s">
        <v>222</v>
      </c>
      <c r="Y258" t="str">
        <f>_xlfn.XLOOKUP(C258,[1]Especificação!$G:$G,[1]Especificação!$C:$C)</f>
        <v>D. Campos com NOK controlos Corporativos</v>
      </c>
    </row>
    <row r="259" spans="1:25" hidden="1" x14ac:dyDescent="0.3">
      <c r="A259" s="50" t="str">
        <f t="shared" si="12"/>
        <v>INSTRUMENT_PD_IFRS9_12M_RD</v>
      </c>
      <c r="B259" t="s">
        <v>128</v>
      </c>
      <c r="C259" s="11" t="s">
        <v>452</v>
      </c>
      <c r="D259" t="s">
        <v>14</v>
      </c>
      <c r="E259" t="s">
        <v>36</v>
      </c>
      <c r="F259" t="s">
        <v>149</v>
      </c>
      <c r="I259" t="s">
        <v>32</v>
      </c>
      <c r="J259" s="15">
        <v>45450</v>
      </c>
      <c r="K259" t="s">
        <v>36</v>
      </c>
      <c r="L259" t="str">
        <f t="shared" si="14"/>
        <v>NOK</v>
      </c>
      <c r="M259" t="s">
        <v>368</v>
      </c>
      <c r="N259" s="15"/>
      <c r="O259" s="15"/>
      <c r="P259" t="s">
        <v>39</v>
      </c>
      <c r="Q259" t="s">
        <v>132</v>
      </c>
      <c r="R259" t="s">
        <v>133</v>
      </c>
      <c r="S259" t="s">
        <v>133</v>
      </c>
      <c r="T259" t="s">
        <v>133</v>
      </c>
      <c r="U259" t="s">
        <v>133</v>
      </c>
      <c r="V259" t="s">
        <v>132</v>
      </c>
      <c r="W259" t="s">
        <v>138</v>
      </c>
      <c r="X259" t="s">
        <v>166</v>
      </c>
      <c r="Y259" t="str">
        <f>_xlfn.XLOOKUP(C259,[1]Especificação!$G:$G,[1]Especificação!$C:$C)</f>
        <v>D. Campos com NOK controlos Corporativos</v>
      </c>
    </row>
    <row r="260" spans="1:25" hidden="1" x14ac:dyDescent="0.3">
      <c r="A260" s="50" t="str">
        <f t="shared" si="12"/>
        <v>ENTITY_PD_IFRS9_12M_RD_T1</v>
      </c>
      <c r="B260" t="s">
        <v>142</v>
      </c>
      <c r="C260" t="s">
        <v>454</v>
      </c>
      <c r="D260" t="s">
        <v>6</v>
      </c>
      <c r="E260" t="s">
        <v>36</v>
      </c>
      <c r="F260" t="s">
        <v>149</v>
      </c>
      <c r="G260" t="s">
        <v>163</v>
      </c>
      <c r="I260" t="s">
        <v>29</v>
      </c>
      <c r="J260" s="15">
        <v>45450</v>
      </c>
      <c r="K260" t="s">
        <v>36</v>
      </c>
      <c r="L260" t="str">
        <f t="shared" si="14"/>
        <v>NOK</v>
      </c>
      <c r="M260" t="s">
        <v>368</v>
      </c>
      <c r="N260" s="15"/>
      <c r="O260" s="15"/>
      <c r="P260" t="s">
        <v>8</v>
      </c>
      <c r="Q260" t="s">
        <v>132</v>
      </c>
      <c r="R260" t="s">
        <v>133</v>
      </c>
      <c r="S260" t="s">
        <v>133</v>
      </c>
      <c r="T260" t="s">
        <v>133</v>
      </c>
      <c r="U260" t="s">
        <v>133</v>
      </c>
      <c r="V260" t="s">
        <v>133</v>
      </c>
      <c r="W260" t="s">
        <v>5</v>
      </c>
      <c r="X260">
        <v>0</v>
      </c>
      <c r="Y260" t="e">
        <f>_xlfn.XLOOKUP(C260,[1]Especificação!$G:$G,[1]Especificação!$C:$C)</f>
        <v>#N/A</v>
      </c>
    </row>
    <row r="261" spans="1:25" hidden="1" x14ac:dyDescent="0.3">
      <c r="A261" s="50" t="str">
        <f t="shared" si="12"/>
        <v>INSTRUMENT_PD_IFRS9_12M_RD_T1</v>
      </c>
      <c r="B261" t="s">
        <v>128</v>
      </c>
      <c r="C261" t="s">
        <v>454</v>
      </c>
      <c r="D261" t="s">
        <v>14</v>
      </c>
      <c r="E261" t="s">
        <v>36</v>
      </c>
      <c r="F261" t="s">
        <v>149</v>
      </c>
      <c r="G261" t="s">
        <v>163</v>
      </c>
      <c r="I261" t="s">
        <v>29</v>
      </c>
      <c r="J261" s="15">
        <v>45450</v>
      </c>
      <c r="K261" t="s">
        <v>36</v>
      </c>
      <c r="L261" t="str">
        <f t="shared" si="14"/>
        <v>NOK</v>
      </c>
      <c r="M261" t="s">
        <v>368</v>
      </c>
      <c r="N261" s="15"/>
      <c r="O261" s="15"/>
      <c r="P261" t="s">
        <v>8</v>
      </c>
      <c r="Q261" t="s">
        <v>132</v>
      </c>
      <c r="R261" t="s">
        <v>133</v>
      </c>
      <c r="S261" t="s">
        <v>133</v>
      </c>
      <c r="T261" t="s">
        <v>133</v>
      </c>
      <c r="U261" t="s">
        <v>133</v>
      </c>
      <c r="V261" t="s">
        <v>133</v>
      </c>
      <c r="W261" t="s">
        <v>5</v>
      </c>
      <c r="X261">
        <v>0</v>
      </c>
      <c r="Y261" t="e">
        <f>_xlfn.XLOOKUP(C261,[1]Especificação!$G:$G,[1]Especificação!$C:$C)</f>
        <v>#N/A</v>
      </c>
    </row>
    <row r="262" spans="1:25" hidden="1" x14ac:dyDescent="0.3">
      <c r="A262" s="50" t="str">
        <f t="shared" ref="A262:A324" si="15">B262&amp;"_"&amp;C262</f>
        <v>INSTRUMENT_PD_IFRS9_LFTM_INCPTN</v>
      </c>
      <c r="B262" t="s">
        <v>128</v>
      </c>
      <c r="C262" t="s">
        <v>455</v>
      </c>
      <c r="D262" t="s">
        <v>14</v>
      </c>
      <c r="E262" t="s">
        <v>38</v>
      </c>
      <c r="F262" t="s">
        <v>130</v>
      </c>
      <c r="G262" t="s">
        <v>131</v>
      </c>
      <c r="I262" t="s">
        <v>26</v>
      </c>
      <c r="J262" s="15">
        <v>45450</v>
      </c>
      <c r="K262" t="s">
        <v>38</v>
      </c>
      <c r="L262" t="str">
        <f t="shared" si="14"/>
        <v>OK</v>
      </c>
      <c r="M262" t="s">
        <v>368</v>
      </c>
      <c r="N262" s="15"/>
      <c r="O262" s="15"/>
      <c r="P262" t="s">
        <v>30</v>
      </c>
      <c r="Q262" t="s">
        <v>132</v>
      </c>
      <c r="R262" t="s">
        <v>133</v>
      </c>
      <c r="S262" t="s">
        <v>133</v>
      </c>
      <c r="T262" t="s">
        <v>133</v>
      </c>
      <c r="U262" t="s">
        <v>133</v>
      </c>
      <c r="V262" t="s">
        <v>132</v>
      </c>
      <c r="W262" t="s">
        <v>5</v>
      </c>
      <c r="X262" t="s">
        <v>135</v>
      </c>
      <c r="Y262" t="str">
        <f>_xlfn.XLOOKUP(C262,[1]Especificação!$G:$G,[1]Especificação!$C:$C)</f>
        <v>F1. Fora âmbito | Campos concluídos - Sem necessidade de espec.</v>
      </c>
    </row>
    <row r="263" spans="1:25" hidden="1" x14ac:dyDescent="0.3">
      <c r="A263" s="50" t="str">
        <f t="shared" si="15"/>
        <v>INSTRUMENT_PD_IFRS9_RMNNG_LFTM_INCPTN</v>
      </c>
      <c r="B263" t="s">
        <v>128</v>
      </c>
      <c r="C263" t="s">
        <v>456</v>
      </c>
      <c r="D263" t="s">
        <v>14</v>
      </c>
      <c r="E263" t="s">
        <v>38</v>
      </c>
      <c r="F263" t="s">
        <v>130</v>
      </c>
      <c r="G263" t="s">
        <v>131</v>
      </c>
      <c r="I263" t="s">
        <v>26</v>
      </c>
      <c r="J263" s="15">
        <v>45450</v>
      </c>
      <c r="K263" t="s">
        <v>38</v>
      </c>
      <c r="L263" t="str">
        <f t="shared" si="14"/>
        <v>OK</v>
      </c>
      <c r="M263" t="s">
        <v>368</v>
      </c>
      <c r="N263" s="15"/>
      <c r="O263" s="15"/>
      <c r="P263" t="s">
        <v>30</v>
      </c>
      <c r="Q263" t="s">
        <v>132</v>
      </c>
      <c r="R263" t="s">
        <v>133</v>
      </c>
      <c r="S263" t="s">
        <v>133</v>
      </c>
      <c r="T263" t="s">
        <v>133</v>
      </c>
      <c r="U263" t="s">
        <v>133</v>
      </c>
      <c r="V263" t="s">
        <v>132</v>
      </c>
      <c r="W263" t="s">
        <v>5</v>
      </c>
      <c r="X263" t="s">
        <v>135</v>
      </c>
      <c r="Y263" t="str">
        <f>_xlfn.XLOOKUP(C263,[1]Especificação!$G:$G,[1]Especificação!$C:$C)</f>
        <v>F1. Fora âmbito | Campos concluídos - Sem necessidade de espec.</v>
      </c>
    </row>
    <row r="264" spans="1:25" hidden="1" x14ac:dyDescent="0.3">
      <c r="A264" s="50" t="str">
        <f t="shared" si="15"/>
        <v>INSTRUMENT_PD_IFRS9_RMNNG_LFTM_RD</v>
      </c>
      <c r="B264" t="s">
        <v>128</v>
      </c>
      <c r="C264" t="s">
        <v>457</v>
      </c>
      <c r="D264" t="s">
        <v>14</v>
      </c>
      <c r="E264" t="s">
        <v>38</v>
      </c>
      <c r="F264" t="s">
        <v>130</v>
      </c>
      <c r="G264" t="s">
        <v>131</v>
      </c>
      <c r="I264" t="s">
        <v>26</v>
      </c>
      <c r="J264" s="15">
        <v>45450</v>
      </c>
      <c r="K264" t="s">
        <v>38</v>
      </c>
      <c r="L264" t="str">
        <f t="shared" si="14"/>
        <v>OK</v>
      </c>
      <c r="M264" t="s">
        <v>368</v>
      </c>
      <c r="N264" s="15"/>
      <c r="O264" s="15"/>
      <c r="P264" t="s">
        <v>30</v>
      </c>
      <c r="Q264" t="s">
        <v>132</v>
      </c>
      <c r="R264" t="s">
        <v>133</v>
      </c>
      <c r="S264" t="s">
        <v>133</v>
      </c>
      <c r="T264" t="s">
        <v>133</v>
      </c>
      <c r="U264" t="s">
        <v>133</v>
      </c>
      <c r="V264" t="s">
        <v>132</v>
      </c>
      <c r="W264" t="s">
        <v>5</v>
      </c>
      <c r="X264" t="s">
        <v>135</v>
      </c>
      <c r="Y264" t="str">
        <f>_xlfn.XLOOKUP(C264,[1]Especificação!$G:$G,[1]Especificação!$C:$C)</f>
        <v>F1. Fora âmbito | Campos concluídos - Sem necessidade de espec.</v>
      </c>
    </row>
    <row r="265" spans="1:25" hidden="1" x14ac:dyDescent="0.3">
      <c r="A265" s="50" t="str">
        <f t="shared" si="15"/>
        <v>INSTRUMENT_PMNT_PBLC_GRNT_SCHM_C19</v>
      </c>
      <c r="B265" t="s">
        <v>128</v>
      </c>
      <c r="C265" t="s">
        <v>458</v>
      </c>
      <c r="D265" t="s">
        <v>6</v>
      </c>
      <c r="E265" t="s">
        <v>38</v>
      </c>
      <c r="F265" t="s">
        <v>130</v>
      </c>
      <c r="G265" t="s">
        <v>131</v>
      </c>
      <c r="I265" t="s">
        <v>26</v>
      </c>
      <c r="J265" s="15">
        <v>45450</v>
      </c>
      <c r="K265" t="s">
        <v>38</v>
      </c>
      <c r="L265" t="str">
        <f t="shared" si="14"/>
        <v>OK</v>
      </c>
      <c r="N265" s="15"/>
      <c r="O265" s="15"/>
      <c r="P265" t="s">
        <v>30</v>
      </c>
      <c r="Q265" t="s">
        <v>132</v>
      </c>
      <c r="R265" t="s">
        <v>133</v>
      </c>
      <c r="S265" t="s">
        <v>133</v>
      </c>
      <c r="T265" t="s">
        <v>133</v>
      </c>
      <c r="U265" t="s">
        <v>133</v>
      </c>
      <c r="V265" t="s">
        <v>133</v>
      </c>
      <c r="W265" t="s">
        <v>5</v>
      </c>
      <c r="X265">
        <v>0</v>
      </c>
      <c r="Y265" t="e">
        <f>_xlfn.XLOOKUP(C265,[1]Especificação!$G:$G,[1]Especificação!$C:$C)</f>
        <v>#N/A</v>
      </c>
    </row>
    <row r="266" spans="1:25" hidden="1" x14ac:dyDescent="0.3">
      <c r="A266" s="50" t="str">
        <f t="shared" si="15"/>
        <v>INSTRUMENT_DT_FRBRNC_STTS</v>
      </c>
      <c r="B266" t="s">
        <v>128</v>
      </c>
      <c r="C266" t="s">
        <v>459</v>
      </c>
      <c r="D266" t="s">
        <v>14</v>
      </c>
      <c r="E266" t="s">
        <v>25</v>
      </c>
      <c r="F266" t="s">
        <v>149</v>
      </c>
      <c r="G266" t="s">
        <v>444</v>
      </c>
      <c r="H266" t="s">
        <v>324</v>
      </c>
      <c r="I266" t="s">
        <v>29</v>
      </c>
      <c r="J266" s="15">
        <v>45450</v>
      </c>
      <c r="K266" t="s">
        <v>25</v>
      </c>
      <c r="L266" t="str">
        <f t="shared" si="14"/>
        <v>NOK</v>
      </c>
      <c r="P266" t="s">
        <v>13</v>
      </c>
      <c r="Q266" t="s">
        <v>132</v>
      </c>
      <c r="R266" t="s">
        <v>133</v>
      </c>
      <c r="S266" t="s">
        <v>133</v>
      </c>
      <c r="T266" t="s">
        <v>133</v>
      </c>
      <c r="U266" t="s">
        <v>133</v>
      </c>
      <c r="V266" t="s">
        <v>132</v>
      </c>
      <c r="W266" t="s">
        <v>138</v>
      </c>
      <c r="X266" t="s">
        <v>153</v>
      </c>
      <c r="Y266" t="str">
        <f>_xlfn.XLOOKUP(C266,[1]Especificação!$G:$G,[1]Especificação!$C:$C)</f>
        <v>B2. Re-especificação de campos complexos - Resto</v>
      </c>
    </row>
    <row r="267" spans="1:25" hidden="1" x14ac:dyDescent="0.3">
      <c r="A267" s="50" t="str">
        <f t="shared" si="15"/>
        <v>INSTRUMENT_PRCH_UNDR_RSL_AGR</v>
      </c>
      <c r="B267" t="s">
        <v>128</v>
      </c>
      <c r="C267" t="s">
        <v>460</v>
      </c>
      <c r="D267" t="s">
        <v>6</v>
      </c>
      <c r="E267" t="s">
        <v>38</v>
      </c>
      <c r="F267" t="s">
        <v>130</v>
      </c>
      <c r="G267" t="s">
        <v>131</v>
      </c>
      <c r="I267" t="s">
        <v>26</v>
      </c>
      <c r="J267" s="15">
        <v>45450</v>
      </c>
      <c r="K267" t="s">
        <v>38</v>
      </c>
      <c r="L267" t="str">
        <f t="shared" si="14"/>
        <v>OK</v>
      </c>
      <c r="N267" s="15"/>
      <c r="O267" s="15"/>
      <c r="P267" t="s">
        <v>30</v>
      </c>
      <c r="Q267" t="s">
        <v>132</v>
      </c>
      <c r="R267" t="s">
        <v>133</v>
      </c>
      <c r="S267" t="s">
        <v>133</v>
      </c>
      <c r="T267" t="s">
        <v>133</v>
      </c>
      <c r="U267" t="s">
        <v>133</v>
      </c>
      <c r="V267" t="s">
        <v>133</v>
      </c>
      <c r="W267" t="s">
        <v>5</v>
      </c>
      <c r="X267">
        <v>0</v>
      </c>
      <c r="Y267" t="e">
        <f>_xlfn.XLOOKUP(C267,[1]Especificação!$G:$G,[1]Especificação!$C:$C)</f>
        <v>#N/A</v>
      </c>
    </row>
    <row r="268" spans="1:25" hidden="1" x14ac:dyDescent="0.3">
      <c r="A268" s="50" t="str">
        <f t="shared" si="15"/>
        <v>INSTRUMENT_PRDCT</v>
      </c>
      <c r="B268" t="s">
        <v>128</v>
      </c>
      <c r="C268" t="s">
        <v>461</v>
      </c>
      <c r="D268" t="s">
        <v>14</v>
      </c>
      <c r="E268" t="s">
        <v>38</v>
      </c>
      <c r="F268" t="s">
        <v>130</v>
      </c>
      <c r="G268" t="s">
        <v>131</v>
      </c>
      <c r="I268" t="s">
        <v>26</v>
      </c>
      <c r="J268" s="15">
        <v>45450</v>
      </c>
      <c r="K268" t="s">
        <v>38</v>
      </c>
      <c r="L268" t="str">
        <f t="shared" si="14"/>
        <v>OK</v>
      </c>
      <c r="N268" s="15"/>
      <c r="O268" s="15"/>
      <c r="P268" t="s">
        <v>30</v>
      </c>
      <c r="Q268" t="s">
        <v>132</v>
      </c>
      <c r="R268" t="s">
        <v>133</v>
      </c>
      <c r="S268" t="s">
        <v>133</v>
      </c>
      <c r="T268" t="s">
        <v>132</v>
      </c>
      <c r="U268" t="s">
        <v>133</v>
      </c>
      <c r="V268" t="s">
        <v>133</v>
      </c>
      <c r="W268" t="s">
        <v>5</v>
      </c>
      <c r="X268">
        <v>0</v>
      </c>
      <c r="Y268" t="e">
        <f>_xlfn.XLOOKUP(C268,[1]Especificação!$G:$G,[1]Especificação!$C:$C)</f>
        <v>#N/A</v>
      </c>
    </row>
    <row r="269" spans="1:25" hidden="1" x14ac:dyDescent="0.3">
      <c r="A269" s="50" t="str">
        <f t="shared" si="15"/>
        <v>INSTRUMENT_PRDNTL_PRTFL</v>
      </c>
      <c r="B269" t="s">
        <v>128</v>
      </c>
      <c r="C269" t="s">
        <v>462</v>
      </c>
      <c r="D269" t="s">
        <v>6</v>
      </c>
      <c r="E269" t="s">
        <v>38</v>
      </c>
      <c r="F269" t="s">
        <v>130</v>
      </c>
      <c r="G269" t="s">
        <v>131</v>
      </c>
      <c r="I269" t="s">
        <v>26</v>
      </c>
      <c r="J269" s="15">
        <v>45450</v>
      </c>
      <c r="K269" t="s">
        <v>38</v>
      </c>
      <c r="L269" t="str">
        <f t="shared" si="14"/>
        <v>OK</v>
      </c>
      <c r="N269" s="15"/>
      <c r="O269" s="15"/>
      <c r="P269" t="s">
        <v>30</v>
      </c>
      <c r="Q269" t="s">
        <v>132</v>
      </c>
      <c r="R269" t="s">
        <v>133</v>
      </c>
      <c r="S269" t="s">
        <v>133</v>
      </c>
      <c r="T269" t="s">
        <v>133</v>
      </c>
      <c r="U269" t="s">
        <v>133</v>
      </c>
      <c r="V269" t="s">
        <v>132</v>
      </c>
      <c r="W269" t="s">
        <v>5</v>
      </c>
      <c r="X269" t="s">
        <v>135</v>
      </c>
      <c r="Y269" t="str">
        <f>_xlfn.XLOOKUP(C269,[1]Especificação!$G:$G,[1]Especificação!$C:$C)</f>
        <v>F1. Fora âmbito | Campos concluídos - Sem necessidade de espec.</v>
      </c>
    </row>
    <row r="270" spans="1:25" hidden="1" x14ac:dyDescent="0.3">
      <c r="A270" s="50" t="str">
        <f t="shared" si="15"/>
        <v>INSTRUMENT_PRFRMNG_STTS</v>
      </c>
      <c r="B270" t="s">
        <v>128</v>
      </c>
      <c r="C270" s="11" t="s">
        <v>45</v>
      </c>
      <c r="D270" t="s">
        <v>14</v>
      </c>
      <c r="E270" t="s">
        <v>28</v>
      </c>
      <c r="F270" t="s">
        <v>149</v>
      </c>
      <c r="G270" t="s">
        <v>159</v>
      </c>
      <c r="I270" t="s">
        <v>32</v>
      </c>
      <c r="J270" s="15">
        <v>45952</v>
      </c>
      <c r="K270" t="s">
        <v>36</v>
      </c>
      <c r="L270" t="s">
        <v>149</v>
      </c>
      <c r="M270" t="s">
        <v>1180</v>
      </c>
      <c r="N270" s="15"/>
      <c r="O270" s="15">
        <v>45952</v>
      </c>
      <c r="P270" t="s">
        <v>39</v>
      </c>
      <c r="Q270" t="s">
        <v>132</v>
      </c>
      <c r="R270" t="s">
        <v>132</v>
      </c>
      <c r="S270" t="s">
        <v>132</v>
      </c>
      <c r="T270" t="s">
        <v>133</v>
      </c>
      <c r="U270" t="s">
        <v>133</v>
      </c>
      <c r="V270" t="s">
        <v>132</v>
      </c>
      <c r="W270" t="s">
        <v>5</v>
      </c>
      <c r="X270" t="s">
        <v>267</v>
      </c>
      <c r="Y270" t="str">
        <f>_xlfn.XLOOKUP(C270,[1]Especificação!$G:$G,[1]Especificação!$C:$C)</f>
        <v>F2. Fora âmbito | Campos em testes ou c/ incidências (LT - PM)</v>
      </c>
    </row>
    <row r="271" spans="1:25" hidden="1" x14ac:dyDescent="0.3">
      <c r="A271" s="50" t="str">
        <f t="shared" si="15"/>
        <v>ENTITY_PRFRMNG_STTS_LE</v>
      </c>
      <c r="B271" t="s">
        <v>142</v>
      </c>
      <c r="C271" t="s">
        <v>463</v>
      </c>
      <c r="D271" t="s">
        <v>14</v>
      </c>
      <c r="E271" t="s">
        <v>38</v>
      </c>
      <c r="F271" t="s">
        <v>130</v>
      </c>
      <c r="G271" t="s">
        <v>131</v>
      </c>
      <c r="I271" t="s">
        <v>26</v>
      </c>
      <c r="J271" s="15">
        <v>45952</v>
      </c>
      <c r="K271" t="s">
        <v>38</v>
      </c>
      <c r="L271" t="s">
        <v>130</v>
      </c>
      <c r="N271" s="15"/>
      <c r="O271" s="15">
        <v>45952</v>
      </c>
      <c r="P271" t="s">
        <v>30</v>
      </c>
      <c r="Q271" t="s">
        <v>132</v>
      </c>
      <c r="R271" t="s">
        <v>133</v>
      </c>
      <c r="S271" t="s">
        <v>133</v>
      </c>
      <c r="T271" t="s">
        <v>133</v>
      </c>
      <c r="U271" t="s">
        <v>133</v>
      </c>
      <c r="V271" t="s">
        <v>132</v>
      </c>
      <c r="W271" t="s">
        <v>5</v>
      </c>
      <c r="X271" t="s">
        <v>135</v>
      </c>
      <c r="Y271" t="str">
        <f>_xlfn.XLOOKUP(C271,[1]Especificação!$G:$G,[1]Especificação!$C:$C)</f>
        <v>F1. Fora âmbito | Campos concluídos - Sem necessidade de espec.</v>
      </c>
    </row>
    <row r="272" spans="1:25" hidden="1" x14ac:dyDescent="0.3">
      <c r="A272" s="50" t="str">
        <f t="shared" si="15"/>
        <v>INSTRUMENT_PRFRMNG_STTS_PRVS</v>
      </c>
      <c r="B272" t="s">
        <v>128</v>
      </c>
      <c r="C272" s="11" t="s">
        <v>47</v>
      </c>
      <c r="D272" t="s">
        <v>14</v>
      </c>
      <c r="E272" t="s">
        <v>33</v>
      </c>
      <c r="F272" t="s">
        <v>130</v>
      </c>
      <c r="G272" t="s">
        <v>232</v>
      </c>
      <c r="I272" t="s">
        <v>32</v>
      </c>
      <c r="J272" s="15">
        <v>45952</v>
      </c>
      <c r="K272" t="s">
        <v>38</v>
      </c>
      <c r="L272" t="s">
        <v>130</v>
      </c>
      <c r="N272" s="15">
        <v>45562</v>
      </c>
      <c r="O272" s="15">
        <v>45952</v>
      </c>
      <c r="P272" t="s">
        <v>39</v>
      </c>
      <c r="Q272" t="s">
        <v>132</v>
      </c>
      <c r="R272" t="s">
        <v>133</v>
      </c>
      <c r="S272" t="s">
        <v>133</v>
      </c>
      <c r="T272" t="s">
        <v>133</v>
      </c>
      <c r="U272" t="s">
        <v>133</v>
      </c>
      <c r="V272" t="s">
        <v>132</v>
      </c>
      <c r="W272" t="s">
        <v>5</v>
      </c>
      <c r="X272" t="s">
        <v>267</v>
      </c>
      <c r="Y272" t="str">
        <f>_xlfn.XLOOKUP(C272,[1]Especificação!$G:$G,[1]Especificação!$C:$C)</f>
        <v>B2. Re-especificação de campos complexos - Resto</v>
      </c>
    </row>
    <row r="273" spans="1:25" hidden="1" x14ac:dyDescent="0.3">
      <c r="A273" s="50" t="str">
        <f t="shared" si="15"/>
        <v>INSTRUMENT_PRJCT_FNNC_LN</v>
      </c>
      <c r="B273" t="s">
        <v>128</v>
      </c>
      <c r="C273" t="s">
        <v>464</v>
      </c>
      <c r="D273" t="s">
        <v>14</v>
      </c>
      <c r="E273" t="s">
        <v>38</v>
      </c>
      <c r="F273" t="s">
        <v>130</v>
      </c>
      <c r="G273" t="s">
        <v>131</v>
      </c>
      <c r="I273" t="s">
        <v>26</v>
      </c>
      <c r="J273" s="15">
        <v>45450</v>
      </c>
      <c r="K273" t="s">
        <v>38</v>
      </c>
      <c r="L273" t="str">
        <f t="shared" si="14"/>
        <v>OK</v>
      </c>
      <c r="P273" t="s">
        <v>30</v>
      </c>
      <c r="Q273" t="s">
        <v>132</v>
      </c>
      <c r="R273" t="s">
        <v>133</v>
      </c>
      <c r="S273" t="s">
        <v>132</v>
      </c>
      <c r="T273" t="s">
        <v>133</v>
      </c>
      <c r="U273" t="s">
        <v>133</v>
      </c>
      <c r="V273" t="s">
        <v>133</v>
      </c>
      <c r="W273" t="s">
        <v>5</v>
      </c>
      <c r="X273">
        <v>0</v>
      </c>
      <c r="Y273" t="e">
        <f>_xlfn.XLOOKUP(C273,[1]Especificação!$G:$G,[1]Especificação!$C:$C)</f>
        <v>#N/A</v>
      </c>
    </row>
    <row r="274" spans="1:25" hidden="1" x14ac:dyDescent="0.3">
      <c r="A274" s="50" t="str">
        <f>B274&amp;"_"&amp;C274</f>
        <v>PROTECTION_PRM_LCTN</v>
      </c>
      <c r="B274" t="s">
        <v>161</v>
      </c>
      <c r="C274" s="10" t="s">
        <v>465</v>
      </c>
      <c r="D274" t="s">
        <v>6</v>
      </c>
      <c r="E274" t="s">
        <v>33</v>
      </c>
      <c r="F274" t="s">
        <v>149</v>
      </c>
      <c r="G274" t="s">
        <v>381</v>
      </c>
      <c r="I274" t="s">
        <v>26</v>
      </c>
      <c r="J274" s="15">
        <v>45670</v>
      </c>
      <c r="K274" t="s">
        <v>38</v>
      </c>
      <c r="L274" t="s">
        <v>130</v>
      </c>
      <c r="M274" t="s">
        <v>466</v>
      </c>
      <c r="N274" s="15">
        <v>45471</v>
      </c>
      <c r="O274" s="15">
        <v>45646</v>
      </c>
      <c r="P274" t="s">
        <v>24</v>
      </c>
      <c r="Q274" t="s">
        <v>132</v>
      </c>
      <c r="R274" t="s">
        <v>133</v>
      </c>
      <c r="S274" t="s">
        <v>133</v>
      </c>
      <c r="T274" t="s">
        <v>133</v>
      </c>
      <c r="U274" t="s">
        <v>133</v>
      </c>
      <c r="V274" t="s">
        <v>133</v>
      </c>
      <c r="W274" t="s">
        <v>5</v>
      </c>
      <c r="X274">
        <v>0</v>
      </c>
      <c r="Y274" t="e">
        <f>_xlfn.XLOOKUP(C274,[1]Especificação!$G:$G,[1]Especificação!$C:$C)</f>
        <v>#N/A</v>
      </c>
    </row>
    <row r="275" spans="1:25" hidden="1" x14ac:dyDescent="0.3">
      <c r="A275" s="50" t="str">
        <f t="shared" si="15"/>
        <v>INSTRUMENT_PRMRY_ASST_CLSSF</v>
      </c>
      <c r="B275" t="s">
        <v>128</v>
      </c>
      <c r="C275" t="s">
        <v>467</v>
      </c>
      <c r="D275" t="s">
        <v>6</v>
      </c>
      <c r="E275" t="s">
        <v>38</v>
      </c>
      <c r="F275" t="s">
        <v>130</v>
      </c>
      <c r="G275" t="s">
        <v>131</v>
      </c>
      <c r="I275" t="s">
        <v>26</v>
      </c>
      <c r="J275" s="15">
        <v>45450</v>
      </c>
      <c r="K275" t="s">
        <v>38</v>
      </c>
      <c r="L275" t="str">
        <f t="shared" ref="L275:L286" si="16">F275</f>
        <v>OK</v>
      </c>
      <c r="P275" t="s">
        <v>30</v>
      </c>
      <c r="Q275" t="s">
        <v>132</v>
      </c>
      <c r="R275" t="s">
        <v>133</v>
      </c>
      <c r="S275" t="s">
        <v>132</v>
      </c>
      <c r="T275" t="s">
        <v>133</v>
      </c>
      <c r="U275" t="s">
        <v>133</v>
      </c>
      <c r="V275" t="s">
        <v>133</v>
      </c>
      <c r="W275" t="s">
        <v>5</v>
      </c>
      <c r="X275">
        <v>0</v>
      </c>
      <c r="Y275" t="e">
        <f>_xlfn.XLOOKUP(C275,[1]Especificação!$G:$G,[1]Especificação!$C:$C)</f>
        <v>#N/A</v>
      </c>
    </row>
    <row r="276" spans="1:25" hidden="1" x14ac:dyDescent="0.3">
      <c r="A276" s="50" t="str">
        <f t="shared" si="15"/>
        <v>INSTRUMENT_PRPS</v>
      </c>
      <c r="B276" t="s">
        <v>128</v>
      </c>
      <c r="C276" t="s">
        <v>468</v>
      </c>
      <c r="D276" t="s">
        <v>14</v>
      </c>
      <c r="E276" t="s">
        <v>38</v>
      </c>
      <c r="F276" t="s">
        <v>130</v>
      </c>
      <c r="G276" t="s">
        <v>131</v>
      </c>
      <c r="I276" t="s">
        <v>26</v>
      </c>
      <c r="J276" s="15">
        <v>45450</v>
      </c>
      <c r="K276" t="s">
        <v>38</v>
      </c>
      <c r="L276" t="str">
        <f t="shared" si="16"/>
        <v>OK</v>
      </c>
      <c r="P276" t="s">
        <v>30</v>
      </c>
      <c r="Q276" t="s">
        <v>132</v>
      </c>
      <c r="R276" t="s">
        <v>133</v>
      </c>
      <c r="S276" t="s">
        <v>133</v>
      </c>
      <c r="T276" t="s">
        <v>133</v>
      </c>
      <c r="U276" t="s">
        <v>133</v>
      </c>
      <c r="V276" t="s">
        <v>132</v>
      </c>
      <c r="W276" t="s">
        <v>5</v>
      </c>
      <c r="X276" t="s">
        <v>135</v>
      </c>
      <c r="Y276" t="str">
        <f>_xlfn.XLOOKUP(C276,[1]Especificação!$G:$G,[1]Especificação!$C:$C)</f>
        <v>F1. Fora âmbito | Campos concluídos - Sem necessidade de espec.</v>
      </c>
    </row>
    <row r="277" spans="1:25" hidden="1" x14ac:dyDescent="0.3">
      <c r="A277" s="50" t="str">
        <f t="shared" si="15"/>
        <v>ENTITY_PRSN_TYP</v>
      </c>
      <c r="B277" t="s">
        <v>142</v>
      </c>
      <c r="C277" t="s">
        <v>469</v>
      </c>
      <c r="D277" t="s">
        <v>6</v>
      </c>
      <c r="E277" t="s">
        <v>31</v>
      </c>
      <c r="F277" t="s">
        <v>130</v>
      </c>
      <c r="G277" t="s">
        <v>175</v>
      </c>
      <c r="I277" t="s">
        <v>29</v>
      </c>
      <c r="J277" s="15">
        <v>45460</v>
      </c>
      <c r="K277" t="s">
        <v>33</v>
      </c>
      <c r="L277" t="str">
        <f t="shared" si="16"/>
        <v>OK</v>
      </c>
      <c r="N277" s="15">
        <v>45303</v>
      </c>
      <c r="O277" s="15">
        <v>45372</v>
      </c>
      <c r="P277" t="s">
        <v>19</v>
      </c>
      <c r="Q277" t="s">
        <v>132</v>
      </c>
      <c r="R277" t="s">
        <v>133</v>
      </c>
      <c r="S277" t="s">
        <v>133</v>
      </c>
      <c r="T277" t="s">
        <v>133</v>
      </c>
      <c r="U277" t="s">
        <v>133</v>
      </c>
      <c r="V277" t="s">
        <v>133</v>
      </c>
      <c r="W277" t="s">
        <v>5</v>
      </c>
      <c r="X277">
        <v>0</v>
      </c>
      <c r="Y277" t="e">
        <f>_xlfn.XLOOKUP(C277,[1]Especificação!$G:$G,[1]Especificação!$C:$C)</f>
        <v>#N/A</v>
      </c>
    </row>
    <row r="278" spans="1:25" hidden="1" x14ac:dyDescent="0.3">
      <c r="A278" s="50" t="str">
        <f t="shared" si="15"/>
        <v>INSTRUMENT_PRT_LCR_BFFR</v>
      </c>
      <c r="B278" t="s">
        <v>128</v>
      </c>
      <c r="C278" t="s">
        <v>470</v>
      </c>
      <c r="D278" t="s">
        <v>6</v>
      </c>
      <c r="E278" t="s">
        <v>38</v>
      </c>
      <c r="F278" t="s">
        <v>130</v>
      </c>
      <c r="G278" t="s">
        <v>131</v>
      </c>
      <c r="I278" t="s">
        <v>26</v>
      </c>
      <c r="J278" s="15">
        <v>45450</v>
      </c>
      <c r="K278" t="s">
        <v>38</v>
      </c>
      <c r="L278" t="str">
        <f t="shared" si="16"/>
        <v>OK</v>
      </c>
      <c r="P278" t="s">
        <v>30</v>
      </c>
      <c r="Q278" t="s">
        <v>132</v>
      </c>
      <c r="R278" t="s">
        <v>133</v>
      </c>
      <c r="S278" t="s">
        <v>133</v>
      </c>
      <c r="T278" t="s">
        <v>133</v>
      </c>
      <c r="U278" t="s">
        <v>133</v>
      </c>
      <c r="V278" t="s">
        <v>133</v>
      </c>
      <c r="W278" t="s">
        <v>5</v>
      </c>
      <c r="X278">
        <v>0</v>
      </c>
      <c r="Y278" t="e">
        <f>_xlfn.XLOOKUP(C278,[1]Especificação!$G:$G,[1]Especificação!$C:$C)</f>
        <v>#N/A</v>
      </c>
    </row>
    <row r="279" spans="1:25" hidden="1" x14ac:dyDescent="0.3">
      <c r="A279" s="50" t="str">
        <f t="shared" si="15"/>
        <v>INSTR_PROTECTION_PRTCTN_ALLCTD_VL</v>
      </c>
      <c r="B279" t="s">
        <v>194</v>
      </c>
      <c r="C279" t="s">
        <v>471</v>
      </c>
      <c r="D279" t="s">
        <v>14</v>
      </c>
      <c r="E279" t="s">
        <v>38</v>
      </c>
      <c r="F279" t="s">
        <v>130</v>
      </c>
      <c r="G279" t="s">
        <v>131</v>
      </c>
      <c r="I279" t="s">
        <v>26</v>
      </c>
      <c r="J279" s="15">
        <v>45450</v>
      </c>
      <c r="K279" t="s">
        <v>38</v>
      </c>
      <c r="L279" t="str">
        <f t="shared" si="16"/>
        <v>OK</v>
      </c>
      <c r="P279" t="s">
        <v>30</v>
      </c>
      <c r="Q279" t="s">
        <v>132</v>
      </c>
      <c r="R279" t="s">
        <v>133</v>
      </c>
      <c r="S279" t="s">
        <v>132</v>
      </c>
      <c r="T279" t="s">
        <v>133</v>
      </c>
      <c r="U279" t="s">
        <v>133</v>
      </c>
      <c r="V279" t="s">
        <v>133</v>
      </c>
      <c r="W279" t="s">
        <v>5</v>
      </c>
      <c r="X279">
        <v>0</v>
      </c>
      <c r="Y279" t="e">
        <f>_xlfn.XLOOKUP(C279,[1]Especificação!$G:$G,[1]Especificação!$C:$C)</f>
        <v>#N/A</v>
      </c>
    </row>
    <row r="280" spans="1:25" hidden="1" x14ac:dyDescent="0.3">
      <c r="A280" s="50" t="str">
        <f t="shared" si="15"/>
        <v>PROTECTION_PRTCTN_CLLD</v>
      </c>
      <c r="B280" t="s">
        <v>161</v>
      </c>
      <c r="C280" t="s">
        <v>472</v>
      </c>
      <c r="D280" t="s">
        <v>14</v>
      </c>
      <c r="E280" t="s">
        <v>36</v>
      </c>
      <c r="F280" t="s">
        <v>149</v>
      </c>
      <c r="G280" t="s">
        <v>163</v>
      </c>
      <c r="I280" t="s">
        <v>29</v>
      </c>
      <c r="J280" s="15">
        <v>45450</v>
      </c>
      <c r="K280" t="s">
        <v>36</v>
      </c>
      <c r="L280" t="str">
        <f t="shared" si="16"/>
        <v>NOK</v>
      </c>
      <c r="P280" t="s">
        <v>8</v>
      </c>
      <c r="Q280" t="s">
        <v>132</v>
      </c>
      <c r="R280" t="s">
        <v>133</v>
      </c>
      <c r="S280" t="s">
        <v>133</v>
      </c>
      <c r="T280" t="s">
        <v>133</v>
      </c>
      <c r="U280" t="s">
        <v>133</v>
      </c>
      <c r="V280" t="s">
        <v>133</v>
      </c>
      <c r="W280" t="s">
        <v>5</v>
      </c>
      <c r="X280">
        <v>0</v>
      </c>
      <c r="Y280" t="e">
        <f>_xlfn.XLOOKUP(C280,[1]Especificação!$G:$G,[1]Especificação!$C:$C)</f>
        <v>#N/A</v>
      </c>
    </row>
    <row r="281" spans="1:25" hidden="1" x14ac:dyDescent="0.3">
      <c r="A281" s="50" t="str">
        <f t="shared" si="15"/>
        <v>PROTECTION_PRTCTN_FRCD_SL_VL</v>
      </c>
      <c r="B281" t="s">
        <v>161</v>
      </c>
      <c r="C281" t="s">
        <v>473</v>
      </c>
      <c r="D281" t="s">
        <v>14</v>
      </c>
      <c r="E281" t="s">
        <v>38</v>
      </c>
      <c r="F281" t="s">
        <v>130</v>
      </c>
      <c r="G281" t="s">
        <v>131</v>
      </c>
      <c r="I281" t="s">
        <v>26</v>
      </c>
      <c r="J281" s="15">
        <v>45450</v>
      </c>
      <c r="K281" t="s">
        <v>38</v>
      </c>
      <c r="L281" t="str">
        <f t="shared" si="16"/>
        <v>OK</v>
      </c>
      <c r="P281" t="s">
        <v>30</v>
      </c>
      <c r="Q281" t="s">
        <v>132</v>
      </c>
      <c r="R281" t="s">
        <v>133</v>
      </c>
      <c r="S281" t="s">
        <v>133</v>
      </c>
      <c r="T281" t="s">
        <v>133</v>
      </c>
      <c r="U281" t="s">
        <v>133</v>
      </c>
      <c r="V281" t="s">
        <v>133</v>
      </c>
      <c r="W281" t="s">
        <v>5</v>
      </c>
      <c r="X281">
        <v>0</v>
      </c>
      <c r="Y281" t="e">
        <f>_xlfn.XLOOKUP(C281,[1]Especificação!$G:$G,[1]Especificação!$C:$C)</f>
        <v>#N/A</v>
      </c>
    </row>
    <row r="282" spans="1:25" hidden="1" x14ac:dyDescent="0.3">
      <c r="A282" s="50" t="str">
        <f t="shared" si="15"/>
        <v>INSTR_PROTECTION_PRTCTN_ID</v>
      </c>
      <c r="B282" t="s">
        <v>194</v>
      </c>
      <c r="C282" t="s">
        <v>474</v>
      </c>
      <c r="D282" t="s">
        <v>14</v>
      </c>
      <c r="E282" t="s">
        <v>36</v>
      </c>
      <c r="F282" t="s">
        <v>149</v>
      </c>
      <c r="G282" t="s">
        <v>163</v>
      </c>
      <c r="I282" t="s">
        <v>29</v>
      </c>
      <c r="J282" s="15">
        <v>45450</v>
      </c>
      <c r="K282" t="s">
        <v>36</v>
      </c>
      <c r="L282" t="str">
        <f t="shared" si="16"/>
        <v>NOK</v>
      </c>
      <c r="P282" t="s">
        <v>8</v>
      </c>
      <c r="Q282" t="s">
        <v>132</v>
      </c>
      <c r="R282" t="s">
        <v>132</v>
      </c>
      <c r="S282" t="s">
        <v>132</v>
      </c>
      <c r="T282" t="s">
        <v>133</v>
      </c>
      <c r="U282" t="s">
        <v>133</v>
      </c>
      <c r="V282" t="s">
        <v>133</v>
      </c>
      <c r="W282" t="s">
        <v>5</v>
      </c>
      <c r="X282">
        <v>0</v>
      </c>
      <c r="Y282" t="e">
        <f>_xlfn.XLOOKUP(C282,[1]Especificação!$G:$G,[1]Especificação!$C:$C)</f>
        <v>#N/A</v>
      </c>
    </row>
    <row r="283" spans="1:25" hidden="1" x14ac:dyDescent="0.3">
      <c r="A283" s="50" t="str">
        <f t="shared" si="15"/>
        <v>PROTECTION_PRTCTN_ID</v>
      </c>
      <c r="B283" t="s">
        <v>161</v>
      </c>
      <c r="C283" t="s">
        <v>474</v>
      </c>
      <c r="D283" t="s">
        <v>14</v>
      </c>
      <c r="E283" t="s">
        <v>36</v>
      </c>
      <c r="F283" t="s">
        <v>149</v>
      </c>
      <c r="G283" t="s">
        <v>163</v>
      </c>
      <c r="I283" t="s">
        <v>29</v>
      </c>
      <c r="J283" s="15">
        <v>45450</v>
      </c>
      <c r="K283" t="s">
        <v>36</v>
      </c>
      <c r="L283" t="str">
        <f t="shared" si="16"/>
        <v>NOK</v>
      </c>
      <c r="P283" t="s">
        <v>8</v>
      </c>
      <c r="Q283" t="s">
        <v>132</v>
      </c>
      <c r="R283" t="s">
        <v>132</v>
      </c>
      <c r="S283" t="s">
        <v>132</v>
      </c>
      <c r="T283" t="s">
        <v>133</v>
      </c>
      <c r="U283" t="s">
        <v>132</v>
      </c>
      <c r="V283" t="s">
        <v>133</v>
      </c>
      <c r="W283" t="s">
        <v>5</v>
      </c>
      <c r="X283">
        <v>0</v>
      </c>
      <c r="Y283" t="e">
        <f>_xlfn.XLOOKUP(C283,[1]Especificação!$G:$G,[1]Especificação!$C:$C)</f>
        <v>#N/A</v>
      </c>
    </row>
    <row r="284" spans="1:25" hidden="1" x14ac:dyDescent="0.3">
      <c r="A284" s="50" t="str">
        <f t="shared" si="15"/>
        <v>PROTECTION_PRTCTN_PRVDR_ID</v>
      </c>
      <c r="B284" t="s">
        <v>161</v>
      </c>
      <c r="C284" t="s">
        <v>475</v>
      </c>
      <c r="D284" t="s">
        <v>14</v>
      </c>
      <c r="E284" t="s">
        <v>36</v>
      </c>
      <c r="F284" t="s">
        <v>149</v>
      </c>
      <c r="G284" t="s">
        <v>163</v>
      </c>
      <c r="I284" t="s">
        <v>29</v>
      </c>
      <c r="J284" s="15">
        <v>45450</v>
      </c>
      <c r="K284" t="s">
        <v>36</v>
      </c>
      <c r="L284" t="str">
        <f t="shared" si="16"/>
        <v>NOK</v>
      </c>
      <c r="P284" t="s">
        <v>8</v>
      </c>
      <c r="Q284" t="s">
        <v>132</v>
      </c>
      <c r="R284" t="s">
        <v>133</v>
      </c>
      <c r="S284" t="s">
        <v>133</v>
      </c>
      <c r="T284" t="s">
        <v>133</v>
      </c>
      <c r="U284" t="s">
        <v>133</v>
      </c>
      <c r="V284" t="s">
        <v>133</v>
      </c>
      <c r="W284" t="s">
        <v>5</v>
      </c>
      <c r="X284">
        <v>0</v>
      </c>
      <c r="Y284" t="e">
        <f>_xlfn.XLOOKUP(C284,[1]Especificação!$G:$G,[1]Especificação!$C:$C)</f>
        <v>#N/A</v>
      </c>
    </row>
    <row r="285" spans="1:25" hidden="1" x14ac:dyDescent="0.3">
      <c r="A285" s="50" t="str">
        <f t="shared" si="15"/>
        <v>PROTECTION_PRTCTN_TYP_PBLC_GRNT_SCHM_C19</v>
      </c>
      <c r="B285" t="s">
        <v>161</v>
      </c>
      <c r="C285" t="s">
        <v>476</v>
      </c>
      <c r="D285" t="s">
        <v>6</v>
      </c>
      <c r="E285" t="s">
        <v>36</v>
      </c>
      <c r="F285" t="s">
        <v>149</v>
      </c>
      <c r="G285" t="s">
        <v>163</v>
      </c>
      <c r="I285" t="s">
        <v>29</v>
      </c>
      <c r="J285" s="15">
        <v>45450</v>
      </c>
      <c r="K285" t="s">
        <v>36</v>
      </c>
      <c r="L285" t="str">
        <f t="shared" si="16"/>
        <v>NOK</v>
      </c>
      <c r="P285" t="s">
        <v>8</v>
      </c>
      <c r="Q285" t="s">
        <v>132</v>
      </c>
      <c r="R285" t="s">
        <v>133</v>
      </c>
      <c r="S285" t="s">
        <v>133</v>
      </c>
      <c r="T285" t="s">
        <v>133</v>
      </c>
      <c r="U285" t="s">
        <v>133</v>
      </c>
      <c r="V285" t="s">
        <v>133</v>
      </c>
      <c r="W285" t="s">
        <v>5</v>
      </c>
      <c r="X285">
        <v>0</v>
      </c>
      <c r="Y285" t="e">
        <f>_xlfn.XLOOKUP(C285,[1]Especificação!$G:$G,[1]Especificação!$C:$C)</f>
        <v>#N/A</v>
      </c>
    </row>
    <row r="286" spans="1:25" hidden="1" x14ac:dyDescent="0.3">
      <c r="A286" s="50" t="str">
        <f t="shared" si="15"/>
        <v>ENTITY_DT_EXTRNL_RTNG</v>
      </c>
      <c r="B286" t="s">
        <v>142</v>
      </c>
      <c r="C286" s="10" t="s">
        <v>477</v>
      </c>
      <c r="D286" t="s">
        <v>14</v>
      </c>
      <c r="E286" t="s">
        <v>25</v>
      </c>
      <c r="F286" t="s">
        <v>130</v>
      </c>
      <c r="G286" t="s">
        <v>326</v>
      </c>
      <c r="H286" t="s">
        <v>327</v>
      </c>
      <c r="I286" t="s">
        <v>32</v>
      </c>
      <c r="J286" s="15">
        <v>45450</v>
      </c>
      <c r="K286" t="s">
        <v>25</v>
      </c>
      <c r="L286" t="str">
        <f t="shared" si="16"/>
        <v>OK</v>
      </c>
      <c r="P286" t="s">
        <v>34</v>
      </c>
      <c r="Q286" t="s">
        <v>132</v>
      </c>
      <c r="R286" t="s">
        <v>133</v>
      </c>
      <c r="S286" t="s">
        <v>133</v>
      </c>
      <c r="T286" t="s">
        <v>133</v>
      </c>
      <c r="U286" t="s">
        <v>133</v>
      </c>
      <c r="V286" t="s">
        <v>132</v>
      </c>
      <c r="W286" t="s">
        <v>138</v>
      </c>
      <c r="X286" t="s">
        <v>153</v>
      </c>
      <c r="Y286" t="str">
        <f>_xlfn.XLOOKUP(C286,[1]Especificação!$G:$G,[1]Especificação!$C:$C)</f>
        <v>B2. Re-especificação de campos complexos - Resto</v>
      </c>
    </row>
    <row r="287" spans="1:25" hidden="1" x14ac:dyDescent="0.3">
      <c r="A287" s="50" t="str">
        <f t="shared" si="15"/>
        <v>PROTECTION_ORGNL_PRTCTN_VL</v>
      </c>
      <c r="B287" t="s">
        <v>161</v>
      </c>
      <c r="C287" s="10" t="s">
        <v>41</v>
      </c>
      <c r="D287" t="s">
        <v>14</v>
      </c>
      <c r="E287" t="s">
        <v>35</v>
      </c>
      <c r="F287" t="s">
        <v>130</v>
      </c>
      <c r="G287" t="s">
        <v>304</v>
      </c>
      <c r="H287" t="s">
        <v>478</v>
      </c>
      <c r="I287" t="s">
        <v>32</v>
      </c>
      <c r="J287" s="15">
        <v>45952</v>
      </c>
      <c r="K287" t="s">
        <v>36</v>
      </c>
      <c r="L287" t="s">
        <v>149</v>
      </c>
      <c r="M287" t="s">
        <v>1322</v>
      </c>
      <c r="N287" s="15"/>
      <c r="O287" s="15">
        <v>45952</v>
      </c>
      <c r="P287" t="s">
        <v>24</v>
      </c>
      <c r="Q287" t="s">
        <v>132</v>
      </c>
      <c r="R287" t="s">
        <v>133</v>
      </c>
      <c r="S287" t="s">
        <v>132</v>
      </c>
      <c r="T287" t="s">
        <v>133</v>
      </c>
      <c r="U287" t="s">
        <v>133</v>
      </c>
      <c r="V287" t="s">
        <v>133</v>
      </c>
      <c r="W287" t="s">
        <v>5</v>
      </c>
      <c r="X287">
        <v>0</v>
      </c>
      <c r="Y287" t="e">
        <f>_xlfn.XLOOKUP(C287,[1]Especificação!$G:$G,[1]Especificação!$C:$C)</f>
        <v>#N/A</v>
      </c>
    </row>
    <row r="288" spans="1:25" hidden="1" x14ac:dyDescent="0.3">
      <c r="A288" s="50" t="str">
        <f t="shared" si="15"/>
        <v>PROTECTION_PRTCTN_VL_PRVS</v>
      </c>
      <c r="B288" t="s">
        <v>161</v>
      </c>
      <c r="C288" t="s">
        <v>480</v>
      </c>
      <c r="D288" t="s">
        <v>14</v>
      </c>
      <c r="E288" t="s">
        <v>38</v>
      </c>
      <c r="F288" t="s">
        <v>130</v>
      </c>
      <c r="G288" t="s">
        <v>131</v>
      </c>
      <c r="I288" t="s">
        <v>26</v>
      </c>
      <c r="J288" s="15">
        <v>45450</v>
      </c>
      <c r="K288" t="s">
        <v>38</v>
      </c>
      <c r="L288" t="str">
        <f t="shared" ref="L288:L310" si="17">F288</f>
        <v>OK</v>
      </c>
      <c r="P288" t="s">
        <v>30</v>
      </c>
      <c r="Q288" t="s">
        <v>132</v>
      </c>
      <c r="R288" t="s">
        <v>133</v>
      </c>
      <c r="S288" t="s">
        <v>133</v>
      </c>
      <c r="T288" t="s">
        <v>133</v>
      </c>
      <c r="U288" t="s">
        <v>133</v>
      </c>
      <c r="V288" t="s">
        <v>133</v>
      </c>
      <c r="W288" t="s">
        <v>5</v>
      </c>
      <c r="X288">
        <v>0</v>
      </c>
      <c r="Y288" t="e">
        <f>_xlfn.XLOOKUP(C288,[1]Especificação!$G:$G,[1]Especificação!$C:$C)</f>
        <v>#N/A</v>
      </c>
    </row>
    <row r="289" spans="1:25" hidden="1" x14ac:dyDescent="0.3">
      <c r="A289" s="50" t="str">
        <f t="shared" si="15"/>
        <v>PROTECTION_PRTCTN_VLTN_APPRCH</v>
      </c>
      <c r="B289" t="s">
        <v>161</v>
      </c>
      <c r="C289" t="s">
        <v>481</v>
      </c>
      <c r="D289" t="s">
        <v>14</v>
      </c>
      <c r="E289" t="s">
        <v>36</v>
      </c>
      <c r="F289" t="s">
        <v>149</v>
      </c>
      <c r="G289" t="s">
        <v>163</v>
      </c>
      <c r="I289" t="s">
        <v>29</v>
      </c>
      <c r="J289" s="15">
        <v>45450</v>
      </c>
      <c r="K289" t="s">
        <v>36</v>
      </c>
      <c r="L289" t="str">
        <f t="shared" si="17"/>
        <v>NOK</v>
      </c>
      <c r="P289" t="s">
        <v>8</v>
      </c>
      <c r="Q289" t="s">
        <v>132</v>
      </c>
      <c r="R289" t="s">
        <v>133</v>
      </c>
      <c r="S289" t="s">
        <v>133</v>
      </c>
      <c r="T289" t="s">
        <v>133</v>
      </c>
      <c r="U289" t="s">
        <v>133</v>
      </c>
      <c r="V289" t="s">
        <v>133</v>
      </c>
      <c r="W289" t="s">
        <v>5</v>
      </c>
      <c r="X289">
        <v>0</v>
      </c>
      <c r="Y289" t="e">
        <f>_xlfn.XLOOKUP(C289,[1]Especificação!$G:$G,[1]Especificação!$C:$C)</f>
        <v>#N/A</v>
      </c>
    </row>
    <row r="290" spans="1:25" hidden="1" x14ac:dyDescent="0.3">
      <c r="A290" s="50" t="str">
        <f t="shared" si="15"/>
        <v>INSTRUMENT_PRVSNS_OFF_BLNC_SHT</v>
      </c>
      <c r="B290" t="s">
        <v>128</v>
      </c>
      <c r="C290" t="s">
        <v>482</v>
      </c>
      <c r="D290" t="s">
        <v>14</v>
      </c>
      <c r="E290" t="s">
        <v>38</v>
      </c>
      <c r="F290" t="s">
        <v>130</v>
      </c>
      <c r="G290" t="s">
        <v>131</v>
      </c>
      <c r="I290" t="s">
        <v>26</v>
      </c>
      <c r="J290" s="15">
        <v>45450</v>
      </c>
      <c r="K290" t="s">
        <v>38</v>
      </c>
      <c r="L290" t="str">
        <f t="shared" si="17"/>
        <v>OK</v>
      </c>
      <c r="P290" t="s">
        <v>30</v>
      </c>
      <c r="Q290" t="s">
        <v>132</v>
      </c>
      <c r="R290" t="s">
        <v>132</v>
      </c>
      <c r="S290" t="s">
        <v>133</v>
      </c>
      <c r="T290" t="s">
        <v>133</v>
      </c>
      <c r="U290" t="s">
        <v>133</v>
      </c>
      <c r="V290" t="s">
        <v>133</v>
      </c>
      <c r="W290" t="s">
        <v>5</v>
      </c>
      <c r="X290">
        <v>0</v>
      </c>
      <c r="Y290" t="e">
        <f>_xlfn.XLOOKUP(C290,[1]Especificação!$G:$G,[1]Especificação!$C:$C)</f>
        <v>#N/A</v>
      </c>
    </row>
    <row r="291" spans="1:25" hidden="1" x14ac:dyDescent="0.3">
      <c r="A291" s="50" t="str">
        <f t="shared" si="15"/>
        <v>INSTRUMENT_PYMNT_FRQNCY</v>
      </c>
      <c r="B291" t="s">
        <v>128</v>
      </c>
      <c r="C291" s="11" t="s">
        <v>483</v>
      </c>
      <c r="D291" t="s">
        <v>14</v>
      </c>
      <c r="E291" t="s">
        <v>35</v>
      </c>
      <c r="F291" t="s">
        <v>130</v>
      </c>
      <c r="G291" t="s">
        <v>484</v>
      </c>
      <c r="H291" t="s">
        <v>485</v>
      </c>
      <c r="I291" t="s">
        <v>32</v>
      </c>
      <c r="J291" s="15">
        <v>45450</v>
      </c>
      <c r="K291" t="s">
        <v>35</v>
      </c>
      <c r="L291" t="str">
        <f t="shared" si="17"/>
        <v>OK</v>
      </c>
      <c r="P291" t="s">
        <v>39</v>
      </c>
      <c r="Q291" t="s">
        <v>132</v>
      </c>
      <c r="R291" t="s">
        <v>133</v>
      </c>
      <c r="S291" t="s">
        <v>133</v>
      </c>
      <c r="T291" t="s">
        <v>133</v>
      </c>
      <c r="U291" t="s">
        <v>133</v>
      </c>
      <c r="V291" t="s">
        <v>133</v>
      </c>
      <c r="W291" t="s">
        <v>5</v>
      </c>
      <c r="X291">
        <v>0</v>
      </c>
      <c r="Y291" t="e">
        <f>_xlfn.XLOOKUP(C291,[1]Especificação!$G:$G,[1]Especificação!$C:$C)</f>
        <v>#N/A</v>
      </c>
    </row>
    <row r="292" spans="1:25" hidden="1" x14ac:dyDescent="0.3">
      <c r="A292" s="50" t="str">
        <f t="shared" si="15"/>
        <v>INSTRUMENT_PYMNT_INTRST_ONLY</v>
      </c>
      <c r="B292" t="s">
        <v>128</v>
      </c>
      <c r="C292" s="11" t="s">
        <v>486</v>
      </c>
      <c r="D292" t="s">
        <v>14</v>
      </c>
      <c r="E292" t="s">
        <v>28</v>
      </c>
      <c r="F292" t="s">
        <v>149</v>
      </c>
      <c r="G292" t="s">
        <v>159</v>
      </c>
      <c r="H292" t="s">
        <v>487</v>
      </c>
      <c r="I292" t="s">
        <v>32</v>
      </c>
      <c r="J292" s="15">
        <v>45450</v>
      </c>
      <c r="K292" t="s">
        <v>28</v>
      </c>
      <c r="L292" t="str">
        <f t="shared" si="17"/>
        <v>NOK</v>
      </c>
      <c r="P292" t="s">
        <v>39</v>
      </c>
      <c r="Q292" t="s">
        <v>132</v>
      </c>
      <c r="R292" t="s">
        <v>133</v>
      </c>
      <c r="S292" t="s">
        <v>133</v>
      </c>
      <c r="T292" t="s">
        <v>133</v>
      </c>
      <c r="U292" t="s">
        <v>133</v>
      </c>
      <c r="V292" t="s">
        <v>132</v>
      </c>
      <c r="W292" t="s">
        <v>138</v>
      </c>
      <c r="X292" t="s">
        <v>222</v>
      </c>
      <c r="Y292" t="str">
        <f>_xlfn.XLOOKUP(C292,[1]Especificação!$G:$G,[1]Especificação!$C:$C)</f>
        <v xml:space="preserve">E. Campos com outras possíveis alterações - Dependente de decisões OSI </v>
      </c>
    </row>
    <row r="293" spans="1:25" hidden="1" x14ac:dyDescent="0.3">
      <c r="A293" s="50" t="str">
        <f t="shared" si="15"/>
        <v>INSTRUMENT_RCRS</v>
      </c>
      <c r="B293" t="s">
        <v>128</v>
      </c>
      <c r="C293" t="s">
        <v>488</v>
      </c>
      <c r="D293" t="s">
        <v>14</v>
      </c>
      <c r="E293" t="s">
        <v>38</v>
      </c>
      <c r="F293" t="s">
        <v>130</v>
      </c>
      <c r="G293" t="s">
        <v>131</v>
      </c>
      <c r="I293" t="s">
        <v>26</v>
      </c>
      <c r="J293" s="15">
        <v>45450</v>
      </c>
      <c r="K293" t="s">
        <v>38</v>
      </c>
      <c r="L293" t="str">
        <f t="shared" si="17"/>
        <v>OK</v>
      </c>
      <c r="P293" t="s">
        <v>30</v>
      </c>
      <c r="Q293" t="s">
        <v>132</v>
      </c>
      <c r="R293" t="s">
        <v>133</v>
      </c>
      <c r="S293" t="s">
        <v>133</v>
      </c>
      <c r="T293" t="s">
        <v>133</v>
      </c>
      <c r="U293" t="s">
        <v>133</v>
      </c>
      <c r="V293" t="s">
        <v>133</v>
      </c>
      <c r="W293" t="s">
        <v>5</v>
      </c>
      <c r="X293">
        <v>0</v>
      </c>
      <c r="Y293" t="e">
        <f>_xlfn.XLOOKUP(C293,[1]Especificação!$G:$G,[1]Especificação!$C:$C)</f>
        <v>#N/A</v>
      </c>
    </row>
    <row r="294" spans="1:25" hidden="1" x14ac:dyDescent="0.3">
      <c r="A294" s="50" t="str">
        <f t="shared" si="15"/>
        <v>INSTRUMENT_RCVD_AMRTSTN_12M</v>
      </c>
      <c r="B294" t="s">
        <v>128</v>
      </c>
      <c r="C294" t="s">
        <v>489</v>
      </c>
      <c r="D294" t="s">
        <v>14</v>
      </c>
      <c r="E294" t="s">
        <v>36</v>
      </c>
      <c r="F294" t="s">
        <v>149</v>
      </c>
      <c r="G294" t="s">
        <v>163</v>
      </c>
      <c r="I294" t="s">
        <v>29</v>
      </c>
      <c r="J294" s="15">
        <v>45450</v>
      </c>
      <c r="K294" t="s">
        <v>36</v>
      </c>
      <c r="L294" t="str">
        <f t="shared" si="17"/>
        <v>NOK</v>
      </c>
      <c r="P294" t="s">
        <v>8</v>
      </c>
      <c r="Q294" t="s">
        <v>132</v>
      </c>
      <c r="R294" t="s">
        <v>133</v>
      </c>
      <c r="S294" t="s">
        <v>133</v>
      </c>
      <c r="T294" t="s">
        <v>133</v>
      </c>
      <c r="U294" t="s">
        <v>133</v>
      </c>
      <c r="V294" t="s">
        <v>132</v>
      </c>
      <c r="W294" t="s">
        <v>138</v>
      </c>
      <c r="X294" t="s">
        <v>166</v>
      </c>
      <c r="Y294" t="str">
        <f>_xlfn.XLOOKUP(C294,[1]Especificação!$G:$G,[1]Especificação!$C:$C)</f>
        <v>D. Campos com NOK controlos Corporativos</v>
      </c>
    </row>
    <row r="295" spans="1:25" hidden="1" x14ac:dyDescent="0.3">
      <c r="A295" s="50" t="str">
        <f t="shared" si="15"/>
        <v>INSTRUMENT_RCVD_AMRTSTN_24M</v>
      </c>
      <c r="B295" t="s">
        <v>128</v>
      </c>
      <c r="C295" t="s">
        <v>490</v>
      </c>
      <c r="D295" t="s">
        <v>14</v>
      </c>
      <c r="E295" t="s">
        <v>38</v>
      </c>
      <c r="F295" t="s">
        <v>130</v>
      </c>
      <c r="G295" t="s">
        <v>131</v>
      </c>
      <c r="I295" t="s">
        <v>26</v>
      </c>
      <c r="J295" s="15">
        <v>45450</v>
      </c>
      <c r="K295" t="s">
        <v>38</v>
      </c>
      <c r="L295" t="str">
        <f t="shared" si="17"/>
        <v>OK</v>
      </c>
      <c r="P295" t="s">
        <v>30</v>
      </c>
      <c r="Q295" t="s">
        <v>132</v>
      </c>
      <c r="R295" t="s">
        <v>133</v>
      </c>
      <c r="S295" t="s">
        <v>133</v>
      </c>
      <c r="T295" t="s">
        <v>133</v>
      </c>
      <c r="U295" t="s">
        <v>133</v>
      </c>
      <c r="V295" t="s">
        <v>132</v>
      </c>
      <c r="W295" t="s">
        <v>5</v>
      </c>
      <c r="X295" t="s">
        <v>135</v>
      </c>
      <c r="Y295" t="str">
        <f>_xlfn.XLOOKUP(C295,[1]Especificação!$G:$G,[1]Especificação!$C:$C)</f>
        <v>F1. Fora âmbito | Campos concluídos - Sem necessidade de espec.</v>
      </c>
    </row>
    <row r="296" spans="1:25" hidden="1" x14ac:dyDescent="0.3">
      <c r="A296" s="50" t="str">
        <f t="shared" si="15"/>
        <v>PROTECTION_DT_CNSTRCTN_STTS</v>
      </c>
      <c r="B296" t="s">
        <v>161</v>
      </c>
      <c r="C296" s="11" t="s">
        <v>67</v>
      </c>
      <c r="D296" t="s">
        <v>6</v>
      </c>
      <c r="E296" t="s">
        <v>25</v>
      </c>
      <c r="F296" t="s">
        <v>149</v>
      </c>
      <c r="G296" t="s">
        <v>256</v>
      </c>
      <c r="H296" t="s">
        <v>491</v>
      </c>
      <c r="I296" t="s">
        <v>32</v>
      </c>
      <c r="J296" s="15">
        <v>45568</v>
      </c>
      <c r="K296" t="s">
        <v>25</v>
      </c>
      <c r="L296" t="str">
        <f t="shared" si="17"/>
        <v>NOK</v>
      </c>
      <c r="P296" t="s">
        <v>24</v>
      </c>
      <c r="Q296" t="s">
        <v>132</v>
      </c>
      <c r="R296" t="s">
        <v>133</v>
      </c>
      <c r="S296" t="s">
        <v>133</v>
      </c>
      <c r="T296" t="s">
        <v>133</v>
      </c>
      <c r="U296" t="s">
        <v>133</v>
      </c>
      <c r="V296" t="s">
        <v>133</v>
      </c>
      <c r="W296" t="s">
        <v>5</v>
      </c>
      <c r="X296">
        <v>0</v>
      </c>
      <c r="Y296" t="e">
        <f>_xlfn.XLOOKUP(C296,[1]Especificação!$G:$G,[1]Especificação!$C:$C)</f>
        <v>#N/A</v>
      </c>
    </row>
    <row r="297" spans="1:25" hidden="1" x14ac:dyDescent="0.3">
      <c r="A297" s="50" t="str">
        <f t="shared" si="15"/>
        <v>INSTRUMENT_DFLT_STTS_INSTRMNT</v>
      </c>
      <c r="B297" t="s">
        <v>128</v>
      </c>
      <c r="C297" s="11" t="s">
        <v>492</v>
      </c>
      <c r="D297" t="s">
        <v>14</v>
      </c>
      <c r="E297" t="s">
        <v>25</v>
      </c>
      <c r="F297" t="s">
        <v>149</v>
      </c>
      <c r="G297" t="s">
        <v>493</v>
      </c>
      <c r="I297" t="s">
        <v>32</v>
      </c>
      <c r="J297" s="15">
        <v>45450</v>
      </c>
      <c r="K297" t="s">
        <v>25</v>
      </c>
      <c r="L297" t="str">
        <f t="shared" si="17"/>
        <v>NOK</v>
      </c>
      <c r="P297" t="s">
        <v>24</v>
      </c>
      <c r="Q297" t="s">
        <v>132</v>
      </c>
      <c r="R297" t="s">
        <v>132</v>
      </c>
      <c r="S297" t="s">
        <v>132</v>
      </c>
      <c r="T297" t="s">
        <v>133</v>
      </c>
      <c r="U297" t="s">
        <v>133</v>
      </c>
      <c r="V297" t="s">
        <v>132</v>
      </c>
      <c r="W297" t="s">
        <v>138</v>
      </c>
      <c r="X297" t="s">
        <v>153</v>
      </c>
      <c r="Y297" t="str">
        <f>_xlfn.XLOOKUP(C297,[1]Especificação!$G:$G,[1]Especificação!$C:$C)</f>
        <v>B2. Re-especificação de campos complexos - Resto</v>
      </c>
    </row>
    <row r="298" spans="1:25" hidden="1" x14ac:dyDescent="0.3">
      <c r="A298" s="50" t="str">
        <f t="shared" si="15"/>
        <v>INSTRUMENT_CMMTMNT_INSTRMNT</v>
      </c>
      <c r="B298" t="s">
        <v>128</v>
      </c>
      <c r="C298" t="s">
        <v>494</v>
      </c>
      <c r="D298" t="s">
        <v>14</v>
      </c>
      <c r="E298" t="s">
        <v>25</v>
      </c>
      <c r="F298" t="s">
        <v>130</v>
      </c>
      <c r="G298" t="s">
        <v>495</v>
      </c>
      <c r="H298" t="s">
        <v>496</v>
      </c>
      <c r="I298" t="s">
        <v>29</v>
      </c>
      <c r="J298" s="15">
        <v>45450</v>
      </c>
      <c r="K298" t="s">
        <v>25</v>
      </c>
      <c r="L298" t="str">
        <f t="shared" si="17"/>
        <v>OK</v>
      </c>
      <c r="P298" t="s">
        <v>13</v>
      </c>
      <c r="Q298" t="s">
        <v>132</v>
      </c>
      <c r="R298" t="s">
        <v>133</v>
      </c>
      <c r="S298" t="s">
        <v>133</v>
      </c>
      <c r="T298" t="s">
        <v>133</v>
      </c>
      <c r="U298" t="s">
        <v>133</v>
      </c>
      <c r="V298" t="s">
        <v>133</v>
      </c>
      <c r="W298" t="s">
        <v>5</v>
      </c>
      <c r="X298">
        <v>0</v>
      </c>
      <c r="Y298" t="e">
        <f>_xlfn.XLOOKUP(C298,[1]Especificação!$G:$G,[1]Especificação!$C:$C)</f>
        <v>#N/A</v>
      </c>
    </row>
    <row r="299" spans="1:25" hidden="1" x14ac:dyDescent="0.3">
      <c r="A299" s="50" t="str">
        <f t="shared" si="15"/>
        <v>INSTRUMENT_RFRNC_RT</v>
      </c>
      <c r="B299" t="s">
        <v>128</v>
      </c>
      <c r="C299" t="s">
        <v>497</v>
      </c>
      <c r="D299" t="s">
        <v>6</v>
      </c>
      <c r="E299" t="s">
        <v>38</v>
      </c>
      <c r="F299" t="s">
        <v>130</v>
      </c>
      <c r="G299" t="s">
        <v>131</v>
      </c>
      <c r="I299" t="s">
        <v>26</v>
      </c>
      <c r="J299" s="15">
        <v>45450</v>
      </c>
      <c r="K299" t="s">
        <v>38</v>
      </c>
      <c r="L299" t="str">
        <f t="shared" si="17"/>
        <v>OK</v>
      </c>
      <c r="P299" t="s">
        <v>30</v>
      </c>
      <c r="Q299" t="s">
        <v>132</v>
      </c>
      <c r="R299" t="s">
        <v>133</v>
      </c>
      <c r="S299" t="s">
        <v>133</v>
      </c>
      <c r="T299" t="s">
        <v>133</v>
      </c>
      <c r="U299" t="s">
        <v>133</v>
      </c>
      <c r="V299" t="s">
        <v>133</v>
      </c>
      <c r="W299" t="s">
        <v>5</v>
      </c>
      <c r="X299">
        <v>0</v>
      </c>
      <c r="Y299" t="e">
        <f>_xlfn.XLOOKUP(C299,[1]Especificação!$G:$G,[1]Especificação!$C:$C)</f>
        <v>#N/A</v>
      </c>
    </row>
    <row r="300" spans="1:25" hidden="1" x14ac:dyDescent="0.3">
      <c r="A300" s="50" t="str">
        <f t="shared" si="15"/>
        <v>PROTECTION_RL_ESTT_ADDRSS</v>
      </c>
      <c r="B300" t="s">
        <v>161</v>
      </c>
      <c r="C300" t="s">
        <v>498</v>
      </c>
      <c r="D300" t="s">
        <v>6</v>
      </c>
      <c r="E300" t="s">
        <v>36</v>
      </c>
      <c r="F300" t="s">
        <v>149</v>
      </c>
      <c r="G300" t="s">
        <v>163</v>
      </c>
      <c r="I300" t="s">
        <v>29</v>
      </c>
      <c r="J300" s="15">
        <v>45450</v>
      </c>
      <c r="K300" t="s">
        <v>36</v>
      </c>
      <c r="L300" t="str">
        <f t="shared" si="17"/>
        <v>NOK</v>
      </c>
      <c r="P300" t="s">
        <v>8</v>
      </c>
      <c r="Q300" t="s">
        <v>132</v>
      </c>
      <c r="R300" t="s">
        <v>133</v>
      </c>
      <c r="S300" t="s">
        <v>133</v>
      </c>
      <c r="T300" t="s">
        <v>133</v>
      </c>
      <c r="U300" t="s">
        <v>132</v>
      </c>
      <c r="V300" t="s">
        <v>133</v>
      </c>
      <c r="W300" t="s">
        <v>5</v>
      </c>
      <c r="X300">
        <v>0</v>
      </c>
      <c r="Y300" t="e">
        <f>_xlfn.XLOOKUP(C300,[1]Especificação!$G:$G,[1]Especificação!$C:$C)</f>
        <v>#N/A</v>
      </c>
    </row>
    <row r="301" spans="1:25" hidden="1" x14ac:dyDescent="0.3">
      <c r="A301" s="50" t="str">
        <f t="shared" si="15"/>
        <v>INSTRUMENT_CMLTV_RCVRS_SNC_DFLT_INSTRMNT</v>
      </c>
      <c r="B301" t="s">
        <v>128</v>
      </c>
      <c r="C301" t="s">
        <v>499</v>
      </c>
      <c r="D301" t="s">
        <v>14</v>
      </c>
      <c r="E301" t="s">
        <v>25</v>
      </c>
      <c r="F301" t="s">
        <v>130</v>
      </c>
      <c r="G301" t="s">
        <v>170</v>
      </c>
      <c r="I301" t="s">
        <v>29</v>
      </c>
      <c r="J301" s="15">
        <v>45450</v>
      </c>
      <c r="K301" t="s">
        <v>25</v>
      </c>
      <c r="L301" t="str">
        <f t="shared" si="17"/>
        <v>OK</v>
      </c>
      <c r="P301" t="s">
        <v>27</v>
      </c>
      <c r="Q301" t="s">
        <v>132</v>
      </c>
      <c r="R301" t="s">
        <v>133</v>
      </c>
      <c r="S301" t="s">
        <v>133</v>
      </c>
      <c r="T301" t="s">
        <v>133</v>
      </c>
      <c r="U301" t="s">
        <v>133</v>
      </c>
      <c r="V301" t="s">
        <v>133</v>
      </c>
      <c r="W301" t="s">
        <v>5</v>
      </c>
      <c r="X301">
        <v>0</v>
      </c>
      <c r="Y301" t="e">
        <f>_xlfn.XLOOKUP(C301,[1]Especificação!$G:$G,[1]Especificação!$C:$C)</f>
        <v>#N/A</v>
      </c>
    </row>
    <row r="302" spans="1:25" hidden="1" x14ac:dyDescent="0.3">
      <c r="A302" s="50" t="str">
        <f t="shared" si="15"/>
        <v>PROTECTION_RL_ESTT_CLLTRL_LCTN_INT</v>
      </c>
      <c r="B302" t="s">
        <v>161</v>
      </c>
      <c r="C302" t="s">
        <v>500</v>
      </c>
      <c r="D302" t="s">
        <v>6</v>
      </c>
      <c r="E302" t="s">
        <v>36</v>
      </c>
      <c r="F302" t="s">
        <v>149</v>
      </c>
      <c r="G302" t="s">
        <v>163</v>
      </c>
      <c r="I302" t="s">
        <v>29</v>
      </c>
      <c r="J302" s="15">
        <v>45450</v>
      </c>
      <c r="K302" t="s">
        <v>36</v>
      </c>
      <c r="L302" t="str">
        <f t="shared" si="17"/>
        <v>NOK</v>
      </c>
      <c r="P302" t="s">
        <v>8</v>
      </c>
      <c r="Q302" t="s">
        <v>132</v>
      </c>
      <c r="R302" t="s">
        <v>133</v>
      </c>
      <c r="S302" t="s">
        <v>133</v>
      </c>
      <c r="T302" t="s">
        <v>133</v>
      </c>
      <c r="U302" t="s">
        <v>132</v>
      </c>
      <c r="V302" t="s">
        <v>133</v>
      </c>
      <c r="W302" t="s">
        <v>5</v>
      </c>
      <c r="X302">
        <v>0</v>
      </c>
      <c r="Y302" t="e">
        <f>_xlfn.XLOOKUP(C302,[1]Especificação!$G:$G,[1]Especificação!$C:$C)</f>
        <v>#N/A</v>
      </c>
    </row>
    <row r="303" spans="1:25" hidden="1" x14ac:dyDescent="0.3">
      <c r="A303" s="50" t="str">
        <f t="shared" si="15"/>
        <v>PROTECTION_RL_ESTT_CTY</v>
      </c>
      <c r="B303" t="s">
        <v>161</v>
      </c>
      <c r="C303" t="s">
        <v>501</v>
      </c>
      <c r="D303" t="s">
        <v>6</v>
      </c>
      <c r="E303" t="s">
        <v>36</v>
      </c>
      <c r="F303" t="s">
        <v>149</v>
      </c>
      <c r="G303" t="s">
        <v>163</v>
      </c>
      <c r="I303" t="s">
        <v>29</v>
      </c>
      <c r="J303" s="15">
        <v>45450</v>
      </c>
      <c r="K303" t="s">
        <v>36</v>
      </c>
      <c r="L303" t="str">
        <f t="shared" si="17"/>
        <v>NOK</v>
      </c>
      <c r="P303" t="s">
        <v>8</v>
      </c>
      <c r="Q303" t="s">
        <v>132</v>
      </c>
      <c r="R303" t="s">
        <v>133</v>
      </c>
      <c r="S303" t="s">
        <v>133</v>
      </c>
      <c r="T303" t="s">
        <v>133</v>
      </c>
      <c r="U303" t="s">
        <v>132</v>
      </c>
      <c r="V303" t="s">
        <v>133</v>
      </c>
      <c r="W303" t="s">
        <v>5</v>
      </c>
      <c r="X303">
        <v>0</v>
      </c>
      <c r="Y303" t="e">
        <f>_xlfn.XLOOKUP(C303,[1]Especificação!$G:$G,[1]Especificação!$C:$C)</f>
        <v>#N/A</v>
      </c>
    </row>
    <row r="304" spans="1:25" hidden="1" x14ac:dyDescent="0.3">
      <c r="A304" s="50" t="str">
        <f t="shared" si="15"/>
        <v>PROTECTION_RL_ESTT_PST_CD</v>
      </c>
      <c r="B304" t="s">
        <v>161</v>
      </c>
      <c r="C304" t="s">
        <v>502</v>
      </c>
      <c r="D304" t="s">
        <v>14</v>
      </c>
      <c r="E304" t="s">
        <v>36</v>
      </c>
      <c r="F304" t="s">
        <v>149</v>
      </c>
      <c r="G304" t="s">
        <v>163</v>
      </c>
      <c r="I304" t="s">
        <v>29</v>
      </c>
      <c r="J304" s="15">
        <v>45450</v>
      </c>
      <c r="K304" t="s">
        <v>36</v>
      </c>
      <c r="L304" t="str">
        <f t="shared" si="17"/>
        <v>NOK</v>
      </c>
      <c r="P304" t="s">
        <v>8</v>
      </c>
      <c r="Q304" t="s">
        <v>132</v>
      </c>
      <c r="R304" t="s">
        <v>133</v>
      </c>
      <c r="S304" t="s">
        <v>132</v>
      </c>
      <c r="T304" t="s">
        <v>133</v>
      </c>
      <c r="U304" t="s">
        <v>132</v>
      </c>
      <c r="V304" t="s">
        <v>133</v>
      </c>
      <c r="W304" t="s">
        <v>5</v>
      </c>
      <c r="X304">
        <v>0</v>
      </c>
      <c r="Y304" t="e">
        <f>_xlfn.XLOOKUP(C304,[1]Especificação!$G:$G,[1]Especificação!$C:$C)</f>
        <v>#N/A</v>
      </c>
    </row>
    <row r="305" spans="1:25" hidden="1" x14ac:dyDescent="0.3">
      <c r="A305" s="50" t="str">
        <f t="shared" si="15"/>
        <v>INSTRUMENT_RRE_FNRP18</v>
      </c>
      <c r="B305" t="s">
        <v>128</v>
      </c>
      <c r="C305" t="s">
        <v>503</v>
      </c>
      <c r="D305" t="s">
        <v>6</v>
      </c>
      <c r="E305" t="s">
        <v>38</v>
      </c>
      <c r="F305" t="s">
        <v>130</v>
      </c>
      <c r="G305" t="s">
        <v>131</v>
      </c>
      <c r="I305" t="s">
        <v>26</v>
      </c>
      <c r="J305" s="15">
        <v>45952</v>
      </c>
      <c r="K305" t="s">
        <v>38</v>
      </c>
      <c r="L305" t="s">
        <v>130</v>
      </c>
      <c r="O305" s="15">
        <v>45952</v>
      </c>
      <c r="P305" t="s">
        <v>30</v>
      </c>
      <c r="Q305" t="s">
        <v>132</v>
      </c>
      <c r="R305" t="s">
        <v>133</v>
      </c>
      <c r="S305" t="s">
        <v>133</v>
      </c>
      <c r="T305" t="s">
        <v>133</v>
      </c>
      <c r="U305" t="s">
        <v>133</v>
      </c>
      <c r="V305" t="s">
        <v>133</v>
      </c>
      <c r="W305" t="s">
        <v>5</v>
      </c>
      <c r="X305">
        <v>0</v>
      </c>
      <c r="Y305" t="e">
        <f>_xlfn.XLOOKUP(C305,[1]Especificação!$G:$G,[1]Especificação!$C:$C)</f>
        <v>#N/A</v>
      </c>
    </row>
    <row r="306" spans="1:25" hidden="1" x14ac:dyDescent="0.3">
      <c r="A306" s="50" t="str">
        <f t="shared" si="15"/>
        <v>ENTITY_RTNG_MTHD</v>
      </c>
      <c r="B306" t="s">
        <v>142</v>
      </c>
      <c r="C306" s="10" t="s">
        <v>504</v>
      </c>
      <c r="D306" t="s">
        <v>14</v>
      </c>
      <c r="E306" t="s">
        <v>33</v>
      </c>
      <c r="F306" t="s">
        <v>149</v>
      </c>
      <c r="G306" t="s">
        <v>272</v>
      </c>
      <c r="I306" t="s">
        <v>32</v>
      </c>
      <c r="J306" s="15">
        <v>45450</v>
      </c>
      <c r="K306" t="s">
        <v>33</v>
      </c>
      <c r="L306" t="str">
        <f t="shared" si="17"/>
        <v>NOK</v>
      </c>
      <c r="N306" s="15">
        <v>45338</v>
      </c>
      <c r="O306" s="15">
        <v>45372</v>
      </c>
      <c r="P306" t="s">
        <v>34</v>
      </c>
      <c r="Q306" t="s">
        <v>132</v>
      </c>
      <c r="R306" t="s">
        <v>133</v>
      </c>
      <c r="S306" t="s">
        <v>133</v>
      </c>
      <c r="T306" t="s">
        <v>133</v>
      </c>
      <c r="U306" t="s">
        <v>133</v>
      </c>
      <c r="V306" t="s">
        <v>132</v>
      </c>
      <c r="W306" t="s">
        <v>138</v>
      </c>
      <c r="X306" t="s">
        <v>139</v>
      </c>
      <c r="Y306" t="str">
        <f>_xlfn.XLOOKUP(C306,[1]Especificação!$G:$G,[1]Especificação!$C:$C)</f>
        <v>C. Campos em testes ou c/ incidências</v>
      </c>
    </row>
    <row r="307" spans="1:25" hidden="1" x14ac:dyDescent="0.3">
      <c r="A307" s="50" t="str">
        <f t="shared" si="15"/>
        <v>INSTRUMENT_RTNG_MTHD</v>
      </c>
      <c r="B307" t="s">
        <v>128</v>
      </c>
      <c r="C307" s="10" t="s">
        <v>504</v>
      </c>
      <c r="D307" t="s">
        <v>14</v>
      </c>
      <c r="E307" t="s">
        <v>33</v>
      </c>
      <c r="F307" t="s">
        <v>149</v>
      </c>
      <c r="G307" t="s">
        <v>272</v>
      </c>
      <c r="I307" t="s">
        <v>32</v>
      </c>
      <c r="J307" s="15">
        <v>45450</v>
      </c>
      <c r="K307" t="s">
        <v>33</v>
      </c>
      <c r="L307" t="str">
        <f t="shared" si="17"/>
        <v>NOK</v>
      </c>
      <c r="N307" s="15">
        <v>45338</v>
      </c>
      <c r="O307" s="15">
        <v>45372</v>
      </c>
      <c r="P307" t="s">
        <v>34</v>
      </c>
      <c r="Q307" t="s">
        <v>132</v>
      </c>
      <c r="R307" t="s">
        <v>133</v>
      </c>
      <c r="S307" t="s">
        <v>133</v>
      </c>
      <c r="T307" t="s">
        <v>133</v>
      </c>
      <c r="U307" t="s">
        <v>133</v>
      </c>
      <c r="V307" t="s">
        <v>132</v>
      </c>
      <c r="W307" t="s">
        <v>138</v>
      </c>
      <c r="X307" t="s">
        <v>139</v>
      </c>
      <c r="Y307" t="str">
        <f>_xlfn.XLOOKUP(C307,[1]Especificação!$G:$G,[1]Especificação!$C:$C)</f>
        <v>C. Campos em testes ou c/ incidências</v>
      </c>
    </row>
    <row r="308" spans="1:25" hidden="1" x14ac:dyDescent="0.3">
      <c r="A308" s="50" t="str">
        <f t="shared" si="15"/>
        <v>ENTITY_RTNG_SCL</v>
      </c>
      <c r="B308" t="s">
        <v>142</v>
      </c>
      <c r="C308" t="s">
        <v>505</v>
      </c>
      <c r="D308" t="s">
        <v>14</v>
      </c>
      <c r="E308" t="s">
        <v>38</v>
      </c>
      <c r="F308" t="s">
        <v>130</v>
      </c>
      <c r="G308" t="s">
        <v>131</v>
      </c>
      <c r="I308" t="s">
        <v>26</v>
      </c>
      <c r="J308" s="15">
        <v>45450</v>
      </c>
      <c r="K308" t="s">
        <v>38</v>
      </c>
      <c r="L308" t="str">
        <f t="shared" si="17"/>
        <v>OK</v>
      </c>
      <c r="P308" t="s">
        <v>30</v>
      </c>
      <c r="Q308" t="s">
        <v>132</v>
      </c>
      <c r="R308" t="s">
        <v>133</v>
      </c>
      <c r="S308" t="s">
        <v>133</v>
      </c>
      <c r="T308" t="s">
        <v>133</v>
      </c>
      <c r="U308" t="s">
        <v>133</v>
      </c>
      <c r="V308" t="s">
        <v>132</v>
      </c>
      <c r="W308" t="s">
        <v>5</v>
      </c>
      <c r="X308" t="s">
        <v>135</v>
      </c>
      <c r="Y308" t="str">
        <f>_xlfn.XLOOKUP(C308,[1]Especificação!$G:$G,[1]Especificação!$C:$C)</f>
        <v>B2. Re-especificação de campos complexos - Resto</v>
      </c>
    </row>
    <row r="309" spans="1:25" hidden="1" x14ac:dyDescent="0.3">
      <c r="A309" s="50" t="str">
        <f t="shared" si="15"/>
        <v>INSTRUMENT_RTNG_SCL</v>
      </c>
      <c r="B309" t="s">
        <v>128</v>
      </c>
      <c r="C309" t="s">
        <v>505</v>
      </c>
      <c r="D309" t="s">
        <v>14</v>
      </c>
      <c r="E309" t="s">
        <v>38</v>
      </c>
      <c r="F309" t="s">
        <v>130</v>
      </c>
      <c r="G309" t="s">
        <v>131</v>
      </c>
      <c r="I309" t="s">
        <v>26</v>
      </c>
      <c r="J309" s="15">
        <v>45450</v>
      </c>
      <c r="K309" t="s">
        <v>38</v>
      </c>
      <c r="L309" t="str">
        <f t="shared" si="17"/>
        <v>OK</v>
      </c>
      <c r="P309" t="s">
        <v>30</v>
      </c>
      <c r="Q309" t="s">
        <v>132</v>
      </c>
      <c r="R309" t="s">
        <v>133</v>
      </c>
      <c r="S309" t="s">
        <v>133</v>
      </c>
      <c r="T309" t="s">
        <v>133</v>
      </c>
      <c r="U309" t="s">
        <v>133</v>
      </c>
      <c r="V309" t="s">
        <v>132</v>
      </c>
      <c r="W309" t="s">
        <v>5</v>
      </c>
      <c r="X309" t="s">
        <v>135</v>
      </c>
      <c r="Y309" t="str">
        <f>_xlfn.XLOOKUP(C309,[1]Especificação!$G:$G,[1]Especificação!$C:$C)</f>
        <v>B2. Re-especificação de campos complexos - Resto</v>
      </c>
    </row>
    <row r="310" spans="1:25" x14ac:dyDescent="0.3">
      <c r="A310" s="50" t="str">
        <f t="shared" si="15"/>
        <v>INSTRUMENT_RTNTN_SHR</v>
      </c>
      <c r="B310" t="s">
        <v>128</v>
      </c>
      <c r="C310" t="s">
        <v>506</v>
      </c>
      <c r="D310" t="s">
        <v>6</v>
      </c>
      <c r="E310" t="s">
        <v>56</v>
      </c>
      <c r="F310" t="s">
        <v>130</v>
      </c>
      <c r="G310" t="s">
        <v>330</v>
      </c>
      <c r="H310" t="s">
        <v>331</v>
      </c>
      <c r="I310" t="s">
        <v>29</v>
      </c>
      <c r="J310" s="15">
        <v>45953</v>
      </c>
      <c r="K310" t="s">
        <v>38</v>
      </c>
      <c r="L310" t="str">
        <f t="shared" si="17"/>
        <v>OK</v>
      </c>
      <c r="O310" s="15">
        <v>45952</v>
      </c>
      <c r="P310" t="s">
        <v>13</v>
      </c>
      <c r="Q310" t="s">
        <v>132</v>
      </c>
      <c r="R310" t="s">
        <v>133</v>
      </c>
      <c r="S310" t="s">
        <v>133</v>
      </c>
      <c r="T310" t="s">
        <v>133</v>
      </c>
      <c r="U310" t="s">
        <v>133</v>
      </c>
      <c r="V310" t="s">
        <v>132</v>
      </c>
      <c r="W310" t="s">
        <v>138</v>
      </c>
      <c r="X310" t="s">
        <v>332</v>
      </c>
      <c r="Y310" t="str">
        <f>_xlfn.XLOOKUP(C310,[1]Especificação!$G:$G,[1]Especificação!$C:$C)</f>
        <v>B1. Re-especificação de campos complexos | Sindicados</v>
      </c>
    </row>
    <row r="311" spans="1:25" hidden="1" x14ac:dyDescent="0.3">
      <c r="A311" s="50" t="str">
        <f t="shared" si="15"/>
        <v>INSTRUMENT_RWA</v>
      </c>
      <c r="B311" t="s">
        <v>128</v>
      </c>
      <c r="C311" s="10" t="s">
        <v>507</v>
      </c>
      <c r="D311" t="s">
        <v>14</v>
      </c>
      <c r="E311" t="s">
        <v>33</v>
      </c>
      <c r="F311" t="s">
        <v>130</v>
      </c>
      <c r="G311" t="s">
        <v>300</v>
      </c>
      <c r="I311" t="s">
        <v>32</v>
      </c>
      <c r="J311" s="15">
        <v>45463</v>
      </c>
      <c r="K311" t="s">
        <v>33</v>
      </c>
      <c r="L311" t="s">
        <v>149</v>
      </c>
      <c r="M311" t="s">
        <v>508</v>
      </c>
      <c r="N311" s="15">
        <v>45338</v>
      </c>
      <c r="O311" s="15">
        <v>45372</v>
      </c>
      <c r="P311" t="s">
        <v>24</v>
      </c>
      <c r="Q311" t="s">
        <v>132</v>
      </c>
      <c r="R311" t="s">
        <v>132</v>
      </c>
      <c r="S311" t="s">
        <v>133</v>
      </c>
      <c r="T311" t="s">
        <v>133</v>
      </c>
      <c r="U311" t="s">
        <v>133</v>
      </c>
      <c r="V311" t="s">
        <v>132</v>
      </c>
      <c r="W311" t="s">
        <v>138</v>
      </c>
      <c r="X311" t="s">
        <v>139</v>
      </c>
      <c r="Y311" t="str">
        <f>_xlfn.XLOOKUP(C311,[1]Especificação!$G:$G,[1]Especificação!$C:$C)</f>
        <v>C. Campos em testes ou c/ incidências</v>
      </c>
    </row>
    <row r="312" spans="1:25" hidden="1" x14ac:dyDescent="0.3">
      <c r="A312" s="50" t="str">
        <f t="shared" si="15"/>
        <v>INSTRUMENT_DT_LGL_FNL_MTRTY</v>
      </c>
      <c r="B312" t="s">
        <v>128</v>
      </c>
      <c r="C312" s="10" t="s">
        <v>509</v>
      </c>
      <c r="D312" t="s">
        <v>14</v>
      </c>
      <c r="E312" t="s">
        <v>35</v>
      </c>
      <c r="F312" t="s">
        <v>149</v>
      </c>
      <c r="G312" s="86" t="s">
        <v>510</v>
      </c>
      <c r="H312" t="s">
        <v>511</v>
      </c>
      <c r="I312" t="s">
        <v>32</v>
      </c>
      <c r="J312" s="15">
        <v>45450</v>
      </c>
      <c r="K312" t="s">
        <v>35</v>
      </c>
      <c r="L312" t="str">
        <f t="shared" ref="L312:L335" si="18">F312</f>
        <v>NOK</v>
      </c>
      <c r="N312" s="15"/>
      <c r="P312" t="s">
        <v>24</v>
      </c>
      <c r="Q312" t="s">
        <v>132</v>
      </c>
      <c r="R312" t="s">
        <v>133</v>
      </c>
      <c r="S312" t="s">
        <v>132</v>
      </c>
      <c r="T312" t="s">
        <v>133</v>
      </c>
      <c r="U312" t="s">
        <v>133</v>
      </c>
      <c r="V312" t="s">
        <v>132</v>
      </c>
      <c r="W312" t="s">
        <v>138</v>
      </c>
      <c r="X312" t="s">
        <v>139</v>
      </c>
      <c r="Y312" t="str">
        <f>_xlfn.XLOOKUP(C312,[1]Especificação!$G:$G,[1]Especificação!$C:$C)</f>
        <v>C. Campos em testes ou c/ incidências</v>
      </c>
    </row>
    <row r="313" spans="1:25" hidden="1" x14ac:dyDescent="0.3">
      <c r="A313" s="50" t="str">
        <f t="shared" si="15"/>
        <v>INSTRUMENT_SBJCT_PBLC_GRNT_SCHM_C19</v>
      </c>
      <c r="B313" t="s">
        <v>128</v>
      </c>
      <c r="C313" t="s">
        <v>512</v>
      </c>
      <c r="D313" t="s">
        <v>6</v>
      </c>
      <c r="E313" t="s">
        <v>38</v>
      </c>
      <c r="F313" t="s">
        <v>130</v>
      </c>
      <c r="G313" t="s">
        <v>131</v>
      </c>
      <c r="I313" t="s">
        <v>26</v>
      </c>
      <c r="J313" s="15">
        <v>45450</v>
      </c>
      <c r="K313" t="s">
        <v>38</v>
      </c>
      <c r="L313" t="str">
        <f t="shared" si="18"/>
        <v>OK</v>
      </c>
      <c r="P313" t="s">
        <v>30</v>
      </c>
      <c r="Q313" t="s">
        <v>132</v>
      </c>
      <c r="R313" t="s">
        <v>133</v>
      </c>
      <c r="S313" t="s">
        <v>133</v>
      </c>
      <c r="T313" t="s">
        <v>133</v>
      </c>
      <c r="U313" t="s">
        <v>133</v>
      </c>
      <c r="V313" t="s">
        <v>133</v>
      </c>
      <c r="W313" t="s">
        <v>5</v>
      </c>
      <c r="X313">
        <v>0</v>
      </c>
      <c r="Y313" t="e">
        <f>_xlfn.XLOOKUP(C313,[1]Especificação!$G:$G,[1]Especificação!$C:$C)</f>
        <v>#N/A</v>
      </c>
    </row>
    <row r="314" spans="1:25" hidden="1" x14ac:dyDescent="0.3">
      <c r="A314" s="50" t="str">
        <f t="shared" si="15"/>
        <v>INSTRUMENT_DT_NXT_INTRST_RT_RST</v>
      </c>
      <c r="B314" t="s">
        <v>128</v>
      </c>
      <c r="C314" s="10" t="s">
        <v>513</v>
      </c>
      <c r="D314" t="s">
        <v>14</v>
      </c>
      <c r="E314" t="s">
        <v>35</v>
      </c>
      <c r="F314" t="s">
        <v>149</v>
      </c>
      <c r="G314" t="s">
        <v>514</v>
      </c>
      <c r="H314" t="s">
        <v>515</v>
      </c>
      <c r="I314" t="s">
        <v>32</v>
      </c>
      <c r="J314" s="15">
        <v>45450</v>
      </c>
      <c r="K314" t="s">
        <v>35</v>
      </c>
      <c r="L314" t="str">
        <f t="shared" si="18"/>
        <v>NOK</v>
      </c>
      <c r="P314" t="s">
        <v>24</v>
      </c>
      <c r="Q314" t="s">
        <v>132</v>
      </c>
      <c r="R314" t="s">
        <v>133</v>
      </c>
      <c r="S314" t="s">
        <v>133</v>
      </c>
      <c r="T314" t="s">
        <v>133</v>
      </c>
      <c r="U314" t="s">
        <v>133</v>
      </c>
      <c r="V314" t="s">
        <v>133</v>
      </c>
      <c r="W314" t="s">
        <v>5</v>
      </c>
      <c r="X314">
        <v>0</v>
      </c>
      <c r="Y314" t="e">
        <f>_xlfn.XLOOKUP(C314,[1]Especificação!$G:$G,[1]Especificação!$C:$C)</f>
        <v>#N/A</v>
      </c>
    </row>
    <row r="315" spans="1:25" hidden="1" x14ac:dyDescent="0.3">
      <c r="A315" s="50" t="str">
        <f t="shared" si="15"/>
        <v>INSTRUMENT_SME_FNRP18</v>
      </c>
      <c r="B315" t="s">
        <v>128</v>
      </c>
      <c r="C315" t="s">
        <v>516</v>
      </c>
      <c r="D315" t="s">
        <v>14</v>
      </c>
      <c r="E315" t="s">
        <v>38</v>
      </c>
      <c r="F315" t="s">
        <v>130</v>
      </c>
      <c r="G315" t="s">
        <v>131</v>
      </c>
      <c r="I315" t="s">
        <v>26</v>
      </c>
      <c r="J315" s="15">
        <v>45952</v>
      </c>
      <c r="K315" t="s">
        <v>38</v>
      </c>
      <c r="L315" t="s">
        <v>130</v>
      </c>
      <c r="O315" s="15">
        <v>45952</v>
      </c>
      <c r="P315" t="s">
        <v>30</v>
      </c>
      <c r="Q315" t="s">
        <v>132</v>
      </c>
      <c r="R315" t="s">
        <v>133</v>
      </c>
      <c r="S315" t="s">
        <v>133</v>
      </c>
      <c r="T315" t="s">
        <v>133</v>
      </c>
      <c r="U315" t="s">
        <v>133</v>
      </c>
      <c r="V315" t="s">
        <v>133</v>
      </c>
      <c r="W315" t="s">
        <v>5</v>
      </c>
      <c r="X315">
        <v>0</v>
      </c>
      <c r="Y315" t="e">
        <f>_xlfn.XLOOKUP(C315,[1]Especificação!$G:$G,[1]Especificação!$C:$C)</f>
        <v>#N/A</v>
      </c>
    </row>
    <row r="316" spans="1:25" hidden="1" x14ac:dyDescent="0.3">
      <c r="A316" s="50" t="str">
        <f t="shared" si="15"/>
        <v>ENTITY_SNGL_PRPS_VHCL</v>
      </c>
      <c r="B316" t="s">
        <v>142</v>
      </c>
      <c r="C316" t="s">
        <v>517</v>
      </c>
      <c r="D316" t="s">
        <v>6</v>
      </c>
      <c r="E316" t="s">
        <v>38</v>
      </c>
      <c r="F316" t="s">
        <v>130</v>
      </c>
      <c r="G316" t="s">
        <v>131</v>
      </c>
      <c r="I316" t="s">
        <v>26</v>
      </c>
      <c r="J316" s="15">
        <v>45450</v>
      </c>
      <c r="K316" t="s">
        <v>38</v>
      </c>
      <c r="L316" t="str">
        <f t="shared" si="18"/>
        <v>OK</v>
      </c>
      <c r="P316" t="s">
        <v>30</v>
      </c>
      <c r="Q316" t="s">
        <v>132</v>
      </c>
      <c r="R316" t="s">
        <v>133</v>
      </c>
      <c r="S316" t="s">
        <v>133</v>
      </c>
      <c r="T316" t="s">
        <v>133</v>
      </c>
      <c r="U316" t="s">
        <v>133</v>
      </c>
      <c r="V316" t="s">
        <v>133</v>
      </c>
      <c r="W316" t="s">
        <v>5</v>
      </c>
      <c r="X316">
        <v>0</v>
      </c>
      <c r="Y316" t="e">
        <f>_xlfn.XLOOKUP(C316,[1]Especificação!$G:$G,[1]Especificação!$C:$C)</f>
        <v>#N/A</v>
      </c>
    </row>
    <row r="317" spans="1:25" hidden="1" x14ac:dyDescent="0.3">
      <c r="A317" s="50" t="str">
        <f t="shared" si="15"/>
        <v>INSTRUMENT_SPCLTV_LNDNG</v>
      </c>
      <c r="B317" t="s">
        <v>128</v>
      </c>
      <c r="C317" t="s">
        <v>518</v>
      </c>
      <c r="D317" t="s">
        <v>6</v>
      </c>
      <c r="E317" t="s">
        <v>36</v>
      </c>
      <c r="F317" t="s">
        <v>149</v>
      </c>
      <c r="G317" t="s">
        <v>163</v>
      </c>
      <c r="I317" t="s">
        <v>29</v>
      </c>
      <c r="J317" s="15">
        <v>45450</v>
      </c>
      <c r="K317" t="s">
        <v>36</v>
      </c>
      <c r="L317" t="str">
        <f t="shared" si="18"/>
        <v>NOK</v>
      </c>
      <c r="P317" t="s">
        <v>8</v>
      </c>
      <c r="Q317" t="s">
        <v>132</v>
      </c>
      <c r="R317" t="s">
        <v>133</v>
      </c>
      <c r="S317" t="s">
        <v>133</v>
      </c>
      <c r="T317" t="s">
        <v>133</v>
      </c>
      <c r="U317" t="s">
        <v>133</v>
      </c>
      <c r="V317" t="s">
        <v>133</v>
      </c>
      <c r="W317" t="s">
        <v>5</v>
      </c>
      <c r="X317">
        <v>0</v>
      </c>
      <c r="Y317" t="e">
        <f>_xlfn.XLOOKUP(C317,[1]Especificação!$G:$G,[1]Especificação!$C:$C)</f>
        <v>#N/A</v>
      </c>
    </row>
    <row r="318" spans="1:25" hidden="1" x14ac:dyDescent="0.3">
      <c r="A318" s="50" t="str">
        <f t="shared" si="15"/>
        <v>INSTRUMENT_SPNSR_NM</v>
      </c>
      <c r="B318" t="s">
        <v>128</v>
      </c>
      <c r="C318" t="s">
        <v>519</v>
      </c>
      <c r="D318" t="s">
        <v>6</v>
      </c>
      <c r="E318" t="s">
        <v>37</v>
      </c>
      <c r="F318" t="s">
        <v>130</v>
      </c>
      <c r="G318" t="s">
        <v>170</v>
      </c>
      <c r="I318" t="s">
        <v>26</v>
      </c>
      <c r="J318" s="15">
        <v>45450</v>
      </c>
      <c r="K318" t="s">
        <v>37</v>
      </c>
      <c r="L318" t="str">
        <f t="shared" si="18"/>
        <v>OK</v>
      </c>
      <c r="P318" t="s">
        <v>27</v>
      </c>
      <c r="Q318" t="s">
        <v>132</v>
      </c>
      <c r="R318" t="s">
        <v>133</v>
      </c>
      <c r="S318" t="s">
        <v>133</v>
      </c>
      <c r="T318" t="s">
        <v>133</v>
      </c>
      <c r="U318" t="s">
        <v>133</v>
      </c>
      <c r="V318" t="s">
        <v>132</v>
      </c>
      <c r="W318" t="s">
        <v>146</v>
      </c>
      <c r="X318" t="s">
        <v>211</v>
      </c>
      <c r="Y318" t="str">
        <f>_xlfn.XLOOKUP(C318,[1]Especificação!$G:$G,[1]Especificação!$C:$C)</f>
        <v>F3. Fora âmbito | Fonte Manual LF</v>
      </c>
    </row>
    <row r="319" spans="1:25" hidden="1" x14ac:dyDescent="0.3">
      <c r="A319" s="50" t="str">
        <f t="shared" si="15"/>
        <v>INSTRUMENT_SPRD</v>
      </c>
      <c r="B319" t="s">
        <v>128</v>
      </c>
      <c r="C319" t="s">
        <v>520</v>
      </c>
      <c r="D319" t="s">
        <v>6</v>
      </c>
      <c r="E319" t="s">
        <v>38</v>
      </c>
      <c r="F319" t="s">
        <v>130</v>
      </c>
      <c r="G319" t="s">
        <v>131</v>
      </c>
      <c r="I319" t="s">
        <v>26</v>
      </c>
      <c r="J319" s="15">
        <v>45450</v>
      </c>
      <c r="K319" t="s">
        <v>38</v>
      </c>
      <c r="L319" t="str">
        <f t="shared" si="18"/>
        <v>OK</v>
      </c>
      <c r="P319" t="s">
        <v>30</v>
      </c>
      <c r="Q319" t="s">
        <v>132</v>
      </c>
      <c r="R319" t="s">
        <v>133</v>
      </c>
      <c r="S319" t="s">
        <v>133</v>
      </c>
      <c r="T319" t="s">
        <v>133</v>
      </c>
      <c r="U319" t="s">
        <v>133</v>
      </c>
      <c r="V319" t="s">
        <v>133</v>
      </c>
      <c r="W319" t="s">
        <v>5</v>
      </c>
      <c r="X319">
        <v>0</v>
      </c>
      <c r="Y319" t="e">
        <f>_xlfn.XLOOKUP(C319,[1]Especificação!$G:$G,[1]Especificação!$C:$C)</f>
        <v>#N/A</v>
      </c>
    </row>
    <row r="320" spans="1:25" hidden="1" x14ac:dyDescent="0.3">
      <c r="A320" s="50" t="str">
        <f t="shared" si="15"/>
        <v>INSTRUMENT_SRCS_ENCMBRNC</v>
      </c>
      <c r="B320" t="s">
        <v>128</v>
      </c>
      <c r="C320" t="s">
        <v>521</v>
      </c>
      <c r="D320" t="s">
        <v>6</v>
      </c>
      <c r="E320" t="s">
        <v>38</v>
      </c>
      <c r="F320" t="s">
        <v>130</v>
      </c>
      <c r="G320" t="s">
        <v>131</v>
      </c>
      <c r="I320" t="s">
        <v>26</v>
      </c>
      <c r="J320" s="15">
        <v>45450</v>
      </c>
      <c r="K320" t="s">
        <v>38</v>
      </c>
      <c r="L320" t="str">
        <f t="shared" si="18"/>
        <v>OK</v>
      </c>
      <c r="P320" t="s">
        <v>30</v>
      </c>
      <c r="Q320" t="s">
        <v>132</v>
      </c>
      <c r="R320" t="s">
        <v>133</v>
      </c>
      <c r="S320" t="s">
        <v>133</v>
      </c>
      <c r="T320" t="s">
        <v>133</v>
      </c>
      <c r="U320" t="s">
        <v>133</v>
      </c>
      <c r="V320" t="s">
        <v>133</v>
      </c>
      <c r="W320" t="s">
        <v>5</v>
      </c>
      <c r="X320">
        <v>0</v>
      </c>
      <c r="Y320" t="e">
        <f>_xlfn.XLOOKUP(C320,[1]Especificação!$G:$G,[1]Especificação!$C:$C)</f>
        <v>#N/A</v>
      </c>
    </row>
    <row r="321" spans="1:25" x14ac:dyDescent="0.3">
      <c r="A321" s="50" t="str">
        <f t="shared" si="15"/>
        <v>INSTRUMENT_STTS_UNDRWRTTN_TRNSCTN</v>
      </c>
      <c r="B321" t="s">
        <v>128</v>
      </c>
      <c r="C321" t="s">
        <v>522</v>
      </c>
      <c r="D321" t="s">
        <v>6</v>
      </c>
      <c r="E321" t="s">
        <v>56</v>
      </c>
      <c r="F321" t="s">
        <v>130</v>
      </c>
      <c r="G321" t="s">
        <v>330</v>
      </c>
      <c r="H321" t="s">
        <v>331</v>
      </c>
      <c r="I321" t="s">
        <v>29</v>
      </c>
      <c r="J321" s="15">
        <v>45953</v>
      </c>
      <c r="K321" t="s">
        <v>38</v>
      </c>
      <c r="L321" t="str">
        <f t="shared" si="18"/>
        <v>OK</v>
      </c>
      <c r="O321" s="15">
        <v>45952</v>
      </c>
      <c r="P321" t="s">
        <v>13</v>
      </c>
      <c r="Q321" t="s">
        <v>132</v>
      </c>
      <c r="R321" t="s">
        <v>133</v>
      </c>
      <c r="S321" t="s">
        <v>133</v>
      </c>
      <c r="T321" t="s">
        <v>133</v>
      </c>
      <c r="U321" t="s">
        <v>133</v>
      </c>
      <c r="V321" t="s">
        <v>132</v>
      </c>
      <c r="W321" t="s">
        <v>138</v>
      </c>
      <c r="X321" t="s">
        <v>332</v>
      </c>
      <c r="Y321" t="str">
        <f>_xlfn.XLOOKUP(C321,[1]Especificação!$G:$G,[1]Especificação!$C:$C)</f>
        <v>B1. Re-especificação de campos complexos | Sindicados</v>
      </c>
    </row>
    <row r="322" spans="1:25" hidden="1" x14ac:dyDescent="0.3">
      <c r="A322" s="50" t="str">
        <f t="shared" si="15"/>
        <v>INSTRUMENT_SUBPORTFOLIO_ID</v>
      </c>
      <c r="B322" t="s">
        <v>128</v>
      </c>
      <c r="C322" t="s">
        <v>523</v>
      </c>
      <c r="D322" t="s">
        <v>14</v>
      </c>
      <c r="E322" t="s">
        <v>38</v>
      </c>
      <c r="F322" t="s">
        <v>130</v>
      </c>
      <c r="G322" t="s">
        <v>131</v>
      </c>
      <c r="I322" t="s">
        <v>26</v>
      </c>
      <c r="J322" s="15">
        <v>45450</v>
      </c>
      <c r="K322" t="s">
        <v>38</v>
      </c>
      <c r="L322" t="str">
        <f t="shared" si="18"/>
        <v>OK</v>
      </c>
      <c r="P322" t="s">
        <v>30</v>
      </c>
      <c r="Q322" t="s">
        <v>132</v>
      </c>
      <c r="R322" t="s">
        <v>132</v>
      </c>
      <c r="S322" t="s">
        <v>132</v>
      </c>
      <c r="T322" t="s">
        <v>133</v>
      </c>
      <c r="U322" t="s">
        <v>132</v>
      </c>
      <c r="V322" t="s">
        <v>132</v>
      </c>
      <c r="W322" t="s">
        <v>5</v>
      </c>
      <c r="X322" t="s">
        <v>135</v>
      </c>
      <c r="Y322" t="str">
        <f>_xlfn.XLOOKUP(C322,[1]Especificação!$G:$G,[1]Especificação!$C:$C)</f>
        <v>F1. Fora âmbito | Campos concluídos - Sem necessidade de espec.</v>
      </c>
    </row>
    <row r="323" spans="1:25" x14ac:dyDescent="0.3">
      <c r="A323" s="50" t="str">
        <f t="shared" si="15"/>
        <v>INSTRUMENT_SYNDCT_RL</v>
      </c>
      <c r="B323" t="s">
        <v>128</v>
      </c>
      <c r="C323" t="s">
        <v>524</v>
      </c>
      <c r="D323" t="s">
        <v>6</v>
      </c>
      <c r="E323" t="s">
        <v>56</v>
      </c>
      <c r="F323" t="s">
        <v>130</v>
      </c>
      <c r="G323" t="s">
        <v>330</v>
      </c>
      <c r="H323" t="s">
        <v>331</v>
      </c>
      <c r="I323" t="s">
        <v>29</v>
      </c>
      <c r="J323" s="15">
        <v>45953</v>
      </c>
      <c r="K323" t="s">
        <v>38</v>
      </c>
      <c r="L323" t="str">
        <f t="shared" si="18"/>
        <v>OK</v>
      </c>
      <c r="O323" s="15">
        <v>45952</v>
      </c>
      <c r="P323" t="s">
        <v>13</v>
      </c>
      <c r="Q323" t="s">
        <v>132</v>
      </c>
      <c r="R323" t="s">
        <v>133</v>
      </c>
      <c r="S323" t="s">
        <v>133</v>
      </c>
      <c r="T323" t="s">
        <v>133</v>
      </c>
      <c r="U323" t="s">
        <v>133</v>
      </c>
      <c r="V323" t="s">
        <v>132</v>
      </c>
      <c r="W323" t="s">
        <v>138</v>
      </c>
      <c r="X323" t="s">
        <v>332</v>
      </c>
      <c r="Y323" t="str">
        <f>_xlfn.XLOOKUP(C323,[1]Especificação!$G:$G,[1]Especificação!$C:$C)</f>
        <v>B1. Re-especificação de campos complexos | Sindicados</v>
      </c>
    </row>
    <row r="324" spans="1:25" x14ac:dyDescent="0.3">
      <c r="A324" s="50" t="str">
        <f t="shared" si="15"/>
        <v>INSTRUMENT_SYNDCTD_AGNT</v>
      </c>
      <c r="B324" t="s">
        <v>128</v>
      </c>
      <c r="C324" t="s">
        <v>525</v>
      </c>
      <c r="D324" t="s">
        <v>14</v>
      </c>
      <c r="E324" t="s">
        <v>56</v>
      </c>
      <c r="F324" t="s">
        <v>130</v>
      </c>
      <c r="G324" t="s">
        <v>330</v>
      </c>
      <c r="H324" t="s">
        <v>331</v>
      </c>
      <c r="I324" t="s">
        <v>29</v>
      </c>
      <c r="J324" s="15">
        <v>45953</v>
      </c>
      <c r="K324" t="s">
        <v>38</v>
      </c>
      <c r="L324" t="str">
        <f t="shared" si="18"/>
        <v>OK</v>
      </c>
      <c r="O324" s="15">
        <v>45952</v>
      </c>
      <c r="P324" t="s">
        <v>13</v>
      </c>
      <c r="Q324" t="s">
        <v>132</v>
      </c>
      <c r="R324" t="s">
        <v>133</v>
      </c>
      <c r="S324" t="s">
        <v>133</v>
      </c>
      <c r="T324" t="s">
        <v>133</v>
      </c>
      <c r="U324" t="s">
        <v>133</v>
      </c>
      <c r="V324" t="s">
        <v>132</v>
      </c>
      <c r="W324" t="s">
        <v>138</v>
      </c>
      <c r="X324" t="s">
        <v>332</v>
      </c>
      <c r="Y324" t="str">
        <f>_xlfn.XLOOKUP(C324,[1]Especificação!$G:$G,[1]Especificação!$C:$C)</f>
        <v>B1. Re-especificação de campos complexos | Sindicados</v>
      </c>
    </row>
    <row r="325" spans="1:25" x14ac:dyDescent="0.3">
      <c r="A325" s="50" t="str">
        <f t="shared" ref="A325:A385" si="19">B325&amp;"_"&amp;C325</f>
        <v>INSTRUMENT_SYNDCTD_CNTRCT_ID</v>
      </c>
      <c r="B325" t="s">
        <v>128</v>
      </c>
      <c r="C325" t="s">
        <v>526</v>
      </c>
      <c r="D325" t="s">
        <v>14</v>
      </c>
      <c r="E325" t="s">
        <v>56</v>
      </c>
      <c r="F325" t="s">
        <v>130</v>
      </c>
      <c r="G325" t="s">
        <v>330</v>
      </c>
      <c r="H325" t="s">
        <v>331</v>
      </c>
      <c r="I325" t="s">
        <v>29</v>
      </c>
      <c r="J325" s="15">
        <v>45953</v>
      </c>
      <c r="K325" t="s">
        <v>38</v>
      </c>
      <c r="L325" t="str">
        <f t="shared" si="18"/>
        <v>OK</v>
      </c>
      <c r="O325" s="15">
        <v>45952</v>
      </c>
      <c r="P325" t="s">
        <v>13</v>
      </c>
      <c r="Q325" t="s">
        <v>132</v>
      </c>
      <c r="R325" t="s">
        <v>133</v>
      </c>
      <c r="S325" t="s">
        <v>133</v>
      </c>
      <c r="T325" t="s">
        <v>133</v>
      </c>
      <c r="U325" t="s">
        <v>133</v>
      </c>
      <c r="V325" t="s">
        <v>132</v>
      </c>
      <c r="W325" t="s">
        <v>138</v>
      </c>
      <c r="X325" t="s">
        <v>332</v>
      </c>
      <c r="Y325" t="str">
        <f>_xlfn.XLOOKUP(C325,[1]Especificação!$G:$G,[1]Especificação!$C:$C)</f>
        <v>B1. Re-especificação de campos complexos | Sindicados</v>
      </c>
    </row>
    <row r="326" spans="1:25" x14ac:dyDescent="0.3">
      <c r="A326" s="50" t="str">
        <f t="shared" si="19"/>
        <v>INSTRUMENT_SYNDCTD_LNDRS</v>
      </c>
      <c r="B326" t="s">
        <v>128</v>
      </c>
      <c r="C326" t="s">
        <v>527</v>
      </c>
      <c r="D326" t="s">
        <v>14</v>
      </c>
      <c r="E326" t="s">
        <v>56</v>
      </c>
      <c r="F326" t="s">
        <v>130</v>
      </c>
      <c r="G326" t="s">
        <v>330</v>
      </c>
      <c r="H326" t="s">
        <v>331</v>
      </c>
      <c r="I326" t="s">
        <v>29</v>
      </c>
      <c r="J326" s="15">
        <v>45953</v>
      </c>
      <c r="K326" t="s">
        <v>38</v>
      </c>
      <c r="L326" t="str">
        <f t="shared" si="18"/>
        <v>OK</v>
      </c>
      <c r="O326" s="15">
        <v>45952</v>
      </c>
      <c r="P326" t="s">
        <v>13</v>
      </c>
      <c r="Q326" t="s">
        <v>132</v>
      </c>
      <c r="R326" t="s">
        <v>133</v>
      </c>
      <c r="S326" t="s">
        <v>133</v>
      </c>
      <c r="T326" t="s">
        <v>133</v>
      </c>
      <c r="U326" t="s">
        <v>133</v>
      </c>
      <c r="V326" t="s">
        <v>132</v>
      </c>
      <c r="W326" t="s">
        <v>138</v>
      </c>
      <c r="X326" t="s">
        <v>332</v>
      </c>
      <c r="Y326" t="str">
        <f>_xlfn.XLOOKUP(C326,[1]Especificação!$G:$G,[1]Especificação!$C:$C)</f>
        <v>B1. Re-especificação de campos complexos | Sindicados</v>
      </c>
    </row>
    <row r="327" spans="1:25" x14ac:dyDescent="0.3">
      <c r="A327" s="50" t="str">
        <f t="shared" si="19"/>
        <v>INSTRUMENT_SYNDCTD_SHR</v>
      </c>
      <c r="B327" t="s">
        <v>128</v>
      </c>
      <c r="C327" t="s">
        <v>528</v>
      </c>
      <c r="D327" t="s">
        <v>14</v>
      </c>
      <c r="E327" t="s">
        <v>56</v>
      </c>
      <c r="F327" t="s">
        <v>130</v>
      </c>
      <c r="G327" t="s">
        <v>330</v>
      </c>
      <c r="H327" t="s">
        <v>331</v>
      </c>
      <c r="I327" t="s">
        <v>29</v>
      </c>
      <c r="J327" s="15">
        <v>45953</v>
      </c>
      <c r="K327" t="s">
        <v>38</v>
      </c>
      <c r="L327" t="str">
        <f t="shared" si="18"/>
        <v>OK</v>
      </c>
      <c r="O327" s="15">
        <v>45952</v>
      </c>
      <c r="P327" t="s">
        <v>13</v>
      </c>
      <c r="Q327" t="s">
        <v>132</v>
      </c>
      <c r="R327" t="s">
        <v>133</v>
      </c>
      <c r="S327" t="s">
        <v>133</v>
      </c>
      <c r="T327" t="s">
        <v>133</v>
      </c>
      <c r="U327" t="s">
        <v>133</v>
      </c>
      <c r="V327" t="s">
        <v>132</v>
      </c>
      <c r="W327" t="s">
        <v>138</v>
      </c>
      <c r="X327" t="s">
        <v>332</v>
      </c>
      <c r="Y327" t="str">
        <f>_xlfn.XLOOKUP(C327,[1]Especificação!$G:$G,[1]Especificação!$C:$C)</f>
        <v>B1. Re-especificação de campos complexos | Sindicados</v>
      </c>
    </row>
    <row r="328" spans="1:25" x14ac:dyDescent="0.3">
      <c r="A328" s="50" t="str">
        <f t="shared" si="19"/>
        <v>INSTRUMENT_SYNDCTN_TYP</v>
      </c>
      <c r="B328" t="s">
        <v>128</v>
      </c>
      <c r="C328" t="s">
        <v>529</v>
      </c>
      <c r="D328" t="s">
        <v>6</v>
      </c>
      <c r="E328" t="s">
        <v>56</v>
      </c>
      <c r="F328" t="s">
        <v>130</v>
      </c>
      <c r="G328" t="s">
        <v>330</v>
      </c>
      <c r="H328" t="s">
        <v>331</v>
      </c>
      <c r="I328" t="s">
        <v>29</v>
      </c>
      <c r="J328" s="15">
        <v>45953</v>
      </c>
      <c r="K328" t="s">
        <v>38</v>
      </c>
      <c r="L328" t="str">
        <f t="shared" si="18"/>
        <v>OK</v>
      </c>
      <c r="O328" s="15">
        <v>45952</v>
      </c>
      <c r="P328" t="s">
        <v>13</v>
      </c>
      <c r="Q328" t="s">
        <v>132</v>
      </c>
      <c r="R328" t="s">
        <v>133</v>
      </c>
      <c r="S328" t="s">
        <v>133</v>
      </c>
      <c r="T328" t="s">
        <v>133</v>
      </c>
      <c r="U328" t="s">
        <v>133</v>
      </c>
      <c r="V328" t="s">
        <v>132</v>
      </c>
      <c r="W328" t="s">
        <v>138</v>
      </c>
      <c r="X328" t="s">
        <v>332</v>
      </c>
      <c r="Y328" t="str">
        <f>_xlfn.XLOOKUP(C328,[1]Especificação!$G:$G,[1]Especificação!$C:$C)</f>
        <v>B1. Re-especificação de campos complexos | Sindicados</v>
      </c>
    </row>
    <row r="329" spans="1:25" hidden="1" x14ac:dyDescent="0.3">
      <c r="A329" s="50" t="str">
        <f t="shared" si="19"/>
        <v>ENTITY_TAX_ID</v>
      </c>
      <c r="B329" t="s">
        <v>142</v>
      </c>
      <c r="C329" t="s">
        <v>530</v>
      </c>
      <c r="D329" t="s">
        <v>6</v>
      </c>
      <c r="E329" t="s">
        <v>36</v>
      </c>
      <c r="F329" t="s">
        <v>149</v>
      </c>
      <c r="G329" t="s">
        <v>531</v>
      </c>
      <c r="I329" t="s">
        <v>29</v>
      </c>
      <c r="J329" s="15">
        <v>45450</v>
      </c>
      <c r="K329" t="s">
        <v>36</v>
      </c>
      <c r="L329" t="str">
        <f t="shared" si="18"/>
        <v>NOK</v>
      </c>
      <c r="P329" t="s">
        <v>8</v>
      </c>
      <c r="Q329" t="s">
        <v>132</v>
      </c>
      <c r="R329" t="s">
        <v>133</v>
      </c>
      <c r="S329" t="s">
        <v>133</v>
      </c>
      <c r="T329" t="s">
        <v>133</v>
      </c>
      <c r="U329" t="s">
        <v>133</v>
      </c>
      <c r="V329" t="s">
        <v>133</v>
      </c>
      <c r="W329" t="s">
        <v>5</v>
      </c>
      <c r="X329">
        <v>0</v>
      </c>
      <c r="Y329" t="e">
        <f>_xlfn.XLOOKUP(C329,[1]Especificação!$G:$G,[1]Especificação!$C:$C)</f>
        <v>#N/A</v>
      </c>
    </row>
    <row r="330" spans="1:25" hidden="1" x14ac:dyDescent="0.3">
      <c r="A330" s="50" t="str">
        <f t="shared" si="19"/>
        <v>PROTECTION_TAX_ID</v>
      </c>
      <c r="B330" t="s">
        <v>161</v>
      </c>
      <c r="C330" t="s">
        <v>530</v>
      </c>
      <c r="D330" t="s">
        <v>6</v>
      </c>
      <c r="E330" t="s">
        <v>36</v>
      </c>
      <c r="F330" t="s">
        <v>149</v>
      </c>
      <c r="G330" t="s">
        <v>532</v>
      </c>
      <c r="I330" t="s">
        <v>29</v>
      </c>
      <c r="J330" s="15">
        <v>45450</v>
      </c>
      <c r="K330" t="s">
        <v>36</v>
      </c>
      <c r="L330" t="str">
        <f t="shared" si="18"/>
        <v>NOK</v>
      </c>
      <c r="P330" t="s">
        <v>8</v>
      </c>
      <c r="Q330" t="s">
        <v>132</v>
      </c>
      <c r="R330" t="s">
        <v>133</v>
      </c>
      <c r="S330" t="s">
        <v>133</v>
      </c>
      <c r="T330" t="s">
        <v>133</v>
      </c>
      <c r="U330" t="s">
        <v>133</v>
      </c>
      <c r="V330" t="s">
        <v>133</v>
      </c>
      <c r="W330" t="s">
        <v>5</v>
      </c>
      <c r="X330">
        <v>0</v>
      </c>
      <c r="Y330" t="e">
        <f>_xlfn.XLOOKUP(C330,[1]Especificação!$G:$G,[1]Especificação!$C:$C)</f>
        <v>#N/A</v>
      </c>
    </row>
    <row r="331" spans="1:25" hidden="1" x14ac:dyDescent="0.3">
      <c r="A331" s="50" t="str">
        <f t="shared" si="19"/>
        <v>INSTR_PROTECTION_THRD_PRTY_PRRTY_CLMS</v>
      </c>
      <c r="B331" t="s">
        <v>194</v>
      </c>
      <c r="C331" t="s">
        <v>533</v>
      </c>
      <c r="D331" t="s">
        <v>14</v>
      </c>
      <c r="E331" t="s">
        <v>38</v>
      </c>
      <c r="F331" t="s">
        <v>130</v>
      </c>
      <c r="G331" t="s">
        <v>131</v>
      </c>
      <c r="I331" t="s">
        <v>26</v>
      </c>
      <c r="J331" s="15">
        <v>45450</v>
      </c>
      <c r="K331" t="s">
        <v>38</v>
      </c>
      <c r="L331" t="str">
        <f t="shared" si="18"/>
        <v>OK</v>
      </c>
      <c r="P331" t="s">
        <v>30</v>
      </c>
      <c r="Q331" t="s">
        <v>132</v>
      </c>
      <c r="R331" t="s">
        <v>133</v>
      </c>
      <c r="S331" t="s">
        <v>133</v>
      </c>
      <c r="T331" t="s">
        <v>133</v>
      </c>
      <c r="U331" t="s">
        <v>133</v>
      </c>
      <c r="V331" t="s">
        <v>133</v>
      </c>
      <c r="W331" t="s">
        <v>5</v>
      </c>
      <c r="X331">
        <v>0</v>
      </c>
      <c r="Y331" t="e">
        <f>_xlfn.XLOOKUP(C331,[1]Especificação!$G:$G,[1]Especificação!$C:$C)</f>
        <v>#N/A</v>
      </c>
    </row>
    <row r="332" spans="1:25" x14ac:dyDescent="0.3">
      <c r="A332" s="50" t="str">
        <f t="shared" si="19"/>
        <v>INSTRUMENT_TRNCH</v>
      </c>
      <c r="B332" t="s">
        <v>128</v>
      </c>
      <c r="C332" t="s">
        <v>534</v>
      </c>
      <c r="D332" t="s">
        <v>6</v>
      </c>
      <c r="E332" t="s">
        <v>56</v>
      </c>
      <c r="F332" t="s">
        <v>130</v>
      </c>
      <c r="G332" t="s">
        <v>330</v>
      </c>
      <c r="H332" t="s">
        <v>331</v>
      </c>
      <c r="I332" t="s">
        <v>29</v>
      </c>
      <c r="J332" s="15">
        <v>45953</v>
      </c>
      <c r="K332" t="s">
        <v>38</v>
      </c>
      <c r="L332" t="str">
        <f t="shared" si="18"/>
        <v>OK</v>
      </c>
      <c r="O332" s="15">
        <v>45952</v>
      </c>
      <c r="P332" t="s">
        <v>13</v>
      </c>
      <c r="Q332" t="s">
        <v>132</v>
      </c>
      <c r="R332" t="s">
        <v>133</v>
      </c>
      <c r="S332" t="s">
        <v>133</v>
      </c>
      <c r="T332" t="s">
        <v>133</v>
      </c>
      <c r="U332" t="s">
        <v>133</v>
      </c>
      <c r="V332" t="s">
        <v>132</v>
      </c>
      <c r="W332" t="s">
        <v>138</v>
      </c>
      <c r="X332" t="s">
        <v>332</v>
      </c>
      <c r="Y332" t="str">
        <f>_xlfn.XLOOKUP(C332,[1]Especificação!$G:$G,[1]Especificação!$C:$C)</f>
        <v>B1. Re-especificação de campos complexos | Sindicados</v>
      </c>
    </row>
    <row r="333" spans="1:25" hidden="1" x14ac:dyDescent="0.3">
      <c r="A333" s="50" t="str">
        <f t="shared" si="19"/>
        <v>ENTITY_TTL_DBT</v>
      </c>
      <c r="B333" t="s">
        <v>142</v>
      </c>
      <c r="C333" t="s">
        <v>535</v>
      </c>
      <c r="D333" t="s">
        <v>14</v>
      </c>
      <c r="E333" t="s">
        <v>25</v>
      </c>
      <c r="F333" t="s">
        <v>130</v>
      </c>
      <c r="G333" t="s">
        <v>144</v>
      </c>
      <c r="H333" t="s">
        <v>145</v>
      </c>
      <c r="I333" t="s">
        <v>29</v>
      </c>
      <c r="J333" s="15">
        <v>45450</v>
      </c>
      <c r="K333" t="s">
        <v>25</v>
      </c>
      <c r="L333" t="str">
        <f t="shared" si="18"/>
        <v>OK</v>
      </c>
      <c r="P333" t="s">
        <v>13</v>
      </c>
      <c r="Q333" t="s">
        <v>132</v>
      </c>
      <c r="R333" t="s">
        <v>133</v>
      </c>
      <c r="S333" t="s">
        <v>132</v>
      </c>
      <c r="T333" t="s">
        <v>133</v>
      </c>
      <c r="U333" t="s">
        <v>133</v>
      </c>
      <c r="V333" t="s">
        <v>132</v>
      </c>
      <c r="W333" t="s">
        <v>146</v>
      </c>
      <c r="X333" t="s">
        <v>147</v>
      </c>
      <c r="Y333" t="str">
        <f>_xlfn.XLOOKUP(C333,[1]Especificação!$G:$G,[1]Especificação!$C:$C)</f>
        <v>F4. Fora âmbito | Re-especificação de campos complexos - Dem. Fin. CIB</v>
      </c>
    </row>
    <row r="334" spans="1:25" hidden="1" x14ac:dyDescent="0.3">
      <c r="A334" s="50" t="str">
        <f t="shared" si="19"/>
        <v>ENTITY_TTL_DBT_PRVS</v>
      </c>
      <c r="B334" t="s">
        <v>142</v>
      </c>
      <c r="C334" t="s">
        <v>536</v>
      </c>
      <c r="D334" t="s">
        <v>14</v>
      </c>
      <c r="E334" t="s">
        <v>25</v>
      </c>
      <c r="F334" t="s">
        <v>130</v>
      </c>
      <c r="G334" t="s">
        <v>144</v>
      </c>
      <c r="H334" t="s">
        <v>145</v>
      </c>
      <c r="I334" t="s">
        <v>29</v>
      </c>
      <c r="J334" s="15">
        <v>45450</v>
      </c>
      <c r="K334" t="s">
        <v>25</v>
      </c>
      <c r="L334" t="str">
        <f t="shared" si="18"/>
        <v>OK</v>
      </c>
      <c r="P334" t="s">
        <v>13</v>
      </c>
      <c r="Q334" t="s">
        <v>132</v>
      </c>
      <c r="R334" t="s">
        <v>133</v>
      </c>
      <c r="S334" t="s">
        <v>133</v>
      </c>
      <c r="T334" t="s">
        <v>133</v>
      </c>
      <c r="U334" t="s">
        <v>133</v>
      </c>
      <c r="V334" t="s">
        <v>132</v>
      </c>
      <c r="W334" t="s">
        <v>146</v>
      </c>
      <c r="X334" t="s">
        <v>147</v>
      </c>
      <c r="Y334" t="str">
        <f>_xlfn.XLOOKUP(C334,[1]Especificação!$G:$G,[1]Especificação!$C:$C)</f>
        <v>F4. Fora âmbito | Re-especificação de campos complexos - Dem. Fin. CIB</v>
      </c>
    </row>
    <row r="335" spans="1:25" hidden="1" x14ac:dyDescent="0.3">
      <c r="A335" s="50" t="str">
        <f t="shared" si="19"/>
        <v>INSTRUMENT_ACCRD_INTRST_INSTRMNT</v>
      </c>
      <c r="B335" t="s">
        <v>128</v>
      </c>
      <c r="C335" t="s">
        <v>537</v>
      </c>
      <c r="D335" t="s">
        <v>14</v>
      </c>
      <c r="E335" t="s">
        <v>25</v>
      </c>
      <c r="F335" t="s">
        <v>130</v>
      </c>
      <c r="G335" t="s">
        <v>495</v>
      </c>
      <c r="I335" t="s">
        <v>29</v>
      </c>
      <c r="J335" s="15">
        <v>45450</v>
      </c>
      <c r="K335" t="s">
        <v>25</v>
      </c>
      <c r="L335" t="str">
        <f t="shared" si="18"/>
        <v>OK</v>
      </c>
      <c r="P335" t="s">
        <v>13</v>
      </c>
      <c r="Q335" t="s">
        <v>132</v>
      </c>
      <c r="R335" t="s">
        <v>133</v>
      </c>
      <c r="S335" t="s">
        <v>133</v>
      </c>
      <c r="T335" t="s">
        <v>133</v>
      </c>
      <c r="U335" t="s">
        <v>133</v>
      </c>
      <c r="V335" t="s">
        <v>132</v>
      </c>
      <c r="W335" t="s">
        <v>138</v>
      </c>
      <c r="X335" t="s">
        <v>153</v>
      </c>
      <c r="Y335" t="str">
        <f>_xlfn.XLOOKUP(C335,[1]Especificação!$G:$G,[1]Especificação!$C:$C)</f>
        <v>B2. Re-especificação de campos complexos - Resto</v>
      </c>
    </row>
    <row r="336" spans="1:25" hidden="1" x14ac:dyDescent="0.3">
      <c r="A336" s="50" t="str">
        <f t="shared" si="19"/>
        <v>ENTITY_TTL_LVRG_RT</v>
      </c>
      <c r="B336" t="s">
        <v>142</v>
      </c>
      <c r="C336" t="s">
        <v>538</v>
      </c>
      <c r="D336" t="s">
        <v>6</v>
      </c>
      <c r="E336" t="s">
        <v>38</v>
      </c>
      <c r="F336" t="s">
        <v>130</v>
      </c>
      <c r="G336" t="s">
        <v>131</v>
      </c>
      <c r="I336" t="s">
        <v>26</v>
      </c>
      <c r="J336" s="15">
        <v>45450</v>
      </c>
      <c r="K336" t="s">
        <v>38</v>
      </c>
      <c r="L336" t="str">
        <f t="shared" ref="L336:L342" si="20">F336</f>
        <v>OK</v>
      </c>
      <c r="P336" t="s">
        <v>30</v>
      </c>
      <c r="Q336" t="s">
        <v>132</v>
      </c>
      <c r="R336" t="s">
        <v>133</v>
      </c>
      <c r="S336" t="s">
        <v>133</v>
      </c>
      <c r="T336" t="s">
        <v>133</v>
      </c>
      <c r="U336" t="s">
        <v>133</v>
      </c>
      <c r="V336" t="s">
        <v>132</v>
      </c>
      <c r="W336" t="s">
        <v>5</v>
      </c>
      <c r="X336" t="s">
        <v>135</v>
      </c>
      <c r="Y336" t="str">
        <f>_xlfn.XLOOKUP(C336,[1]Especificação!$G:$G,[1]Especificação!$C:$C)</f>
        <v>F1. Fora âmbito | Campos concluídos - Sem necessidade de espec.</v>
      </c>
    </row>
    <row r="337" spans="1:25" hidden="1" x14ac:dyDescent="0.3">
      <c r="A337" s="50" t="str">
        <f t="shared" si="19"/>
        <v>ENTITY_TTL_LVRG_RT_PRVS</v>
      </c>
      <c r="B337" t="s">
        <v>142</v>
      </c>
      <c r="C337" t="s">
        <v>539</v>
      </c>
      <c r="D337" t="s">
        <v>6</v>
      </c>
      <c r="E337" t="s">
        <v>38</v>
      </c>
      <c r="F337" t="s">
        <v>130</v>
      </c>
      <c r="G337" t="s">
        <v>131</v>
      </c>
      <c r="I337" t="s">
        <v>26</v>
      </c>
      <c r="J337" s="15">
        <v>45450</v>
      </c>
      <c r="K337" t="s">
        <v>38</v>
      </c>
      <c r="L337" t="str">
        <f t="shared" si="20"/>
        <v>OK</v>
      </c>
      <c r="P337" t="s">
        <v>30</v>
      </c>
      <c r="Q337" t="s">
        <v>132</v>
      </c>
      <c r="R337" t="s">
        <v>133</v>
      </c>
      <c r="S337" t="s">
        <v>133</v>
      </c>
      <c r="T337" t="s">
        <v>133</v>
      </c>
      <c r="U337" t="s">
        <v>133</v>
      </c>
      <c r="V337" t="s">
        <v>132</v>
      </c>
      <c r="W337" t="s">
        <v>5</v>
      </c>
      <c r="X337" t="s">
        <v>135</v>
      </c>
      <c r="Y337" t="str">
        <f>_xlfn.XLOOKUP(C337,[1]Especificação!$G:$G,[1]Especificação!$C:$C)</f>
        <v>F1. Fora âmbito | Campos concluídos - Sem necessidade de espec.</v>
      </c>
    </row>
    <row r="338" spans="1:25" hidden="1" x14ac:dyDescent="0.3">
      <c r="A338" s="50" t="str">
        <f t="shared" si="19"/>
        <v>INSTRUMENT_TYP_AMRTSTN</v>
      </c>
      <c r="B338" t="s">
        <v>128</v>
      </c>
      <c r="C338" s="11" t="s">
        <v>540</v>
      </c>
      <c r="D338" t="s">
        <v>14</v>
      </c>
      <c r="E338" t="s">
        <v>28</v>
      </c>
      <c r="F338" t="s">
        <v>149</v>
      </c>
      <c r="G338" t="s">
        <v>159</v>
      </c>
      <c r="H338" t="s">
        <v>487</v>
      </c>
      <c r="I338" t="s">
        <v>32</v>
      </c>
      <c r="J338" s="15">
        <v>45450</v>
      </c>
      <c r="K338" t="s">
        <v>28</v>
      </c>
      <c r="L338" t="str">
        <f t="shared" si="20"/>
        <v>NOK</v>
      </c>
      <c r="P338" t="s">
        <v>39</v>
      </c>
      <c r="Q338" t="s">
        <v>132</v>
      </c>
      <c r="R338" t="s">
        <v>133</v>
      </c>
      <c r="S338" t="s">
        <v>133</v>
      </c>
      <c r="T338" t="s">
        <v>133</v>
      </c>
      <c r="U338" t="s">
        <v>133</v>
      </c>
      <c r="V338" t="s">
        <v>132</v>
      </c>
      <c r="W338" t="s">
        <v>138</v>
      </c>
      <c r="X338" t="s">
        <v>222</v>
      </c>
      <c r="Y338" t="str">
        <f>_xlfn.XLOOKUP(C338,[1]Especificação!$G:$G,[1]Especificação!$C:$C)</f>
        <v xml:space="preserve">E. Campos com outras possíveis alterações - Dependente de decisões OSI </v>
      </c>
    </row>
    <row r="339" spans="1:25" hidden="1" x14ac:dyDescent="0.3">
      <c r="A339" s="50" t="str">
        <f t="shared" si="19"/>
        <v>INSTRUMENT_TYP_CMPLNT_MRTR_C19</v>
      </c>
      <c r="B339" t="s">
        <v>128</v>
      </c>
      <c r="C339" t="s">
        <v>541</v>
      </c>
      <c r="D339" t="s">
        <v>6</v>
      </c>
      <c r="E339" t="s">
        <v>38</v>
      </c>
      <c r="F339" t="s">
        <v>130</v>
      </c>
      <c r="G339" t="s">
        <v>131</v>
      </c>
      <c r="I339" t="s">
        <v>26</v>
      </c>
      <c r="J339" s="15">
        <v>45450</v>
      </c>
      <c r="K339" t="s">
        <v>38</v>
      </c>
      <c r="L339" t="str">
        <f t="shared" si="20"/>
        <v>OK</v>
      </c>
      <c r="P339" t="s">
        <v>30</v>
      </c>
      <c r="Q339" t="s">
        <v>132</v>
      </c>
      <c r="R339" t="s">
        <v>133</v>
      </c>
      <c r="S339" t="s">
        <v>133</v>
      </c>
      <c r="T339" t="s">
        <v>133</v>
      </c>
      <c r="U339" t="s">
        <v>133</v>
      </c>
      <c r="V339" t="s">
        <v>133</v>
      </c>
      <c r="W339" t="s">
        <v>5</v>
      </c>
      <c r="X339">
        <v>0</v>
      </c>
      <c r="Y339" t="e">
        <f>_xlfn.XLOOKUP(C339,[1]Especificação!$G:$G,[1]Especificação!$C:$C)</f>
        <v>#N/A</v>
      </c>
    </row>
    <row r="340" spans="1:25" hidden="1" x14ac:dyDescent="0.3">
      <c r="A340" s="50" t="str">
        <f t="shared" si="19"/>
        <v>INSTRUMENT_TYP_CRE_OPRTN</v>
      </c>
      <c r="B340" t="s">
        <v>128</v>
      </c>
      <c r="C340" t="s">
        <v>542</v>
      </c>
      <c r="D340" t="s">
        <v>6</v>
      </c>
      <c r="E340" t="s">
        <v>36</v>
      </c>
      <c r="F340" t="s">
        <v>149</v>
      </c>
      <c r="G340" t="s">
        <v>163</v>
      </c>
      <c r="I340" t="s">
        <v>29</v>
      </c>
      <c r="J340" s="15">
        <v>45450</v>
      </c>
      <c r="K340" t="s">
        <v>36</v>
      </c>
      <c r="L340" t="str">
        <f t="shared" si="20"/>
        <v>NOK</v>
      </c>
      <c r="P340" t="s">
        <v>8</v>
      </c>
      <c r="Q340" t="s">
        <v>132</v>
      </c>
      <c r="R340" t="s">
        <v>133</v>
      </c>
      <c r="S340" t="s">
        <v>133</v>
      </c>
      <c r="T340" t="s">
        <v>133</v>
      </c>
      <c r="U340" t="s">
        <v>133</v>
      </c>
      <c r="V340" t="s">
        <v>133</v>
      </c>
      <c r="W340" t="s">
        <v>5</v>
      </c>
      <c r="X340">
        <v>0</v>
      </c>
      <c r="Y340" t="e">
        <f>_xlfn.XLOOKUP(C340,[1]Especificação!$G:$G,[1]Especificação!$C:$C)</f>
        <v>#N/A</v>
      </c>
    </row>
    <row r="341" spans="1:25" hidden="1" x14ac:dyDescent="0.3">
      <c r="A341" s="50" t="str">
        <f t="shared" si="19"/>
        <v>INSTRUMENT_TYP_INSTRMNT</v>
      </c>
      <c r="B341" t="s">
        <v>128</v>
      </c>
      <c r="C341" t="s">
        <v>543</v>
      </c>
      <c r="D341" t="s">
        <v>14</v>
      </c>
      <c r="E341" t="s">
        <v>38</v>
      </c>
      <c r="F341" t="s">
        <v>130</v>
      </c>
      <c r="G341" t="s">
        <v>131</v>
      </c>
      <c r="I341" t="s">
        <v>26</v>
      </c>
      <c r="J341" s="15">
        <v>45450</v>
      </c>
      <c r="K341" t="s">
        <v>38</v>
      </c>
      <c r="L341" t="str">
        <f t="shared" si="20"/>
        <v>OK</v>
      </c>
      <c r="P341" t="s">
        <v>30</v>
      </c>
      <c r="Q341" t="s">
        <v>132</v>
      </c>
      <c r="R341" t="s">
        <v>132</v>
      </c>
      <c r="S341" t="s">
        <v>132</v>
      </c>
      <c r="T341" t="s">
        <v>133</v>
      </c>
      <c r="U341" t="s">
        <v>133</v>
      </c>
      <c r="V341" t="s">
        <v>132</v>
      </c>
      <c r="W341" t="s">
        <v>5</v>
      </c>
      <c r="X341" t="s">
        <v>135</v>
      </c>
      <c r="Y341" t="str">
        <f>_xlfn.XLOOKUP(C341,[1]Especificação!$G:$G,[1]Especificação!$C:$C)</f>
        <v>B2. Re-especificação de campos complexos - Resto</v>
      </c>
    </row>
    <row r="342" spans="1:25" hidden="1" x14ac:dyDescent="0.3">
      <c r="A342" s="50" t="str">
        <f t="shared" si="19"/>
        <v>INSTRUMENT_TYP_INTRST_RT</v>
      </c>
      <c r="B342" t="s">
        <v>128</v>
      </c>
      <c r="C342" t="s">
        <v>544</v>
      </c>
      <c r="D342" t="s">
        <v>14</v>
      </c>
      <c r="E342" t="s">
        <v>38</v>
      </c>
      <c r="F342" t="s">
        <v>130</v>
      </c>
      <c r="G342" t="s">
        <v>131</v>
      </c>
      <c r="I342" t="s">
        <v>26</v>
      </c>
      <c r="J342" s="15">
        <v>45450</v>
      </c>
      <c r="K342" t="s">
        <v>38</v>
      </c>
      <c r="L342" t="str">
        <f t="shared" si="20"/>
        <v>OK</v>
      </c>
      <c r="P342" t="s">
        <v>30</v>
      </c>
      <c r="Q342" t="s">
        <v>132</v>
      </c>
      <c r="R342" t="s">
        <v>133</v>
      </c>
      <c r="S342" t="s">
        <v>133</v>
      </c>
      <c r="T342" t="s">
        <v>133</v>
      </c>
      <c r="U342" t="s">
        <v>133</v>
      </c>
      <c r="V342" t="s">
        <v>133</v>
      </c>
      <c r="W342" t="s">
        <v>5</v>
      </c>
      <c r="X342">
        <v>0</v>
      </c>
      <c r="Y342" t="e">
        <f>_xlfn.XLOOKUP(C342,[1]Especificação!$G:$G,[1]Especificação!$C:$C)</f>
        <v>#N/A</v>
      </c>
    </row>
    <row r="343" spans="1:25" hidden="1" x14ac:dyDescent="0.3">
      <c r="A343" s="50" t="str">
        <f t="shared" si="19"/>
        <v>PROTECTION_PRTCTN_VL</v>
      </c>
      <c r="B343" t="s">
        <v>161</v>
      </c>
      <c r="C343" s="10" t="s">
        <v>78</v>
      </c>
      <c r="D343" t="s">
        <v>14</v>
      </c>
      <c r="E343" t="s">
        <v>35</v>
      </c>
      <c r="F343" t="s">
        <v>130</v>
      </c>
      <c r="G343" t="s">
        <v>304</v>
      </c>
      <c r="H343" t="s">
        <v>545</v>
      </c>
      <c r="I343" t="s">
        <v>32</v>
      </c>
      <c r="J343" s="15">
        <v>45562</v>
      </c>
      <c r="K343" t="s">
        <v>35</v>
      </c>
      <c r="L343" t="s">
        <v>149</v>
      </c>
      <c r="M343" t="s">
        <v>546</v>
      </c>
      <c r="P343" t="s">
        <v>24</v>
      </c>
      <c r="Q343" t="s">
        <v>132</v>
      </c>
      <c r="R343" t="s">
        <v>132</v>
      </c>
      <c r="S343" t="s">
        <v>132</v>
      </c>
      <c r="T343" t="s">
        <v>133</v>
      </c>
      <c r="U343" t="s">
        <v>133</v>
      </c>
      <c r="V343" t="s">
        <v>133</v>
      </c>
      <c r="W343" t="s">
        <v>5</v>
      </c>
      <c r="X343">
        <v>0</v>
      </c>
      <c r="Y343" t="e">
        <f>_xlfn.XLOOKUP(C343,[1]Especificação!$G:$G,[1]Especificação!$C:$C)</f>
        <v>#N/A</v>
      </c>
    </row>
    <row r="344" spans="1:25" hidden="1" x14ac:dyDescent="0.3">
      <c r="A344" s="50" t="str">
        <f t="shared" si="19"/>
        <v>PROTECTION_PRTCTN_VL_NPE</v>
      </c>
      <c r="B344" t="s">
        <v>161</v>
      </c>
      <c r="C344" s="11" t="s">
        <v>547</v>
      </c>
      <c r="D344" t="s">
        <v>14</v>
      </c>
      <c r="E344" t="s">
        <v>33</v>
      </c>
      <c r="F344" t="s">
        <v>130</v>
      </c>
      <c r="G344" t="s">
        <v>548</v>
      </c>
      <c r="I344" t="s">
        <v>32</v>
      </c>
      <c r="J344" s="15">
        <v>45568</v>
      </c>
      <c r="K344" t="s">
        <v>33</v>
      </c>
      <c r="L344" t="str">
        <f>F344</f>
        <v>OK</v>
      </c>
      <c r="P344" t="s">
        <v>39</v>
      </c>
      <c r="Q344" t="s">
        <v>132</v>
      </c>
      <c r="R344" t="s">
        <v>133</v>
      </c>
      <c r="S344" t="s">
        <v>133</v>
      </c>
      <c r="T344" t="s">
        <v>133</v>
      </c>
      <c r="U344" t="s">
        <v>133</v>
      </c>
      <c r="V344" t="s">
        <v>133</v>
      </c>
      <c r="W344" t="s">
        <v>5</v>
      </c>
      <c r="X344">
        <v>0</v>
      </c>
      <c r="Y344" t="e">
        <f>_xlfn.XLOOKUP(C344,[1]Especificação!$G:$G,[1]Especificação!$C:$C)</f>
        <v>#N/A</v>
      </c>
    </row>
    <row r="345" spans="1:25" hidden="1" x14ac:dyDescent="0.3">
      <c r="A345" s="50" t="str">
        <f t="shared" si="19"/>
        <v>PROTECTION_TYP_PRTCTN_INTRNL</v>
      </c>
      <c r="B345" t="s">
        <v>161</v>
      </c>
      <c r="C345" t="s">
        <v>549</v>
      </c>
      <c r="D345" t="s">
        <v>14</v>
      </c>
      <c r="E345" t="s">
        <v>36</v>
      </c>
      <c r="F345" t="s">
        <v>149</v>
      </c>
      <c r="G345" t="s">
        <v>163</v>
      </c>
      <c r="I345" t="s">
        <v>29</v>
      </c>
      <c r="J345" s="15">
        <v>45450</v>
      </c>
      <c r="K345" t="s">
        <v>36</v>
      </c>
      <c r="L345" t="str">
        <f t="shared" ref="L345:L351" si="21">F345</f>
        <v>NOK</v>
      </c>
      <c r="P345" t="s">
        <v>8</v>
      </c>
      <c r="Q345" t="s">
        <v>132</v>
      </c>
      <c r="R345" t="s">
        <v>133</v>
      </c>
      <c r="S345" t="s">
        <v>133</v>
      </c>
      <c r="T345" t="s">
        <v>133</v>
      </c>
      <c r="U345" t="s">
        <v>133</v>
      </c>
      <c r="V345" t="s">
        <v>133</v>
      </c>
      <c r="W345" t="s">
        <v>5</v>
      </c>
      <c r="X345">
        <v>0</v>
      </c>
      <c r="Y345" t="e">
        <f>_xlfn.XLOOKUP(C345,[1]Especificação!$G:$G,[1]Especificação!$C:$C)</f>
        <v>#N/A</v>
      </c>
    </row>
    <row r="346" spans="1:25" hidden="1" x14ac:dyDescent="0.3">
      <c r="A346" s="50" t="str">
        <f t="shared" si="19"/>
        <v>PROTECTION_TYP_PRTCTN_VL</v>
      </c>
      <c r="B346" t="s">
        <v>161</v>
      </c>
      <c r="C346" t="s">
        <v>550</v>
      </c>
      <c r="D346" t="s">
        <v>14</v>
      </c>
      <c r="E346" t="s">
        <v>36</v>
      </c>
      <c r="F346" t="s">
        <v>149</v>
      </c>
      <c r="G346" t="s">
        <v>163</v>
      </c>
      <c r="I346" t="s">
        <v>29</v>
      </c>
      <c r="J346" s="15">
        <v>45450</v>
      </c>
      <c r="K346" t="s">
        <v>36</v>
      </c>
      <c r="L346" t="str">
        <f t="shared" si="21"/>
        <v>NOK</v>
      </c>
      <c r="P346" t="s">
        <v>8</v>
      </c>
      <c r="Q346" t="s">
        <v>132</v>
      </c>
      <c r="R346" t="s">
        <v>133</v>
      </c>
      <c r="S346" t="s">
        <v>133</v>
      </c>
      <c r="T346" t="s">
        <v>133</v>
      </c>
      <c r="U346" t="s">
        <v>133</v>
      </c>
      <c r="V346" t="s">
        <v>133</v>
      </c>
      <c r="W346" t="s">
        <v>5</v>
      </c>
      <c r="X346">
        <v>0</v>
      </c>
      <c r="Y346" t="e">
        <f>_xlfn.XLOOKUP(C346,[1]Especificação!$G:$G,[1]Especificação!$C:$C)</f>
        <v>#N/A</v>
      </c>
    </row>
    <row r="347" spans="1:25" hidden="1" x14ac:dyDescent="0.3">
      <c r="A347" s="50" t="str">
        <f t="shared" si="19"/>
        <v>INSTRUMENT_TYPE_OF_PLCMNT</v>
      </c>
      <c r="B347" t="s">
        <v>128</v>
      </c>
      <c r="C347" t="s">
        <v>551</v>
      </c>
      <c r="D347" t="s">
        <v>6</v>
      </c>
      <c r="E347" t="s">
        <v>38</v>
      </c>
      <c r="F347" t="s">
        <v>130</v>
      </c>
      <c r="G347" t="s">
        <v>131</v>
      </c>
      <c r="I347" t="s">
        <v>26</v>
      </c>
      <c r="J347" s="15">
        <v>45450</v>
      </c>
      <c r="K347" t="s">
        <v>38</v>
      </c>
      <c r="L347" t="str">
        <f t="shared" si="21"/>
        <v>OK</v>
      </c>
      <c r="P347" t="s">
        <v>30</v>
      </c>
      <c r="Q347" t="s">
        <v>132</v>
      </c>
      <c r="R347" t="s">
        <v>133</v>
      </c>
      <c r="S347" t="s">
        <v>133</v>
      </c>
      <c r="T347" t="s">
        <v>133</v>
      </c>
      <c r="U347" t="s">
        <v>133</v>
      </c>
      <c r="V347" t="s">
        <v>133</v>
      </c>
      <c r="W347" t="s">
        <v>5</v>
      </c>
      <c r="X347">
        <v>0</v>
      </c>
      <c r="Y347" t="e">
        <f>_xlfn.XLOOKUP(C347,[1]Especificação!$G:$G,[1]Especificação!$C:$C)</f>
        <v>#N/A</v>
      </c>
    </row>
    <row r="348" spans="1:25" hidden="1" x14ac:dyDescent="0.3">
      <c r="A348" s="50" t="str">
        <f t="shared" si="19"/>
        <v>INSTRUMENT_VLTN_CRRNCY</v>
      </c>
      <c r="B348" t="s">
        <v>128</v>
      </c>
      <c r="C348" t="s">
        <v>552</v>
      </c>
      <c r="D348" t="s">
        <v>6</v>
      </c>
      <c r="E348" t="s">
        <v>38</v>
      </c>
      <c r="F348" t="s">
        <v>130</v>
      </c>
      <c r="G348" t="s">
        <v>131</v>
      </c>
      <c r="I348" t="s">
        <v>26</v>
      </c>
      <c r="J348" s="15">
        <v>45450</v>
      </c>
      <c r="K348" t="s">
        <v>38</v>
      </c>
      <c r="L348" t="str">
        <f t="shared" si="21"/>
        <v>OK</v>
      </c>
      <c r="P348" t="s">
        <v>30</v>
      </c>
      <c r="Q348" t="s">
        <v>132</v>
      </c>
      <c r="R348" t="s">
        <v>133</v>
      </c>
      <c r="S348" t="s">
        <v>133</v>
      </c>
      <c r="T348" t="s">
        <v>133</v>
      </c>
      <c r="U348" t="s">
        <v>133</v>
      </c>
      <c r="V348" t="s">
        <v>133</v>
      </c>
      <c r="W348" t="s">
        <v>5</v>
      </c>
      <c r="X348">
        <v>0</v>
      </c>
      <c r="Y348" t="e">
        <f>_xlfn.XLOOKUP(C348,[1]Especificação!$G:$G,[1]Especificação!$C:$C)</f>
        <v>#N/A</v>
      </c>
    </row>
    <row r="349" spans="1:25" hidden="1" x14ac:dyDescent="0.3">
      <c r="A349" s="50" t="str">
        <f t="shared" si="19"/>
        <v>INSTRUMENT_VLTN_TYP</v>
      </c>
      <c r="B349" t="s">
        <v>128</v>
      </c>
      <c r="C349" t="s">
        <v>553</v>
      </c>
      <c r="D349" t="s">
        <v>6</v>
      </c>
      <c r="E349" t="s">
        <v>38</v>
      </c>
      <c r="F349" t="s">
        <v>130</v>
      </c>
      <c r="G349" t="s">
        <v>131</v>
      </c>
      <c r="I349" t="s">
        <v>26</v>
      </c>
      <c r="J349" s="15">
        <v>45450</v>
      </c>
      <c r="K349" t="s">
        <v>38</v>
      </c>
      <c r="L349" t="str">
        <f t="shared" si="21"/>
        <v>OK</v>
      </c>
      <c r="P349" t="s">
        <v>30</v>
      </c>
      <c r="Q349" t="s">
        <v>132</v>
      </c>
      <c r="R349" t="s">
        <v>133</v>
      </c>
      <c r="S349" t="s">
        <v>133</v>
      </c>
      <c r="T349" t="s">
        <v>133</v>
      </c>
      <c r="U349" t="s">
        <v>133</v>
      </c>
      <c r="V349" t="s">
        <v>133</v>
      </c>
      <c r="W349" t="s">
        <v>5</v>
      </c>
      <c r="X349">
        <v>0</v>
      </c>
      <c r="Y349" t="e">
        <f>_xlfn.XLOOKUP(C349,[1]Especificação!$G:$G,[1]Especificação!$C:$C)</f>
        <v>#N/A</v>
      </c>
    </row>
    <row r="350" spans="1:25" hidden="1" x14ac:dyDescent="0.3">
      <c r="A350" s="50" t="str">
        <f t="shared" si="19"/>
        <v>ENTITY_WTCH_LST</v>
      </c>
      <c r="B350" t="s">
        <v>142</v>
      </c>
      <c r="C350" t="s">
        <v>554</v>
      </c>
      <c r="D350" t="s">
        <v>14</v>
      </c>
      <c r="E350" t="s">
        <v>38</v>
      </c>
      <c r="F350" t="s">
        <v>130</v>
      </c>
      <c r="G350" t="s">
        <v>131</v>
      </c>
      <c r="I350" t="s">
        <v>26</v>
      </c>
      <c r="J350" s="15">
        <v>45450</v>
      </c>
      <c r="K350" t="s">
        <v>38</v>
      </c>
      <c r="L350" t="str">
        <f t="shared" si="21"/>
        <v>OK</v>
      </c>
      <c r="P350" t="s">
        <v>30</v>
      </c>
      <c r="Q350" t="s">
        <v>132</v>
      </c>
      <c r="R350" t="s">
        <v>133</v>
      </c>
      <c r="S350" t="s">
        <v>133</v>
      </c>
      <c r="T350" t="s">
        <v>133</v>
      </c>
      <c r="U350" t="s">
        <v>133</v>
      </c>
      <c r="V350" t="s">
        <v>132</v>
      </c>
      <c r="W350" t="s">
        <v>5</v>
      </c>
      <c r="X350" t="s">
        <v>135</v>
      </c>
      <c r="Y350" t="str">
        <f>_xlfn.XLOOKUP(C350,[1]Especificação!$G:$G,[1]Especificação!$C:$C)</f>
        <v>F1. Fora âmbito | Campos concluídos - Sem necessidade de espec.</v>
      </c>
    </row>
    <row r="351" spans="1:25" hidden="1" x14ac:dyDescent="0.3">
      <c r="A351" s="50" t="str">
        <f t="shared" si="19"/>
        <v>PROTECTION_YR_CNSTRCTN</v>
      </c>
      <c r="B351" t="s">
        <v>161</v>
      </c>
      <c r="C351" t="s">
        <v>555</v>
      </c>
      <c r="D351" t="s">
        <v>6</v>
      </c>
      <c r="E351" t="s">
        <v>20</v>
      </c>
      <c r="F351" t="s">
        <v>130</v>
      </c>
      <c r="G351" t="s">
        <v>235</v>
      </c>
      <c r="I351" t="s">
        <v>29</v>
      </c>
      <c r="J351" s="15">
        <v>45450</v>
      </c>
      <c r="K351" t="s">
        <v>20</v>
      </c>
      <c r="L351" t="str">
        <f t="shared" si="21"/>
        <v>OK</v>
      </c>
      <c r="P351" t="s">
        <v>19</v>
      </c>
      <c r="Q351" t="s">
        <v>132</v>
      </c>
      <c r="R351" t="s">
        <v>133</v>
      </c>
      <c r="S351" t="s">
        <v>132</v>
      </c>
      <c r="T351" t="s">
        <v>133</v>
      </c>
      <c r="U351" t="s">
        <v>132</v>
      </c>
      <c r="V351" t="s">
        <v>133</v>
      </c>
      <c r="W351" t="s">
        <v>5</v>
      </c>
      <c r="X351">
        <v>0</v>
      </c>
      <c r="Y351" t="e">
        <f>_xlfn.XLOOKUP(C351,[1]Especificação!$G:$G,[1]Especificação!$C:$C)</f>
        <v>#N/A</v>
      </c>
    </row>
    <row r="352" spans="1:25" hidden="1" x14ac:dyDescent="0.3">
      <c r="A352" s="50" t="str">
        <f t="shared" si="19"/>
        <v>ENTITY_ADDRSS_CTY</v>
      </c>
      <c r="B352" t="s">
        <v>142</v>
      </c>
      <c r="C352" t="s">
        <v>556</v>
      </c>
      <c r="D352" t="s">
        <v>6</v>
      </c>
      <c r="E352" t="s">
        <v>20</v>
      </c>
      <c r="I352" t="s">
        <v>29</v>
      </c>
      <c r="J352" s="15">
        <v>45667</v>
      </c>
      <c r="K352" t="s">
        <v>20</v>
      </c>
      <c r="Q352" t="s">
        <v>132</v>
      </c>
      <c r="R352" t="s">
        <v>133</v>
      </c>
      <c r="S352" t="s">
        <v>133</v>
      </c>
      <c r="T352" t="s">
        <v>133</v>
      </c>
      <c r="U352" t="s">
        <v>133</v>
      </c>
      <c r="V352" t="s">
        <v>133</v>
      </c>
      <c r="W352" t="s">
        <v>557</v>
      </c>
      <c r="X352">
        <v>0</v>
      </c>
      <c r="Y352" t="e">
        <f>_xlfn.XLOOKUP(C352,[1]Especificação!$G:$G,[1]Especificação!$C:$C)</f>
        <v>#N/A</v>
      </c>
    </row>
    <row r="353" spans="1:25" hidden="1" x14ac:dyDescent="0.3">
      <c r="A353" s="50" t="str">
        <f t="shared" si="19"/>
        <v>ENTITY_ADDRSS_STRT</v>
      </c>
      <c r="B353" t="s">
        <v>142</v>
      </c>
      <c r="C353" t="s">
        <v>558</v>
      </c>
      <c r="D353" t="s">
        <v>6</v>
      </c>
      <c r="E353" t="s">
        <v>20</v>
      </c>
      <c r="I353" t="s">
        <v>29</v>
      </c>
      <c r="J353" s="15">
        <v>45667</v>
      </c>
      <c r="K353" t="s">
        <v>20</v>
      </c>
      <c r="Q353" t="s">
        <v>132</v>
      </c>
      <c r="R353" t="s">
        <v>133</v>
      </c>
      <c r="S353" t="s">
        <v>133</v>
      </c>
      <c r="T353" t="s">
        <v>133</v>
      </c>
      <c r="U353" t="s">
        <v>133</v>
      </c>
      <c r="V353" t="s">
        <v>133</v>
      </c>
      <c r="W353" t="s">
        <v>557</v>
      </c>
      <c r="X353">
        <v>0</v>
      </c>
      <c r="Y353" t="e">
        <f>_xlfn.XLOOKUP(C353,[1]Especificação!$G:$G,[1]Especificação!$C:$C)</f>
        <v>#N/A</v>
      </c>
    </row>
    <row r="354" spans="1:25" hidden="1" x14ac:dyDescent="0.3">
      <c r="A354" s="50" t="str">
        <f t="shared" si="19"/>
        <v>ENTITY_DT_ENTRPRS_SZ</v>
      </c>
      <c r="B354" t="s">
        <v>142</v>
      </c>
      <c r="C354" t="s">
        <v>559</v>
      </c>
      <c r="D354" t="s">
        <v>6</v>
      </c>
      <c r="E354" t="s">
        <v>20</v>
      </c>
      <c r="I354" t="s">
        <v>29</v>
      </c>
      <c r="J354" s="15">
        <v>45667</v>
      </c>
      <c r="K354" t="s">
        <v>20</v>
      </c>
      <c r="Q354" t="s">
        <v>132</v>
      </c>
      <c r="R354" t="s">
        <v>133</v>
      </c>
      <c r="S354" t="s">
        <v>133</v>
      </c>
      <c r="T354" t="s">
        <v>133</v>
      </c>
      <c r="U354" t="s">
        <v>133</v>
      </c>
      <c r="V354" t="s">
        <v>133</v>
      </c>
      <c r="W354" t="s">
        <v>557</v>
      </c>
      <c r="X354">
        <v>0</v>
      </c>
      <c r="Y354" t="e">
        <f>_xlfn.XLOOKUP(C354,[1]Especificação!$G:$G,[1]Especificação!$C:$C)</f>
        <v>#N/A</v>
      </c>
    </row>
    <row r="355" spans="1:25" hidden="1" x14ac:dyDescent="0.3">
      <c r="A355" s="50" t="str">
        <f t="shared" si="19"/>
        <v>ENTITY_NMBR_EMPLYS</v>
      </c>
      <c r="B355" t="s">
        <v>142</v>
      </c>
      <c r="C355" t="s">
        <v>560</v>
      </c>
      <c r="D355" t="s">
        <v>6</v>
      </c>
      <c r="E355" t="s">
        <v>20</v>
      </c>
      <c r="I355" t="s">
        <v>29</v>
      </c>
      <c r="J355" s="15">
        <v>45667</v>
      </c>
      <c r="K355" t="s">
        <v>20</v>
      </c>
      <c r="Q355" t="s">
        <v>132</v>
      </c>
      <c r="R355" t="s">
        <v>133</v>
      </c>
      <c r="S355" t="s">
        <v>133</v>
      </c>
      <c r="T355" t="s">
        <v>133</v>
      </c>
      <c r="U355" t="s">
        <v>133</v>
      </c>
      <c r="V355" t="s">
        <v>133</v>
      </c>
      <c r="W355" t="s">
        <v>557</v>
      </c>
      <c r="X355">
        <v>0</v>
      </c>
      <c r="Y355" t="e">
        <f>_xlfn.XLOOKUP(C355,[1]Especificação!$G:$G,[1]Especificação!$C:$C)</f>
        <v>#N/A</v>
      </c>
    </row>
    <row r="356" spans="1:25" hidden="1" x14ac:dyDescent="0.3">
      <c r="A356" s="50" t="str">
        <f t="shared" si="19"/>
        <v>ENTITY_LGL_FRM</v>
      </c>
      <c r="B356" t="s">
        <v>142</v>
      </c>
      <c r="C356" t="s">
        <v>561</v>
      </c>
      <c r="D356" t="s">
        <v>6</v>
      </c>
      <c r="E356" t="s">
        <v>20</v>
      </c>
      <c r="I356" t="s">
        <v>29</v>
      </c>
      <c r="J356" s="15">
        <v>45667</v>
      </c>
      <c r="K356" t="s">
        <v>20</v>
      </c>
      <c r="Q356" t="s">
        <v>132</v>
      </c>
      <c r="R356" t="s">
        <v>133</v>
      </c>
      <c r="S356" t="s">
        <v>133</v>
      </c>
      <c r="T356" t="s">
        <v>133</v>
      </c>
      <c r="U356" t="s">
        <v>133</v>
      </c>
      <c r="V356" t="s">
        <v>133</v>
      </c>
      <c r="W356" t="s">
        <v>557</v>
      </c>
      <c r="X356">
        <v>0</v>
      </c>
      <c r="Y356" t="e">
        <f>_xlfn.XLOOKUP(C356,[1]Especificação!$G:$G,[1]Especificação!$C:$C)</f>
        <v>#N/A</v>
      </c>
    </row>
    <row r="357" spans="1:25" hidden="1" x14ac:dyDescent="0.3">
      <c r="A357" s="50" t="str">
        <f t="shared" si="19"/>
        <v>ENTITY_HD_OFFC_UNDRTKNG_ID</v>
      </c>
      <c r="B357" t="s">
        <v>142</v>
      </c>
      <c r="C357" t="s">
        <v>562</v>
      </c>
      <c r="D357" t="s">
        <v>6</v>
      </c>
      <c r="E357" t="s">
        <v>20</v>
      </c>
      <c r="I357" t="s">
        <v>29</v>
      </c>
      <c r="J357" s="15">
        <v>45667</v>
      </c>
      <c r="K357" t="s">
        <v>20</v>
      </c>
      <c r="Q357" t="s">
        <v>132</v>
      </c>
      <c r="R357" t="s">
        <v>133</v>
      </c>
      <c r="S357" t="s">
        <v>133</v>
      </c>
      <c r="T357" t="s">
        <v>133</v>
      </c>
      <c r="U357" t="s">
        <v>133</v>
      </c>
      <c r="V357" t="s">
        <v>133</v>
      </c>
      <c r="W357" t="s">
        <v>557</v>
      </c>
      <c r="X357">
        <v>0</v>
      </c>
      <c r="Y357" t="e">
        <f>_xlfn.XLOOKUP(C357,[1]Especificação!$G:$G,[1]Especificação!$C:$C)</f>
        <v>#N/A</v>
      </c>
    </row>
    <row r="358" spans="1:25" hidden="1" x14ac:dyDescent="0.3">
      <c r="A358" s="50" t="str">
        <f t="shared" si="19"/>
        <v>ENTITY_IMMDT_PRNT_UNDRTKNG_ID</v>
      </c>
      <c r="B358" t="s">
        <v>142</v>
      </c>
      <c r="C358" t="s">
        <v>563</v>
      </c>
      <c r="D358" t="s">
        <v>6</v>
      </c>
      <c r="E358" t="s">
        <v>20</v>
      </c>
      <c r="I358" t="s">
        <v>29</v>
      </c>
      <c r="J358" s="15">
        <v>45667</v>
      </c>
      <c r="K358" t="s">
        <v>20</v>
      </c>
      <c r="Q358" t="s">
        <v>132</v>
      </c>
      <c r="R358" t="s">
        <v>133</v>
      </c>
      <c r="S358" t="s">
        <v>133</v>
      </c>
      <c r="T358" t="s">
        <v>133</v>
      </c>
      <c r="U358" t="s">
        <v>133</v>
      </c>
      <c r="V358" t="s">
        <v>133</v>
      </c>
      <c r="W358" t="s">
        <v>557</v>
      </c>
      <c r="X358">
        <v>0</v>
      </c>
      <c r="Y358" t="e">
        <f>_xlfn.XLOOKUP(C358,[1]Especificação!$G:$G,[1]Especificação!$C:$C)</f>
        <v>#N/A</v>
      </c>
    </row>
    <row r="359" spans="1:25" hidden="1" x14ac:dyDescent="0.3">
      <c r="A359" s="50" t="str">
        <f t="shared" si="19"/>
        <v>ENTITY_ULTMT_PRNT_UNDRTKNG_ID</v>
      </c>
      <c r="B359" t="s">
        <v>142</v>
      </c>
      <c r="C359" t="s">
        <v>564</v>
      </c>
      <c r="D359" t="s">
        <v>6</v>
      </c>
      <c r="E359" t="s">
        <v>20</v>
      </c>
      <c r="I359" t="s">
        <v>29</v>
      </c>
      <c r="J359" s="15">
        <v>45667</v>
      </c>
      <c r="K359" t="s">
        <v>20</v>
      </c>
      <c r="Q359" t="s">
        <v>132</v>
      </c>
      <c r="R359" t="s">
        <v>133</v>
      </c>
      <c r="S359" t="s">
        <v>133</v>
      </c>
      <c r="T359" t="s">
        <v>133</v>
      </c>
      <c r="U359" t="s">
        <v>133</v>
      </c>
      <c r="V359" t="s">
        <v>133</v>
      </c>
      <c r="W359" t="s">
        <v>557</v>
      </c>
      <c r="X359">
        <v>0</v>
      </c>
      <c r="Y359" t="e">
        <f>_xlfn.XLOOKUP(C359,[1]Especificação!$G:$G,[1]Especificação!$C:$C)</f>
        <v>#N/A</v>
      </c>
    </row>
    <row r="360" spans="1:25" hidden="1" x14ac:dyDescent="0.3">
      <c r="A360" s="50" t="str">
        <f t="shared" si="19"/>
        <v>ENTITY_TTL_ASSTS</v>
      </c>
      <c r="B360" t="s">
        <v>142</v>
      </c>
      <c r="C360" t="s">
        <v>565</v>
      </c>
      <c r="D360" t="s">
        <v>6</v>
      </c>
      <c r="E360" t="s">
        <v>20</v>
      </c>
      <c r="I360" t="s">
        <v>29</v>
      </c>
      <c r="J360" s="15">
        <v>45667</v>
      </c>
      <c r="K360" t="s">
        <v>20</v>
      </c>
      <c r="Q360" t="s">
        <v>132</v>
      </c>
      <c r="R360" t="s">
        <v>133</v>
      </c>
      <c r="S360" t="s">
        <v>133</v>
      </c>
      <c r="T360" t="s">
        <v>133</v>
      </c>
      <c r="U360" t="s">
        <v>133</v>
      </c>
      <c r="V360" t="s">
        <v>133</v>
      </c>
      <c r="W360" t="s">
        <v>557</v>
      </c>
      <c r="X360">
        <v>0</v>
      </c>
      <c r="Y360" t="e">
        <f>_xlfn.XLOOKUP(C360,[1]Especificação!$G:$G,[1]Especificação!$C:$C)</f>
        <v>#N/A</v>
      </c>
    </row>
    <row r="361" spans="1:25" hidden="1" x14ac:dyDescent="0.3">
      <c r="A361" s="50" t="str">
        <f t="shared" si="19"/>
        <v>ENTITY_ENTTY_ID_BDR</v>
      </c>
      <c r="B361" t="s">
        <v>142</v>
      </c>
      <c r="C361" t="s">
        <v>566</v>
      </c>
      <c r="D361" t="s">
        <v>6</v>
      </c>
      <c r="E361" t="s">
        <v>20</v>
      </c>
      <c r="I361" t="s">
        <v>29</v>
      </c>
      <c r="J361" s="15">
        <v>45667</v>
      </c>
      <c r="K361" t="s">
        <v>20</v>
      </c>
      <c r="Q361" t="s">
        <v>132</v>
      </c>
      <c r="R361" t="s">
        <v>133</v>
      </c>
      <c r="S361" t="s">
        <v>133</v>
      </c>
      <c r="T361" t="s">
        <v>133</v>
      </c>
      <c r="U361" t="s">
        <v>133</v>
      </c>
      <c r="V361" t="s">
        <v>133</v>
      </c>
      <c r="W361" t="s">
        <v>557</v>
      </c>
      <c r="X361">
        <v>0</v>
      </c>
      <c r="Y361" t="e">
        <f>_xlfn.XLOOKUP(C361,[1]Especificação!$G:$G,[1]Especificação!$C:$C)</f>
        <v>#N/A</v>
      </c>
    </row>
    <row r="362" spans="1:25" hidden="1" x14ac:dyDescent="0.3">
      <c r="A362" s="50" t="str">
        <f t="shared" si="19"/>
        <v>INSTRUMENT_CPN_RT_FLTNG</v>
      </c>
      <c r="B362" t="s">
        <v>128</v>
      </c>
      <c r="C362" t="s">
        <v>567</v>
      </c>
      <c r="D362" t="s">
        <v>6</v>
      </c>
      <c r="E362" t="s">
        <v>20</v>
      </c>
      <c r="I362" t="s">
        <v>29</v>
      </c>
      <c r="J362" s="15">
        <v>45667</v>
      </c>
      <c r="K362" t="s">
        <v>20</v>
      </c>
      <c r="Q362" t="s">
        <v>132</v>
      </c>
      <c r="R362" t="s">
        <v>133</v>
      </c>
      <c r="S362" t="s">
        <v>133</v>
      </c>
      <c r="T362" t="s">
        <v>133</v>
      </c>
      <c r="U362" t="s">
        <v>133</v>
      </c>
      <c r="V362" t="s">
        <v>133</v>
      </c>
      <c r="W362" t="s">
        <v>557</v>
      </c>
      <c r="X362">
        <v>0</v>
      </c>
      <c r="Y362" t="e">
        <f>_xlfn.XLOOKUP(C362,[1]Especificação!$G:$G,[1]Especificação!$C:$C)</f>
        <v>#N/A</v>
      </c>
    </row>
    <row r="363" spans="1:25" hidden="1" x14ac:dyDescent="0.3">
      <c r="A363" s="50" t="str">
        <f t="shared" si="19"/>
        <v>INSTRUMENT_INTRST_RT_CP</v>
      </c>
      <c r="B363" t="s">
        <v>128</v>
      </c>
      <c r="C363" t="s">
        <v>568</v>
      </c>
      <c r="D363" t="s">
        <v>6</v>
      </c>
      <c r="E363" t="s">
        <v>20</v>
      </c>
      <c r="I363" t="s">
        <v>29</v>
      </c>
      <c r="J363" s="15">
        <v>45667</v>
      </c>
      <c r="K363" t="s">
        <v>20</v>
      </c>
      <c r="Q363" t="s">
        <v>132</v>
      </c>
      <c r="R363" t="s">
        <v>133</v>
      </c>
      <c r="S363" t="s">
        <v>133</v>
      </c>
      <c r="T363" t="s">
        <v>133</v>
      </c>
      <c r="U363" t="s">
        <v>133</v>
      </c>
      <c r="V363" t="s">
        <v>133</v>
      </c>
      <c r="W363" t="s">
        <v>557</v>
      </c>
      <c r="X363">
        <v>0</v>
      </c>
      <c r="Y363" t="e">
        <f>_xlfn.XLOOKUP(C363,[1]Especificação!$G:$G,[1]Especificação!$C:$C)</f>
        <v>#N/A</v>
      </c>
    </row>
    <row r="364" spans="1:25" hidden="1" x14ac:dyDescent="0.3">
      <c r="A364" s="50" t="str">
        <f t="shared" si="19"/>
        <v>INSTRUMENT_INTRST_RT_FLR</v>
      </c>
      <c r="B364" t="s">
        <v>128</v>
      </c>
      <c r="C364" t="s">
        <v>569</v>
      </c>
      <c r="D364" t="s">
        <v>6</v>
      </c>
      <c r="E364" t="s">
        <v>20</v>
      </c>
      <c r="I364" t="s">
        <v>29</v>
      </c>
      <c r="J364" s="15">
        <v>45667</v>
      </c>
      <c r="K364" t="s">
        <v>20</v>
      </c>
      <c r="Q364" t="s">
        <v>132</v>
      </c>
      <c r="R364" t="s">
        <v>133</v>
      </c>
      <c r="S364" t="s">
        <v>133</v>
      </c>
      <c r="T364" t="s">
        <v>133</v>
      </c>
      <c r="U364" t="s">
        <v>133</v>
      </c>
      <c r="V364" t="s">
        <v>133</v>
      </c>
      <c r="W364" t="s">
        <v>557</v>
      </c>
      <c r="X364">
        <v>0</v>
      </c>
      <c r="Y364" t="e">
        <f>_xlfn.XLOOKUP(C364,[1]Especificação!$G:$G,[1]Especificação!$C:$C)</f>
        <v>#N/A</v>
      </c>
    </row>
    <row r="365" spans="1:25" hidden="1" x14ac:dyDescent="0.3">
      <c r="A365" s="50" t="str">
        <f t="shared" si="19"/>
        <v>INSTRUMENT_NMNL_INTRST_RT_FEE</v>
      </c>
      <c r="B365" t="s">
        <v>128</v>
      </c>
      <c r="C365" t="s">
        <v>570</v>
      </c>
      <c r="D365" t="s">
        <v>6</v>
      </c>
      <c r="E365" t="s">
        <v>20</v>
      </c>
      <c r="I365" t="s">
        <v>29</v>
      </c>
      <c r="J365" s="15">
        <v>45667</v>
      </c>
      <c r="K365" t="s">
        <v>20</v>
      </c>
      <c r="Q365" t="s">
        <v>132</v>
      </c>
      <c r="R365" t="s">
        <v>133</v>
      </c>
      <c r="S365" t="s">
        <v>133</v>
      </c>
      <c r="T365" t="s">
        <v>133</v>
      </c>
      <c r="U365" t="s">
        <v>133</v>
      </c>
      <c r="V365" t="s">
        <v>133</v>
      </c>
      <c r="W365" t="s">
        <v>557</v>
      </c>
      <c r="X365">
        <v>0</v>
      </c>
      <c r="Y365" t="e">
        <f>_xlfn.XLOOKUP(C365,[1]Especificação!$G:$G,[1]Especificação!$C:$C)</f>
        <v>#N/A</v>
      </c>
    </row>
    <row r="366" spans="1:25" hidden="1" x14ac:dyDescent="0.3">
      <c r="A366" s="50" t="str">
        <f t="shared" si="19"/>
        <v>INSTRUMENT_DT_STTLMNT</v>
      </c>
      <c r="B366" t="s">
        <v>128</v>
      </c>
      <c r="C366" t="s">
        <v>571</v>
      </c>
      <c r="D366" t="s">
        <v>6</v>
      </c>
      <c r="E366" t="s">
        <v>20</v>
      </c>
      <c r="I366" t="s">
        <v>29</v>
      </c>
      <c r="J366" s="15">
        <v>45667</v>
      </c>
      <c r="K366" t="s">
        <v>20</v>
      </c>
      <c r="Q366" t="s">
        <v>132</v>
      </c>
      <c r="R366" t="s">
        <v>133</v>
      </c>
      <c r="S366" t="s">
        <v>133</v>
      </c>
      <c r="T366" t="s">
        <v>133</v>
      </c>
      <c r="U366" t="s">
        <v>133</v>
      </c>
      <c r="V366" t="s">
        <v>133</v>
      </c>
      <c r="W366" t="s">
        <v>557</v>
      </c>
      <c r="X366">
        <v>0</v>
      </c>
      <c r="Y366" t="e">
        <f>_xlfn.XLOOKUP(C366,[1]Especificação!$G:$G,[1]Especificação!$C:$C)</f>
        <v>#N/A</v>
      </c>
    </row>
    <row r="367" spans="1:25" hidden="1" x14ac:dyDescent="0.3">
      <c r="A367" s="50" t="str">
        <f t="shared" si="19"/>
        <v>INSTRUMENT_TRNSFRRD_AMNT</v>
      </c>
      <c r="B367" t="s">
        <v>128</v>
      </c>
      <c r="C367" t="s">
        <v>572</v>
      </c>
      <c r="D367" t="s">
        <v>6</v>
      </c>
      <c r="E367" t="s">
        <v>20</v>
      </c>
      <c r="I367" t="s">
        <v>29</v>
      </c>
      <c r="J367" s="15">
        <v>45667</v>
      </c>
      <c r="K367" t="s">
        <v>20</v>
      </c>
      <c r="Q367" t="s">
        <v>132</v>
      </c>
      <c r="R367" t="s">
        <v>133</v>
      </c>
      <c r="S367" t="s">
        <v>133</v>
      </c>
      <c r="T367" t="s">
        <v>133</v>
      </c>
      <c r="U367" t="s">
        <v>133</v>
      </c>
      <c r="V367" t="s">
        <v>133</v>
      </c>
      <c r="W367" t="s">
        <v>557</v>
      </c>
      <c r="X367">
        <v>0</v>
      </c>
      <c r="Y367" t="e">
        <f>_xlfn.XLOOKUP(C367,[1]Especificação!$G:$G,[1]Especificação!$C:$C)</f>
        <v>#N/A</v>
      </c>
    </row>
    <row r="368" spans="1:25" hidden="1" x14ac:dyDescent="0.3">
      <c r="A368" s="50" t="str">
        <f t="shared" si="19"/>
        <v>INSTRUMENT_TYP_SCRTZTN</v>
      </c>
      <c r="B368" t="s">
        <v>128</v>
      </c>
      <c r="C368" t="s">
        <v>573</v>
      </c>
      <c r="D368" t="s">
        <v>6</v>
      </c>
      <c r="E368" t="s">
        <v>20</v>
      </c>
      <c r="I368" t="s">
        <v>29</v>
      </c>
      <c r="J368" s="15">
        <v>45667</v>
      </c>
      <c r="K368" t="s">
        <v>20</v>
      </c>
      <c r="Q368" t="s">
        <v>132</v>
      </c>
      <c r="R368" t="s">
        <v>133</v>
      </c>
      <c r="S368" t="s">
        <v>133</v>
      </c>
      <c r="T368" t="s">
        <v>133</v>
      </c>
      <c r="U368" t="s">
        <v>133</v>
      </c>
      <c r="V368" t="s">
        <v>133</v>
      </c>
      <c r="W368" t="s">
        <v>557</v>
      </c>
      <c r="X368">
        <v>0</v>
      </c>
      <c r="Y368" t="e">
        <f>_xlfn.XLOOKUP(C368,[1]Especificação!$G:$G,[1]Especificação!$C:$C)</f>
        <v>#N/A</v>
      </c>
    </row>
    <row r="369" spans="1:25" hidden="1" x14ac:dyDescent="0.3">
      <c r="A369" s="50" t="str">
        <f t="shared" si="19"/>
        <v>INSTRUMENT_TYP_OFF_BLNC_PRDCT</v>
      </c>
      <c r="B369" t="s">
        <v>128</v>
      </c>
      <c r="C369" t="s">
        <v>574</v>
      </c>
      <c r="D369" t="s">
        <v>6</v>
      </c>
      <c r="E369" t="s">
        <v>20</v>
      </c>
      <c r="I369" t="s">
        <v>29</v>
      </c>
      <c r="J369" s="15">
        <v>45667</v>
      </c>
      <c r="K369" t="s">
        <v>20</v>
      </c>
      <c r="Q369" t="s">
        <v>132</v>
      </c>
      <c r="R369" t="s">
        <v>132</v>
      </c>
      <c r="S369" t="s">
        <v>132</v>
      </c>
      <c r="T369" t="s">
        <v>133</v>
      </c>
      <c r="U369" t="s">
        <v>133</v>
      </c>
      <c r="V369" t="s">
        <v>132</v>
      </c>
      <c r="W369" t="s">
        <v>138</v>
      </c>
      <c r="X369" t="s">
        <v>575</v>
      </c>
      <c r="Y369" t="str">
        <f>_xlfn.XLOOKUP(C369,[1]Especificação!$G:$G,[1]Especificação!$C:$C)</f>
        <v>A. Novos Campos</v>
      </c>
    </row>
    <row r="370" spans="1:25" hidden="1" x14ac:dyDescent="0.3">
      <c r="A370" s="50" t="str">
        <f t="shared" si="19"/>
        <v>INSTRUMENT_BLNC_SHT_RCGNTN</v>
      </c>
      <c r="B370" t="s">
        <v>128</v>
      </c>
      <c r="C370" t="s">
        <v>576</v>
      </c>
      <c r="D370" t="s">
        <v>6</v>
      </c>
      <c r="E370" t="s">
        <v>20</v>
      </c>
      <c r="I370" t="s">
        <v>29</v>
      </c>
      <c r="J370" s="15">
        <v>45667</v>
      </c>
      <c r="K370" t="s">
        <v>20</v>
      </c>
      <c r="Q370" t="s">
        <v>132</v>
      </c>
      <c r="R370" t="s">
        <v>133</v>
      </c>
      <c r="S370" t="s">
        <v>133</v>
      </c>
      <c r="T370" t="s">
        <v>133</v>
      </c>
      <c r="U370" t="s">
        <v>133</v>
      </c>
      <c r="V370" t="s">
        <v>133</v>
      </c>
      <c r="W370" t="s">
        <v>557</v>
      </c>
      <c r="X370">
        <v>0</v>
      </c>
      <c r="Y370" t="e">
        <f>_xlfn.XLOOKUP(C370,[1]Especificação!$G:$G,[1]Especificação!$C:$C)</f>
        <v>#N/A</v>
      </c>
    </row>
    <row r="371" spans="1:25" hidden="1" x14ac:dyDescent="0.3">
      <c r="A371" s="50" t="str">
        <f t="shared" si="19"/>
        <v>INSTRUMENT_FLG_DFLT</v>
      </c>
      <c r="B371" t="s">
        <v>128</v>
      </c>
      <c r="C371" t="s">
        <v>577</v>
      </c>
      <c r="D371" t="s">
        <v>6</v>
      </c>
      <c r="E371" t="s">
        <v>20</v>
      </c>
      <c r="I371" t="s">
        <v>29</v>
      </c>
      <c r="J371" s="15">
        <v>45667</v>
      </c>
      <c r="K371" t="s">
        <v>20</v>
      </c>
      <c r="Q371" t="s">
        <v>132</v>
      </c>
      <c r="R371" t="s">
        <v>133</v>
      </c>
      <c r="S371" t="s">
        <v>133</v>
      </c>
      <c r="T371" t="s">
        <v>133</v>
      </c>
      <c r="U371" t="s">
        <v>133</v>
      </c>
      <c r="V371" t="s">
        <v>133</v>
      </c>
      <c r="W371" t="s">
        <v>557</v>
      </c>
      <c r="X371">
        <v>0</v>
      </c>
      <c r="Y371" t="e">
        <f>_xlfn.XLOOKUP(C371,[1]Especificação!$G:$G,[1]Especificação!$C:$C)</f>
        <v>#N/A</v>
      </c>
    </row>
    <row r="372" spans="1:25" hidden="1" x14ac:dyDescent="0.3">
      <c r="A372" s="50" t="str">
        <f t="shared" si="19"/>
        <v>INSTRUMENT_FLG_HGH_RSK</v>
      </c>
      <c r="B372" t="s">
        <v>128</v>
      </c>
      <c r="C372" t="s">
        <v>578</v>
      </c>
      <c r="D372" t="s">
        <v>6</v>
      </c>
      <c r="E372" t="s">
        <v>20</v>
      </c>
      <c r="I372" t="s">
        <v>29</v>
      </c>
      <c r="J372" s="15">
        <v>45667</v>
      </c>
      <c r="K372" t="s">
        <v>20</v>
      </c>
      <c r="Q372" t="s">
        <v>132</v>
      </c>
      <c r="R372" t="s">
        <v>133</v>
      </c>
      <c r="S372" t="s">
        <v>133</v>
      </c>
      <c r="T372" t="s">
        <v>133</v>
      </c>
      <c r="U372" t="s">
        <v>133</v>
      </c>
      <c r="V372" t="s">
        <v>133</v>
      </c>
      <c r="W372" t="s">
        <v>557</v>
      </c>
      <c r="X372">
        <v>0</v>
      </c>
      <c r="Y372" t="e">
        <f>_xlfn.XLOOKUP(C372,[1]Especificação!$G:$G,[1]Especificação!$C:$C)</f>
        <v>#N/A</v>
      </c>
    </row>
    <row r="373" spans="1:25" hidden="1" x14ac:dyDescent="0.3">
      <c r="A373" s="50" t="str">
        <f t="shared" si="19"/>
        <v>INSTRUMENT_PRTNR</v>
      </c>
      <c r="B373" t="s">
        <v>128</v>
      </c>
      <c r="C373" t="s">
        <v>579</v>
      </c>
      <c r="D373" t="s">
        <v>6</v>
      </c>
      <c r="E373" t="s">
        <v>20</v>
      </c>
      <c r="I373" t="s">
        <v>29</v>
      </c>
      <c r="J373" s="15">
        <v>45667</v>
      </c>
      <c r="K373" t="s">
        <v>20</v>
      </c>
      <c r="Q373" t="s">
        <v>132</v>
      </c>
      <c r="R373" t="s">
        <v>133</v>
      </c>
      <c r="S373" t="s">
        <v>133</v>
      </c>
      <c r="T373" t="s">
        <v>132</v>
      </c>
      <c r="U373" t="s">
        <v>133</v>
      </c>
      <c r="V373" t="s">
        <v>133</v>
      </c>
      <c r="W373" t="s">
        <v>557</v>
      </c>
      <c r="X373">
        <v>0</v>
      </c>
      <c r="Y373" t="e">
        <f>_xlfn.XLOOKUP(C373,[1]Especificação!$G:$G,[1]Especificação!$C:$C)</f>
        <v>#N/A</v>
      </c>
    </row>
    <row r="374" spans="1:25" hidden="1" x14ac:dyDescent="0.3">
      <c r="A374" s="50" t="str">
        <f t="shared" si="19"/>
        <v>INSTRUMENT_INCNTVS</v>
      </c>
      <c r="B374" t="s">
        <v>128</v>
      </c>
      <c r="C374" t="s">
        <v>580</v>
      </c>
      <c r="D374" t="s">
        <v>6</v>
      </c>
      <c r="E374" t="s">
        <v>20</v>
      </c>
      <c r="I374" t="s">
        <v>29</v>
      </c>
      <c r="J374" s="15">
        <v>45667</v>
      </c>
      <c r="K374" t="s">
        <v>20</v>
      </c>
      <c r="Q374" t="s">
        <v>132</v>
      </c>
      <c r="R374" t="s">
        <v>133</v>
      </c>
      <c r="S374" t="s">
        <v>133</v>
      </c>
      <c r="T374" t="s">
        <v>132</v>
      </c>
      <c r="U374" t="s">
        <v>133</v>
      </c>
      <c r="V374" t="s">
        <v>133</v>
      </c>
      <c r="W374" t="s">
        <v>557</v>
      </c>
      <c r="X374">
        <v>0</v>
      </c>
      <c r="Y374" t="e">
        <f>_xlfn.XLOOKUP(C374,[1]Especificação!$G:$G,[1]Especificação!$C:$C)</f>
        <v>#N/A</v>
      </c>
    </row>
    <row r="375" spans="1:25" hidden="1" x14ac:dyDescent="0.3">
      <c r="A375" s="50" t="str">
        <f t="shared" si="19"/>
        <v>INSTRUMENT_OTHR_OPRTNG_INCM</v>
      </c>
      <c r="B375" t="s">
        <v>128</v>
      </c>
      <c r="C375" t="s">
        <v>581</v>
      </c>
      <c r="D375" t="s">
        <v>6</v>
      </c>
      <c r="E375" t="s">
        <v>20</v>
      </c>
      <c r="I375" t="s">
        <v>29</v>
      </c>
      <c r="J375" s="15">
        <v>45667</v>
      </c>
      <c r="K375" t="s">
        <v>20</v>
      </c>
      <c r="Q375" t="s">
        <v>132</v>
      </c>
      <c r="R375" t="s">
        <v>133</v>
      </c>
      <c r="S375" t="s">
        <v>133</v>
      </c>
      <c r="T375" t="s">
        <v>132</v>
      </c>
      <c r="U375" t="s">
        <v>133</v>
      </c>
      <c r="V375" t="s">
        <v>133</v>
      </c>
      <c r="W375" t="s">
        <v>557</v>
      </c>
      <c r="X375">
        <v>0</v>
      </c>
      <c r="Y375" t="e">
        <f>_xlfn.XLOOKUP(C375,[1]Especificação!$G:$G,[1]Especificação!$C:$C)</f>
        <v>#N/A</v>
      </c>
    </row>
    <row r="376" spans="1:25" hidden="1" x14ac:dyDescent="0.3">
      <c r="A376" s="50" t="str">
        <f t="shared" si="19"/>
        <v>INSTRUMENT_RFRRL_FS</v>
      </c>
      <c r="B376" t="s">
        <v>128</v>
      </c>
      <c r="C376" t="s">
        <v>582</v>
      </c>
      <c r="D376" t="s">
        <v>6</v>
      </c>
      <c r="E376" t="s">
        <v>20</v>
      </c>
      <c r="I376" t="s">
        <v>29</v>
      </c>
      <c r="J376" s="15">
        <v>45667</v>
      </c>
      <c r="K376" t="s">
        <v>20</v>
      </c>
      <c r="Q376" t="s">
        <v>132</v>
      </c>
      <c r="R376" t="s">
        <v>133</v>
      </c>
      <c r="S376" t="s">
        <v>133</v>
      </c>
      <c r="T376" t="s">
        <v>132</v>
      </c>
      <c r="U376" t="s">
        <v>133</v>
      </c>
      <c r="V376" t="s">
        <v>133</v>
      </c>
      <c r="W376" t="s">
        <v>557</v>
      </c>
      <c r="X376">
        <v>0</v>
      </c>
      <c r="Y376" t="e">
        <f>_xlfn.XLOOKUP(C376,[1]Especificação!$G:$G,[1]Especificação!$C:$C)</f>
        <v>#N/A</v>
      </c>
    </row>
    <row r="377" spans="1:25" hidden="1" x14ac:dyDescent="0.3">
      <c r="A377" s="50" t="str">
        <f t="shared" si="19"/>
        <v>INSTRUMENT_INSRNC_CMSSNS</v>
      </c>
      <c r="B377" t="s">
        <v>128</v>
      </c>
      <c r="C377" t="s">
        <v>583</v>
      </c>
      <c r="D377" t="s">
        <v>6</v>
      </c>
      <c r="E377" t="s">
        <v>20</v>
      </c>
      <c r="I377" t="s">
        <v>29</v>
      </c>
      <c r="J377" s="15">
        <v>45667</v>
      </c>
      <c r="K377" t="s">
        <v>20</v>
      </c>
      <c r="Q377" t="s">
        <v>132</v>
      </c>
      <c r="R377" t="s">
        <v>133</v>
      </c>
      <c r="S377" t="s">
        <v>133</v>
      </c>
      <c r="T377" t="s">
        <v>132</v>
      </c>
      <c r="U377" t="s">
        <v>133</v>
      </c>
      <c r="V377" t="s">
        <v>133</v>
      </c>
      <c r="W377" t="s">
        <v>557</v>
      </c>
      <c r="X377">
        <v>0</v>
      </c>
      <c r="Y377" t="e">
        <f>_xlfn.XLOOKUP(C377,[1]Especificação!$G:$G,[1]Especificação!$C:$C)</f>
        <v>#N/A</v>
      </c>
    </row>
    <row r="378" spans="1:25" hidden="1" x14ac:dyDescent="0.3">
      <c r="A378" s="50" t="str">
        <f t="shared" si="19"/>
        <v>INSTRUMENT_OTHR_INCM_AND_CHRGS</v>
      </c>
      <c r="B378" t="s">
        <v>128</v>
      </c>
      <c r="C378" t="s">
        <v>584</v>
      </c>
      <c r="D378" t="s">
        <v>6</v>
      </c>
      <c r="E378" t="s">
        <v>20</v>
      </c>
      <c r="I378" t="s">
        <v>29</v>
      </c>
      <c r="J378" s="15">
        <v>45667</v>
      </c>
      <c r="K378" t="s">
        <v>20</v>
      </c>
      <c r="Q378" t="s">
        <v>132</v>
      </c>
      <c r="R378" t="s">
        <v>133</v>
      </c>
      <c r="S378" t="s">
        <v>133</v>
      </c>
      <c r="T378" t="s">
        <v>132</v>
      </c>
      <c r="U378" t="s">
        <v>133</v>
      </c>
      <c r="V378" t="s">
        <v>133</v>
      </c>
      <c r="W378" t="s">
        <v>557</v>
      </c>
      <c r="X378">
        <v>0</v>
      </c>
      <c r="Y378" t="e">
        <f>_xlfn.XLOOKUP(C378,[1]Especificação!$G:$G,[1]Especificação!$C:$C)</f>
        <v>#N/A</v>
      </c>
    </row>
    <row r="379" spans="1:25" hidden="1" x14ac:dyDescent="0.3">
      <c r="A379" s="50" t="str">
        <f t="shared" si="19"/>
        <v>INSTRUMENT_TX_ON_PRFT</v>
      </c>
      <c r="B379" t="s">
        <v>128</v>
      </c>
      <c r="C379" t="s">
        <v>585</v>
      </c>
      <c r="D379" t="s">
        <v>6</v>
      </c>
      <c r="E379" t="s">
        <v>20</v>
      </c>
      <c r="I379" t="s">
        <v>29</v>
      </c>
      <c r="J379" s="15">
        <v>45667</v>
      </c>
      <c r="K379" t="s">
        <v>20</v>
      </c>
      <c r="Q379" t="s">
        <v>132</v>
      </c>
      <c r="R379" t="s">
        <v>133</v>
      </c>
      <c r="S379" t="s">
        <v>133</v>
      </c>
      <c r="T379" t="s">
        <v>132</v>
      </c>
      <c r="U379" t="s">
        <v>133</v>
      </c>
      <c r="V379" t="s">
        <v>133</v>
      </c>
      <c r="W379" t="s">
        <v>557</v>
      </c>
      <c r="X379">
        <v>0</v>
      </c>
      <c r="Y379" t="e">
        <f>_xlfn.XLOOKUP(C379,[1]Especificação!$G:$G,[1]Especificação!$C:$C)</f>
        <v>#N/A</v>
      </c>
    </row>
    <row r="380" spans="1:25" hidden="1" x14ac:dyDescent="0.3">
      <c r="A380" s="50" t="str">
        <f t="shared" si="19"/>
        <v>PROTECTION_LND_AR</v>
      </c>
      <c r="B380" t="s">
        <v>161</v>
      </c>
      <c r="C380" t="s">
        <v>586</v>
      </c>
      <c r="D380" t="s">
        <v>6</v>
      </c>
      <c r="E380" t="s">
        <v>20</v>
      </c>
      <c r="I380" t="s">
        <v>29</v>
      </c>
      <c r="J380" s="15">
        <v>45667</v>
      </c>
      <c r="K380" t="s">
        <v>20</v>
      </c>
      <c r="Q380" t="s">
        <v>132</v>
      </c>
      <c r="R380" t="s">
        <v>133</v>
      </c>
      <c r="S380" t="s">
        <v>133</v>
      </c>
      <c r="T380" t="s">
        <v>133</v>
      </c>
      <c r="U380" t="s">
        <v>133</v>
      </c>
      <c r="V380" t="s">
        <v>133</v>
      </c>
      <c r="W380" t="s">
        <v>557</v>
      </c>
      <c r="X380">
        <v>0</v>
      </c>
      <c r="Y380" t="e">
        <f>_xlfn.XLOOKUP(C380,[1]Especificação!$G:$G,[1]Especificação!$C:$C)</f>
        <v>#N/A</v>
      </c>
    </row>
    <row r="381" spans="1:25" hidden="1" x14ac:dyDescent="0.3">
      <c r="A381" s="50" t="str">
        <f t="shared" si="19"/>
        <v>PROTECTION_LN_PSTN</v>
      </c>
      <c r="B381" t="s">
        <v>161</v>
      </c>
      <c r="C381" t="s">
        <v>587</v>
      </c>
      <c r="D381" t="s">
        <v>6</v>
      </c>
      <c r="E381" t="s">
        <v>20</v>
      </c>
      <c r="I381" t="s">
        <v>29</v>
      </c>
      <c r="J381" s="15">
        <v>45667</v>
      </c>
      <c r="K381" t="s">
        <v>20</v>
      </c>
      <c r="Q381" t="s">
        <v>132</v>
      </c>
      <c r="R381" t="s">
        <v>133</v>
      </c>
      <c r="S381" t="s">
        <v>133</v>
      </c>
      <c r="T381" t="s">
        <v>133</v>
      </c>
      <c r="U381" t="s">
        <v>133</v>
      </c>
      <c r="V381" t="s">
        <v>133</v>
      </c>
      <c r="W381" t="s">
        <v>557</v>
      </c>
      <c r="X381">
        <v>0</v>
      </c>
      <c r="Y381" t="e">
        <f>_xlfn.XLOOKUP(C381,[1]Especificação!$G:$G,[1]Especificação!$C:$C)</f>
        <v>#N/A</v>
      </c>
    </row>
    <row r="382" spans="1:25" hidden="1" x14ac:dyDescent="0.3">
      <c r="A382" s="50" t="str">
        <f t="shared" si="19"/>
        <v>PROTECTION_RL_ESTT_LNGTD</v>
      </c>
      <c r="B382" t="s">
        <v>161</v>
      </c>
      <c r="C382" t="s">
        <v>588</v>
      </c>
      <c r="D382" t="s">
        <v>6</v>
      </c>
      <c r="E382" t="s">
        <v>20</v>
      </c>
      <c r="I382" t="s">
        <v>29</v>
      </c>
      <c r="J382" s="15">
        <v>45667</v>
      </c>
      <c r="K382" t="s">
        <v>20</v>
      </c>
      <c r="Q382" t="s">
        <v>132</v>
      </c>
      <c r="R382" t="s">
        <v>133</v>
      </c>
      <c r="S382" t="s">
        <v>133</v>
      </c>
      <c r="T382" t="s">
        <v>133</v>
      </c>
      <c r="U382" t="s">
        <v>133</v>
      </c>
      <c r="V382" t="s">
        <v>133</v>
      </c>
      <c r="W382" t="s">
        <v>557</v>
      </c>
      <c r="X382">
        <v>0</v>
      </c>
      <c r="Y382" t="e">
        <f>_xlfn.XLOOKUP(C382,[1]Especificação!$G:$G,[1]Especificação!$C:$C)</f>
        <v>#N/A</v>
      </c>
    </row>
    <row r="383" spans="1:25" hidden="1" x14ac:dyDescent="0.3">
      <c r="A383" s="50" t="str">
        <f t="shared" si="19"/>
        <v>PROTECTION_RL_ESTT_LTTD</v>
      </c>
      <c r="B383" t="s">
        <v>161</v>
      </c>
      <c r="C383" t="s">
        <v>589</v>
      </c>
      <c r="D383" t="s">
        <v>6</v>
      </c>
      <c r="E383" t="s">
        <v>20</v>
      </c>
      <c r="I383" t="s">
        <v>29</v>
      </c>
      <c r="J383" s="15">
        <v>45667</v>
      </c>
      <c r="K383" t="s">
        <v>20</v>
      </c>
      <c r="Q383" t="s">
        <v>132</v>
      </c>
      <c r="R383" t="s">
        <v>133</v>
      </c>
      <c r="S383" t="s">
        <v>133</v>
      </c>
      <c r="T383" t="s">
        <v>133</v>
      </c>
      <c r="U383" t="s">
        <v>133</v>
      </c>
      <c r="V383" t="s">
        <v>133</v>
      </c>
      <c r="W383" t="s">
        <v>557</v>
      </c>
      <c r="X383">
        <v>0</v>
      </c>
      <c r="Y383" t="e">
        <f>_xlfn.XLOOKUP(C383,[1]Especificação!$G:$G,[1]Especificação!$C:$C)</f>
        <v>#N/A</v>
      </c>
    </row>
    <row r="384" spans="1:25" hidden="1" x14ac:dyDescent="0.3">
      <c r="A384" s="50" t="str">
        <f t="shared" si="19"/>
        <v>INSTR_ACTIVITY_PRCNTG_ACTVTY</v>
      </c>
      <c r="B384" t="s">
        <v>590</v>
      </c>
      <c r="C384" t="s">
        <v>591</v>
      </c>
      <c r="D384" t="s">
        <v>6</v>
      </c>
      <c r="E384" t="s">
        <v>20</v>
      </c>
      <c r="I384" t="s">
        <v>29</v>
      </c>
      <c r="J384" s="15">
        <v>45667</v>
      </c>
      <c r="K384" t="s">
        <v>20</v>
      </c>
      <c r="Q384" t="s">
        <v>132</v>
      </c>
      <c r="R384" t="s">
        <v>132</v>
      </c>
      <c r="S384" t="s">
        <v>132</v>
      </c>
      <c r="T384" t="s">
        <v>133</v>
      </c>
      <c r="U384" t="s">
        <v>133</v>
      </c>
      <c r="V384" t="s">
        <v>133</v>
      </c>
      <c r="W384" t="s">
        <v>557</v>
      </c>
      <c r="X384">
        <v>0</v>
      </c>
      <c r="Y384" t="e">
        <f>_xlfn.XLOOKUP(C384,[1]Especificação!$G:$G,[1]Especificação!$C:$C)</f>
        <v>#N/A</v>
      </c>
    </row>
    <row r="385" spans="1:25" hidden="1" x14ac:dyDescent="0.3">
      <c r="A385" s="50" t="str">
        <f t="shared" si="19"/>
        <v>INSTRUMENT_PD_EC_INCPTN</v>
      </c>
      <c r="B385" t="s">
        <v>128</v>
      </c>
      <c r="C385" t="s">
        <v>1282</v>
      </c>
      <c r="D385" t="s">
        <v>6</v>
      </c>
      <c r="E385" t="s">
        <v>20</v>
      </c>
      <c r="I385" t="s">
        <v>29</v>
      </c>
      <c r="J385" s="15">
        <v>45952</v>
      </c>
      <c r="K385" t="s">
        <v>38</v>
      </c>
      <c r="O385" s="15">
        <v>45952</v>
      </c>
      <c r="Q385" t="s">
        <v>133</v>
      </c>
      <c r="R385" t="s">
        <v>133</v>
      </c>
      <c r="S385" t="s">
        <v>133</v>
      </c>
      <c r="T385" t="s">
        <v>133</v>
      </c>
      <c r="U385" t="s">
        <v>133</v>
      </c>
      <c r="V385" t="s">
        <v>132</v>
      </c>
      <c r="W385" t="s">
        <v>138</v>
      </c>
      <c r="X385" t="s">
        <v>575</v>
      </c>
      <c r="Y385" t="str">
        <f>_xlfn.XLOOKUP(C385,[1]Especificação!$G:$G,[1]Especificação!$C:$C)</f>
        <v>A. Novos Campos</v>
      </c>
    </row>
    <row r="386" spans="1:25" hidden="1" x14ac:dyDescent="0.3">
      <c r="A386" s="50" t="str">
        <f t="shared" ref="A386:A408" si="22">B386&amp;"_"&amp;C386</f>
        <v>INSTRUMENT_PD_EC_RD</v>
      </c>
      <c r="B386" t="s">
        <v>128</v>
      </c>
      <c r="C386" t="s">
        <v>1281</v>
      </c>
      <c r="D386" t="s">
        <v>6</v>
      </c>
      <c r="E386" t="s">
        <v>20</v>
      </c>
      <c r="I386" t="s">
        <v>29</v>
      </c>
      <c r="J386" s="15">
        <v>45952</v>
      </c>
      <c r="K386" t="s">
        <v>36</v>
      </c>
      <c r="L386" t="s">
        <v>149</v>
      </c>
      <c r="M386" t="s">
        <v>1294</v>
      </c>
      <c r="N386" s="15"/>
      <c r="O386" s="15">
        <v>45952</v>
      </c>
      <c r="Q386" t="s">
        <v>132</v>
      </c>
      <c r="R386" t="s">
        <v>133</v>
      </c>
      <c r="S386" t="s">
        <v>133</v>
      </c>
      <c r="T386" t="s">
        <v>133</v>
      </c>
      <c r="U386" t="s">
        <v>133</v>
      </c>
      <c r="V386" t="s">
        <v>132</v>
      </c>
      <c r="W386" t="s">
        <v>138</v>
      </c>
      <c r="X386" t="s">
        <v>575</v>
      </c>
      <c r="Y386" t="str">
        <f>_xlfn.XLOOKUP(C386,[1]Especificação!$G:$G,[1]Especificação!$C:$C)</f>
        <v>A. Novos Campos</v>
      </c>
    </row>
    <row r="387" spans="1:25" hidden="1" x14ac:dyDescent="0.3">
      <c r="A387" s="50" t="str">
        <f t="shared" si="22"/>
        <v>INSTRUMENT_US_PRCDS</v>
      </c>
      <c r="B387" t="s">
        <v>128</v>
      </c>
      <c r="C387" t="s">
        <v>1325</v>
      </c>
      <c r="D387" t="s">
        <v>6</v>
      </c>
      <c r="E387" t="s">
        <v>20</v>
      </c>
      <c r="I387" t="s">
        <v>29</v>
      </c>
      <c r="J387" s="15">
        <v>45952</v>
      </c>
      <c r="K387" t="s">
        <v>38</v>
      </c>
      <c r="O387" s="15">
        <v>45952</v>
      </c>
      <c r="Q387" t="str">
        <f>_xlfn.XLOOKUP(C387,[2]Overview!$E:$E,[2]Overview!$Z:$Z)</f>
        <v>N</v>
      </c>
      <c r="R387" t="str">
        <f>_xlfn.XLOOKUP(C387,[2]Overview!$E:$E,[2]Overview!$AA:$AA)</f>
        <v>N</v>
      </c>
      <c r="S387" t="str">
        <f>_xlfn.XLOOKUP(C387,[2]Overview!$E:$E,[2]Overview!$AB:$AB)</f>
        <v>N</v>
      </c>
      <c r="T387" t="str">
        <f>_xlfn.XLOOKUP(C387,[2]Overview!$E:$E,[2]Overview!$AC:$AC)</f>
        <v>N</v>
      </c>
      <c r="U387" t="str">
        <f>_xlfn.XLOOKUP(C387,[2]Overview!$E:$E,[2]Overview!$AD:$AD)</f>
        <v>N</v>
      </c>
      <c r="V387" t="str">
        <f>_xlfn.XLOOKUP(C387,[2]Overview!$E:$E,[2]Overview!$AE:$AE)</f>
        <v>Y</v>
      </c>
      <c r="W387" t="s">
        <v>138</v>
      </c>
      <c r="X387" t="s">
        <v>575</v>
      </c>
      <c r="Y387" t="str">
        <f>_xlfn.XLOOKUP(C387,[1]Especificação!$G:$G,[1]Especificação!$C:$C)</f>
        <v>A. Novos Campos</v>
      </c>
    </row>
    <row r="388" spans="1:25" hidden="1" x14ac:dyDescent="0.3">
      <c r="A388" s="50" t="str">
        <f t="shared" si="22"/>
        <v>INSTRUMENT_TYP_FCLTY</v>
      </c>
      <c r="B388" t="s">
        <v>128</v>
      </c>
      <c r="C388" t="s">
        <v>1326</v>
      </c>
      <c r="D388" t="s">
        <v>6</v>
      </c>
      <c r="E388" t="s">
        <v>20</v>
      </c>
      <c r="I388" t="s">
        <v>29</v>
      </c>
      <c r="J388" s="15">
        <v>45952</v>
      </c>
      <c r="K388" t="s">
        <v>38</v>
      </c>
      <c r="O388" s="15">
        <v>45952</v>
      </c>
      <c r="Q388" t="str">
        <f>_xlfn.XLOOKUP(C388,[2]Overview!$E:$E,[2]Overview!$Z:$Z)</f>
        <v>N</v>
      </c>
      <c r="R388" t="str">
        <f>_xlfn.XLOOKUP(C388,[2]Overview!$E:$E,[2]Overview!$AA:$AA)</f>
        <v>N</v>
      </c>
      <c r="S388" t="str">
        <f>_xlfn.XLOOKUP(C388,[2]Overview!$E:$E,[2]Overview!$AB:$AB)</f>
        <v>N</v>
      </c>
      <c r="T388" t="str">
        <f>_xlfn.XLOOKUP(C388,[2]Overview!$E:$E,[2]Overview!$AC:$AC)</f>
        <v>N</v>
      </c>
      <c r="U388" t="str">
        <f>_xlfn.XLOOKUP(C388,[2]Overview!$E:$E,[2]Overview!$AD:$AD)</f>
        <v>N</v>
      </c>
      <c r="V388" t="str">
        <f>_xlfn.XLOOKUP(C388,[2]Overview!$E:$E,[2]Overview!$AE:$AE)</f>
        <v>Y</v>
      </c>
      <c r="W388" t="s">
        <v>138</v>
      </c>
      <c r="X388" t="s">
        <v>575</v>
      </c>
      <c r="Y388" t="str">
        <f>_xlfn.XLOOKUP(C388,[1]Especificação!$G:$G,[1]Especificação!$C:$C)</f>
        <v>A. Novos Campos</v>
      </c>
    </row>
    <row r="389" spans="1:25" hidden="1" x14ac:dyDescent="0.3">
      <c r="A389" s="50" t="str">
        <f t="shared" si="22"/>
        <v>INSTRUMENT_TYP_DL</v>
      </c>
      <c r="B389" t="s">
        <v>128</v>
      </c>
      <c r="C389" t="s">
        <v>1327</v>
      </c>
      <c r="D389" t="s">
        <v>6</v>
      </c>
      <c r="E389" t="s">
        <v>20</v>
      </c>
      <c r="I389" t="s">
        <v>29</v>
      </c>
      <c r="J389" s="15">
        <v>45952</v>
      </c>
      <c r="K389" t="s">
        <v>38</v>
      </c>
      <c r="O389" s="15">
        <v>45952</v>
      </c>
      <c r="Q389" t="str">
        <f>_xlfn.XLOOKUP(C389,[2]Overview!$E:$E,[2]Overview!$Z:$Z)</f>
        <v>N</v>
      </c>
      <c r="R389" t="str">
        <f>_xlfn.XLOOKUP(C389,[2]Overview!$E:$E,[2]Overview!$AA:$AA)</f>
        <v>N</v>
      </c>
      <c r="S389" t="str">
        <f>_xlfn.XLOOKUP(C389,[2]Overview!$E:$E,[2]Overview!$AB:$AB)</f>
        <v>N</v>
      </c>
      <c r="T389" t="str">
        <f>_xlfn.XLOOKUP(C389,[2]Overview!$E:$E,[2]Overview!$AC:$AC)</f>
        <v>N</v>
      </c>
      <c r="U389" t="str">
        <f>_xlfn.XLOOKUP(C389,[2]Overview!$E:$E,[2]Overview!$AD:$AD)</f>
        <v>N</v>
      </c>
      <c r="V389" t="str">
        <f>_xlfn.XLOOKUP(C389,[2]Overview!$E:$E,[2]Overview!$AE:$AE)</f>
        <v>Y</v>
      </c>
      <c r="W389" t="s">
        <v>138</v>
      </c>
      <c r="X389" t="s">
        <v>575</v>
      </c>
      <c r="Y389" t="str">
        <f>_xlfn.XLOOKUP(C389,[1]Especificação!$G:$G,[1]Especificação!$C:$C)</f>
        <v>A. Novos Campos</v>
      </c>
    </row>
    <row r="390" spans="1:25" hidden="1" x14ac:dyDescent="0.3">
      <c r="A390" s="50" t="str">
        <f t="shared" si="22"/>
        <v>INSTRUMENT_TYP_CL</v>
      </c>
      <c r="B390" t="s">
        <v>128</v>
      </c>
      <c r="C390" t="s">
        <v>1328</v>
      </c>
      <c r="D390" t="s">
        <v>6</v>
      </c>
      <c r="E390" t="s">
        <v>20</v>
      </c>
      <c r="I390" t="s">
        <v>29</v>
      </c>
      <c r="J390" s="15">
        <v>45952</v>
      </c>
      <c r="K390" t="s">
        <v>38</v>
      </c>
      <c r="O390" s="15">
        <v>45952</v>
      </c>
      <c r="Q390" t="str">
        <f>_xlfn.XLOOKUP(C390,[2]Overview!$E:$E,[2]Overview!$Z:$Z)</f>
        <v>N</v>
      </c>
      <c r="R390" t="str">
        <f>_xlfn.XLOOKUP(C390,[2]Overview!$E:$E,[2]Overview!$AA:$AA)</f>
        <v>N</v>
      </c>
      <c r="S390" t="str">
        <f>_xlfn.XLOOKUP(C390,[2]Overview!$E:$E,[2]Overview!$AB:$AB)</f>
        <v>N</v>
      </c>
      <c r="T390" t="str">
        <f>_xlfn.XLOOKUP(C390,[2]Overview!$E:$E,[2]Overview!$AC:$AC)</f>
        <v>N</v>
      </c>
      <c r="U390" t="str">
        <f>_xlfn.XLOOKUP(C390,[2]Overview!$E:$E,[2]Overview!$AD:$AD)</f>
        <v>N</v>
      </c>
      <c r="V390" t="str">
        <f>_xlfn.XLOOKUP(C390,[2]Overview!$E:$E,[2]Overview!$AE:$AE)</f>
        <v>Y</v>
      </c>
      <c r="W390" t="s">
        <v>138</v>
      </c>
      <c r="X390" t="s">
        <v>575</v>
      </c>
      <c r="Y390" t="str">
        <f>_xlfn.XLOOKUP(C390,[1]Especificação!$G:$G,[1]Especificação!$C:$C)</f>
        <v>A. Novos Campos</v>
      </c>
    </row>
    <row r="391" spans="1:25" hidden="1" x14ac:dyDescent="0.3">
      <c r="A391" s="50" t="str">
        <f t="shared" si="22"/>
        <v>ENTITY_TTL_PRMSSBL_DBT_BLNC</v>
      </c>
      <c r="B391" t="s">
        <v>142</v>
      </c>
      <c r="C391" t="s">
        <v>1329</v>
      </c>
      <c r="D391" t="s">
        <v>6</v>
      </c>
      <c r="E391" t="s">
        <v>20</v>
      </c>
      <c r="I391" t="s">
        <v>29</v>
      </c>
      <c r="J391" s="15">
        <v>45952</v>
      </c>
      <c r="K391" t="s">
        <v>38</v>
      </c>
      <c r="O391" s="15">
        <v>45952</v>
      </c>
      <c r="Q391" t="str">
        <f>_xlfn.XLOOKUP(C391,[2]Overview!$E:$E,[2]Overview!$Z:$Z)</f>
        <v>N</v>
      </c>
      <c r="R391" t="str">
        <f>_xlfn.XLOOKUP(C391,[2]Overview!$E:$E,[2]Overview!$AA:$AA)</f>
        <v>N</v>
      </c>
      <c r="S391" t="str">
        <f>_xlfn.XLOOKUP(C391,[2]Overview!$E:$E,[2]Overview!$AB:$AB)</f>
        <v>N</v>
      </c>
      <c r="T391" t="str">
        <f>_xlfn.XLOOKUP(C391,[2]Overview!$E:$E,[2]Overview!$AC:$AC)</f>
        <v>N</v>
      </c>
      <c r="U391" t="str">
        <f>_xlfn.XLOOKUP(C391,[2]Overview!$E:$E,[2]Overview!$AD:$AD)</f>
        <v>N</v>
      </c>
      <c r="V391" t="str">
        <f>_xlfn.XLOOKUP(C391,[2]Overview!$E:$E,[2]Overview!$AE:$AE)</f>
        <v>Y</v>
      </c>
      <c r="W391" t="s">
        <v>138</v>
      </c>
      <c r="X391" t="s">
        <v>575</v>
      </c>
      <c r="Y391" t="str">
        <f>_xlfn.XLOOKUP(C391,[1]Especificação!$G:$G,[1]Especificação!$C:$C)</f>
        <v>A. Novos Campos</v>
      </c>
    </row>
    <row r="392" spans="1:25" hidden="1" x14ac:dyDescent="0.3">
      <c r="A392" s="50" t="str">
        <f t="shared" si="22"/>
        <v>INSTRUMENT_TTL_LVRG_RT_INCPTN_HLT</v>
      </c>
      <c r="B392" t="s">
        <v>128</v>
      </c>
      <c r="C392" t="s">
        <v>1330</v>
      </c>
      <c r="D392" t="s">
        <v>6</v>
      </c>
      <c r="E392" t="s">
        <v>20</v>
      </c>
      <c r="I392" t="s">
        <v>29</v>
      </c>
      <c r="J392" s="15">
        <v>45952</v>
      </c>
      <c r="K392" t="s">
        <v>38</v>
      </c>
      <c r="O392" s="15">
        <v>45952</v>
      </c>
      <c r="Q392" t="str">
        <f>_xlfn.XLOOKUP(C392,[2]Overview!$E:$E,[2]Overview!$Z:$Z)</f>
        <v>N</v>
      </c>
      <c r="R392" t="str">
        <f>_xlfn.XLOOKUP(C392,[2]Overview!$E:$E,[2]Overview!$AA:$AA)</f>
        <v>N</v>
      </c>
      <c r="S392" t="str">
        <f>_xlfn.XLOOKUP(C392,[2]Overview!$E:$E,[2]Overview!$AB:$AB)</f>
        <v>N</v>
      </c>
      <c r="T392" t="str">
        <f>_xlfn.XLOOKUP(C392,[2]Overview!$E:$E,[2]Overview!$AC:$AC)</f>
        <v>N</v>
      </c>
      <c r="U392" t="str">
        <f>_xlfn.XLOOKUP(C392,[2]Overview!$E:$E,[2]Overview!$AD:$AD)</f>
        <v>N</v>
      </c>
      <c r="V392" t="str">
        <f>_xlfn.XLOOKUP(C392,[2]Overview!$E:$E,[2]Overview!$AE:$AE)</f>
        <v>Y</v>
      </c>
      <c r="W392" t="s">
        <v>138</v>
      </c>
      <c r="X392" t="s">
        <v>575</v>
      </c>
      <c r="Y392" t="str">
        <f>_xlfn.XLOOKUP(C392,[1]Especificação!$G:$G,[1]Especificação!$C:$C)</f>
        <v>A. Novos Campos</v>
      </c>
    </row>
    <row r="393" spans="1:25" hidden="1" x14ac:dyDescent="0.3">
      <c r="A393" s="50" t="str">
        <f t="shared" si="22"/>
        <v>INSTRUMENT_TTL_LVRG_RT_INCPTN</v>
      </c>
      <c r="B393" t="s">
        <v>128</v>
      </c>
      <c r="C393" t="s">
        <v>1331</v>
      </c>
      <c r="D393" t="s">
        <v>6</v>
      </c>
      <c r="E393" t="s">
        <v>20</v>
      </c>
      <c r="I393" t="s">
        <v>29</v>
      </c>
      <c r="J393" s="15">
        <v>45952</v>
      </c>
      <c r="K393" t="s">
        <v>38</v>
      </c>
      <c r="O393" s="15">
        <v>45952</v>
      </c>
      <c r="Q393" t="str">
        <f>_xlfn.XLOOKUP(C393,[2]Overview!$E:$E,[2]Overview!$Z:$Z)</f>
        <v>N</v>
      </c>
      <c r="R393" t="str">
        <f>_xlfn.XLOOKUP(C393,[2]Overview!$E:$E,[2]Overview!$AA:$AA)</f>
        <v>N</v>
      </c>
      <c r="S393" t="str">
        <f>_xlfn.XLOOKUP(C393,[2]Overview!$E:$E,[2]Overview!$AB:$AB)</f>
        <v>N</v>
      </c>
      <c r="T393" t="str">
        <f>_xlfn.XLOOKUP(C393,[2]Overview!$E:$E,[2]Overview!$AC:$AC)</f>
        <v>N</v>
      </c>
      <c r="U393" t="str">
        <f>_xlfn.XLOOKUP(C393,[2]Overview!$E:$E,[2]Overview!$AD:$AD)</f>
        <v>N</v>
      </c>
      <c r="V393" t="str">
        <f>_xlfn.XLOOKUP(C393,[2]Overview!$E:$E,[2]Overview!$AE:$AE)</f>
        <v>Y</v>
      </c>
      <c r="W393" t="s">
        <v>138</v>
      </c>
      <c r="X393" t="s">
        <v>575</v>
      </c>
      <c r="Y393" t="str">
        <f>_xlfn.XLOOKUP(C393,[1]Especificação!$G:$G,[1]Especificação!$C:$C)</f>
        <v>A. Novos Campos</v>
      </c>
    </row>
    <row r="394" spans="1:25" hidden="1" x14ac:dyDescent="0.3">
      <c r="A394" s="50" t="str">
        <f t="shared" si="22"/>
        <v>ENTITY_SCAN</v>
      </c>
      <c r="B394" t="s">
        <v>142</v>
      </c>
      <c r="C394" t="s">
        <v>1332</v>
      </c>
      <c r="D394" t="s">
        <v>6</v>
      </c>
      <c r="E394" t="s">
        <v>20</v>
      </c>
      <c r="I394" t="s">
        <v>29</v>
      </c>
      <c r="J394" s="15">
        <v>45952</v>
      </c>
      <c r="K394" t="s">
        <v>38</v>
      </c>
      <c r="O394" s="15">
        <v>45952</v>
      </c>
      <c r="Q394" t="str">
        <f>_xlfn.XLOOKUP(C394,[2]Overview!$E:$E,[2]Overview!$Z:$Z)</f>
        <v>N</v>
      </c>
      <c r="R394" t="str">
        <f>_xlfn.XLOOKUP(C394,[2]Overview!$E:$E,[2]Overview!$AA:$AA)</f>
        <v>N</v>
      </c>
      <c r="S394" t="str">
        <f>_xlfn.XLOOKUP(C394,[2]Overview!$E:$E,[2]Overview!$AB:$AB)</f>
        <v>N</v>
      </c>
      <c r="T394" t="str">
        <f>_xlfn.XLOOKUP(C394,[2]Overview!$E:$E,[2]Overview!$AC:$AC)</f>
        <v>N</v>
      </c>
      <c r="U394" t="str">
        <f>_xlfn.XLOOKUP(C394,[2]Overview!$E:$E,[2]Overview!$AD:$AD)</f>
        <v>N</v>
      </c>
      <c r="V394" t="str">
        <f>_xlfn.XLOOKUP(C394,[2]Overview!$E:$E,[2]Overview!$AE:$AE)</f>
        <v>Y</v>
      </c>
      <c r="W394" t="s">
        <v>138</v>
      </c>
      <c r="X394" t="s">
        <v>575</v>
      </c>
      <c r="Y394" t="str">
        <f>_xlfn.XLOOKUP(C394,[1]Especificação!$G:$G,[1]Especificação!$C:$C)</f>
        <v>A. Novos Campos</v>
      </c>
    </row>
    <row r="395" spans="1:25" hidden="1" x14ac:dyDescent="0.3">
      <c r="A395" s="50" t="str">
        <f t="shared" si="22"/>
        <v>INSTRUMENT_RWA_PRMTGTN</v>
      </c>
      <c r="B395" t="s">
        <v>128</v>
      </c>
      <c r="C395" t="s">
        <v>1333</v>
      </c>
      <c r="D395" t="s">
        <v>6</v>
      </c>
      <c r="E395" t="s">
        <v>20</v>
      </c>
      <c r="I395" t="s">
        <v>29</v>
      </c>
      <c r="J395" s="15">
        <v>45952</v>
      </c>
      <c r="K395" t="s">
        <v>38</v>
      </c>
      <c r="O395" s="15">
        <v>45952</v>
      </c>
      <c r="Q395" t="str">
        <f>_xlfn.XLOOKUP(C395,[2]Overview!$E:$E,[2]Overview!$Z:$Z)</f>
        <v>N</v>
      </c>
      <c r="R395" t="str">
        <f>_xlfn.XLOOKUP(C395,[2]Overview!$E:$E,[2]Overview!$AA:$AA)</f>
        <v>N</v>
      </c>
      <c r="S395" t="str">
        <f>_xlfn.XLOOKUP(C395,[2]Overview!$E:$E,[2]Overview!$AB:$AB)</f>
        <v>N</v>
      </c>
      <c r="T395" t="str">
        <f>_xlfn.XLOOKUP(C395,[2]Overview!$E:$E,[2]Overview!$AC:$AC)</f>
        <v>N</v>
      </c>
      <c r="U395" t="str">
        <f>_xlfn.XLOOKUP(C395,[2]Overview!$E:$E,[2]Overview!$AD:$AD)</f>
        <v>N</v>
      </c>
      <c r="V395" t="str">
        <f>_xlfn.XLOOKUP(C395,[2]Overview!$E:$E,[2]Overview!$AE:$AE)</f>
        <v>Y</v>
      </c>
      <c r="W395" t="s">
        <v>138</v>
      </c>
      <c r="X395" t="s">
        <v>575</v>
      </c>
      <c r="Y395" t="str">
        <f>_xlfn.XLOOKUP(C395,[1]Especificação!$G:$G,[1]Especificação!$C:$C)</f>
        <v>A. Novos Campos</v>
      </c>
    </row>
    <row r="396" spans="1:25" hidden="1" x14ac:dyDescent="0.3">
      <c r="A396" s="50" t="str">
        <f t="shared" si="22"/>
        <v>INSTRUMENT_RWA_MTGTN</v>
      </c>
      <c r="B396" t="s">
        <v>128</v>
      </c>
      <c r="C396" t="s">
        <v>1334</v>
      </c>
      <c r="D396" t="s">
        <v>6</v>
      </c>
      <c r="E396" t="s">
        <v>20</v>
      </c>
      <c r="I396" t="s">
        <v>29</v>
      </c>
      <c r="J396" s="15">
        <v>45952</v>
      </c>
      <c r="K396" t="s">
        <v>38</v>
      </c>
      <c r="O396" s="15">
        <v>45952</v>
      </c>
      <c r="Q396" t="str">
        <f>_xlfn.XLOOKUP(C396,[2]Overview!$E:$E,[2]Overview!$Z:$Z)</f>
        <v>N</v>
      </c>
      <c r="R396" t="str">
        <f>_xlfn.XLOOKUP(C396,[2]Overview!$E:$E,[2]Overview!$AA:$AA)</f>
        <v>N</v>
      </c>
      <c r="S396" t="str">
        <f>_xlfn.XLOOKUP(C396,[2]Overview!$E:$E,[2]Overview!$AB:$AB)</f>
        <v>N</v>
      </c>
      <c r="T396" t="str">
        <f>_xlfn.XLOOKUP(C396,[2]Overview!$E:$E,[2]Overview!$AC:$AC)</f>
        <v>N</v>
      </c>
      <c r="U396" t="str">
        <f>_xlfn.XLOOKUP(C396,[2]Overview!$E:$E,[2]Overview!$AD:$AD)</f>
        <v>N</v>
      </c>
      <c r="V396" t="str">
        <f>_xlfn.XLOOKUP(C396,[2]Overview!$E:$E,[2]Overview!$AE:$AE)</f>
        <v>Y</v>
      </c>
      <c r="W396" t="s">
        <v>138</v>
      </c>
      <c r="X396" t="s">
        <v>575</v>
      </c>
      <c r="Y396" t="str">
        <f>_xlfn.XLOOKUP(C396,[1]Especificação!$G:$G,[1]Especificação!$C:$C)</f>
        <v>A. Novos Campos</v>
      </c>
    </row>
    <row r="397" spans="1:25" hidden="1" x14ac:dyDescent="0.3">
      <c r="A397" s="50" t="str">
        <f t="shared" si="22"/>
        <v>ENTITY_RORWA</v>
      </c>
      <c r="B397" t="s">
        <v>142</v>
      </c>
      <c r="C397" t="s">
        <v>1335</v>
      </c>
      <c r="D397" t="s">
        <v>6</v>
      </c>
      <c r="E397" t="s">
        <v>20</v>
      </c>
      <c r="I397" t="s">
        <v>29</v>
      </c>
      <c r="J397" s="15">
        <v>45952</v>
      </c>
      <c r="K397" t="s">
        <v>38</v>
      </c>
      <c r="O397" s="15">
        <v>45952</v>
      </c>
      <c r="Q397" t="str">
        <f>_xlfn.XLOOKUP(C397,[2]Overview!$E:$E,[2]Overview!$Z:$Z)</f>
        <v>N</v>
      </c>
      <c r="R397" t="str">
        <f>_xlfn.XLOOKUP(C397,[2]Overview!$E:$E,[2]Overview!$AA:$AA)</f>
        <v>N</v>
      </c>
      <c r="S397" t="str">
        <f>_xlfn.XLOOKUP(C397,[2]Overview!$E:$E,[2]Overview!$AB:$AB)</f>
        <v>N</v>
      </c>
      <c r="T397" t="str">
        <f>_xlfn.XLOOKUP(C397,[2]Overview!$E:$E,[2]Overview!$AC:$AC)</f>
        <v>N</v>
      </c>
      <c r="U397" t="str">
        <f>_xlfn.XLOOKUP(C397,[2]Overview!$E:$E,[2]Overview!$AD:$AD)</f>
        <v>N</v>
      </c>
      <c r="V397" t="str">
        <f>_xlfn.XLOOKUP(C397,[2]Overview!$E:$E,[2]Overview!$AE:$AE)</f>
        <v>Y</v>
      </c>
      <c r="W397" t="s">
        <v>138</v>
      </c>
      <c r="X397" t="s">
        <v>575</v>
      </c>
      <c r="Y397" t="str">
        <f>_xlfn.XLOOKUP(C397,[1]Especificação!$G:$G,[1]Especificação!$C:$C)</f>
        <v>A. Novos Campos</v>
      </c>
    </row>
    <row r="398" spans="1:25" hidden="1" x14ac:dyDescent="0.3">
      <c r="A398" s="50" t="str">
        <f t="shared" si="22"/>
        <v>INSTRUMENT_RORWA</v>
      </c>
      <c r="B398" t="s">
        <v>128</v>
      </c>
      <c r="C398" t="s">
        <v>1335</v>
      </c>
      <c r="D398" t="s">
        <v>6</v>
      </c>
      <c r="E398" t="s">
        <v>20</v>
      </c>
      <c r="I398" t="s">
        <v>29</v>
      </c>
      <c r="J398" s="15">
        <v>45952</v>
      </c>
      <c r="K398" t="s">
        <v>38</v>
      </c>
      <c r="O398" s="15">
        <v>45952</v>
      </c>
      <c r="Q398" t="str">
        <f>_xlfn.XLOOKUP(C398,[2]Overview!$E:$E,[2]Overview!$Z:$Z)</f>
        <v>N</v>
      </c>
      <c r="R398" t="str">
        <f>_xlfn.XLOOKUP(C398,[2]Overview!$E:$E,[2]Overview!$AA:$AA)</f>
        <v>N</v>
      </c>
      <c r="S398" t="str">
        <f>_xlfn.XLOOKUP(C398,[2]Overview!$E:$E,[2]Overview!$AB:$AB)</f>
        <v>N</v>
      </c>
      <c r="T398" t="str">
        <f>_xlfn.XLOOKUP(C398,[2]Overview!$E:$E,[2]Overview!$AC:$AC)</f>
        <v>N</v>
      </c>
      <c r="U398" t="str">
        <f>_xlfn.XLOOKUP(C398,[2]Overview!$E:$E,[2]Overview!$AD:$AD)</f>
        <v>N</v>
      </c>
      <c r="V398" t="str">
        <f>_xlfn.XLOOKUP(C398,[2]Overview!$E:$E,[2]Overview!$AE:$AE)</f>
        <v>Y</v>
      </c>
      <c r="W398" t="s">
        <v>138</v>
      </c>
      <c r="X398" t="s">
        <v>575</v>
      </c>
      <c r="Y398" t="str">
        <f>_xlfn.XLOOKUP(C398,[1]Especificação!$G:$G,[1]Especificação!$C:$C)</f>
        <v>A. Novos Campos</v>
      </c>
    </row>
    <row r="399" spans="1:25" hidden="1" x14ac:dyDescent="0.3">
      <c r="A399" s="50" t="str">
        <f t="shared" si="22"/>
        <v>ENTITY_RORAC</v>
      </c>
      <c r="B399" t="s">
        <v>142</v>
      </c>
      <c r="C399" t="s">
        <v>1336</v>
      </c>
      <c r="D399" t="s">
        <v>6</v>
      </c>
      <c r="E399" t="s">
        <v>20</v>
      </c>
      <c r="I399" t="s">
        <v>29</v>
      </c>
      <c r="J399" s="15">
        <v>45952</v>
      </c>
      <c r="K399" t="s">
        <v>1345</v>
      </c>
      <c r="O399" s="15">
        <v>45952</v>
      </c>
      <c r="Q399" t="str">
        <f>_xlfn.XLOOKUP(C399,[2]Overview!$E:$E,[2]Overview!$Z:$Z)</f>
        <v>N</v>
      </c>
      <c r="R399" t="str">
        <f>_xlfn.XLOOKUP(C399,[2]Overview!$E:$E,[2]Overview!$AA:$AA)</f>
        <v>N</v>
      </c>
      <c r="S399" t="str">
        <f>_xlfn.XLOOKUP(C399,[2]Overview!$E:$E,[2]Overview!$AB:$AB)</f>
        <v>N</v>
      </c>
      <c r="T399" t="str">
        <f>_xlfn.XLOOKUP(C399,[2]Overview!$E:$E,[2]Overview!$AC:$AC)</f>
        <v>N</v>
      </c>
      <c r="U399" t="str">
        <f>_xlfn.XLOOKUP(C399,[2]Overview!$E:$E,[2]Overview!$AD:$AD)</f>
        <v>N</v>
      </c>
      <c r="V399" t="str">
        <f>_xlfn.XLOOKUP(C399,[2]Overview!$E:$E,[2]Overview!$AE:$AE)</f>
        <v>Y</v>
      </c>
      <c r="W399" t="s">
        <v>138</v>
      </c>
      <c r="X399" t="s">
        <v>575</v>
      </c>
      <c r="Y399" t="str">
        <f>_xlfn.XLOOKUP(C399,[1]Especificação!$G:$G,[1]Especificação!$C:$C)</f>
        <v>A. Novos Campos</v>
      </c>
    </row>
    <row r="400" spans="1:25" hidden="1" x14ac:dyDescent="0.3">
      <c r="A400" s="50" t="str">
        <f t="shared" si="22"/>
        <v>INSTRUMENT_RORAC</v>
      </c>
      <c r="B400" t="s">
        <v>128</v>
      </c>
      <c r="C400" t="s">
        <v>1336</v>
      </c>
      <c r="D400" t="s">
        <v>6</v>
      </c>
      <c r="E400" t="s">
        <v>20</v>
      </c>
      <c r="I400" t="s">
        <v>29</v>
      </c>
      <c r="J400" s="15">
        <v>45952</v>
      </c>
      <c r="K400" t="s">
        <v>38</v>
      </c>
      <c r="O400" s="15">
        <v>45952</v>
      </c>
      <c r="Q400" t="str">
        <f>_xlfn.XLOOKUP(C400,[2]Overview!$E:$E,[2]Overview!$Z:$Z)</f>
        <v>N</v>
      </c>
      <c r="R400" t="str">
        <f>_xlfn.XLOOKUP(C400,[2]Overview!$E:$E,[2]Overview!$AA:$AA)</f>
        <v>N</v>
      </c>
      <c r="S400" t="str">
        <f>_xlfn.XLOOKUP(C400,[2]Overview!$E:$E,[2]Overview!$AB:$AB)</f>
        <v>N</v>
      </c>
      <c r="T400" t="str">
        <f>_xlfn.XLOOKUP(C400,[2]Overview!$E:$E,[2]Overview!$AC:$AC)</f>
        <v>N</v>
      </c>
      <c r="U400" t="str">
        <f>_xlfn.XLOOKUP(C400,[2]Overview!$E:$E,[2]Overview!$AD:$AD)</f>
        <v>N</v>
      </c>
      <c r="V400" t="str">
        <f>_xlfn.XLOOKUP(C400,[2]Overview!$E:$E,[2]Overview!$AE:$AE)</f>
        <v>Y</v>
      </c>
      <c r="W400" t="s">
        <v>138</v>
      </c>
      <c r="X400" t="s">
        <v>575</v>
      </c>
      <c r="Y400" t="str">
        <f>_xlfn.XLOOKUP(C400,[1]Especificação!$G:$G,[1]Especificação!$C:$C)</f>
        <v>A. Novos Campos</v>
      </c>
    </row>
    <row r="401" spans="1:25" hidden="1" x14ac:dyDescent="0.3">
      <c r="A401" s="50" t="str">
        <f t="shared" si="22"/>
        <v>INSTR_PROT_GRP_SPPRT</v>
      </c>
      <c r="B401" t="s">
        <v>1344</v>
      </c>
      <c r="C401" t="s">
        <v>1337</v>
      </c>
      <c r="D401" t="s">
        <v>6</v>
      </c>
      <c r="E401" t="s">
        <v>20</v>
      </c>
      <c r="I401" t="s">
        <v>29</v>
      </c>
      <c r="J401" s="15">
        <v>45952</v>
      </c>
      <c r="K401" t="s">
        <v>38</v>
      </c>
      <c r="O401" s="15">
        <v>45952</v>
      </c>
      <c r="Q401" t="str">
        <f>_xlfn.XLOOKUP(C401,[2]Overview!$E:$E,[2]Overview!$Z:$Z)</f>
        <v>Y</v>
      </c>
      <c r="R401" t="str">
        <f>_xlfn.XLOOKUP(C401,[2]Overview!$E:$E,[2]Overview!$AA:$AA)</f>
        <v>N</v>
      </c>
      <c r="S401" t="str">
        <f>_xlfn.XLOOKUP(C401,[2]Overview!$E:$E,[2]Overview!$AB:$AB)</f>
        <v>N</v>
      </c>
      <c r="T401" t="str">
        <f>_xlfn.XLOOKUP(C401,[2]Overview!$E:$E,[2]Overview!$AC:$AC)</f>
        <v>N</v>
      </c>
      <c r="U401" t="str">
        <f>_xlfn.XLOOKUP(C401,[2]Overview!$E:$E,[2]Overview!$AD:$AD)</f>
        <v>N</v>
      </c>
      <c r="V401" t="str">
        <f>_xlfn.XLOOKUP(C401,[2]Overview!$E:$E,[2]Overview!$AE:$AE)</f>
        <v>Y</v>
      </c>
      <c r="W401" t="s">
        <v>138</v>
      </c>
      <c r="X401" t="s">
        <v>575</v>
      </c>
      <c r="Y401" t="str">
        <f>_xlfn.XLOOKUP(C401,[1]Especificação!$G:$G,[1]Especificação!$C:$C)</f>
        <v>A. Novos Campos</v>
      </c>
    </row>
    <row r="402" spans="1:25" hidden="1" x14ac:dyDescent="0.3">
      <c r="A402" s="50" t="str">
        <f t="shared" si="22"/>
        <v>ENTITY_GRP_RORWA</v>
      </c>
      <c r="B402" t="s">
        <v>142</v>
      </c>
      <c r="C402" t="s">
        <v>1338</v>
      </c>
      <c r="D402" t="s">
        <v>6</v>
      </c>
      <c r="E402" t="s">
        <v>20</v>
      </c>
      <c r="I402" t="s">
        <v>29</v>
      </c>
      <c r="J402" s="15">
        <v>45952</v>
      </c>
      <c r="K402" t="s">
        <v>38</v>
      </c>
      <c r="O402" s="15">
        <v>45952</v>
      </c>
      <c r="Q402" t="str">
        <f>_xlfn.XLOOKUP(C402,[2]Overview!$E:$E,[2]Overview!$Z:$Z)</f>
        <v>N</v>
      </c>
      <c r="R402" t="str">
        <f>_xlfn.XLOOKUP(C402,[2]Overview!$E:$E,[2]Overview!$AA:$AA)</f>
        <v>N</v>
      </c>
      <c r="S402" t="str">
        <f>_xlfn.XLOOKUP(C402,[2]Overview!$E:$E,[2]Overview!$AB:$AB)</f>
        <v>N</v>
      </c>
      <c r="T402" t="str">
        <f>_xlfn.XLOOKUP(C402,[2]Overview!$E:$E,[2]Overview!$AC:$AC)</f>
        <v>N</v>
      </c>
      <c r="U402" t="str">
        <f>_xlfn.XLOOKUP(C402,[2]Overview!$E:$E,[2]Overview!$AD:$AD)</f>
        <v>N</v>
      </c>
      <c r="V402" t="str">
        <f>_xlfn.XLOOKUP(C402,[2]Overview!$E:$E,[2]Overview!$AE:$AE)</f>
        <v>Y</v>
      </c>
      <c r="W402" t="s">
        <v>138</v>
      </c>
      <c r="X402" t="s">
        <v>575</v>
      </c>
      <c r="Y402" t="str">
        <f>_xlfn.XLOOKUP(C402,[1]Especificação!$G:$G,[1]Especificação!$C:$C)</f>
        <v>A. Novos Campos</v>
      </c>
    </row>
    <row r="403" spans="1:25" hidden="1" x14ac:dyDescent="0.3">
      <c r="A403" s="50" t="str">
        <f t="shared" si="22"/>
        <v>ENTITY_GRP_RORAC</v>
      </c>
      <c r="B403" t="s">
        <v>142</v>
      </c>
      <c r="C403" t="s">
        <v>1339</v>
      </c>
      <c r="D403" t="s">
        <v>6</v>
      </c>
      <c r="E403" t="s">
        <v>20</v>
      </c>
      <c r="I403" t="s">
        <v>29</v>
      </c>
      <c r="J403" s="15">
        <v>45952</v>
      </c>
      <c r="K403" t="s">
        <v>1345</v>
      </c>
      <c r="O403" s="15">
        <v>45952</v>
      </c>
      <c r="Q403" t="str">
        <f>_xlfn.XLOOKUP(C403,[2]Overview!$E:$E,[2]Overview!$Z:$Z)</f>
        <v>N</v>
      </c>
      <c r="R403" t="str">
        <f>_xlfn.XLOOKUP(C403,[2]Overview!$E:$E,[2]Overview!$AA:$AA)</f>
        <v>N</v>
      </c>
      <c r="S403" t="str">
        <f>_xlfn.XLOOKUP(C403,[2]Overview!$E:$E,[2]Overview!$AB:$AB)</f>
        <v>N</v>
      </c>
      <c r="T403" t="str">
        <f>_xlfn.XLOOKUP(C403,[2]Overview!$E:$E,[2]Overview!$AC:$AC)</f>
        <v>N</v>
      </c>
      <c r="U403" t="str">
        <f>_xlfn.XLOOKUP(C403,[2]Overview!$E:$E,[2]Overview!$AD:$AD)</f>
        <v>N</v>
      </c>
      <c r="V403" t="str">
        <f>_xlfn.XLOOKUP(C403,[2]Overview!$E:$E,[2]Overview!$AE:$AE)</f>
        <v>Y</v>
      </c>
      <c r="W403" t="s">
        <v>138</v>
      </c>
      <c r="X403" t="s">
        <v>575</v>
      </c>
      <c r="Y403" t="str">
        <f>_xlfn.XLOOKUP(C403,[1]Especificação!$G:$G,[1]Especificação!$C:$C)</f>
        <v>A. Novos Campos</v>
      </c>
    </row>
    <row r="404" spans="1:25" hidden="1" x14ac:dyDescent="0.3">
      <c r="A404" s="50" t="str">
        <f t="shared" si="22"/>
        <v>ENTITY_FLLN_ANGL_NRRW_DFNTN</v>
      </c>
      <c r="B404" t="s">
        <v>142</v>
      </c>
      <c r="C404" t="s">
        <v>1340</v>
      </c>
      <c r="D404" t="s">
        <v>6</v>
      </c>
      <c r="E404" t="s">
        <v>20</v>
      </c>
      <c r="I404" t="s">
        <v>29</v>
      </c>
      <c r="J404" s="15">
        <v>45952</v>
      </c>
      <c r="K404" t="s">
        <v>38</v>
      </c>
      <c r="O404" s="15">
        <v>45952</v>
      </c>
      <c r="Q404" t="str">
        <f>_xlfn.XLOOKUP(C404,[2]Overview!$E:$E,[2]Overview!$Z:$Z)</f>
        <v>N</v>
      </c>
      <c r="R404" t="str">
        <f>_xlfn.XLOOKUP(C404,[2]Overview!$E:$E,[2]Overview!$AA:$AA)</f>
        <v>N</v>
      </c>
      <c r="S404" t="str">
        <f>_xlfn.XLOOKUP(C404,[2]Overview!$E:$E,[2]Overview!$AB:$AB)</f>
        <v>N</v>
      </c>
      <c r="T404" t="str">
        <f>_xlfn.XLOOKUP(C404,[2]Overview!$E:$E,[2]Overview!$AC:$AC)</f>
        <v>N</v>
      </c>
      <c r="U404" t="str">
        <f>_xlfn.XLOOKUP(C404,[2]Overview!$E:$E,[2]Overview!$AD:$AD)</f>
        <v>N</v>
      </c>
      <c r="V404" t="str">
        <f>_xlfn.XLOOKUP(C404,[2]Overview!$E:$E,[2]Overview!$AE:$AE)</f>
        <v>Y</v>
      </c>
      <c r="W404" t="s">
        <v>138</v>
      </c>
      <c r="X404" t="s">
        <v>575</v>
      </c>
      <c r="Y404" t="str">
        <f>_xlfn.XLOOKUP(C404,[1]Especificação!$G:$G,[1]Especificação!$C:$C)</f>
        <v>A. Novos Campos</v>
      </c>
    </row>
    <row r="405" spans="1:25" hidden="1" x14ac:dyDescent="0.3">
      <c r="A405" s="50" t="str">
        <f t="shared" si="22"/>
        <v>ENTITY_FLLN_ANGL_EXTNDD_DFNTN</v>
      </c>
      <c r="B405" t="s">
        <v>142</v>
      </c>
      <c r="C405" t="s">
        <v>1341</v>
      </c>
      <c r="D405" t="s">
        <v>6</v>
      </c>
      <c r="E405" t="s">
        <v>20</v>
      </c>
      <c r="I405" t="s">
        <v>29</v>
      </c>
      <c r="J405" s="15">
        <v>45952</v>
      </c>
      <c r="K405" t="s">
        <v>38</v>
      </c>
      <c r="O405" s="15">
        <v>45952</v>
      </c>
      <c r="Q405" t="str">
        <f>_xlfn.XLOOKUP(C405,[2]Overview!$E:$E,[2]Overview!$Z:$Z)</f>
        <v>N</v>
      </c>
      <c r="R405" t="str">
        <f>_xlfn.XLOOKUP(C405,[2]Overview!$E:$E,[2]Overview!$AA:$AA)</f>
        <v>N</v>
      </c>
      <c r="S405" t="str">
        <f>_xlfn.XLOOKUP(C405,[2]Overview!$E:$E,[2]Overview!$AB:$AB)</f>
        <v>N</v>
      </c>
      <c r="T405" t="str">
        <f>_xlfn.XLOOKUP(C405,[2]Overview!$E:$E,[2]Overview!$AC:$AC)</f>
        <v>N</v>
      </c>
      <c r="U405" t="str">
        <f>_xlfn.XLOOKUP(C405,[2]Overview!$E:$E,[2]Overview!$AD:$AD)</f>
        <v>N</v>
      </c>
      <c r="V405" t="str">
        <f>_xlfn.XLOOKUP(C405,[2]Overview!$E:$E,[2]Overview!$AE:$AE)</f>
        <v>Y</v>
      </c>
      <c r="W405" t="s">
        <v>138</v>
      </c>
      <c r="X405" t="s">
        <v>575</v>
      </c>
      <c r="Y405" t="str">
        <f>_xlfn.XLOOKUP(C405,[1]Especificação!$G:$G,[1]Especificação!$C:$C)</f>
        <v>A. Novos Campos</v>
      </c>
    </row>
    <row r="406" spans="1:25" hidden="1" x14ac:dyDescent="0.3">
      <c r="A406" s="50" t="str">
        <f t="shared" si="22"/>
        <v>INSTRUMENT_EXCLDD_LF</v>
      </c>
      <c r="B406" t="s">
        <v>128</v>
      </c>
      <c r="C406" t="s">
        <v>1280</v>
      </c>
      <c r="D406" t="s">
        <v>6</v>
      </c>
      <c r="E406" t="s">
        <v>20</v>
      </c>
      <c r="I406" t="s">
        <v>29</v>
      </c>
      <c r="J406" s="15">
        <v>45952</v>
      </c>
      <c r="K406" t="s">
        <v>55</v>
      </c>
      <c r="Q406" t="str">
        <f>_xlfn.XLOOKUP(C406,[2]Overview!$E:$E,[2]Overview!$Z:$Z)</f>
        <v>N</v>
      </c>
      <c r="R406" t="str">
        <f>_xlfn.XLOOKUP(C406,[2]Overview!$E:$E,[2]Overview!$AA:$AA)</f>
        <v>N</v>
      </c>
      <c r="S406" t="str">
        <f>_xlfn.XLOOKUP(C406,[2]Overview!$E:$E,[2]Overview!$AB:$AB)</f>
        <v>N</v>
      </c>
      <c r="T406" t="str">
        <f>_xlfn.XLOOKUP(C406,[2]Overview!$E:$E,[2]Overview!$AC:$AC)</f>
        <v>N</v>
      </c>
      <c r="U406" t="str">
        <f>_xlfn.XLOOKUP(C406,[2]Overview!$E:$E,[2]Overview!$AD:$AD)</f>
        <v>N</v>
      </c>
      <c r="V406" t="str">
        <f>_xlfn.XLOOKUP(C406,[2]Overview!$E:$E,[2]Overview!$AE:$AE)</f>
        <v>Y</v>
      </c>
      <c r="W406" t="s">
        <v>138</v>
      </c>
      <c r="X406" t="s">
        <v>575</v>
      </c>
      <c r="Y406" t="str">
        <f>_xlfn.XLOOKUP(C406,[1]Especificação!$G:$G,[1]Especificação!$C:$C)</f>
        <v>A. Novos Campos</v>
      </c>
    </row>
    <row r="407" spans="1:25" hidden="1" x14ac:dyDescent="0.3">
      <c r="A407" s="50" t="str">
        <f t="shared" si="22"/>
        <v>INSTRUMENT_DT_MDFCTN</v>
      </c>
      <c r="B407" t="s">
        <v>128</v>
      </c>
      <c r="C407" t="s">
        <v>1342</v>
      </c>
      <c r="D407" t="s">
        <v>6</v>
      </c>
      <c r="E407" t="s">
        <v>20</v>
      </c>
      <c r="I407" t="s">
        <v>29</v>
      </c>
      <c r="J407" s="15">
        <v>45952</v>
      </c>
      <c r="K407" t="s">
        <v>38</v>
      </c>
      <c r="O407" s="15">
        <v>45952</v>
      </c>
      <c r="Q407" t="str">
        <f>_xlfn.XLOOKUP(C407,[2]Overview!$E:$E,[2]Overview!$Z:$Z)</f>
        <v>Y</v>
      </c>
      <c r="R407" t="str">
        <f>_xlfn.XLOOKUP(C407,[2]Overview!$E:$E,[2]Overview!$AA:$AA)</f>
        <v>N</v>
      </c>
      <c r="S407" t="str">
        <f>_xlfn.XLOOKUP(C407,[2]Overview!$E:$E,[2]Overview!$AB:$AB)</f>
        <v>N</v>
      </c>
      <c r="T407" t="str">
        <f>_xlfn.XLOOKUP(C407,[2]Overview!$E:$E,[2]Overview!$AC:$AC)</f>
        <v>N</v>
      </c>
      <c r="U407" t="str">
        <f>_xlfn.XLOOKUP(C407,[2]Overview!$E:$E,[2]Overview!$AD:$AD)</f>
        <v>N</v>
      </c>
      <c r="V407" t="str">
        <f>_xlfn.XLOOKUP(C407,[2]Overview!$E:$E,[2]Overview!$AE:$AE)</f>
        <v>Y</v>
      </c>
      <c r="W407" t="s">
        <v>138</v>
      </c>
      <c r="X407" t="s">
        <v>575</v>
      </c>
      <c r="Y407" t="str">
        <f>_xlfn.XLOOKUP(C407,[1]Especificação!$G:$G,[1]Especificação!$C:$C)</f>
        <v>A. Novos Campos</v>
      </c>
    </row>
    <row r="408" spans="1:25" hidden="1" x14ac:dyDescent="0.3">
      <c r="A408" s="50" t="str">
        <f t="shared" si="22"/>
        <v>INSTRUMENT_DSTNTN_FNDS</v>
      </c>
      <c r="B408" t="s">
        <v>128</v>
      </c>
      <c r="C408" t="s">
        <v>1343</v>
      </c>
      <c r="D408" t="s">
        <v>6</v>
      </c>
      <c r="E408" t="s">
        <v>20</v>
      </c>
      <c r="I408" t="s">
        <v>29</v>
      </c>
      <c r="J408" s="15">
        <v>45952</v>
      </c>
      <c r="K408" t="s">
        <v>38</v>
      </c>
      <c r="O408" s="15">
        <v>45952</v>
      </c>
      <c r="Q408" t="str">
        <f>_xlfn.XLOOKUP(C408,[2]Overview!$E:$E,[2]Overview!$Z:$Z)</f>
        <v>N</v>
      </c>
      <c r="R408" t="str">
        <f>_xlfn.XLOOKUP(C408,[2]Overview!$E:$E,[2]Overview!$AA:$AA)</f>
        <v>N</v>
      </c>
      <c r="S408" t="str">
        <f>_xlfn.XLOOKUP(C408,[2]Overview!$E:$E,[2]Overview!$AB:$AB)</f>
        <v>N</v>
      </c>
      <c r="T408" t="str">
        <f>_xlfn.XLOOKUP(C408,[2]Overview!$E:$E,[2]Overview!$AC:$AC)</f>
        <v>N</v>
      </c>
      <c r="U408" t="str">
        <f>_xlfn.XLOOKUP(C408,[2]Overview!$E:$E,[2]Overview!$AD:$AD)</f>
        <v>N</v>
      </c>
      <c r="V408" t="str">
        <f>_xlfn.XLOOKUP(C408,[2]Overview!$E:$E,[2]Overview!$AE:$AE)</f>
        <v>Y</v>
      </c>
      <c r="W408" t="s">
        <v>138</v>
      </c>
      <c r="X408" t="s">
        <v>575</v>
      </c>
      <c r="Y408" t="str">
        <f>_xlfn.XLOOKUP(C408,[1]Especificação!$G:$G,[1]Especificação!$C:$C)</f>
        <v>A. Novos Campos</v>
      </c>
    </row>
  </sheetData>
  <autoFilter ref="B5:Y408" xr:uid="{00000000-0001-0000-0200-000000000000}">
    <filterColumn colId="23">
      <filters>
        <filter val="B1. Re-especificação de campos complexos | Sindicados"/>
      </filters>
    </filterColumn>
  </autoFilter>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78"/>
  <sheetViews>
    <sheetView zoomScale="70" zoomScaleNormal="70" workbookViewId="0">
      <pane ySplit="1" topLeftCell="A266" activePane="bottomLeft" state="frozen"/>
      <selection activeCell="C1" sqref="C1"/>
      <selection pane="bottomLeft" activeCell="I278" sqref="I278"/>
    </sheetView>
  </sheetViews>
  <sheetFormatPr defaultRowHeight="14.4" x14ac:dyDescent="0.3"/>
  <cols>
    <col min="1" max="1" width="12.44140625" customWidth="1"/>
    <col min="2" max="2" width="45" bestFit="1" customWidth="1"/>
    <col min="3" max="3" width="15.6640625" bestFit="1" customWidth="1"/>
    <col min="4" max="4" width="119.33203125" customWidth="1"/>
    <col min="5" max="5" width="15.33203125" bestFit="1" customWidth="1"/>
    <col min="6" max="6" width="15.33203125" customWidth="1"/>
    <col min="8" max="8" width="45.5546875" customWidth="1"/>
  </cols>
  <sheetData>
    <row r="1" spans="1:9" x14ac:dyDescent="0.3">
      <c r="A1" s="2" t="s">
        <v>592</v>
      </c>
      <c r="B1" s="2" t="s">
        <v>593</v>
      </c>
      <c r="C1" s="2" t="s">
        <v>594</v>
      </c>
      <c r="D1" s="2" t="s">
        <v>595</v>
      </c>
      <c r="E1" s="2" t="s">
        <v>596</v>
      </c>
      <c r="F1" s="2" t="s">
        <v>597</v>
      </c>
      <c r="G1" s="2" t="s">
        <v>110</v>
      </c>
      <c r="H1" s="2" t="s">
        <v>598</v>
      </c>
      <c r="I1" s="2" t="s">
        <v>599</v>
      </c>
    </row>
    <row r="2" spans="1:9" x14ac:dyDescent="0.3">
      <c r="A2" t="s">
        <v>600</v>
      </c>
      <c r="B2" t="s">
        <v>433</v>
      </c>
      <c r="C2" t="s">
        <v>601</v>
      </c>
      <c r="D2" t="s">
        <v>602</v>
      </c>
      <c r="E2" s="15">
        <v>45460</v>
      </c>
      <c r="F2" s="15">
        <v>45443</v>
      </c>
      <c r="G2" t="s">
        <v>130</v>
      </c>
      <c r="I2" t="s">
        <v>603</v>
      </c>
    </row>
    <row r="3" spans="1:9" x14ac:dyDescent="0.3">
      <c r="A3" t="s">
        <v>600</v>
      </c>
      <c r="B3" t="s">
        <v>433</v>
      </c>
      <c r="C3" t="s">
        <v>604</v>
      </c>
      <c r="D3" t="s">
        <v>605</v>
      </c>
      <c r="E3" s="15">
        <v>45460</v>
      </c>
      <c r="F3" s="15">
        <v>45443</v>
      </c>
      <c r="G3" t="s">
        <v>130</v>
      </c>
      <c r="I3" t="s">
        <v>606</v>
      </c>
    </row>
    <row r="4" spans="1:9" x14ac:dyDescent="0.3">
      <c r="A4" t="s">
        <v>600</v>
      </c>
      <c r="B4" t="s">
        <v>433</v>
      </c>
      <c r="C4" t="s">
        <v>604</v>
      </c>
      <c r="D4" t="s">
        <v>607</v>
      </c>
      <c r="E4" s="15">
        <v>45460</v>
      </c>
      <c r="F4" s="15">
        <v>45443</v>
      </c>
      <c r="G4" t="s">
        <v>130</v>
      </c>
      <c r="I4" t="s">
        <v>608</v>
      </c>
    </row>
    <row r="5" spans="1:9" x14ac:dyDescent="0.3">
      <c r="A5" t="s">
        <v>600</v>
      </c>
      <c r="B5" t="s">
        <v>433</v>
      </c>
      <c r="C5" t="s">
        <v>609</v>
      </c>
      <c r="D5" t="s">
        <v>610</v>
      </c>
      <c r="E5" s="15">
        <v>45460</v>
      </c>
      <c r="F5" s="15">
        <v>45443</v>
      </c>
      <c r="G5" t="s">
        <v>130</v>
      </c>
      <c r="I5" t="s">
        <v>611</v>
      </c>
    </row>
    <row r="6" spans="1:9" x14ac:dyDescent="0.3">
      <c r="A6" t="s">
        <v>600</v>
      </c>
      <c r="B6" t="s">
        <v>433</v>
      </c>
      <c r="C6" t="s">
        <v>609</v>
      </c>
      <c r="D6" t="s">
        <v>612</v>
      </c>
      <c r="E6" s="15">
        <v>45460</v>
      </c>
      <c r="F6" s="15">
        <v>45443</v>
      </c>
      <c r="G6" t="s">
        <v>130</v>
      </c>
      <c r="I6" t="s">
        <v>613</v>
      </c>
    </row>
    <row r="7" spans="1:9" x14ac:dyDescent="0.3">
      <c r="A7" t="s">
        <v>600</v>
      </c>
      <c r="B7" t="s">
        <v>433</v>
      </c>
      <c r="C7" t="s">
        <v>609</v>
      </c>
      <c r="D7" t="s">
        <v>614</v>
      </c>
      <c r="E7" s="15">
        <v>45460</v>
      </c>
      <c r="F7" s="15">
        <v>45443</v>
      </c>
      <c r="G7" t="s">
        <v>130</v>
      </c>
      <c r="I7" t="s">
        <v>606</v>
      </c>
    </row>
    <row r="8" spans="1:9" x14ac:dyDescent="0.3">
      <c r="A8" t="s">
        <v>600</v>
      </c>
      <c r="B8" t="s">
        <v>507</v>
      </c>
      <c r="C8" t="s">
        <v>601</v>
      </c>
      <c r="D8" t="s">
        <v>602</v>
      </c>
      <c r="E8" s="15">
        <v>45460</v>
      </c>
      <c r="F8" s="15">
        <v>45443</v>
      </c>
      <c r="G8" t="s">
        <v>130</v>
      </c>
      <c r="I8" t="s">
        <v>615</v>
      </c>
    </row>
    <row r="9" spans="1:9" x14ac:dyDescent="0.3">
      <c r="A9" t="s">
        <v>600</v>
      </c>
      <c r="B9" t="s">
        <v>507</v>
      </c>
      <c r="C9" t="s">
        <v>604</v>
      </c>
      <c r="D9" t="s">
        <v>607</v>
      </c>
      <c r="E9" s="15">
        <v>45460</v>
      </c>
      <c r="F9" s="15">
        <v>45443</v>
      </c>
      <c r="G9" t="s">
        <v>130</v>
      </c>
      <c r="I9" t="s">
        <v>608</v>
      </c>
    </row>
    <row r="10" spans="1:9" x14ac:dyDescent="0.3">
      <c r="A10" t="s">
        <v>600</v>
      </c>
      <c r="B10" t="s">
        <v>507</v>
      </c>
      <c r="C10" t="s">
        <v>609</v>
      </c>
      <c r="D10" t="s">
        <v>616</v>
      </c>
      <c r="E10" s="15">
        <v>45460</v>
      </c>
      <c r="F10" s="15">
        <v>45443</v>
      </c>
      <c r="G10" t="s">
        <v>130</v>
      </c>
      <c r="I10" t="s">
        <v>617</v>
      </c>
    </row>
    <row r="11" spans="1:9" x14ac:dyDescent="0.3">
      <c r="A11" t="s">
        <v>600</v>
      </c>
      <c r="B11" t="s">
        <v>507</v>
      </c>
      <c r="C11" t="s">
        <v>609</v>
      </c>
      <c r="D11" t="s">
        <v>618</v>
      </c>
      <c r="E11" s="15">
        <v>45460</v>
      </c>
      <c r="F11" s="15">
        <v>45443</v>
      </c>
      <c r="G11" t="s">
        <v>149</v>
      </c>
      <c r="H11" t="s">
        <v>619</v>
      </c>
      <c r="I11" t="s">
        <v>620</v>
      </c>
    </row>
    <row r="12" spans="1:9" x14ac:dyDescent="0.3">
      <c r="A12" t="s">
        <v>600</v>
      </c>
      <c r="B12" t="s">
        <v>507</v>
      </c>
      <c r="C12" t="s">
        <v>609</v>
      </c>
      <c r="D12" s="17" t="s">
        <v>621</v>
      </c>
      <c r="E12" s="15">
        <v>45462</v>
      </c>
      <c r="F12" s="15">
        <v>45443</v>
      </c>
      <c r="G12" t="s">
        <v>130</v>
      </c>
      <c r="H12" t="s">
        <v>622</v>
      </c>
      <c r="I12" t="s">
        <v>623</v>
      </c>
    </row>
    <row r="13" spans="1:9" x14ac:dyDescent="0.3">
      <c r="A13" t="s">
        <v>600</v>
      </c>
      <c r="B13" t="s">
        <v>507</v>
      </c>
      <c r="C13" t="s">
        <v>609</v>
      </c>
      <c r="D13" s="17" t="s">
        <v>624</v>
      </c>
      <c r="E13" s="15">
        <v>45462</v>
      </c>
      <c r="F13" s="15">
        <v>45443</v>
      </c>
      <c r="G13" t="s">
        <v>130</v>
      </c>
      <c r="I13" t="s">
        <v>625</v>
      </c>
    </row>
    <row r="14" spans="1:9" x14ac:dyDescent="0.3">
      <c r="A14" t="s">
        <v>600</v>
      </c>
      <c r="B14" t="s">
        <v>299</v>
      </c>
      <c r="C14" t="s">
        <v>601</v>
      </c>
      <c r="D14" t="s">
        <v>602</v>
      </c>
      <c r="E14" s="15">
        <v>45460</v>
      </c>
      <c r="F14" s="15">
        <v>45443</v>
      </c>
      <c r="G14" t="s">
        <v>130</v>
      </c>
      <c r="I14" t="s">
        <v>626</v>
      </c>
    </row>
    <row r="15" spans="1:9" x14ac:dyDescent="0.3">
      <c r="A15" t="s">
        <v>600</v>
      </c>
      <c r="B15" t="s">
        <v>299</v>
      </c>
      <c r="C15" t="s">
        <v>604</v>
      </c>
      <c r="D15" t="s">
        <v>607</v>
      </c>
      <c r="E15" s="15">
        <v>45460</v>
      </c>
      <c r="F15" s="15">
        <v>45443</v>
      </c>
      <c r="G15" t="s">
        <v>130</v>
      </c>
      <c r="I15" t="s">
        <v>608</v>
      </c>
    </row>
    <row r="16" spans="1:9" x14ac:dyDescent="0.3">
      <c r="A16" t="s">
        <v>600</v>
      </c>
      <c r="B16" t="s">
        <v>299</v>
      </c>
      <c r="C16" t="s">
        <v>609</v>
      </c>
      <c r="D16" t="s">
        <v>616</v>
      </c>
      <c r="E16" s="15">
        <v>45460</v>
      </c>
      <c r="F16" s="15">
        <v>45443</v>
      </c>
      <c r="G16" t="s">
        <v>130</v>
      </c>
      <c r="I16" t="s">
        <v>617</v>
      </c>
    </row>
    <row r="17" spans="1:9" x14ac:dyDescent="0.3">
      <c r="A17" t="s">
        <v>600</v>
      </c>
      <c r="B17" t="s">
        <v>299</v>
      </c>
      <c r="C17" t="s">
        <v>609</v>
      </c>
      <c r="D17" t="s">
        <v>618</v>
      </c>
      <c r="E17" s="15">
        <v>45460</v>
      </c>
      <c r="F17" s="15">
        <v>45443</v>
      </c>
      <c r="G17" t="s">
        <v>149</v>
      </c>
      <c r="H17" t="s">
        <v>619</v>
      </c>
      <c r="I17" t="s">
        <v>627</v>
      </c>
    </row>
    <row r="18" spans="1:9" x14ac:dyDescent="0.3">
      <c r="A18" t="s">
        <v>600</v>
      </c>
      <c r="B18" t="s">
        <v>299</v>
      </c>
      <c r="C18" t="s">
        <v>609</v>
      </c>
      <c r="D18" s="17" t="s">
        <v>621</v>
      </c>
      <c r="E18" s="15">
        <v>45462</v>
      </c>
      <c r="F18" s="15">
        <v>45443</v>
      </c>
      <c r="G18" t="s">
        <v>130</v>
      </c>
      <c r="H18" t="s">
        <v>622</v>
      </c>
      <c r="I18" t="s">
        <v>623</v>
      </c>
    </row>
    <row r="19" spans="1:9" x14ac:dyDescent="0.3">
      <c r="A19" t="s">
        <v>600</v>
      </c>
      <c r="B19" t="s">
        <v>299</v>
      </c>
      <c r="C19" t="s">
        <v>609</v>
      </c>
      <c r="D19" s="17" t="s">
        <v>624</v>
      </c>
      <c r="E19" s="15">
        <v>45462</v>
      </c>
      <c r="F19" s="15">
        <v>45443</v>
      </c>
      <c r="G19" t="s">
        <v>130</v>
      </c>
      <c r="I19" t="s">
        <v>625</v>
      </c>
    </row>
    <row r="20" spans="1:9" x14ac:dyDescent="0.3">
      <c r="A20" t="s">
        <v>628</v>
      </c>
      <c r="B20" t="s">
        <v>465</v>
      </c>
      <c r="C20" t="s">
        <v>629</v>
      </c>
      <c r="D20" t="s">
        <v>630</v>
      </c>
      <c r="E20" s="15">
        <v>45464</v>
      </c>
      <c r="F20" s="15">
        <v>45443</v>
      </c>
      <c r="G20" t="s">
        <v>149</v>
      </c>
      <c r="H20" t="s">
        <v>466</v>
      </c>
      <c r="I20" t="s">
        <v>631</v>
      </c>
    </row>
    <row r="21" spans="1:9" x14ac:dyDescent="0.3">
      <c r="A21" t="s">
        <v>628</v>
      </c>
      <c r="B21" t="s">
        <v>465</v>
      </c>
      <c r="C21" t="s">
        <v>604</v>
      </c>
      <c r="D21" t="s">
        <v>632</v>
      </c>
      <c r="E21" s="15">
        <v>45464</v>
      </c>
      <c r="F21" s="15">
        <v>45443</v>
      </c>
      <c r="G21" t="s">
        <v>149</v>
      </c>
      <c r="H21" t="s">
        <v>466</v>
      </c>
      <c r="I21" t="s">
        <v>633</v>
      </c>
    </row>
    <row r="22" spans="1:9" x14ac:dyDescent="0.3">
      <c r="A22" t="s">
        <v>628</v>
      </c>
      <c r="B22" t="s">
        <v>465</v>
      </c>
      <c r="C22" t="s">
        <v>609</v>
      </c>
      <c r="D22" t="s">
        <v>634</v>
      </c>
      <c r="E22" s="15">
        <v>45464</v>
      </c>
      <c r="F22" s="15">
        <v>45443</v>
      </c>
      <c r="G22" t="s">
        <v>130</v>
      </c>
      <c r="I22" t="s">
        <v>635</v>
      </c>
    </row>
    <row r="23" spans="1:9" x14ac:dyDescent="0.3">
      <c r="A23" t="s">
        <v>628</v>
      </c>
      <c r="B23" t="s">
        <v>465</v>
      </c>
      <c r="C23" t="s">
        <v>609</v>
      </c>
      <c r="D23" t="s">
        <v>636</v>
      </c>
      <c r="E23" s="15">
        <v>45468</v>
      </c>
      <c r="F23" s="15">
        <v>45443</v>
      </c>
      <c r="G23" t="s">
        <v>130</v>
      </c>
      <c r="H23" t="s">
        <v>637</v>
      </c>
      <c r="I23" t="s">
        <v>638</v>
      </c>
    </row>
    <row r="24" spans="1:9" x14ac:dyDescent="0.3">
      <c r="A24" t="s">
        <v>628</v>
      </c>
      <c r="B24" t="s">
        <v>465</v>
      </c>
      <c r="C24" t="s">
        <v>609</v>
      </c>
      <c r="D24" t="s">
        <v>639</v>
      </c>
      <c r="E24" s="15">
        <v>45468</v>
      </c>
      <c r="F24" s="15">
        <v>45443</v>
      </c>
      <c r="G24" t="s">
        <v>130</v>
      </c>
      <c r="I24" t="s">
        <v>640</v>
      </c>
    </row>
    <row r="25" spans="1:9" x14ac:dyDescent="0.3">
      <c r="A25" t="s">
        <v>600</v>
      </c>
      <c r="B25" t="s">
        <v>439</v>
      </c>
      <c r="C25" t="s">
        <v>604</v>
      </c>
      <c r="D25" t="s">
        <v>632</v>
      </c>
      <c r="E25" s="15">
        <v>45463</v>
      </c>
      <c r="F25" s="15">
        <v>45443</v>
      </c>
      <c r="G25" t="s">
        <v>149</v>
      </c>
      <c r="H25" t="s">
        <v>641</v>
      </c>
      <c r="I25" t="s">
        <v>642</v>
      </c>
    </row>
    <row r="26" spans="1:9" x14ac:dyDescent="0.3">
      <c r="A26" t="s">
        <v>600</v>
      </c>
      <c r="B26" t="s">
        <v>303</v>
      </c>
      <c r="C26" t="s">
        <v>604</v>
      </c>
      <c r="D26" t="s">
        <v>632</v>
      </c>
      <c r="E26" s="15">
        <v>45463</v>
      </c>
      <c r="F26" s="15">
        <v>45443</v>
      </c>
      <c r="G26" t="s">
        <v>149</v>
      </c>
      <c r="I26" s="18"/>
    </row>
    <row r="27" spans="1:9" x14ac:dyDescent="0.3">
      <c r="A27" t="s">
        <v>628</v>
      </c>
      <c r="B27" t="s">
        <v>277</v>
      </c>
      <c r="C27" t="s">
        <v>604</v>
      </c>
      <c r="D27" t="s">
        <v>632</v>
      </c>
      <c r="E27" s="15">
        <v>45468</v>
      </c>
      <c r="F27" s="15">
        <v>45443</v>
      </c>
      <c r="G27" t="s">
        <v>149</v>
      </c>
      <c r="H27" t="s">
        <v>278</v>
      </c>
      <c r="I27" t="s">
        <v>643</v>
      </c>
    </row>
    <row r="28" spans="1:9" x14ac:dyDescent="0.3">
      <c r="A28" t="s">
        <v>628</v>
      </c>
      <c r="B28" t="s">
        <v>277</v>
      </c>
      <c r="C28" t="s">
        <v>629</v>
      </c>
      <c r="D28" s="29" t="s">
        <v>630</v>
      </c>
      <c r="E28" s="15">
        <v>45467</v>
      </c>
      <c r="F28" s="15">
        <v>45443</v>
      </c>
      <c r="G28" t="s">
        <v>130</v>
      </c>
      <c r="I28" t="s">
        <v>644</v>
      </c>
    </row>
    <row r="29" spans="1:9" x14ac:dyDescent="0.3">
      <c r="A29" t="s">
        <v>628</v>
      </c>
      <c r="B29" t="s">
        <v>277</v>
      </c>
      <c r="C29" t="s">
        <v>609</v>
      </c>
      <c r="D29" t="s">
        <v>645</v>
      </c>
      <c r="E29" s="15">
        <v>45467</v>
      </c>
      <c r="F29" s="15">
        <v>45443</v>
      </c>
      <c r="G29" t="s">
        <v>130</v>
      </c>
      <c r="I29" t="s">
        <v>646</v>
      </c>
    </row>
    <row r="30" spans="1:9" x14ac:dyDescent="0.3">
      <c r="A30" t="s">
        <v>628</v>
      </c>
      <c r="B30" t="s">
        <v>277</v>
      </c>
      <c r="C30" t="s">
        <v>609</v>
      </c>
      <c r="D30" t="s">
        <v>647</v>
      </c>
      <c r="E30" s="15">
        <v>45467</v>
      </c>
      <c r="F30" s="15">
        <v>45443</v>
      </c>
      <c r="G30" t="s">
        <v>130</v>
      </c>
      <c r="I30" t="s">
        <v>648</v>
      </c>
    </row>
    <row r="31" spans="1:9" x14ac:dyDescent="0.3">
      <c r="A31" t="s">
        <v>628</v>
      </c>
      <c r="B31" t="s">
        <v>277</v>
      </c>
      <c r="C31" t="s">
        <v>609</v>
      </c>
      <c r="D31" t="s">
        <v>649</v>
      </c>
      <c r="E31" s="15">
        <v>45467</v>
      </c>
      <c r="F31" s="15">
        <v>45443</v>
      </c>
      <c r="G31" t="s">
        <v>130</v>
      </c>
      <c r="I31" t="s">
        <v>650</v>
      </c>
    </row>
    <row r="32" spans="1:9" x14ac:dyDescent="0.3">
      <c r="A32" t="s">
        <v>628</v>
      </c>
      <c r="B32" t="s">
        <v>277</v>
      </c>
      <c r="C32" t="s">
        <v>609</v>
      </c>
      <c r="D32" t="s">
        <v>651</v>
      </c>
      <c r="E32" s="15">
        <v>45471</v>
      </c>
      <c r="F32" s="15">
        <v>45443</v>
      </c>
    </row>
    <row r="33" spans="1:9" x14ac:dyDescent="0.3">
      <c r="A33" t="s">
        <v>600</v>
      </c>
      <c r="B33" t="s">
        <v>148</v>
      </c>
      <c r="C33" t="s">
        <v>604</v>
      </c>
      <c r="D33" t="s">
        <v>652</v>
      </c>
      <c r="E33" s="15">
        <v>45468</v>
      </c>
      <c r="F33" s="15">
        <v>45443</v>
      </c>
      <c r="G33" t="s">
        <v>149</v>
      </c>
      <c r="I33" t="s">
        <v>653</v>
      </c>
    </row>
    <row r="34" spans="1:9" x14ac:dyDescent="0.3">
      <c r="A34" t="s">
        <v>600</v>
      </c>
      <c r="B34" t="s">
        <v>148</v>
      </c>
      <c r="C34" t="s">
        <v>609</v>
      </c>
      <c r="D34" t="s">
        <v>654</v>
      </c>
      <c r="E34" s="15">
        <v>45468</v>
      </c>
      <c r="F34" s="15">
        <v>45443</v>
      </c>
      <c r="G34" t="s">
        <v>149</v>
      </c>
      <c r="H34" t="s">
        <v>655</v>
      </c>
      <c r="I34" t="s">
        <v>656</v>
      </c>
    </row>
    <row r="35" spans="1:9" x14ac:dyDescent="0.3">
      <c r="A35" t="s">
        <v>600</v>
      </c>
      <c r="B35" t="s">
        <v>148</v>
      </c>
      <c r="C35" t="s">
        <v>609</v>
      </c>
      <c r="D35" t="s">
        <v>657</v>
      </c>
      <c r="E35" s="15">
        <v>45468</v>
      </c>
      <c r="F35" s="15">
        <v>45443</v>
      </c>
      <c r="G35" t="s">
        <v>149</v>
      </c>
      <c r="H35" t="s">
        <v>658</v>
      </c>
      <c r="I35" t="s">
        <v>659</v>
      </c>
    </row>
    <row r="36" spans="1:9" x14ac:dyDescent="0.3">
      <c r="A36" t="s">
        <v>600</v>
      </c>
      <c r="B36" t="s">
        <v>148</v>
      </c>
      <c r="C36" t="s">
        <v>609</v>
      </c>
      <c r="D36" t="s">
        <v>660</v>
      </c>
      <c r="E36" s="15">
        <v>45468</v>
      </c>
      <c r="F36" s="15">
        <v>45443</v>
      </c>
      <c r="G36" t="s">
        <v>149</v>
      </c>
      <c r="H36" t="s">
        <v>658</v>
      </c>
      <c r="I36" t="s">
        <v>661</v>
      </c>
    </row>
    <row r="37" spans="1:9" x14ac:dyDescent="0.3">
      <c r="A37" t="s">
        <v>600</v>
      </c>
      <c r="B37" t="s">
        <v>148</v>
      </c>
      <c r="C37" t="s">
        <v>609</v>
      </c>
      <c r="D37" t="s">
        <v>660</v>
      </c>
      <c r="E37" s="15">
        <v>45469</v>
      </c>
      <c r="F37" s="15">
        <v>45443</v>
      </c>
      <c r="G37" t="s">
        <v>149</v>
      </c>
      <c r="H37" t="s">
        <v>655</v>
      </c>
      <c r="I37" t="s">
        <v>662</v>
      </c>
    </row>
    <row r="38" spans="1:9" x14ac:dyDescent="0.3">
      <c r="A38" t="s">
        <v>600</v>
      </c>
      <c r="B38" t="s">
        <v>280</v>
      </c>
      <c r="C38" t="s">
        <v>609</v>
      </c>
      <c r="D38" t="s">
        <v>663</v>
      </c>
      <c r="E38" s="15">
        <v>45468</v>
      </c>
      <c r="F38" s="15">
        <v>45443</v>
      </c>
      <c r="G38" t="s">
        <v>130</v>
      </c>
      <c r="I38" t="s">
        <v>664</v>
      </c>
    </row>
    <row r="39" spans="1:9" x14ac:dyDescent="0.3">
      <c r="A39" t="s">
        <v>600</v>
      </c>
      <c r="B39" t="s">
        <v>280</v>
      </c>
      <c r="C39" t="s">
        <v>609</v>
      </c>
      <c r="D39" t="s">
        <v>665</v>
      </c>
      <c r="E39" s="15">
        <v>45468</v>
      </c>
      <c r="F39" s="15">
        <v>45443</v>
      </c>
      <c r="G39" t="s">
        <v>130</v>
      </c>
      <c r="I39" t="s">
        <v>664</v>
      </c>
    </row>
    <row r="40" spans="1:9" x14ac:dyDescent="0.3">
      <c r="A40" t="s">
        <v>600</v>
      </c>
      <c r="B40" t="s">
        <v>280</v>
      </c>
      <c r="C40" t="s">
        <v>609</v>
      </c>
      <c r="D40" t="s">
        <v>666</v>
      </c>
      <c r="E40" s="15">
        <v>45468</v>
      </c>
      <c r="F40" s="15">
        <v>45443</v>
      </c>
      <c r="G40" t="s">
        <v>130</v>
      </c>
      <c r="I40" t="s">
        <v>664</v>
      </c>
    </row>
    <row r="41" spans="1:9" x14ac:dyDescent="0.3">
      <c r="A41" t="s">
        <v>628</v>
      </c>
      <c r="B41" t="s">
        <v>236</v>
      </c>
      <c r="C41" t="s">
        <v>604</v>
      </c>
      <c r="D41" t="s">
        <v>652</v>
      </c>
      <c r="E41" s="15">
        <v>45461</v>
      </c>
      <c r="F41" s="15">
        <v>45443</v>
      </c>
      <c r="G41" t="s">
        <v>130</v>
      </c>
      <c r="I41" t="s">
        <v>667</v>
      </c>
    </row>
    <row r="42" spans="1:9" x14ac:dyDescent="0.3">
      <c r="A42" t="s">
        <v>628</v>
      </c>
      <c r="B42" t="s">
        <v>236</v>
      </c>
      <c r="C42" t="s">
        <v>609</v>
      </c>
      <c r="D42" t="s">
        <v>668</v>
      </c>
      <c r="E42" s="15">
        <v>45470</v>
      </c>
      <c r="F42" s="15">
        <v>45443</v>
      </c>
      <c r="G42" t="s">
        <v>130</v>
      </c>
      <c r="I42" t="s">
        <v>669</v>
      </c>
    </row>
    <row r="43" spans="1:9" x14ac:dyDescent="0.3">
      <c r="A43" t="s">
        <v>628</v>
      </c>
      <c r="B43" t="s">
        <v>236</v>
      </c>
      <c r="C43" t="s">
        <v>609</v>
      </c>
      <c r="D43" t="s">
        <v>670</v>
      </c>
      <c r="E43" s="15">
        <v>45470</v>
      </c>
      <c r="F43" s="15">
        <v>45443</v>
      </c>
      <c r="G43" t="s">
        <v>130</v>
      </c>
      <c r="I43" t="s">
        <v>671</v>
      </c>
    </row>
    <row r="44" spans="1:9" x14ac:dyDescent="0.3">
      <c r="A44" t="s">
        <v>628</v>
      </c>
      <c r="B44" t="s">
        <v>236</v>
      </c>
      <c r="C44" t="s">
        <v>609</v>
      </c>
      <c r="D44" t="s">
        <v>672</v>
      </c>
      <c r="E44" s="15">
        <v>45470</v>
      </c>
      <c r="F44" s="15">
        <v>45443</v>
      </c>
      <c r="G44" t="s">
        <v>130</v>
      </c>
      <c r="H44" t="s">
        <v>673</v>
      </c>
      <c r="I44" t="s">
        <v>674</v>
      </c>
    </row>
    <row r="45" spans="1:9" x14ac:dyDescent="0.3">
      <c r="A45" t="s">
        <v>628</v>
      </c>
      <c r="B45" t="s">
        <v>236</v>
      </c>
      <c r="C45" t="s">
        <v>609</v>
      </c>
      <c r="D45" t="s">
        <v>675</v>
      </c>
      <c r="E45" s="15">
        <v>45470</v>
      </c>
      <c r="F45" s="15">
        <v>45443</v>
      </c>
      <c r="G45" t="s">
        <v>149</v>
      </c>
      <c r="H45" t="s">
        <v>676</v>
      </c>
      <c r="I45" t="s">
        <v>677</v>
      </c>
    </row>
    <row r="46" spans="1:9" x14ac:dyDescent="0.3">
      <c r="A46" t="s">
        <v>628</v>
      </c>
      <c r="B46" t="s">
        <v>236</v>
      </c>
      <c r="C46" t="s">
        <v>609</v>
      </c>
      <c r="D46" t="s">
        <v>678</v>
      </c>
      <c r="E46" s="15">
        <v>45470</v>
      </c>
      <c r="F46" s="15">
        <v>45443</v>
      </c>
      <c r="G46" t="s">
        <v>130</v>
      </c>
      <c r="H46" t="s">
        <v>679</v>
      </c>
      <c r="I46" t="s">
        <v>680</v>
      </c>
    </row>
    <row r="47" spans="1:9" x14ac:dyDescent="0.3">
      <c r="A47" t="s">
        <v>600</v>
      </c>
      <c r="B47" t="s">
        <v>280</v>
      </c>
      <c r="C47" t="s">
        <v>609</v>
      </c>
      <c r="D47" t="s">
        <v>632</v>
      </c>
      <c r="E47" s="15">
        <v>45468</v>
      </c>
      <c r="F47" s="15">
        <v>45443</v>
      </c>
      <c r="G47" t="s">
        <v>130</v>
      </c>
      <c r="I47" t="s">
        <v>664</v>
      </c>
    </row>
    <row r="48" spans="1:9" x14ac:dyDescent="0.3">
      <c r="A48" t="s">
        <v>628</v>
      </c>
      <c r="B48" t="s">
        <v>236</v>
      </c>
      <c r="C48" t="s">
        <v>609</v>
      </c>
      <c r="D48" t="s">
        <v>681</v>
      </c>
      <c r="E48" s="15">
        <v>45477</v>
      </c>
      <c r="F48" s="15">
        <v>45443</v>
      </c>
      <c r="G48" t="s">
        <v>130</v>
      </c>
      <c r="I48" t="s">
        <v>682</v>
      </c>
    </row>
    <row r="49" spans="1:9" x14ac:dyDescent="0.3">
      <c r="A49" t="s">
        <v>628</v>
      </c>
      <c r="B49" t="s">
        <v>185</v>
      </c>
      <c r="C49" t="s">
        <v>609</v>
      </c>
      <c r="D49" t="s">
        <v>683</v>
      </c>
      <c r="E49" s="15">
        <v>45478</v>
      </c>
      <c r="F49" s="15">
        <v>45443</v>
      </c>
      <c r="G49" t="s">
        <v>130</v>
      </c>
      <c r="I49" t="s">
        <v>684</v>
      </c>
    </row>
    <row r="50" spans="1:9" x14ac:dyDescent="0.3">
      <c r="A50" t="s">
        <v>628</v>
      </c>
      <c r="B50" t="s">
        <v>185</v>
      </c>
      <c r="C50" t="s">
        <v>609</v>
      </c>
      <c r="D50" t="s">
        <v>685</v>
      </c>
      <c r="E50" s="15">
        <v>45478</v>
      </c>
      <c r="F50" s="15">
        <v>45443</v>
      </c>
      <c r="G50" t="s">
        <v>149</v>
      </c>
      <c r="H50" t="s">
        <v>686</v>
      </c>
      <c r="I50" t="s">
        <v>687</v>
      </c>
    </row>
    <row r="51" spans="1:9" x14ac:dyDescent="0.3">
      <c r="A51" t="s">
        <v>628</v>
      </c>
      <c r="B51" t="s">
        <v>185</v>
      </c>
      <c r="C51" t="s">
        <v>609</v>
      </c>
      <c r="D51" t="s">
        <v>688</v>
      </c>
      <c r="E51" s="15">
        <v>45478</v>
      </c>
      <c r="F51" s="15">
        <v>45443</v>
      </c>
      <c r="G51" t="s">
        <v>130</v>
      </c>
      <c r="I51" t="s">
        <v>689</v>
      </c>
    </row>
    <row r="52" spans="1:9" x14ac:dyDescent="0.3">
      <c r="A52" t="s">
        <v>628</v>
      </c>
      <c r="B52" t="s">
        <v>185</v>
      </c>
      <c r="C52" t="s">
        <v>609</v>
      </c>
      <c r="D52" t="s">
        <v>690</v>
      </c>
      <c r="E52" s="15">
        <v>45478</v>
      </c>
      <c r="F52" s="15">
        <v>45443</v>
      </c>
      <c r="G52" t="s">
        <v>149</v>
      </c>
      <c r="H52" t="s">
        <v>691</v>
      </c>
      <c r="I52" t="s">
        <v>692</v>
      </c>
    </row>
    <row r="53" spans="1:9" x14ac:dyDescent="0.3">
      <c r="A53" t="s">
        <v>628</v>
      </c>
      <c r="B53" t="s">
        <v>185</v>
      </c>
      <c r="C53" t="s">
        <v>609</v>
      </c>
      <c r="D53" t="s">
        <v>693</v>
      </c>
      <c r="E53" s="15">
        <v>45478</v>
      </c>
      <c r="F53" s="15">
        <v>45443</v>
      </c>
      <c r="G53" t="s">
        <v>130</v>
      </c>
      <c r="I53" t="s">
        <v>694</v>
      </c>
    </row>
    <row r="54" spans="1:9" x14ac:dyDescent="0.3">
      <c r="A54" t="s">
        <v>628</v>
      </c>
      <c r="B54" t="s">
        <v>185</v>
      </c>
      <c r="C54" t="s">
        <v>609</v>
      </c>
      <c r="D54" t="s">
        <v>695</v>
      </c>
      <c r="E54" s="15">
        <v>45478</v>
      </c>
      <c r="F54" s="15">
        <v>45443</v>
      </c>
      <c r="G54" t="s">
        <v>130</v>
      </c>
      <c r="I54" t="s">
        <v>696</v>
      </c>
    </row>
    <row r="55" spans="1:9" x14ac:dyDescent="0.3">
      <c r="A55" t="s">
        <v>600</v>
      </c>
      <c r="B55" t="s">
        <v>44</v>
      </c>
      <c r="C55" t="s">
        <v>609</v>
      </c>
      <c r="D55" t="s">
        <v>697</v>
      </c>
      <c r="E55" s="15">
        <v>45481</v>
      </c>
      <c r="F55" s="15">
        <v>45443</v>
      </c>
      <c r="G55" t="s">
        <v>130</v>
      </c>
      <c r="I55" t="s">
        <v>698</v>
      </c>
    </row>
    <row r="56" spans="1:9" x14ac:dyDescent="0.3">
      <c r="A56" t="s">
        <v>600</v>
      </c>
      <c r="B56" t="s">
        <v>44</v>
      </c>
      <c r="C56" t="s">
        <v>609</v>
      </c>
      <c r="D56" t="s">
        <v>699</v>
      </c>
      <c r="E56" s="15">
        <v>45481</v>
      </c>
      <c r="F56" s="15">
        <v>45443</v>
      </c>
      <c r="G56" t="s">
        <v>130</v>
      </c>
      <c r="I56" t="s">
        <v>698</v>
      </c>
    </row>
    <row r="57" spans="1:9" x14ac:dyDescent="0.3">
      <c r="A57" t="s">
        <v>600</v>
      </c>
      <c r="B57" t="s">
        <v>44</v>
      </c>
      <c r="C57" t="s">
        <v>609</v>
      </c>
      <c r="D57" t="s">
        <v>700</v>
      </c>
      <c r="E57" s="15">
        <v>45481</v>
      </c>
      <c r="F57" s="15">
        <v>45443</v>
      </c>
      <c r="G57" t="s">
        <v>149</v>
      </c>
      <c r="H57" t="s">
        <v>701</v>
      </c>
      <c r="I57" t="s">
        <v>702</v>
      </c>
    </row>
    <row r="58" spans="1:9" x14ac:dyDescent="0.3">
      <c r="A58" t="s">
        <v>600</v>
      </c>
      <c r="B58" t="s">
        <v>44</v>
      </c>
      <c r="C58" t="s">
        <v>609</v>
      </c>
      <c r="D58" t="s">
        <v>703</v>
      </c>
      <c r="E58" s="15">
        <v>45481</v>
      </c>
      <c r="F58" s="15">
        <v>45443</v>
      </c>
      <c r="G58" t="s">
        <v>149</v>
      </c>
      <c r="H58" t="s">
        <v>704</v>
      </c>
      <c r="I58" t="s">
        <v>705</v>
      </c>
    </row>
    <row r="59" spans="1:9" x14ac:dyDescent="0.3">
      <c r="A59" t="s">
        <v>600</v>
      </c>
      <c r="B59" t="s">
        <v>44</v>
      </c>
      <c r="C59" t="s">
        <v>609</v>
      </c>
      <c r="D59" t="s">
        <v>706</v>
      </c>
      <c r="E59" s="15">
        <v>45481</v>
      </c>
      <c r="F59" s="15">
        <v>45443</v>
      </c>
      <c r="G59" t="s">
        <v>149</v>
      </c>
      <c r="H59" t="s">
        <v>707</v>
      </c>
      <c r="I59" t="s">
        <v>708</v>
      </c>
    </row>
    <row r="60" spans="1:9" x14ac:dyDescent="0.3">
      <c r="A60" t="s">
        <v>600</v>
      </c>
      <c r="B60" t="s">
        <v>44</v>
      </c>
      <c r="C60" t="s">
        <v>609</v>
      </c>
      <c r="D60" t="s">
        <v>709</v>
      </c>
      <c r="E60" s="15">
        <v>45481</v>
      </c>
      <c r="F60" s="15">
        <v>45443</v>
      </c>
      <c r="G60" t="s">
        <v>130</v>
      </c>
      <c r="I60" t="s">
        <v>710</v>
      </c>
    </row>
    <row r="61" spans="1:9" x14ac:dyDescent="0.3">
      <c r="A61" t="s">
        <v>628</v>
      </c>
      <c r="B61" t="s">
        <v>236</v>
      </c>
      <c r="C61" t="s">
        <v>609</v>
      </c>
      <c r="D61" t="s">
        <v>711</v>
      </c>
      <c r="E61" s="15">
        <v>45482</v>
      </c>
      <c r="F61" s="15">
        <v>45443</v>
      </c>
      <c r="G61" t="s">
        <v>130</v>
      </c>
      <c r="I61" t="s">
        <v>712</v>
      </c>
    </row>
    <row r="62" spans="1:9" x14ac:dyDescent="0.3">
      <c r="A62" t="s">
        <v>628</v>
      </c>
      <c r="B62" t="s">
        <v>236</v>
      </c>
      <c r="C62" t="s">
        <v>609</v>
      </c>
      <c r="D62" t="s">
        <v>713</v>
      </c>
      <c r="E62" s="15">
        <v>45482</v>
      </c>
      <c r="F62" s="15">
        <v>45443</v>
      </c>
      <c r="G62" t="s">
        <v>130</v>
      </c>
      <c r="H62" t="s">
        <v>714</v>
      </c>
      <c r="I62" t="s">
        <v>715</v>
      </c>
    </row>
    <row r="63" spans="1:9" x14ac:dyDescent="0.3">
      <c r="A63" t="s">
        <v>628</v>
      </c>
      <c r="B63" t="s">
        <v>236</v>
      </c>
      <c r="C63" t="s">
        <v>609</v>
      </c>
      <c r="D63" t="s">
        <v>716</v>
      </c>
      <c r="E63" s="15">
        <v>45482</v>
      </c>
      <c r="F63" s="15">
        <v>45443</v>
      </c>
      <c r="G63" t="s">
        <v>130</v>
      </c>
      <c r="I63" t="s">
        <v>717</v>
      </c>
    </row>
    <row r="64" spans="1:9" x14ac:dyDescent="0.3">
      <c r="A64" t="s">
        <v>628</v>
      </c>
      <c r="B64" t="s">
        <v>236</v>
      </c>
      <c r="C64" t="s">
        <v>609</v>
      </c>
      <c r="D64" t="s">
        <v>718</v>
      </c>
      <c r="E64" s="15">
        <v>45482</v>
      </c>
      <c r="F64" s="15">
        <v>45443</v>
      </c>
      <c r="G64" t="s">
        <v>130</v>
      </c>
      <c r="I64" t="s">
        <v>719</v>
      </c>
    </row>
    <row r="65" spans="1:9" x14ac:dyDescent="0.3">
      <c r="A65" t="s">
        <v>628</v>
      </c>
      <c r="B65" t="s">
        <v>236</v>
      </c>
      <c r="C65" t="s">
        <v>609</v>
      </c>
      <c r="D65" t="s">
        <v>720</v>
      </c>
      <c r="E65" s="15">
        <v>45482</v>
      </c>
      <c r="F65" s="15">
        <v>45443</v>
      </c>
      <c r="G65" t="s">
        <v>130</v>
      </c>
      <c r="I65" t="s">
        <v>721</v>
      </c>
    </row>
    <row r="66" spans="1:9" x14ac:dyDescent="0.3">
      <c r="A66" t="s">
        <v>628</v>
      </c>
      <c r="B66" t="s">
        <v>236</v>
      </c>
      <c r="C66" t="s">
        <v>609</v>
      </c>
      <c r="D66" t="s">
        <v>722</v>
      </c>
      <c r="E66" s="15">
        <v>45482</v>
      </c>
      <c r="F66" s="15">
        <v>45443</v>
      </c>
      <c r="G66" t="s">
        <v>130</v>
      </c>
      <c r="I66" t="s">
        <v>723</v>
      </c>
    </row>
    <row r="67" spans="1:9" x14ac:dyDescent="0.3">
      <c r="A67" t="s">
        <v>628</v>
      </c>
      <c r="B67" t="s">
        <v>236</v>
      </c>
      <c r="C67" t="s">
        <v>609</v>
      </c>
      <c r="D67" t="s">
        <v>724</v>
      </c>
      <c r="E67" s="15">
        <v>45482</v>
      </c>
      <c r="F67" s="15">
        <v>45443</v>
      </c>
      <c r="G67" t="s">
        <v>130</v>
      </c>
      <c r="I67" t="s">
        <v>725</v>
      </c>
    </row>
    <row r="68" spans="1:9" x14ac:dyDescent="0.3">
      <c r="A68" t="s">
        <v>628</v>
      </c>
      <c r="B68" t="s">
        <v>236</v>
      </c>
      <c r="C68" t="s">
        <v>609</v>
      </c>
      <c r="D68" t="s">
        <v>726</v>
      </c>
      <c r="E68" s="15">
        <v>45482</v>
      </c>
      <c r="F68" s="15">
        <v>45443</v>
      </c>
      <c r="H68" t="s">
        <v>727</v>
      </c>
    </row>
    <row r="69" spans="1:9" x14ac:dyDescent="0.3">
      <c r="A69" t="s">
        <v>628</v>
      </c>
      <c r="B69" t="s">
        <v>236</v>
      </c>
      <c r="C69" t="s">
        <v>609</v>
      </c>
      <c r="D69" t="s">
        <v>728</v>
      </c>
      <c r="E69" s="15">
        <v>45482</v>
      </c>
      <c r="F69" s="15">
        <v>45443</v>
      </c>
      <c r="H69" t="s">
        <v>729</v>
      </c>
    </row>
    <row r="70" spans="1:9" x14ac:dyDescent="0.3">
      <c r="A70" t="s">
        <v>628</v>
      </c>
      <c r="B70" t="s">
        <v>236</v>
      </c>
      <c r="C70" t="s">
        <v>609</v>
      </c>
      <c r="D70" t="s">
        <v>730</v>
      </c>
      <c r="E70" s="15">
        <v>45482</v>
      </c>
      <c r="F70" s="15">
        <v>45443</v>
      </c>
      <c r="H70" t="s">
        <v>731</v>
      </c>
    </row>
    <row r="71" spans="1:9" x14ac:dyDescent="0.3">
      <c r="A71" t="s">
        <v>628</v>
      </c>
      <c r="B71" t="s">
        <v>236</v>
      </c>
      <c r="C71" t="s">
        <v>609</v>
      </c>
      <c r="D71" t="s">
        <v>732</v>
      </c>
      <c r="E71" s="15">
        <v>45482</v>
      </c>
      <c r="F71" s="15">
        <v>45443</v>
      </c>
      <c r="H71" t="s">
        <v>733</v>
      </c>
    </row>
    <row r="72" spans="1:9" x14ac:dyDescent="0.3">
      <c r="A72" t="s">
        <v>628</v>
      </c>
      <c r="B72" t="s">
        <v>236</v>
      </c>
      <c r="C72" t="s">
        <v>609</v>
      </c>
      <c r="D72" t="s">
        <v>734</v>
      </c>
      <c r="E72" s="15">
        <v>45482</v>
      </c>
      <c r="F72" s="15">
        <v>45443</v>
      </c>
      <c r="H72" t="s">
        <v>733</v>
      </c>
    </row>
    <row r="73" spans="1:9" x14ac:dyDescent="0.3">
      <c r="A73" t="s">
        <v>628</v>
      </c>
      <c r="B73" t="s">
        <v>236</v>
      </c>
      <c r="C73" t="s">
        <v>609</v>
      </c>
      <c r="D73" t="s">
        <v>735</v>
      </c>
      <c r="E73" s="15">
        <v>45482</v>
      </c>
      <c r="F73" s="15">
        <v>45443</v>
      </c>
      <c r="H73" t="s">
        <v>733</v>
      </c>
    </row>
    <row r="74" spans="1:9" x14ac:dyDescent="0.3">
      <c r="A74" t="s">
        <v>628</v>
      </c>
      <c r="B74" t="s">
        <v>243</v>
      </c>
      <c r="C74" t="s">
        <v>604</v>
      </c>
      <c r="D74" t="s">
        <v>736</v>
      </c>
      <c r="E74" s="15">
        <v>45482</v>
      </c>
      <c r="F74" s="15">
        <v>45443</v>
      </c>
      <c r="G74" t="s">
        <v>130</v>
      </c>
      <c r="I74" t="s">
        <v>737</v>
      </c>
    </row>
    <row r="75" spans="1:9" x14ac:dyDescent="0.3">
      <c r="A75" t="s">
        <v>628</v>
      </c>
      <c r="B75" t="s">
        <v>243</v>
      </c>
      <c r="C75" t="s">
        <v>609</v>
      </c>
      <c r="D75" t="s">
        <v>738</v>
      </c>
      <c r="E75" s="15">
        <v>45482</v>
      </c>
      <c r="F75" s="15">
        <v>45443</v>
      </c>
      <c r="G75" t="s">
        <v>130</v>
      </c>
      <c r="I75" t="s">
        <v>739</v>
      </c>
    </row>
    <row r="76" spans="1:9" x14ac:dyDescent="0.3">
      <c r="A76" t="s">
        <v>628</v>
      </c>
      <c r="B76" t="s">
        <v>243</v>
      </c>
      <c r="C76" t="s">
        <v>609</v>
      </c>
      <c r="D76" t="s">
        <v>740</v>
      </c>
      <c r="E76" s="15">
        <v>45482</v>
      </c>
      <c r="F76" s="15">
        <v>45443</v>
      </c>
      <c r="G76" t="s">
        <v>130</v>
      </c>
      <c r="I76" t="s">
        <v>741</v>
      </c>
    </row>
    <row r="77" spans="1:9" x14ac:dyDescent="0.3">
      <c r="A77" t="s">
        <v>628</v>
      </c>
      <c r="B77" t="s">
        <v>243</v>
      </c>
      <c r="C77" t="s">
        <v>609</v>
      </c>
      <c r="D77" t="s">
        <v>742</v>
      </c>
      <c r="E77" s="15">
        <v>45482</v>
      </c>
      <c r="F77" s="15">
        <v>45443</v>
      </c>
      <c r="G77" t="s">
        <v>130</v>
      </c>
      <c r="H77" t="s">
        <v>743</v>
      </c>
      <c r="I77" t="s">
        <v>744</v>
      </c>
    </row>
    <row r="78" spans="1:9" x14ac:dyDescent="0.3">
      <c r="A78" t="s">
        <v>628</v>
      </c>
      <c r="B78" t="s">
        <v>243</v>
      </c>
      <c r="C78" t="s">
        <v>609</v>
      </c>
      <c r="D78" t="s">
        <v>745</v>
      </c>
      <c r="E78" s="15">
        <v>45482</v>
      </c>
      <c r="F78" s="15">
        <v>45443</v>
      </c>
      <c r="G78" t="s">
        <v>130</v>
      </c>
      <c r="I78" t="s">
        <v>746</v>
      </c>
    </row>
    <row r="79" spans="1:9" x14ac:dyDescent="0.3">
      <c r="A79" t="s">
        <v>628</v>
      </c>
      <c r="B79" t="s">
        <v>243</v>
      </c>
      <c r="C79" t="s">
        <v>609</v>
      </c>
      <c r="D79" t="s">
        <v>747</v>
      </c>
      <c r="E79" s="15">
        <v>45482</v>
      </c>
      <c r="F79" s="15">
        <v>45443</v>
      </c>
      <c r="G79" t="s">
        <v>130</v>
      </c>
      <c r="I79" t="s">
        <v>748</v>
      </c>
    </row>
    <row r="80" spans="1:9" x14ac:dyDescent="0.3">
      <c r="A80" t="s">
        <v>628</v>
      </c>
      <c r="B80" t="s">
        <v>243</v>
      </c>
      <c r="C80" t="s">
        <v>609</v>
      </c>
      <c r="D80" t="s">
        <v>749</v>
      </c>
      <c r="E80" s="15">
        <v>45482</v>
      </c>
      <c r="F80" s="15">
        <v>45443</v>
      </c>
      <c r="G80" t="s">
        <v>130</v>
      </c>
      <c r="I80" t="s">
        <v>750</v>
      </c>
    </row>
    <row r="81" spans="1:9" x14ac:dyDescent="0.3">
      <c r="A81" t="s">
        <v>628</v>
      </c>
      <c r="B81" t="s">
        <v>78</v>
      </c>
      <c r="C81" t="s">
        <v>604</v>
      </c>
      <c r="D81" t="s">
        <v>632</v>
      </c>
      <c r="E81" s="15">
        <v>45482</v>
      </c>
      <c r="F81" s="15">
        <v>45443</v>
      </c>
      <c r="G81" t="s">
        <v>130</v>
      </c>
      <c r="I81" t="s">
        <v>751</v>
      </c>
    </row>
    <row r="82" spans="1:9" x14ac:dyDescent="0.3">
      <c r="A82" t="s">
        <v>628</v>
      </c>
      <c r="B82" t="s">
        <v>78</v>
      </c>
      <c r="C82" t="s">
        <v>609</v>
      </c>
      <c r="D82" t="s">
        <v>752</v>
      </c>
      <c r="E82" s="15">
        <v>45483</v>
      </c>
      <c r="F82" s="15">
        <v>45443</v>
      </c>
      <c r="G82" t="s">
        <v>130</v>
      </c>
      <c r="I82" t="s">
        <v>753</v>
      </c>
    </row>
    <row r="83" spans="1:9" x14ac:dyDescent="0.3">
      <c r="A83" t="s">
        <v>628</v>
      </c>
      <c r="B83" t="s">
        <v>78</v>
      </c>
      <c r="C83" t="s">
        <v>609</v>
      </c>
      <c r="D83" t="s">
        <v>754</v>
      </c>
      <c r="E83" s="15">
        <v>45483</v>
      </c>
      <c r="F83" s="15">
        <v>45443</v>
      </c>
      <c r="G83" t="s">
        <v>130</v>
      </c>
      <c r="I83" t="s">
        <v>755</v>
      </c>
    </row>
    <row r="84" spans="1:9" x14ac:dyDescent="0.3">
      <c r="A84" t="s">
        <v>628</v>
      </c>
      <c r="B84" t="s">
        <v>78</v>
      </c>
      <c r="C84" t="s">
        <v>609</v>
      </c>
      <c r="D84" t="s">
        <v>756</v>
      </c>
      <c r="E84" s="15">
        <v>45483</v>
      </c>
      <c r="F84" s="15">
        <v>45443</v>
      </c>
      <c r="G84" t="s">
        <v>130</v>
      </c>
      <c r="I84" t="s">
        <v>757</v>
      </c>
    </row>
    <row r="85" spans="1:9" x14ac:dyDescent="0.3">
      <c r="A85" t="s">
        <v>628</v>
      </c>
      <c r="B85" t="s">
        <v>78</v>
      </c>
      <c r="C85" t="s">
        <v>609</v>
      </c>
      <c r="D85" t="s">
        <v>758</v>
      </c>
      <c r="E85" s="15">
        <v>45483</v>
      </c>
      <c r="F85" s="15">
        <v>45443</v>
      </c>
      <c r="G85" s="29" t="s">
        <v>149</v>
      </c>
      <c r="H85" t="s">
        <v>759</v>
      </c>
      <c r="I85" t="s">
        <v>760</v>
      </c>
    </row>
    <row r="86" spans="1:9" x14ac:dyDescent="0.3">
      <c r="A86" t="s">
        <v>628</v>
      </c>
      <c r="B86" t="s">
        <v>78</v>
      </c>
      <c r="C86" t="s">
        <v>609</v>
      </c>
      <c r="D86" t="s">
        <v>761</v>
      </c>
      <c r="E86" s="15">
        <v>45489</v>
      </c>
      <c r="F86" s="15">
        <v>45443</v>
      </c>
      <c r="G86" t="s">
        <v>130</v>
      </c>
      <c r="I86" t="s">
        <v>762</v>
      </c>
    </row>
    <row r="87" spans="1:9" x14ac:dyDescent="0.3">
      <c r="A87" t="s">
        <v>628</v>
      </c>
      <c r="B87" t="s">
        <v>78</v>
      </c>
      <c r="C87" t="s">
        <v>609</v>
      </c>
      <c r="D87" t="s">
        <v>763</v>
      </c>
      <c r="E87" s="15">
        <v>45483</v>
      </c>
      <c r="F87" s="15">
        <v>45443</v>
      </c>
      <c r="G87" t="s">
        <v>130</v>
      </c>
      <c r="I87" t="s">
        <v>764</v>
      </c>
    </row>
    <row r="88" spans="1:9" x14ac:dyDescent="0.3">
      <c r="A88" t="s">
        <v>628</v>
      </c>
      <c r="B88" t="s">
        <v>285</v>
      </c>
      <c r="C88" t="s">
        <v>604</v>
      </c>
      <c r="D88" t="s">
        <v>765</v>
      </c>
      <c r="E88" s="15">
        <v>45484</v>
      </c>
      <c r="F88" s="15">
        <v>45443</v>
      </c>
      <c r="G88" t="s">
        <v>149</v>
      </c>
      <c r="H88" t="s">
        <v>766</v>
      </c>
      <c r="I88" t="s">
        <v>767</v>
      </c>
    </row>
    <row r="89" spans="1:9" x14ac:dyDescent="0.3">
      <c r="A89" t="s">
        <v>600</v>
      </c>
      <c r="B89" t="s">
        <v>288</v>
      </c>
      <c r="C89" t="s">
        <v>609</v>
      </c>
      <c r="D89" t="s">
        <v>768</v>
      </c>
      <c r="E89" s="15">
        <v>45495</v>
      </c>
      <c r="F89" s="15">
        <v>45443</v>
      </c>
      <c r="G89" t="s">
        <v>130</v>
      </c>
      <c r="I89" t="s">
        <v>769</v>
      </c>
    </row>
    <row r="90" spans="1:9" x14ac:dyDescent="0.3">
      <c r="A90" t="s">
        <v>600</v>
      </c>
      <c r="B90" t="s">
        <v>288</v>
      </c>
      <c r="C90" t="s">
        <v>609</v>
      </c>
      <c r="D90" t="s">
        <v>770</v>
      </c>
      <c r="E90" s="15">
        <v>45495</v>
      </c>
      <c r="F90" s="15">
        <v>45443</v>
      </c>
      <c r="G90" t="s">
        <v>130</v>
      </c>
      <c r="H90" t="s">
        <v>771</v>
      </c>
      <c r="I90" t="s">
        <v>772</v>
      </c>
    </row>
    <row r="91" spans="1:9" x14ac:dyDescent="0.3">
      <c r="A91" t="s">
        <v>628</v>
      </c>
      <c r="B91" t="s">
        <v>285</v>
      </c>
      <c r="C91" t="s">
        <v>609</v>
      </c>
      <c r="D91" t="s">
        <v>773</v>
      </c>
      <c r="E91" s="15">
        <v>45502</v>
      </c>
      <c r="F91" s="15">
        <v>45443</v>
      </c>
      <c r="G91" t="s">
        <v>130</v>
      </c>
      <c r="H91" t="s">
        <v>774</v>
      </c>
      <c r="I91" t="s">
        <v>775</v>
      </c>
    </row>
    <row r="92" spans="1:9" x14ac:dyDescent="0.3">
      <c r="A92" t="s">
        <v>628</v>
      </c>
      <c r="B92" t="s">
        <v>285</v>
      </c>
      <c r="C92" t="s">
        <v>609</v>
      </c>
      <c r="D92" t="s">
        <v>776</v>
      </c>
      <c r="E92" s="15">
        <v>45502</v>
      </c>
      <c r="F92" s="15">
        <v>45443</v>
      </c>
      <c r="G92" t="s">
        <v>149</v>
      </c>
      <c r="H92" t="s">
        <v>777</v>
      </c>
      <c r="I92" t="s">
        <v>778</v>
      </c>
    </row>
    <row r="93" spans="1:9" x14ac:dyDescent="0.3">
      <c r="A93" t="s">
        <v>628</v>
      </c>
      <c r="B93" t="s">
        <v>285</v>
      </c>
      <c r="C93" t="s">
        <v>609</v>
      </c>
      <c r="D93" t="s">
        <v>779</v>
      </c>
      <c r="E93" s="15">
        <v>45502</v>
      </c>
      <c r="F93" s="15">
        <v>45443</v>
      </c>
      <c r="G93" t="s">
        <v>130</v>
      </c>
      <c r="H93" t="s">
        <v>774</v>
      </c>
      <c r="I93" t="s">
        <v>780</v>
      </c>
    </row>
    <row r="94" spans="1:9" x14ac:dyDescent="0.3">
      <c r="A94" t="s">
        <v>628</v>
      </c>
      <c r="B94" t="s">
        <v>285</v>
      </c>
      <c r="C94" t="s">
        <v>609</v>
      </c>
      <c r="D94" t="s">
        <v>781</v>
      </c>
      <c r="E94" s="15">
        <v>45502</v>
      </c>
      <c r="F94" s="15">
        <v>45443</v>
      </c>
      <c r="G94" t="s">
        <v>130</v>
      </c>
      <c r="H94" t="s">
        <v>774</v>
      </c>
      <c r="I94" t="s">
        <v>782</v>
      </c>
    </row>
    <row r="95" spans="1:9" x14ac:dyDescent="0.3">
      <c r="A95" t="s">
        <v>628</v>
      </c>
      <c r="B95" t="s">
        <v>285</v>
      </c>
      <c r="C95" t="s">
        <v>609</v>
      </c>
      <c r="D95" t="s">
        <v>783</v>
      </c>
      <c r="E95" s="15">
        <v>45502</v>
      </c>
      <c r="F95" s="15">
        <v>45443</v>
      </c>
      <c r="G95" t="s">
        <v>130</v>
      </c>
      <c r="H95" t="s">
        <v>774</v>
      </c>
      <c r="I95" t="s">
        <v>784</v>
      </c>
    </row>
    <row r="96" spans="1:9" x14ac:dyDescent="0.3">
      <c r="A96" t="s">
        <v>628</v>
      </c>
      <c r="B96" t="s">
        <v>255</v>
      </c>
      <c r="C96" t="s">
        <v>609</v>
      </c>
      <c r="D96" t="s">
        <v>785</v>
      </c>
      <c r="E96" s="15">
        <v>45509</v>
      </c>
      <c r="F96" s="15">
        <v>45443</v>
      </c>
      <c r="G96" t="s">
        <v>130</v>
      </c>
      <c r="I96" t="s">
        <v>786</v>
      </c>
    </row>
    <row r="97" spans="1:9" x14ac:dyDescent="0.3">
      <c r="A97" t="s">
        <v>628</v>
      </c>
      <c r="B97" t="s">
        <v>255</v>
      </c>
      <c r="C97" t="s">
        <v>609</v>
      </c>
      <c r="D97" t="s">
        <v>787</v>
      </c>
      <c r="E97" s="15">
        <v>45509</v>
      </c>
      <c r="F97" s="15">
        <v>45443</v>
      </c>
      <c r="G97" t="s">
        <v>130</v>
      </c>
      <c r="I97" t="s">
        <v>788</v>
      </c>
    </row>
    <row r="98" spans="1:9" x14ac:dyDescent="0.3">
      <c r="A98" t="s">
        <v>628</v>
      </c>
      <c r="B98" t="s">
        <v>255</v>
      </c>
      <c r="C98" t="s">
        <v>609</v>
      </c>
      <c r="D98" t="s">
        <v>789</v>
      </c>
      <c r="E98" s="15">
        <v>45509</v>
      </c>
      <c r="F98" s="15">
        <v>45443</v>
      </c>
      <c r="G98" t="s">
        <v>130</v>
      </c>
      <c r="I98" t="s">
        <v>790</v>
      </c>
    </row>
    <row r="99" spans="1:9" x14ac:dyDescent="0.3">
      <c r="A99" t="s">
        <v>628</v>
      </c>
      <c r="B99" t="s">
        <v>255</v>
      </c>
      <c r="C99" t="s">
        <v>609</v>
      </c>
      <c r="D99" t="s">
        <v>791</v>
      </c>
      <c r="E99" s="15">
        <v>45509</v>
      </c>
      <c r="F99" s="15">
        <v>45443</v>
      </c>
      <c r="G99" t="s">
        <v>130</v>
      </c>
      <c r="I99" t="s">
        <v>792</v>
      </c>
    </row>
    <row r="100" spans="1:9" x14ac:dyDescent="0.3">
      <c r="A100" t="s">
        <v>628</v>
      </c>
      <c r="B100" t="s">
        <v>255</v>
      </c>
      <c r="C100" t="s">
        <v>609</v>
      </c>
      <c r="D100" t="s">
        <v>793</v>
      </c>
      <c r="E100" s="15">
        <v>45509</v>
      </c>
      <c r="F100" s="15">
        <v>45443</v>
      </c>
      <c r="G100" t="s">
        <v>130</v>
      </c>
      <c r="I100" t="s">
        <v>794</v>
      </c>
    </row>
    <row r="101" spans="1:9" x14ac:dyDescent="0.3">
      <c r="A101" t="s">
        <v>628</v>
      </c>
      <c r="B101" t="s">
        <v>255</v>
      </c>
      <c r="C101" t="s">
        <v>609</v>
      </c>
      <c r="D101" t="s">
        <v>795</v>
      </c>
      <c r="E101" s="15">
        <v>45509</v>
      </c>
      <c r="F101" s="15">
        <v>45443</v>
      </c>
      <c r="G101" t="s">
        <v>130</v>
      </c>
      <c r="I101" t="s">
        <v>796</v>
      </c>
    </row>
    <row r="102" spans="1:9" x14ac:dyDescent="0.3">
      <c r="A102" t="s">
        <v>628</v>
      </c>
      <c r="B102" t="s">
        <v>255</v>
      </c>
      <c r="C102" t="s">
        <v>609</v>
      </c>
      <c r="D102" t="s">
        <v>797</v>
      </c>
      <c r="E102" s="15">
        <v>45509</v>
      </c>
      <c r="F102" s="15">
        <v>45443</v>
      </c>
      <c r="G102" t="s">
        <v>130</v>
      </c>
      <c r="H102" t="s">
        <v>798</v>
      </c>
      <c r="I102" t="s">
        <v>799</v>
      </c>
    </row>
    <row r="103" spans="1:9" x14ac:dyDescent="0.3">
      <c r="A103" t="s">
        <v>628</v>
      </c>
      <c r="B103" t="s">
        <v>255</v>
      </c>
      <c r="C103" t="s">
        <v>609</v>
      </c>
      <c r="D103" t="s">
        <v>800</v>
      </c>
      <c r="E103" s="15">
        <v>45509</v>
      </c>
      <c r="F103" s="15">
        <v>45443</v>
      </c>
      <c r="G103" t="s">
        <v>130</v>
      </c>
      <c r="I103" t="s">
        <v>801</v>
      </c>
    </row>
    <row r="104" spans="1:9" x14ac:dyDescent="0.3">
      <c r="A104" t="s">
        <v>628</v>
      </c>
      <c r="B104" t="s">
        <v>255</v>
      </c>
      <c r="C104" t="s">
        <v>609</v>
      </c>
      <c r="D104" t="s">
        <v>802</v>
      </c>
      <c r="H104" t="s">
        <v>803</v>
      </c>
    </row>
    <row r="105" spans="1:9" x14ac:dyDescent="0.3">
      <c r="A105" t="s">
        <v>628</v>
      </c>
      <c r="B105" t="s">
        <v>274</v>
      </c>
      <c r="C105" t="s">
        <v>609</v>
      </c>
      <c r="D105" t="s">
        <v>804</v>
      </c>
      <c r="E105" s="15">
        <v>45509</v>
      </c>
      <c r="F105" s="15">
        <v>45443</v>
      </c>
      <c r="G105" t="s">
        <v>130</v>
      </c>
      <c r="I105" t="s">
        <v>805</v>
      </c>
    </row>
    <row r="106" spans="1:9" x14ac:dyDescent="0.3">
      <c r="A106" t="s">
        <v>628</v>
      </c>
      <c r="B106" t="s">
        <v>274</v>
      </c>
      <c r="C106" t="s">
        <v>609</v>
      </c>
      <c r="D106" t="s">
        <v>806</v>
      </c>
      <c r="E106" s="15">
        <v>45509</v>
      </c>
      <c r="F106" s="15">
        <v>45443</v>
      </c>
      <c r="G106" t="s">
        <v>130</v>
      </c>
      <c r="I106" t="s">
        <v>807</v>
      </c>
    </row>
    <row r="107" spans="1:9" x14ac:dyDescent="0.3">
      <c r="A107" t="s">
        <v>628</v>
      </c>
      <c r="B107" t="s">
        <v>274</v>
      </c>
      <c r="C107" t="s">
        <v>609</v>
      </c>
      <c r="D107" t="s">
        <v>808</v>
      </c>
      <c r="E107" s="15">
        <v>45509</v>
      </c>
      <c r="F107" s="15">
        <v>45443</v>
      </c>
      <c r="G107" t="s">
        <v>130</v>
      </c>
      <c r="I107" t="s">
        <v>809</v>
      </c>
    </row>
    <row r="108" spans="1:9" x14ac:dyDescent="0.3">
      <c r="A108" t="s">
        <v>628</v>
      </c>
      <c r="B108" t="s">
        <v>43</v>
      </c>
      <c r="C108" t="s">
        <v>609</v>
      </c>
      <c r="D108" t="s">
        <v>810</v>
      </c>
      <c r="E108" s="15">
        <v>45541</v>
      </c>
      <c r="F108" s="15">
        <v>45443</v>
      </c>
      <c r="G108" t="s">
        <v>130</v>
      </c>
      <c r="I108" t="s">
        <v>811</v>
      </c>
    </row>
    <row r="109" spans="1:9" x14ac:dyDescent="0.3">
      <c r="A109" t="s">
        <v>628</v>
      </c>
      <c r="B109" t="s">
        <v>43</v>
      </c>
      <c r="C109" t="s">
        <v>609</v>
      </c>
      <c r="D109" t="s">
        <v>812</v>
      </c>
      <c r="E109" s="15">
        <v>45541</v>
      </c>
      <c r="F109" s="15">
        <v>45443</v>
      </c>
      <c r="G109" t="s">
        <v>130</v>
      </c>
      <c r="I109" t="s">
        <v>813</v>
      </c>
    </row>
    <row r="110" spans="1:9" x14ac:dyDescent="0.3">
      <c r="A110" t="s">
        <v>628</v>
      </c>
      <c r="B110" t="s">
        <v>43</v>
      </c>
      <c r="C110" t="s">
        <v>609</v>
      </c>
      <c r="D110" t="s">
        <v>814</v>
      </c>
      <c r="E110" s="15">
        <v>45541</v>
      </c>
      <c r="F110" s="15">
        <v>45443</v>
      </c>
      <c r="G110" t="s">
        <v>130</v>
      </c>
      <c r="H110" t="s">
        <v>815</v>
      </c>
      <c r="I110" t="s">
        <v>816</v>
      </c>
    </row>
    <row r="111" spans="1:9" x14ac:dyDescent="0.3">
      <c r="A111" t="s">
        <v>628</v>
      </c>
      <c r="B111" t="s">
        <v>43</v>
      </c>
      <c r="C111" t="s">
        <v>609</v>
      </c>
      <c r="D111" t="s">
        <v>817</v>
      </c>
      <c r="E111" s="15">
        <v>45541</v>
      </c>
      <c r="F111" s="15">
        <v>45443</v>
      </c>
      <c r="G111" t="s">
        <v>130</v>
      </c>
      <c r="I111" t="s">
        <v>818</v>
      </c>
    </row>
    <row r="112" spans="1:9" x14ac:dyDescent="0.3">
      <c r="A112" t="s">
        <v>628</v>
      </c>
      <c r="B112" t="s">
        <v>43</v>
      </c>
      <c r="C112" t="s">
        <v>609</v>
      </c>
      <c r="D112" t="s">
        <v>819</v>
      </c>
      <c r="E112" s="15">
        <v>45541</v>
      </c>
      <c r="F112" s="15">
        <v>45443</v>
      </c>
      <c r="G112" t="s">
        <v>130</v>
      </c>
      <c r="I112" t="s">
        <v>820</v>
      </c>
    </row>
    <row r="113" spans="1:12" x14ac:dyDescent="0.3">
      <c r="A113" t="s">
        <v>628</v>
      </c>
      <c r="B113" t="s">
        <v>43</v>
      </c>
      <c r="C113" t="s">
        <v>609</v>
      </c>
      <c r="D113" t="s">
        <v>821</v>
      </c>
      <c r="E113" s="15">
        <v>45541</v>
      </c>
      <c r="F113" s="15">
        <v>45443</v>
      </c>
      <c r="G113" t="s">
        <v>130</v>
      </c>
      <c r="H113" t="s">
        <v>815</v>
      </c>
      <c r="I113" t="s">
        <v>822</v>
      </c>
    </row>
    <row r="114" spans="1:12" x14ac:dyDescent="0.3">
      <c r="A114" t="s">
        <v>628</v>
      </c>
      <c r="B114" t="s">
        <v>41</v>
      </c>
      <c r="C114" t="s">
        <v>609</v>
      </c>
      <c r="D114" t="s">
        <v>823</v>
      </c>
      <c r="E114" s="15">
        <v>45544</v>
      </c>
      <c r="F114" s="15">
        <v>45443</v>
      </c>
      <c r="G114" t="s">
        <v>130</v>
      </c>
      <c r="I114" t="s">
        <v>824</v>
      </c>
    </row>
    <row r="115" spans="1:12" x14ac:dyDescent="0.3">
      <c r="A115" t="s">
        <v>628</v>
      </c>
      <c r="B115" t="s">
        <v>41</v>
      </c>
      <c r="C115" t="s">
        <v>609</v>
      </c>
      <c r="D115" t="s">
        <v>825</v>
      </c>
      <c r="E115" s="15">
        <v>45544</v>
      </c>
      <c r="F115" s="15">
        <v>45443</v>
      </c>
      <c r="G115" t="s">
        <v>130</v>
      </c>
      <c r="I115" t="s">
        <v>826</v>
      </c>
    </row>
    <row r="116" spans="1:12" x14ac:dyDescent="0.3">
      <c r="A116" t="s">
        <v>628</v>
      </c>
      <c r="B116" t="s">
        <v>41</v>
      </c>
      <c r="C116" t="s">
        <v>609</v>
      </c>
      <c r="D116" t="s">
        <v>827</v>
      </c>
      <c r="E116" s="15">
        <v>45544</v>
      </c>
      <c r="F116" s="15">
        <v>45443</v>
      </c>
      <c r="G116" t="s">
        <v>149</v>
      </c>
      <c r="H116" t="s">
        <v>479</v>
      </c>
      <c r="I116" t="s">
        <v>828</v>
      </c>
      <c r="L116" s="29"/>
    </row>
    <row r="117" spans="1:12" x14ac:dyDescent="0.3">
      <c r="A117" t="s">
        <v>628</v>
      </c>
      <c r="B117" t="s">
        <v>41</v>
      </c>
      <c r="C117" t="s">
        <v>609</v>
      </c>
      <c r="D117" t="s">
        <v>829</v>
      </c>
      <c r="E117" s="15">
        <v>45544</v>
      </c>
      <c r="F117" s="15">
        <v>45443</v>
      </c>
      <c r="G117" t="s">
        <v>130</v>
      </c>
      <c r="I117" t="s">
        <v>830</v>
      </c>
    </row>
    <row r="118" spans="1:12" x14ac:dyDescent="0.3">
      <c r="A118" t="s">
        <v>628</v>
      </c>
      <c r="B118" t="s">
        <v>41</v>
      </c>
      <c r="C118" t="s">
        <v>609</v>
      </c>
      <c r="D118" t="s">
        <v>831</v>
      </c>
      <c r="E118" s="15">
        <v>45544</v>
      </c>
      <c r="F118" s="15">
        <v>45443</v>
      </c>
      <c r="G118" t="s">
        <v>130</v>
      </c>
      <c r="I118" t="s">
        <v>832</v>
      </c>
    </row>
    <row r="119" spans="1:12" x14ac:dyDescent="0.3">
      <c r="A119" t="s">
        <v>628</v>
      </c>
      <c r="B119" t="s">
        <v>236</v>
      </c>
      <c r="C119" t="s">
        <v>604</v>
      </c>
      <c r="D119" t="s">
        <v>833</v>
      </c>
      <c r="E119" s="15">
        <v>45629</v>
      </c>
      <c r="F119" s="15">
        <v>45565</v>
      </c>
      <c r="G119" t="s">
        <v>130</v>
      </c>
      <c r="I119" t="s">
        <v>834</v>
      </c>
    </row>
    <row r="120" spans="1:12" x14ac:dyDescent="0.3">
      <c r="A120" t="s">
        <v>628</v>
      </c>
      <c r="B120" t="s">
        <v>236</v>
      </c>
      <c r="C120" t="s">
        <v>609</v>
      </c>
      <c r="D120" t="s">
        <v>668</v>
      </c>
      <c r="E120" s="15">
        <v>45629</v>
      </c>
      <c r="F120" s="15">
        <v>45565</v>
      </c>
      <c r="G120" t="s">
        <v>130</v>
      </c>
      <c r="I120" t="s">
        <v>835</v>
      </c>
    </row>
    <row r="121" spans="1:12" x14ac:dyDescent="0.3">
      <c r="A121" t="s">
        <v>628</v>
      </c>
      <c r="B121" t="s">
        <v>236</v>
      </c>
      <c r="C121" t="s">
        <v>609</v>
      </c>
      <c r="D121" t="s">
        <v>670</v>
      </c>
      <c r="E121" s="15">
        <v>45629</v>
      </c>
      <c r="F121" s="15">
        <v>45565</v>
      </c>
      <c r="G121" t="s">
        <v>130</v>
      </c>
      <c r="I121" t="s">
        <v>836</v>
      </c>
    </row>
    <row r="122" spans="1:12" x14ac:dyDescent="0.3">
      <c r="A122" t="s">
        <v>628</v>
      </c>
      <c r="B122" t="s">
        <v>236</v>
      </c>
      <c r="C122" t="s">
        <v>609</v>
      </c>
      <c r="D122" t="s">
        <v>672</v>
      </c>
      <c r="E122" s="15">
        <v>45629</v>
      </c>
      <c r="F122" s="15">
        <v>45565</v>
      </c>
      <c r="G122" t="s">
        <v>130</v>
      </c>
      <c r="I122" t="s">
        <v>837</v>
      </c>
    </row>
    <row r="123" spans="1:12" x14ac:dyDescent="0.3">
      <c r="A123" t="s">
        <v>628</v>
      </c>
      <c r="B123" t="s">
        <v>236</v>
      </c>
      <c r="C123" t="s">
        <v>609</v>
      </c>
      <c r="D123" t="s">
        <v>675</v>
      </c>
      <c r="E123" s="15">
        <v>45629</v>
      </c>
      <c r="F123" s="15">
        <v>45565</v>
      </c>
      <c r="G123" t="s">
        <v>149</v>
      </c>
      <c r="H123" t="s">
        <v>838</v>
      </c>
      <c r="I123" t="s">
        <v>839</v>
      </c>
    </row>
    <row r="124" spans="1:12" x14ac:dyDescent="0.3">
      <c r="A124" t="s">
        <v>628</v>
      </c>
      <c r="B124" t="s">
        <v>236</v>
      </c>
      <c r="C124" t="s">
        <v>609</v>
      </c>
      <c r="D124" t="s">
        <v>681</v>
      </c>
      <c r="E124" s="15">
        <v>45629</v>
      </c>
      <c r="F124" s="15">
        <v>45565</v>
      </c>
      <c r="G124" t="s">
        <v>130</v>
      </c>
      <c r="I124" t="s">
        <v>840</v>
      </c>
    </row>
    <row r="125" spans="1:12" x14ac:dyDescent="0.3">
      <c r="A125" t="s">
        <v>628</v>
      </c>
      <c r="B125" t="s">
        <v>236</v>
      </c>
      <c r="C125" t="s">
        <v>609</v>
      </c>
      <c r="D125" t="s">
        <v>711</v>
      </c>
      <c r="E125" s="15">
        <v>45629</v>
      </c>
      <c r="F125" s="15">
        <v>45565</v>
      </c>
      <c r="G125" t="s">
        <v>130</v>
      </c>
      <c r="I125" t="s">
        <v>841</v>
      </c>
    </row>
    <row r="126" spans="1:12" x14ac:dyDescent="0.3">
      <c r="A126" t="s">
        <v>628</v>
      </c>
      <c r="B126" t="s">
        <v>236</v>
      </c>
      <c r="C126" t="s">
        <v>609</v>
      </c>
      <c r="D126" t="s">
        <v>713</v>
      </c>
      <c r="E126" s="15">
        <v>45629</v>
      </c>
      <c r="F126" s="15">
        <v>45565</v>
      </c>
      <c r="G126" t="s">
        <v>130</v>
      </c>
      <c r="H126" t="s">
        <v>714</v>
      </c>
      <c r="I126" t="s">
        <v>842</v>
      </c>
    </row>
    <row r="127" spans="1:12" x14ac:dyDescent="0.3">
      <c r="A127" t="s">
        <v>628</v>
      </c>
      <c r="B127" t="s">
        <v>236</v>
      </c>
      <c r="C127" t="s">
        <v>609</v>
      </c>
      <c r="D127" t="s">
        <v>716</v>
      </c>
      <c r="E127" s="15">
        <v>45629</v>
      </c>
      <c r="F127" s="15">
        <v>45565</v>
      </c>
      <c r="G127" t="s">
        <v>130</v>
      </c>
      <c r="I127" t="s">
        <v>843</v>
      </c>
    </row>
    <row r="128" spans="1:12" x14ac:dyDescent="0.3">
      <c r="A128" t="s">
        <v>628</v>
      </c>
      <c r="B128" t="s">
        <v>236</v>
      </c>
      <c r="C128" t="s">
        <v>609</v>
      </c>
      <c r="D128" t="s">
        <v>718</v>
      </c>
      <c r="E128" s="15">
        <v>45629</v>
      </c>
      <c r="F128" s="15">
        <v>45565</v>
      </c>
      <c r="G128" t="s">
        <v>130</v>
      </c>
      <c r="I128" t="s">
        <v>844</v>
      </c>
    </row>
    <row r="129" spans="1:9" x14ac:dyDescent="0.3">
      <c r="A129" t="s">
        <v>628</v>
      </c>
      <c r="B129" t="s">
        <v>236</v>
      </c>
      <c r="C129" t="s">
        <v>609</v>
      </c>
      <c r="D129" t="s">
        <v>720</v>
      </c>
      <c r="E129" s="15">
        <v>45629</v>
      </c>
      <c r="F129" s="15">
        <v>45565</v>
      </c>
      <c r="G129" t="s">
        <v>130</v>
      </c>
      <c r="I129" t="s">
        <v>845</v>
      </c>
    </row>
    <row r="130" spans="1:9" x14ac:dyDescent="0.3">
      <c r="A130" t="s">
        <v>628</v>
      </c>
      <c r="B130" t="s">
        <v>236</v>
      </c>
      <c r="C130" t="s">
        <v>609</v>
      </c>
      <c r="D130" t="s">
        <v>722</v>
      </c>
      <c r="E130" s="15">
        <v>45629</v>
      </c>
      <c r="F130" s="15">
        <v>45565</v>
      </c>
      <c r="G130" t="s">
        <v>149</v>
      </c>
      <c r="H130" t="s">
        <v>846</v>
      </c>
      <c r="I130" t="s">
        <v>847</v>
      </c>
    </row>
    <row r="131" spans="1:9" x14ac:dyDescent="0.3">
      <c r="A131" t="s">
        <v>628</v>
      </c>
      <c r="B131" t="s">
        <v>236</v>
      </c>
      <c r="C131" t="s">
        <v>609</v>
      </c>
      <c r="D131" t="s">
        <v>724</v>
      </c>
      <c r="E131" s="15">
        <v>45629</v>
      </c>
      <c r="F131" s="15">
        <v>45565</v>
      </c>
      <c r="G131" t="s">
        <v>149</v>
      </c>
      <c r="H131" t="s">
        <v>848</v>
      </c>
      <c r="I131" t="s">
        <v>849</v>
      </c>
    </row>
    <row r="132" spans="1:9" x14ac:dyDescent="0.3">
      <c r="A132" t="s">
        <v>628</v>
      </c>
      <c r="B132" t="s">
        <v>236</v>
      </c>
      <c r="C132" t="s">
        <v>609</v>
      </c>
      <c r="D132" t="s">
        <v>850</v>
      </c>
      <c r="E132" s="15">
        <v>45629</v>
      </c>
      <c r="F132" s="15">
        <v>45565</v>
      </c>
      <c r="G132" t="s">
        <v>149</v>
      </c>
      <c r="H132" t="s">
        <v>851</v>
      </c>
      <c r="I132" t="s">
        <v>852</v>
      </c>
    </row>
    <row r="133" spans="1:9" x14ac:dyDescent="0.3">
      <c r="A133" t="s">
        <v>628</v>
      </c>
      <c r="B133" t="s">
        <v>236</v>
      </c>
      <c r="C133" t="s">
        <v>609</v>
      </c>
      <c r="D133" t="s">
        <v>726</v>
      </c>
      <c r="E133" s="15">
        <v>45629</v>
      </c>
      <c r="F133" s="15">
        <v>45565</v>
      </c>
      <c r="H133" t="s">
        <v>727</v>
      </c>
    </row>
    <row r="134" spans="1:9" x14ac:dyDescent="0.3">
      <c r="A134" t="s">
        <v>628</v>
      </c>
      <c r="B134" t="s">
        <v>236</v>
      </c>
      <c r="C134" t="s">
        <v>609</v>
      </c>
      <c r="D134" t="s">
        <v>728</v>
      </c>
      <c r="E134" s="15">
        <v>45629</v>
      </c>
      <c r="F134" s="15">
        <v>45565</v>
      </c>
      <c r="H134" t="s">
        <v>729</v>
      </c>
    </row>
    <row r="135" spans="1:9" x14ac:dyDescent="0.3">
      <c r="A135" t="s">
        <v>628</v>
      </c>
      <c r="B135" t="s">
        <v>236</v>
      </c>
      <c r="C135" t="s">
        <v>609</v>
      </c>
      <c r="D135" t="s">
        <v>730</v>
      </c>
      <c r="E135" s="15">
        <v>45629</v>
      </c>
      <c r="F135" s="15">
        <v>45565</v>
      </c>
      <c r="H135" t="s">
        <v>731</v>
      </c>
    </row>
    <row r="136" spans="1:9" x14ac:dyDescent="0.3">
      <c r="A136" t="s">
        <v>628</v>
      </c>
      <c r="B136" t="s">
        <v>236</v>
      </c>
      <c r="C136" t="s">
        <v>609</v>
      </c>
      <c r="D136" t="s">
        <v>730</v>
      </c>
      <c r="E136" s="15">
        <v>45629</v>
      </c>
      <c r="F136" s="15">
        <v>45565</v>
      </c>
      <c r="H136" t="s">
        <v>731</v>
      </c>
    </row>
    <row r="137" spans="1:9" x14ac:dyDescent="0.3">
      <c r="A137" t="s">
        <v>628</v>
      </c>
      <c r="B137" t="s">
        <v>236</v>
      </c>
      <c r="C137" t="s">
        <v>609</v>
      </c>
      <c r="D137" t="s">
        <v>732</v>
      </c>
      <c r="E137" s="15">
        <v>45629</v>
      </c>
      <c r="F137" s="15">
        <v>45565</v>
      </c>
      <c r="H137" t="s">
        <v>853</v>
      </c>
    </row>
    <row r="138" spans="1:9" x14ac:dyDescent="0.3">
      <c r="A138" t="s">
        <v>628</v>
      </c>
      <c r="B138" t="s">
        <v>236</v>
      </c>
      <c r="C138" t="s">
        <v>609</v>
      </c>
      <c r="D138" t="s">
        <v>734</v>
      </c>
      <c r="E138" s="15">
        <v>45629</v>
      </c>
      <c r="F138" s="15">
        <v>45565</v>
      </c>
      <c r="H138" t="s">
        <v>853</v>
      </c>
    </row>
    <row r="139" spans="1:9" x14ac:dyDescent="0.3">
      <c r="A139" t="s">
        <v>628</v>
      </c>
      <c r="B139" t="s">
        <v>236</v>
      </c>
      <c r="C139" t="s">
        <v>609</v>
      </c>
      <c r="D139" t="s">
        <v>735</v>
      </c>
      <c r="E139" s="15">
        <v>45629</v>
      </c>
      <c r="F139" s="15">
        <v>45565</v>
      </c>
      <c r="H139" t="s">
        <v>853</v>
      </c>
    </row>
    <row r="140" spans="1:9" x14ac:dyDescent="0.3">
      <c r="A140" t="s">
        <v>628</v>
      </c>
      <c r="B140" t="s">
        <v>285</v>
      </c>
      <c r="C140" t="s">
        <v>604</v>
      </c>
      <c r="D140" t="s">
        <v>833</v>
      </c>
      <c r="E140" s="15">
        <v>45629</v>
      </c>
      <c r="F140" s="15">
        <v>45565</v>
      </c>
      <c r="G140" t="s">
        <v>130</v>
      </c>
      <c r="H140" t="s">
        <v>774</v>
      </c>
      <c r="I140" t="s">
        <v>854</v>
      </c>
    </row>
    <row r="141" spans="1:9" x14ac:dyDescent="0.3">
      <c r="A141" t="s">
        <v>628</v>
      </c>
      <c r="B141" t="s">
        <v>285</v>
      </c>
      <c r="C141" t="s">
        <v>604</v>
      </c>
      <c r="D141" t="s">
        <v>765</v>
      </c>
      <c r="E141" s="15">
        <v>45629</v>
      </c>
      <c r="F141" s="15">
        <v>45565</v>
      </c>
      <c r="G141" t="s">
        <v>130</v>
      </c>
      <c r="H141" t="s">
        <v>855</v>
      </c>
      <c r="I141" t="s">
        <v>856</v>
      </c>
    </row>
    <row r="142" spans="1:9" x14ac:dyDescent="0.3">
      <c r="A142" t="s">
        <v>628</v>
      </c>
      <c r="B142" t="s">
        <v>285</v>
      </c>
      <c r="C142" t="s">
        <v>609</v>
      </c>
      <c r="D142" t="s">
        <v>773</v>
      </c>
      <c r="E142" s="15">
        <v>45629</v>
      </c>
      <c r="F142" s="15">
        <v>45565</v>
      </c>
      <c r="G142" t="s">
        <v>130</v>
      </c>
      <c r="H142" t="s">
        <v>774</v>
      </c>
      <c r="I142" t="s">
        <v>857</v>
      </c>
    </row>
    <row r="143" spans="1:9" x14ac:dyDescent="0.3">
      <c r="A143" t="s">
        <v>628</v>
      </c>
      <c r="B143" t="s">
        <v>285</v>
      </c>
      <c r="C143" t="s">
        <v>609</v>
      </c>
      <c r="D143" t="s">
        <v>776</v>
      </c>
      <c r="E143" s="15">
        <v>45629</v>
      </c>
      <c r="F143" s="15">
        <v>45565</v>
      </c>
      <c r="G143" t="s">
        <v>130</v>
      </c>
      <c r="H143" t="s">
        <v>858</v>
      </c>
      <c r="I143" t="s">
        <v>859</v>
      </c>
    </row>
    <row r="144" spans="1:9" x14ac:dyDescent="0.3">
      <c r="A144" t="s">
        <v>628</v>
      </c>
      <c r="B144" t="s">
        <v>285</v>
      </c>
      <c r="C144" t="s">
        <v>609</v>
      </c>
      <c r="D144" t="s">
        <v>779</v>
      </c>
      <c r="E144" s="15">
        <v>45629</v>
      </c>
      <c r="F144" s="15">
        <v>45565</v>
      </c>
      <c r="G144" t="s">
        <v>130</v>
      </c>
      <c r="H144" t="s">
        <v>774</v>
      </c>
      <c r="I144" t="s">
        <v>860</v>
      </c>
    </row>
    <row r="145" spans="1:9" x14ac:dyDescent="0.3">
      <c r="A145" t="s">
        <v>628</v>
      </c>
      <c r="B145" t="s">
        <v>285</v>
      </c>
      <c r="C145" t="s">
        <v>609</v>
      </c>
      <c r="D145" t="s">
        <v>781</v>
      </c>
      <c r="E145" s="15">
        <v>45629</v>
      </c>
      <c r="F145" s="15">
        <v>45565</v>
      </c>
      <c r="G145" t="s">
        <v>130</v>
      </c>
      <c r="H145" t="s">
        <v>774</v>
      </c>
      <c r="I145" t="s">
        <v>861</v>
      </c>
    </row>
    <row r="146" spans="1:9" x14ac:dyDescent="0.3">
      <c r="A146" t="s">
        <v>628</v>
      </c>
      <c r="B146" t="s">
        <v>285</v>
      </c>
      <c r="C146" t="s">
        <v>609</v>
      </c>
      <c r="D146" t="s">
        <v>783</v>
      </c>
      <c r="E146" s="15">
        <v>45629</v>
      </c>
      <c r="F146" s="15">
        <v>45565</v>
      </c>
      <c r="G146" t="s">
        <v>149</v>
      </c>
      <c r="H146" t="s">
        <v>862</v>
      </c>
      <c r="I146" t="s">
        <v>863</v>
      </c>
    </row>
    <row r="147" spans="1:9" x14ac:dyDescent="0.3">
      <c r="A147" t="s">
        <v>628</v>
      </c>
      <c r="B147" t="s">
        <v>43</v>
      </c>
      <c r="C147" t="s">
        <v>604</v>
      </c>
      <c r="D147" t="s">
        <v>632</v>
      </c>
      <c r="E147" s="15">
        <v>45629</v>
      </c>
      <c r="F147" s="15">
        <v>45565</v>
      </c>
      <c r="G147" t="s">
        <v>130</v>
      </c>
      <c r="I147" t="s">
        <v>864</v>
      </c>
    </row>
    <row r="148" spans="1:9" x14ac:dyDescent="0.3">
      <c r="A148" t="s">
        <v>628</v>
      </c>
      <c r="B148" t="s">
        <v>43</v>
      </c>
      <c r="C148" t="s">
        <v>609</v>
      </c>
      <c r="D148" t="s">
        <v>810</v>
      </c>
      <c r="E148" s="15">
        <v>45629</v>
      </c>
      <c r="F148" s="15">
        <v>45565</v>
      </c>
      <c r="G148" t="s">
        <v>130</v>
      </c>
      <c r="I148" t="s">
        <v>865</v>
      </c>
    </row>
    <row r="149" spans="1:9" x14ac:dyDescent="0.3">
      <c r="A149" t="s">
        <v>628</v>
      </c>
      <c r="B149" t="s">
        <v>43</v>
      </c>
      <c r="C149" t="s">
        <v>609</v>
      </c>
      <c r="D149" t="s">
        <v>812</v>
      </c>
      <c r="E149" s="15">
        <v>45629</v>
      </c>
      <c r="F149" s="15">
        <v>45565</v>
      </c>
      <c r="G149" t="s">
        <v>149</v>
      </c>
      <c r="H149" t="s">
        <v>866</v>
      </c>
      <c r="I149" t="s">
        <v>867</v>
      </c>
    </row>
    <row r="150" spans="1:9" x14ac:dyDescent="0.3">
      <c r="A150" t="s">
        <v>628</v>
      </c>
      <c r="B150" t="s">
        <v>43</v>
      </c>
      <c r="C150" t="s">
        <v>609</v>
      </c>
      <c r="D150" t="s">
        <v>814</v>
      </c>
      <c r="E150" s="15">
        <v>45629</v>
      </c>
      <c r="F150" s="15">
        <v>45565</v>
      </c>
      <c r="G150" t="s">
        <v>149</v>
      </c>
      <c r="H150" t="s">
        <v>868</v>
      </c>
      <c r="I150" t="s">
        <v>869</v>
      </c>
    </row>
    <row r="151" spans="1:9" x14ac:dyDescent="0.3">
      <c r="A151" t="s">
        <v>628</v>
      </c>
      <c r="B151" t="s">
        <v>43</v>
      </c>
      <c r="C151" t="s">
        <v>609</v>
      </c>
      <c r="D151" t="s">
        <v>817</v>
      </c>
      <c r="E151" s="15">
        <v>45629</v>
      </c>
      <c r="F151" s="15">
        <v>45565</v>
      </c>
      <c r="G151" t="s">
        <v>130</v>
      </c>
      <c r="I151" t="s">
        <v>870</v>
      </c>
    </row>
    <row r="152" spans="1:9" x14ac:dyDescent="0.3">
      <c r="A152" t="s">
        <v>628</v>
      </c>
      <c r="B152" t="s">
        <v>43</v>
      </c>
      <c r="C152" t="s">
        <v>609</v>
      </c>
      <c r="D152" t="s">
        <v>819</v>
      </c>
      <c r="E152" s="15">
        <v>45629</v>
      </c>
      <c r="F152" s="15">
        <v>45565</v>
      </c>
      <c r="G152" t="s">
        <v>130</v>
      </c>
      <c r="I152" t="s">
        <v>871</v>
      </c>
    </row>
    <row r="153" spans="1:9" x14ac:dyDescent="0.3">
      <c r="A153" t="s">
        <v>628</v>
      </c>
      <c r="B153" t="s">
        <v>43</v>
      </c>
      <c r="C153" t="s">
        <v>609</v>
      </c>
      <c r="D153" t="s">
        <v>821</v>
      </c>
      <c r="E153" s="15">
        <v>45629</v>
      </c>
      <c r="F153" s="15">
        <v>45565</v>
      </c>
      <c r="G153" t="s">
        <v>130</v>
      </c>
      <c r="I153" t="s">
        <v>872</v>
      </c>
    </row>
    <row r="154" spans="1:9" x14ac:dyDescent="0.3">
      <c r="A154" t="s">
        <v>628</v>
      </c>
      <c r="B154" t="s">
        <v>243</v>
      </c>
      <c r="C154" t="s">
        <v>604</v>
      </c>
      <c r="D154" t="s">
        <v>632</v>
      </c>
      <c r="E154" s="15">
        <v>45630</v>
      </c>
      <c r="F154" s="15">
        <v>45565</v>
      </c>
      <c r="G154" t="s">
        <v>130</v>
      </c>
      <c r="I154" t="s">
        <v>873</v>
      </c>
    </row>
    <row r="155" spans="1:9" x14ac:dyDescent="0.3">
      <c r="A155" t="s">
        <v>628</v>
      </c>
      <c r="B155" t="s">
        <v>243</v>
      </c>
      <c r="C155" t="s">
        <v>609</v>
      </c>
      <c r="D155" t="s">
        <v>738</v>
      </c>
      <c r="E155" s="15">
        <v>45630</v>
      </c>
      <c r="F155" s="15">
        <v>45565</v>
      </c>
      <c r="G155" t="s">
        <v>130</v>
      </c>
      <c r="I155" t="s">
        <v>874</v>
      </c>
    </row>
    <row r="156" spans="1:9" x14ac:dyDescent="0.3">
      <c r="A156" t="s">
        <v>628</v>
      </c>
      <c r="B156" t="s">
        <v>243</v>
      </c>
      <c r="C156" t="s">
        <v>609</v>
      </c>
      <c r="D156" t="s">
        <v>740</v>
      </c>
      <c r="E156" s="15">
        <v>45630</v>
      </c>
      <c r="F156" s="15">
        <v>45565</v>
      </c>
      <c r="G156" t="s">
        <v>149</v>
      </c>
      <c r="H156" t="s">
        <v>875</v>
      </c>
      <c r="I156" t="s">
        <v>876</v>
      </c>
    </row>
    <row r="157" spans="1:9" x14ac:dyDescent="0.3">
      <c r="A157" t="s">
        <v>628</v>
      </c>
      <c r="B157" t="s">
        <v>243</v>
      </c>
      <c r="C157" t="s">
        <v>609</v>
      </c>
      <c r="D157" t="s">
        <v>742</v>
      </c>
      <c r="E157" s="15">
        <v>45630</v>
      </c>
      <c r="F157" s="15">
        <v>45565</v>
      </c>
      <c r="G157" t="s">
        <v>130</v>
      </c>
      <c r="I157" t="s">
        <v>877</v>
      </c>
    </row>
    <row r="158" spans="1:9" x14ac:dyDescent="0.3">
      <c r="A158" t="s">
        <v>628</v>
      </c>
      <c r="B158" t="s">
        <v>243</v>
      </c>
      <c r="C158" t="s">
        <v>609</v>
      </c>
      <c r="D158" t="s">
        <v>745</v>
      </c>
      <c r="E158" s="15">
        <v>45630</v>
      </c>
      <c r="F158" s="15">
        <v>45565</v>
      </c>
      <c r="G158" t="s">
        <v>130</v>
      </c>
      <c r="I158" t="s">
        <v>878</v>
      </c>
    </row>
    <row r="159" spans="1:9" x14ac:dyDescent="0.3">
      <c r="A159" t="s">
        <v>628</v>
      </c>
      <c r="B159" t="s">
        <v>243</v>
      </c>
      <c r="C159" t="s">
        <v>609</v>
      </c>
      <c r="D159" t="s">
        <v>747</v>
      </c>
      <c r="E159" s="15">
        <v>45630</v>
      </c>
      <c r="F159" s="15">
        <v>45565</v>
      </c>
      <c r="G159" t="s">
        <v>130</v>
      </c>
      <c r="I159" t="s">
        <v>879</v>
      </c>
    </row>
    <row r="160" spans="1:9" x14ac:dyDescent="0.3">
      <c r="A160" t="s">
        <v>628</v>
      </c>
      <c r="B160" t="s">
        <v>243</v>
      </c>
      <c r="C160" t="s">
        <v>609</v>
      </c>
      <c r="D160" t="s">
        <v>749</v>
      </c>
      <c r="E160" s="15">
        <v>45630</v>
      </c>
      <c r="F160" s="15">
        <v>45565</v>
      </c>
      <c r="G160" t="s">
        <v>130</v>
      </c>
      <c r="I160" t="s">
        <v>880</v>
      </c>
    </row>
    <row r="161" spans="1:9" x14ac:dyDescent="0.3">
      <c r="A161" t="s">
        <v>628</v>
      </c>
      <c r="B161" t="s">
        <v>255</v>
      </c>
      <c r="C161" t="s">
        <v>604</v>
      </c>
      <c r="D161" t="s">
        <v>632</v>
      </c>
      <c r="E161" s="15">
        <v>45630</v>
      </c>
      <c r="F161" s="15">
        <v>45473</v>
      </c>
      <c r="G161" t="s">
        <v>130</v>
      </c>
      <c r="I161" t="s">
        <v>881</v>
      </c>
    </row>
    <row r="162" spans="1:9" x14ac:dyDescent="0.3">
      <c r="A162" t="s">
        <v>628</v>
      </c>
      <c r="B162" t="s">
        <v>255</v>
      </c>
      <c r="C162" t="s">
        <v>609</v>
      </c>
      <c r="D162" t="s">
        <v>785</v>
      </c>
      <c r="E162" s="15">
        <v>45630</v>
      </c>
      <c r="F162" s="15">
        <v>45473</v>
      </c>
      <c r="G162" t="s">
        <v>130</v>
      </c>
      <c r="I162" t="s">
        <v>882</v>
      </c>
    </row>
    <row r="163" spans="1:9" x14ac:dyDescent="0.3">
      <c r="A163" t="s">
        <v>628</v>
      </c>
      <c r="B163" t="s">
        <v>255</v>
      </c>
      <c r="C163" t="s">
        <v>609</v>
      </c>
      <c r="D163" t="s">
        <v>787</v>
      </c>
      <c r="E163" s="15">
        <v>45630</v>
      </c>
      <c r="F163" s="15">
        <v>45473</v>
      </c>
      <c r="G163" t="s">
        <v>130</v>
      </c>
      <c r="I163" t="s">
        <v>883</v>
      </c>
    </row>
    <row r="164" spans="1:9" x14ac:dyDescent="0.3">
      <c r="A164" t="s">
        <v>628</v>
      </c>
      <c r="B164" t="s">
        <v>255</v>
      </c>
      <c r="C164" t="s">
        <v>609</v>
      </c>
      <c r="D164" t="s">
        <v>789</v>
      </c>
      <c r="E164" s="15">
        <v>45630</v>
      </c>
      <c r="F164" s="15">
        <v>45473</v>
      </c>
      <c r="G164" t="s">
        <v>130</v>
      </c>
      <c r="I164" t="s">
        <v>883</v>
      </c>
    </row>
    <row r="165" spans="1:9" x14ac:dyDescent="0.3">
      <c r="A165" t="s">
        <v>628</v>
      </c>
      <c r="B165" t="s">
        <v>255</v>
      </c>
      <c r="C165" t="s">
        <v>609</v>
      </c>
      <c r="D165" t="s">
        <v>791</v>
      </c>
      <c r="E165" s="15">
        <v>45630</v>
      </c>
      <c r="F165" s="15">
        <v>45473</v>
      </c>
      <c r="G165" t="s">
        <v>130</v>
      </c>
      <c r="I165" t="s">
        <v>884</v>
      </c>
    </row>
    <row r="166" spans="1:9" x14ac:dyDescent="0.3">
      <c r="A166" t="s">
        <v>628</v>
      </c>
      <c r="B166" t="s">
        <v>255</v>
      </c>
      <c r="C166" t="s">
        <v>609</v>
      </c>
      <c r="D166" t="s">
        <v>793</v>
      </c>
      <c r="E166" s="15">
        <v>45630</v>
      </c>
      <c r="F166" s="15">
        <v>45473</v>
      </c>
      <c r="G166" t="s">
        <v>130</v>
      </c>
      <c r="I166" t="s">
        <v>885</v>
      </c>
    </row>
    <row r="167" spans="1:9" x14ac:dyDescent="0.3">
      <c r="A167" t="s">
        <v>628</v>
      </c>
      <c r="B167" t="s">
        <v>255</v>
      </c>
      <c r="C167" t="s">
        <v>609</v>
      </c>
      <c r="D167" t="s">
        <v>795</v>
      </c>
      <c r="E167" s="15">
        <v>45630</v>
      </c>
      <c r="F167" s="15">
        <v>45473</v>
      </c>
      <c r="G167" t="s">
        <v>130</v>
      </c>
      <c r="I167" t="s">
        <v>886</v>
      </c>
    </row>
    <row r="168" spans="1:9" x14ac:dyDescent="0.3">
      <c r="A168" t="s">
        <v>628</v>
      </c>
      <c r="B168" t="s">
        <v>255</v>
      </c>
      <c r="C168" t="s">
        <v>609</v>
      </c>
      <c r="D168" t="s">
        <v>797</v>
      </c>
      <c r="E168" s="15">
        <v>45630</v>
      </c>
      <c r="F168" s="15">
        <v>45473</v>
      </c>
      <c r="G168" t="s">
        <v>130</v>
      </c>
      <c r="I168" t="s">
        <v>887</v>
      </c>
    </row>
    <row r="169" spans="1:9" x14ac:dyDescent="0.3">
      <c r="A169" t="s">
        <v>628</v>
      </c>
      <c r="B169" t="s">
        <v>255</v>
      </c>
      <c r="C169" t="s">
        <v>609</v>
      </c>
      <c r="D169" t="s">
        <v>800</v>
      </c>
      <c r="E169" s="15">
        <v>45630</v>
      </c>
      <c r="F169" s="15">
        <v>45473</v>
      </c>
      <c r="G169" t="s">
        <v>130</v>
      </c>
      <c r="I169" t="s">
        <v>888</v>
      </c>
    </row>
    <row r="170" spans="1:9" x14ac:dyDescent="0.3">
      <c r="A170" t="s">
        <v>628</v>
      </c>
      <c r="B170" t="s">
        <v>255</v>
      </c>
      <c r="C170" t="s">
        <v>609</v>
      </c>
      <c r="D170" t="s">
        <v>802</v>
      </c>
      <c r="E170" s="15">
        <v>45630</v>
      </c>
      <c r="F170" s="15">
        <v>45473</v>
      </c>
      <c r="H170" t="s">
        <v>803</v>
      </c>
    </row>
    <row r="171" spans="1:9" x14ac:dyDescent="0.3">
      <c r="A171" t="s">
        <v>628</v>
      </c>
      <c r="B171" t="s">
        <v>274</v>
      </c>
      <c r="C171" t="s">
        <v>604</v>
      </c>
      <c r="D171" t="s">
        <v>632</v>
      </c>
      <c r="E171" s="15">
        <v>45630</v>
      </c>
      <c r="F171" s="15">
        <v>45473</v>
      </c>
      <c r="G171" t="s">
        <v>130</v>
      </c>
      <c r="I171" t="s">
        <v>889</v>
      </c>
    </row>
    <row r="172" spans="1:9" x14ac:dyDescent="0.3">
      <c r="A172" t="s">
        <v>628</v>
      </c>
      <c r="B172" t="s">
        <v>274</v>
      </c>
      <c r="C172" t="s">
        <v>609</v>
      </c>
      <c r="D172" t="s">
        <v>804</v>
      </c>
      <c r="E172" s="15">
        <v>45630</v>
      </c>
      <c r="F172" s="15">
        <v>45473</v>
      </c>
      <c r="G172" t="s">
        <v>130</v>
      </c>
      <c r="I172" t="s">
        <v>890</v>
      </c>
    </row>
    <row r="173" spans="1:9" x14ac:dyDescent="0.3">
      <c r="A173" t="s">
        <v>628</v>
      </c>
      <c r="B173" t="s">
        <v>274</v>
      </c>
      <c r="C173" t="s">
        <v>609</v>
      </c>
      <c r="D173" t="s">
        <v>806</v>
      </c>
      <c r="E173" s="15">
        <v>45630</v>
      </c>
      <c r="F173" s="15">
        <v>45473</v>
      </c>
      <c r="G173" t="s">
        <v>130</v>
      </c>
      <c r="I173" t="s">
        <v>891</v>
      </c>
    </row>
    <row r="174" spans="1:9" x14ac:dyDescent="0.3">
      <c r="A174" t="s">
        <v>628</v>
      </c>
      <c r="B174" t="s">
        <v>274</v>
      </c>
      <c r="C174" t="s">
        <v>609</v>
      </c>
      <c r="D174" t="s">
        <v>808</v>
      </c>
      <c r="E174" s="15">
        <v>45630</v>
      </c>
      <c r="F174" s="15">
        <v>45473</v>
      </c>
      <c r="G174" t="s">
        <v>130</v>
      </c>
      <c r="I174" t="s">
        <v>892</v>
      </c>
    </row>
    <row r="175" spans="1:9" x14ac:dyDescent="0.3">
      <c r="A175" t="s">
        <v>628</v>
      </c>
      <c r="B175" t="s">
        <v>465</v>
      </c>
      <c r="C175" t="s">
        <v>604</v>
      </c>
      <c r="D175" t="s">
        <v>632</v>
      </c>
      <c r="E175" s="15">
        <v>45630</v>
      </c>
      <c r="F175" s="15">
        <v>45565</v>
      </c>
      <c r="G175" t="s">
        <v>130</v>
      </c>
      <c r="I175" t="s">
        <v>893</v>
      </c>
    </row>
    <row r="176" spans="1:9" x14ac:dyDescent="0.3">
      <c r="A176" t="s">
        <v>628</v>
      </c>
      <c r="B176" t="s">
        <v>465</v>
      </c>
      <c r="C176" t="s">
        <v>629</v>
      </c>
      <c r="D176" t="s">
        <v>630</v>
      </c>
      <c r="E176" s="15">
        <v>45630</v>
      </c>
      <c r="F176" s="15">
        <v>45565</v>
      </c>
      <c r="G176" t="s">
        <v>130</v>
      </c>
      <c r="I176" t="s">
        <v>894</v>
      </c>
    </row>
    <row r="177" spans="1:9" x14ac:dyDescent="0.3">
      <c r="A177" t="s">
        <v>628</v>
      </c>
      <c r="B177" t="s">
        <v>465</v>
      </c>
      <c r="C177" t="s">
        <v>609</v>
      </c>
      <c r="D177" t="s">
        <v>895</v>
      </c>
      <c r="E177" s="15">
        <v>45630</v>
      </c>
      <c r="F177" s="15">
        <v>45565</v>
      </c>
      <c r="G177" t="s">
        <v>130</v>
      </c>
      <c r="I177" t="s">
        <v>896</v>
      </c>
    </row>
    <row r="178" spans="1:9" x14ac:dyDescent="0.3">
      <c r="A178" t="s">
        <v>628</v>
      </c>
      <c r="B178" t="s">
        <v>465</v>
      </c>
      <c r="C178" t="s">
        <v>609</v>
      </c>
      <c r="D178" t="s">
        <v>636</v>
      </c>
      <c r="E178" s="15">
        <v>45630</v>
      </c>
      <c r="F178" s="15">
        <v>45565</v>
      </c>
      <c r="G178" t="s">
        <v>149</v>
      </c>
      <c r="H178" t="s">
        <v>897</v>
      </c>
      <c r="I178" t="s">
        <v>898</v>
      </c>
    </row>
    <row r="179" spans="1:9" x14ac:dyDescent="0.3">
      <c r="A179" t="s">
        <v>628</v>
      </c>
      <c r="B179" t="s">
        <v>465</v>
      </c>
      <c r="C179" t="s">
        <v>609</v>
      </c>
      <c r="D179" t="s">
        <v>639</v>
      </c>
      <c r="E179" s="15">
        <v>45630</v>
      </c>
      <c r="F179" s="15">
        <v>45565</v>
      </c>
      <c r="G179" t="s">
        <v>130</v>
      </c>
      <c r="I179" t="s">
        <v>899</v>
      </c>
    </row>
    <row r="180" spans="1:9" x14ac:dyDescent="0.3">
      <c r="A180" t="s">
        <v>628</v>
      </c>
      <c r="B180" t="s">
        <v>277</v>
      </c>
      <c r="C180" t="s">
        <v>604</v>
      </c>
      <c r="D180" t="s">
        <v>632</v>
      </c>
      <c r="E180" s="15">
        <v>45630</v>
      </c>
      <c r="F180" s="15">
        <v>45565</v>
      </c>
      <c r="G180" t="s">
        <v>130</v>
      </c>
      <c r="I180" t="s">
        <v>900</v>
      </c>
    </row>
    <row r="181" spans="1:9" x14ac:dyDescent="0.3">
      <c r="A181" t="s">
        <v>628</v>
      </c>
      <c r="B181" t="s">
        <v>277</v>
      </c>
      <c r="C181" t="s">
        <v>609</v>
      </c>
      <c r="D181" t="s">
        <v>901</v>
      </c>
      <c r="E181" s="15">
        <v>45630</v>
      </c>
      <c r="F181" s="15">
        <v>45565</v>
      </c>
      <c r="G181" t="s">
        <v>130</v>
      </c>
      <c r="I181" t="s">
        <v>902</v>
      </c>
    </row>
    <row r="182" spans="1:9" x14ac:dyDescent="0.3">
      <c r="A182" t="s">
        <v>628</v>
      </c>
      <c r="B182" t="s">
        <v>277</v>
      </c>
      <c r="C182" t="s">
        <v>609</v>
      </c>
      <c r="D182" t="s">
        <v>903</v>
      </c>
      <c r="E182" s="15">
        <v>45630</v>
      </c>
      <c r="F182" s="15">
        <v>45565</v>
      </c>
      <c r="G182" t="s">
        <v>149</v>
      </c>
      <c r="H182" t="s">
        <v>904</v>
      </c>
      <c r="I182" t="s">
        <v>905</v>
      </c>
    </row>
    <row r="183" spans="1:9" x14ac:dyDescent="0.3">
      <c r="A183" t="s">
        <v>628</v>
      </c>
      <c r="B183" t="s">
        <v>277</v>
      </c>
      <c r="C183" t="s">
        <v>609</v>
      </c>
      <c r="D183" t="s">
        <v>906</v>
      </c>
      <c r="E183" s="15">
        <v>45630</v>
      </c>
      <c r="F183" s="15">
        <v>45565</v>
      </c>
      <c r="G183" t="s">
        <v>149</v>
      </c>
      <c r="H183" t="s">
        <v>904</v>
      </c>
      <c r="I183" t="s">
        <v>907</v>
      </c>
    </row>
    <row r="184" spans="1:9" x14ac:dyDescent="0.3">
      <c r="A184" t="s">
        <v>628</v>
      </c>
      <c r="B184" t="s">
        <v>277</v>
      </c>
      <c r="C184" t="s">
        <v>609</v>
      </c>
      <c r="D184" t="s">
        <v>649</v>
      </c>
      <c r="E184" s="15">
        <v>45630</v>
      </c>
      <c r="F184" s="15">
        <v>45565</v>
      </c>
      <c r="G184" t="s">
        <v>130</v>
      </c>
      <c r="I184" t="s">
        <v>908</v>
      </c>
    </row>
    <row r="185" spans="1:9" x14ac:dyDescent="0.3">
      <c r="A185" s="29" t="s">
        <v>628</v>
      </c>
      <c r="B185" s="29" t="s">
        <v>185</v>
      </c>
      <c r="C185" t="s">
        <v>604</v>
      </c>
      <c r="D185" t="s">
        <v>632</v>
      </c>
      <c r="E185" s="15">
        <v>45630</v>
      </c>
      <c r="F185" s="15">
        <v>45565</v>
      </c>
      <c r="G185" t="s">
        <v>130</v>
      </c>
      <c r="I185" t="s">
        <v>909</v>
      </c>
    </row>
    <row r="186" spans="1:9" x14ac:dyDescent="0.3">
      <c r="A186" s="29" t="s">
        <v>628</v>
      </c>
      <c r="B186" s="29" t="s">
        <v>185</v>
      </c>
      <c r="C186" t="s">
        <v>609</v>
      </c>
      <c r="D186" t="s">
        <v>683</v>
      </c>
      <c r="E186" s="15">
        <v>45630</v>
      </c>
      <c r="F186" s="15">
        <v>45565</v>
      </c>
      <c r="G186" t="s">
        <v>130</v>
      </c>
      <c r="I186" t="s">
        <v>910</v>
      </c>
    </row>
    <row r="187" spans="1:9" x14ac:dyDescent="0.3">
      <c r="A187" s="29" t="s">
        <v>628</v>
      </c>
      <c r="B187" s="29" t="s">
        <v>185</v>
      </c>
      <c r="C187" t="s">
        <v>609</v>
      </c>
      <c r="D187" t="s">
        <v>685</v>
      </c>
      <c r="E187" s="15">
        <v>45630</v>
      </c>
      <c r="F187" s="15">
        <v>45565</v>
      </c>
      <c r="G187" t="s">
        <v>130</v>
      </c>
      <c r="I187" t="s">
        <v>911</v>
      </c>
    </row>
    <row r="188" spans="1:9" x14ac:dyDescent="0.3">
      <c r="A188" s="29" t="s">
        <v>628</v>
      </c>
      <c r="B188" s="29" t="s">
        <v>185</v>
      </c>
      <c r="C188" t="s">
        <v>609</v>
      </c>
      <c r="D188" t="s">
        <v>688</v>
      </c>
      <c r="E188" s="15">
        <v>45630</v>
      </c>
      <c r="F188" s="15">
        <v>45565</v>
      </c>
      <c r="G188" t="s">
        <v>130</v>
      </c>
      <c r="I188" t="s">
        <v>912</v>
      </c>
    </row>
    <row r="189" spans="1:9" x14ac:dyDescent="0.3">
      <c r="A189" s="29" t="s">
        <v>628</v>
      </c>
      <c r="B189" s="29" t="s">
        <v>185</v>
      </c>
      <c r="C189" t="s">
        <v>609</v>
      </c>
      <c r="D189" t="s">
        <v>690</v>
      </c>
      <c r="E189" s="15">
        <v>45630</v>
      </c>
      <c r="F189" s="15">
        <v>45565</v>
      </c>
      <c r="G189" t="s">
        <v>130</v>
      </c>
      <c r="I189" t="s">
        <v>913</v>
      </c>
    </row>
    <row r="190" spans="1:9" x14ac:dyDescent="0.3">
      <c r="A190" s="29" t="s">
        <v>628</v>
      </c>
      <c r="B190" s="29" t="s">
        <v>185</v>
      </c>
      <c r="C190" t="s">
        <v>609</v>
      </c>
      <c r="D190" t="s">
        <v>693</v>
      </c>
      <c r="E190" s="15">
        <v>45630</v>
      </c>
      <c r="F190" s="15">
        <v>45565</v>
      </c>
      <c r="G190" t="s">
        <v>130</v>
      </c>
      <c r="I190" t="s">
        <v>914</v>
      </c>
    </row>
    <row r="191" spans="1:9" x14ac:dyDescent="0.3">
      <c r="A191" s="29" t="s">
        <v>628</v>
      </c>
      <c r="B191" s="29" t="s">
        <v>185</v>
      </c>
      <c r="C191" t="s">
        <v>609</v>
      </c>
      <c r="D191" t="s">
        <v>695</v>
      </c>
      <c r="E191" s="15">
        <v>45630</v>
      </c>
      <c r="F191" s="15">
        <v>45565</v>
      </c>
      <c r="G191" t="s">
        <v>130</v>
      </c>
      <c r="I191" t="s">
        <v>915</v>
      </c>
    </row>
    <row r="192" spans="1:9" x14ac:dyDescent="0.3">
      <c r="A192" t="s">
        <v>628</v>
      </c>
      <c r="B192" t="s">
        <v>41</v>
      </c>
      <c r="C192" t="s">
        <v>604</v>
      </c>
      <c r="D192" t="s">
        <v>632</v>
      </c>
      <c r="E192" s="15">
        <v>45643</v>
      </c>
      <c r="F192" s="15">
        <v>45565</v>
      </c>
      <c r="G192" t="s">
        <v>149</v>
      </c>
      <c r="I192" t="s">
        <v>916</v>
      </c>
    </row>
    <row r="193" spans="1:9" x14ac:dyDescent="0.3">
      <c r="A193" t="s">
        <v>628</v>
      </c>
      <c r="B193" t="s">
        <v>41</v>
      </c>
      <c r="C193" t="s">
        <v>609</v>
      </c>
      <c r="D193" t="s">
        <v>823</v>
      </c>
      <c r="E193" s="15">
        <v>45643</v>
      </c>
      <c r="F193" s="15">
        <v>45565</v>
      </c>
      <c r="G193" t="s">
        <v>149</v>
      </c>
      <c r="I193" t="s">
        <v>917</v>
      </c>
    </row>
    <row r="194" spans="1:9" x14ac:dyDescent="0.3">
      <c r="A194" t="s">
        <v>628</v>
      </c>
      <c r="B194" t="s">
        <v>41</v>
      </c>
      <c r="C194" t="s">
        <v>609</v>
      </c>
      <c r="D194" t="s">
        <v>825</v>
      </c>
      <c r="E194" s="15">
        <v>45643</v>
      </c>
      <c r="F194" s="15">
        <v>45565</v>
      </c>
      <c r="G194" t="s">
        <v>130</v>
      </c>
      <c r="I194" t="s">
        <v>918</v>
      </c>
    </row>
    <row r="195" spans="1:9" x14ac:dyDescent="0.3">
      <c r="A195" t="s">
        <v>628</v>
      </c>
      <c r="B195" t="s">
        <v>41</v>
      </c>
      <c r="C195" t="s">
        <v>609</v>
      </c>
      <c r="D195" t="s">
        <v>827</v>
      </c>
      <c r="E195" s="15">
        <v>45643</v>
      </c>
      <c r="F195" s="15">
        <v>45565</v>
      </c>
      <c r="G195" t="s">
        <v>149</v>
      </c>
      <c r="H195" t="s">
        <v>919</v>
      </c>
      <c r="I195" t="s">
        <v>920</v>
      </c>
    </row>
    <row r="196" spans="1:9" x14ac:dyDescent="0.3">
      <c r="A196" t="s">
        <v>628</v>
      </c>
      <c r="B196" t="s">
        <v>41</v>
      </c>
      <c r="C196" t="s">
        <v>609</v>
      </c>
      <c r="D196" t="s">
        <v>829</v>
      </c>
      <c r="E196" s="15">
        <v>45643</v>
      </c>
      <c r="F196" s="15">
        <v>45565</v>
      </c>
      <c r="G196" t="s">
        <v>130</v>
      </c>
      <c r="I196" t="s">
        <v>921</v>
      </c>
    </row>
    <row r="197" spans="1:9" x14ac:dyDescent="0.3">
      <c r="A197" t="s">
        <v>628</v>
      </c>
      <c r="B197" t="s">
        <v>41</v>
      </c>
      <c r="C197" t="s">
        <v>609</v>
      </c>
      <c r="D197" t="s">
        <v>831</v>
      </c>
      <c r="E197" s="15">
        <v>45643</v>
      </c>
      <c r="F197" s="15">
        <v>45565</v>
      </c>
      <c r="G197" t="s">
        <v>130</v>
      </c>
      <c r="I197" t="s">
        <v>922</v>
      </c>
    </row>
    <row r="198" spans="1:9" x14ac:dyDescent="0.3">
      <c r="A198" s="29" t="s">
        <v>600</v>
      </c>
      <c r="B198" t="s">
        <v>439</v>
      </c>
      <c r="C198" t="s">
        <v>604</v>
      </c>
      <c r="D198" t="s">
        <v>632</v>
      </c>
      <c r="E198" s="15">
        <v>45644</v>
      </c>
      <c r="F198" s="15">
        <v>45565</v>
      </c>
      <c r="G198" t="s">
        <v>130</v>
      </c>
      <c r="I198" t="s">
        <v>923</v>
      </c>
    </row>
    <row r="199" spans="1:9" x14ac:dyDescent="0.3">
      <c r="A199" s="29" t="s">
        <v>600</v>
      </c>
      <c r="B199" t="s">
        <v>439</v>
      </c>
      <c r="C199" t="s">
        <v>609</v>
      </c>
      <c r="D199" t="s">
        <v>924</v>
      </c>
      <c r="E199" s="15">
        <v>45644</v>
      </c>
      <c r="F199" s="15">
        <v>45565</v>
      </c>
      <c r="G199" t="s">
        <v>130</v>
      </c>
      <c r="I199" t="s">
        <v>925</v>
      </c>
    </row>
    <row r="200" spans="1:9" x14ac:dyDescent="0.3">
      <c r="A200" s="29" t="s">
        <v>600</v>
      </c>
      <c r="B200" t="s">
        <v>439</v>
      </c>
      <c r="C200" t="s">
        <v>609</v>
      </c>
      <c r="D200" t="s">
        <v>926</v>
      </c>
      <c r="E200" s="15">
        <v>45644</v>
      </c>
      <c r="F200" s="15">
        <v>45565</v>
      </c>
      <c r="G200" t="s">
        <v>130</v>
      </c>
      <c r="I200" t="s">
        <v>927</v>
      </c>
    </row>
    <row r="201" spans="1:9" x14ac:dyDescent="0.3">
      <c r="A201" s="29" t="s">
        <v>600</v>
      </c>
      <c r="B201" t="s">
        <v>439</v>
      </c>
      <c r="C201" t="s">
        <v>609</v>
      </c>
      <c r="D201" t="s">
        <v>928</v>
      </c>
      <c r="E201" s="15">
        <v>45644</v>
      </c>
      <c r="F201" s="15">
        <v>45565</v>
      </c>
      <c r="G201" t="s">
        <v>130</v>
      </c>
      <c r="I201" t="s">
        <v>929</v>
      </c>
    </row>
    <row r="202" spans="1:9" x14ac:dyDescent="0.3">
      <c r="A202" s="29" t="s">
        <v>600</v>
      </c>
      <c r="B202" t="s">
        <v>439</v>
      </c>
      <c r="C202" t="s">
        <v>609</v>
      </c>
      <c r="D202" t="s">
        <v>930</v>
      </c>
      <c r="E202" s="15">
        <v>45644</v>
      </c>
      <c r="F202" s="15">
        <v>45565</v>
      </c>
      <c r="G202" t="s">
        <v>149</v>
      </c>
      <c r="H202" t="s">
        <v>931</v>
      </c>
      <c r="I202" t="s">
        <v>932</v>
      </c>
    </row>
    <row r="203" spans="1:9" x14ac:dyDescent="0.3">
      <c r="A203" s="29" t="s">
        <v>600</v>
      </c>
      <c r="B203" t="s">
        <v>288</v>
      </c>
      <c r="C203" t="s">
        <v>604</v>
      </c>
      <c r="D203" t="s">
        <v>632</v>
      </c>
      <c r="E203" s="15">
        <v>45644</v>
      </c>
      <c r="F203" s="15">
        <v>45565</v>
      </c>
      <c r="G203" t="s">
        <v>130</v>
      </c>
      <c r="I203" t="s">
        <v>933</v>
      </c>
    </row>
    <row r="204" spans="1:9" x14ac:dyDescent="0.3">
      <c r="A204" s="29" t="s">
        <v>600</v>
      </c>
      <c r="B204" t="s">
        <v>288</v>
      </c>
      <c r="C204" t="s">
        <v>609</v>
      </c>
      <c r="D204" t="s">
        <v>768</v>
      </c>
      <c r="E204" s="15">
        <v>45644</v>
      </c>
      <c r="F204" s="15">
        <v>45565</v>
      </c>
      <c r="G204" t="s">
        <v>130</v>
      </c>
      <c r="I204" t="s">
        <v>934</v>
      </c>
    </row>
    <row r="205" spans="1:9" x14ac:dyDescent="0.3">
      <c r="A205" s="29" t="s">
        <v>600</v>
      </c>
      <c r="B205" t="s">
        <v>288</v>
      </c>
      <c r="C205" t="s">
        <v>609</v>
      </c>
      <c r="D205" t="s">
        <v>770</v>
      </c>
      <c r="E205" s="15">
        <v>45644</v>
      </c>
      <c r="F205" s="15">
        <v>45565</v>
      </c>
      <c r="G205" t="s">
        <v>130</v>
      </c>
      <c r="I205" t="s">
        <v>935</v>
      </c>
    </row>
    <row r="206" spans="1:9" x14ac:dyDescent="0.3">
      <c r="A206" t="s">
        <v>193</v>
      </c>
      <c r="B206" t="s">
        <v>421</v>
      </c>
      <c r="C206" t="s">
        <v>604</v>
      </c>
      <c r="D206" t="s">
        <v>632</v>
      </c>
      <c r="E206" s="15">
        <v>45361</v>
      </c>
      <c r="F206" s="15">
        <v>45657</v>
      </c>
      <c r="G206" t="s">
        <v>130</v>
      </c>
      <c r="I206" t="s">
        <v>936</v>
      </c>
    </row>
    <row r="207" spans="1:9" x14ac:dyDescent="0.3">
      <c r="A207" s="29" t="s">
        <v>600</v>
      </c>
      <c r="B207" t="s">
        <v>439</v>
      </c>
      <c r="C207" t="s">
        <v>604</v>
      </c>
      <c r="D207" t="s">
        <v>632</v>
      </c>
      <c r="E207" s="15">
        <v>45361</v>
      </c>
      <c r="F207" s="15">
        <v>45657</v>
      </c>
      <c r="G207" t="s">
        <v>149</v>
      </c>
      <c r="H207" t="s">
        <v>937</v>
      </c>
      <c r="I207" t="s">
        <v>938</v>
      </c>
    </row>
    <row r="208" spans="1:9" x14ac:dyDescent="0.3">
      <c r="A208" s="29" t="s">
        <v>600</v>
      </c>
      <c r="B208" t="s">
        <v>288</v>
      </c>
      <c r="C208" t="s">
        <v>604</v>
      </c>
      <c r="D208" t="s">
        <v>632</v>
      </c>
      <c r="E208" s="15">
        <v>45362</v>
      </c>
      <c r="F208" s="15">
        <v>45657</v>
      </c>
      <c r="G208" t="s">
        <v>130</v>
      </c>
      <c r="I208" t="s">
        <v>939</v>
      </c>
    </row>
    <row r="209" spans="1:9" x14ac:dyDescent="0.3">
      <c r="A209" t="s">
        <v>628</v>
      </c>
      <c r="B209" t="s">
        <v>41</v>
      </c>
      <c r="C209" t="s">
        <v>604</v>
      </c>
      <c r="D209" t="s">
        <v>632</v>
      </c>
      <c r="E209" s="15">
        <v>45362</v>
      </c>
      <c r="F209" s="15">
        <v>45657</v>
      </c>
      <c r="G209" t="s">
        <v>130</v>
      </c>
      <c r="I209" t="s">
        <v>940</v>
      </c>
    </row>
    <row r="210" spans="1:9" x14ac:dyDescent="0.3">
      <c r="A210" t="s">
        <v>193</v>
      </c>
      <c r="B210" t="s">
        <v>421</v>
      </c>
      <c r="C210" t="s">
        <v>604</v>
      </c>
      <c r="D210" t="s">
        <v>632</v>
      </c>
      <c r="E210" s="15">
        <v>45371</v>
      </c>
      <c r="F210" s="15">
        <v>45657</v>
      </c>
      <c r="G210" t="s">
        <v>130</v>
      </c>
      <c r="I210" t="s">
        <v>941</v>
      </c>
    </row>
    <row r="211" spans="1:9" x14ac:dyDescent="0.3">
      <c r="A211" t="s">
        <v>193</v>
      </c>
      <c r="B211" t="s">
        <v>421</v>
      </c>
      <c r="C211" t="s">
        <v>609</v>
      </c>
      <c r="D211" t="s">
        <v>942</v>
      </c>
      <c r="E211" s="15">
        <v>45371</v>
      </c>
      <c r="F211" s="15">
        <v>45657</v>
      </c>
      <c r="G211" t="s">
        <v>130</v>
      </c>
      <c r="I211" t="s">
        <v>943</v>
      </c>
    </row>
    <row r="212" spans="1:9" x14ac:dyDescent="0.3">
      <c r="A212" t="s">
        <v>193</v>
      </c>
      <c r="B212" t="s">
        <v>421</v>
      </c>
      <c r="C212" t="s">
        <v>609</v>
      </c>
      <c r="D212" t="s">
        <v>944</v>
      </c>
      <c r="E212" s="15">
        <v>45371</v>
      </c>
      <c r="F212" s="15">
        <v>45657</v>
      </c>
      <c r="G212" t="s">
        <v>130</v>
      </c>
      <c r="I212" t="s">
        <v>943</v>
      </c>
    </row>
    <row r="213" spans="1:9" x14ac:dyDescent="0.3">
      <c r="A213" s="29" t="s">
        <v>600</v>
      </c>
      <c r="B213" t="s">
        <v>288</v>
      </c>
      <c r="C213" t="s">
        <v>604</v>
      </c>
      <c r="D213" t="s">
        <v>632</v>
      </c>
      <c r="E213" s="15">
        <v>45371</v>
      </c>
      <c r="F213" s="15">
        <v>45657</v>
      </c>
      <c r="G213" t="s">
        <v>130</v>
      </c>
      <c r="I213" t="s">
        <v>945</v>
      </c>
    </row>
    <row r="214" spans="1:9" x14ac:dyDescent="0.3">
      <c r="A214" s="29" t="s">
        <v>600</v>
      </c>
      <c r="B214" t="s">
        <v>288</v>
      </c>
      <c r="C214" t="s">
        <v>609</v>
      </c>
      <c r="D214" t="s">
        <v>768</v>
      </c>
      <c r="E214" s="15">
        <v>45371</v>
      </c>
      <c r="F214" s="15">
        <v>45657</v>
      </c>
      <c r="G214" t="s">
        <v>130</v>
      </c>
      <c r="I214" t="s">
        <v>946</v>
      </c>
    </row>
    <row r="215" spans="1:9" x14ac:dyDescent="0.3">
      <c r="A215" s="29" t="s">
        <v>600</v>
      </c>
      <c r="B215" t="s">
        <v>288</v>
      </c>
      <c r="C215" t="s">
        <v>609</v>
      </c>
      <c r="D215" t="s">
        <v>770</v>
      </c>
      <c r="E215" s="15">
        <v>45371</v>
      </c>
      <c r="F215" s="15">
        <v>45657</v>
      </c>
      <c r="G215" t="s">
        <v>130</v>
      </c>
      <c r="I215" t="s">
        <v>947</v>
      </c>
    </row>
    <row r="216" spans="1:9" x14ac:dyDescent="0.3">
      <c r="A216" t="s">
        <v>628</v>
      </c>
      <c r="B216" t="s">
        <v>41</v>
      </c>
      <c r="C216" t="s">
        <v>604</v>
      </c>
      <c r="D216" t="s">
        <v>632</v>
      </c>
      <c r="E216" s="15">
        <v>45371</v>
      </c>
      <c r="F216" s="15">
        <v>45657</v>
      </c>
      <c r="G216" t="s">
        <v>130</v>
      </c>
      <c r="I216" t="s">
        <v>948</v>
      </c>
    </row>
    <row r="217" spans="1:9" x14ac:dyDescent="0.3">
      <c r="A217" t="s">
        <v>628</v>
      </c>
      <c r="B217" t="s">
        <v>41</v>
      </c>
      <c r="C217" t="s">
        <v>609</v>
      </c>
      <c r="D217" t="s">
        <v>823</v>
      </c>
      <c r="E217" s="15">
        <v>45371</v>
      </c>
      <c r="F217" s="15">
        <v>45657</v>
      </c>
      <c r="G217" t="s">
        <v>149</v>
      </c>
      <c r="H217" t="s">
        <v>949</v>
      </c>
      <c r="I217" t="s">
        <v>950</v>
      </c>
    </row>
    <row r="218" spans="1:9" x14ac:dyDescent="0.3">
      <c r="A218" t="s">
        <v>628</v>
      </c>
      <c r="B218" t="s">
        <v>41</v>
      </c>
      <c r="C218" t="s">
        <v>609</v>
      </c>
      <c r="D218" t="s">
        <v>825</v>
      </c>
      <c r="E218" s="15">
        <v>45371</v>
      </c>
      <c r="F218" s="15">
        <v>45657</v>
      </c>
      <c r="G218" t="s">
        <v>130</v>
      </c>
      <c r="I218" t="s">
        <v>951</v>
      </c>
    </row>
    <row r="219" spans="1:9" x14ac:dyDescent="0.3">
      <c r="A219" t="s">
        <v>628</v>
      </c>
      <c r="B219" t="s">
        <v>41</v>
      </c>
      <c r="C219" t="s">
        <v>609</v>
      </c>
      <c r="D219" t="s">
        <v>827</v>
      </c>
      <c r="E219" s="15">
        <v>45371</v>
      </c>
      <c r="F219" s="15">
        <v>45657</v>
      </c>
      <c r="G219" t="s">
        <v>149</v>
      </c>
      <c r="H219" t="s">
        <v>952</v>
      </c>
      <c r="I219" t="s">
        <v>953</v>
      </c>
    </row>
    <row r="220" spans="1:9" x14ac:dyDescent="0.3">
      <c r="A220" t="s">
        <v>628</v>
      </c>
      <c r="B220" t="s">
        <v>41</v>
      </c>
      <c r="C220" t="s">
        <v>609</v>
      </c>
      <c r="D220" t="s">
        <v>829</v>
      </c>
      <c r="E220" s="15">
        <v>45371</v>
      </c>
      <c r="F220" s="15">
        <v>45657</v>
      </c>
      <c r="G220" t="s">
        <v>130</v>
      </c>
      <c r="I220" t="s">
        <v>954</v>
      </c>
    </row>
    <row r="221" spans="1:9" x14ac:dyDescent="0.3">
      <c r="A221" t="s">
        <v>628</v>
      </c>
      <c r="B221" t="s">
        <v>41</v>
      </c>
      <c r="C221" t="s">
        <v>609</v>
      </c>
      <c r="D221" t="s">
        <v>831</v>
      </c>
      <c r="E221" s="15">
        <v>45371</v>
      </c>
      <c r="F221" s="15">
        <v>45657</v>
      </c>
      <c r="G221" t="s">
        <v>130</v>
      </c>
      <c r="I221" t="s">
        <v>955</v>
      </c>
    </row>
    <row r="222" spans="1:9" x14ac:dyDescent="0.3">
      <c r="A222" s="29" t="s">
        <v>600</v>
      </c>
      <c r="B222" t="s">
        <v>439</v>
      </c>
      <c r="C222" t="s">
        <v>604</v>
      </c>
      <c r="D222" t="s">
        <v>632</v>
      </c>
      <c r="E222" s="15">
        <v>45371</v>
      </c>
      <c r="F222" s="15">
        <v>45657</v>
      </c>
      <c r="G222" t="s">
        <v>130</v>
      </c>
      <c r="I222" t="s">
        <v>956</v>
      </c>
    </row>
    <row r="223" spans="1:9" x14ac:dyDescent="0.3">
      <c r="A223" s="29" t="s">
        <v>600</v>
      </c>
      <c r="B223" t="s">
        <v>439</v>
      </c>
      <c r="C223" t="s">
        <v>609</v>
      </c>
      <c r="D223" t="s">
        <v>924</v>
      </c>
      <c r="E223" s="15">
        <v>45371</v>
      </c>
      <c r="F223" s="15">
        <v>45657</v>
      </c>
      <c r="G223" t="s">
        <v>130</v>
      </c>
      <c r="I223" t="s">
        <v>957</v>
      </c>
    </row>
    <row r="224" spans="1:9" x14ac:dyDescent="0.3">
      <c r="A224" s="29" t="s">
        <v>600</v>
      </c>
      <c r="B224" t="s">
        <v>439</v>
      </c>
      <c r="C224" t="s">
        <v>609</v>
      </c>
      <c r="D224" t="s">
        <v>926</v>
      </c>
      <c r="E224" s="15">
        <v>45371</v>
      </c>
      <c r="F224" s="15">
        <v>45657</v>
      </c>
      <c r="G224" t="s">
        <v>130</v>
      </c>
      <c r="I224" t="s">
        <v>958</v>
      </c>
    </row>
    <row r="225" spans="1:9" x14ac:dyDescent="0.3">
      <c r="A225" s="29" t="s">
        <v>600</v>
      </c>
      <c r="B225" t="s">
        <v>439</v>
      </c>
      <c r="C225" t="s">
        <v>609</v>
      </c>
      <c r="D225" t="s">
        <v>928</v>
      </c>
      <c r="E225" s="15">
        <v>45371</v>
      </c>
      <c r="F225" s="15">
        <v>45657</v>
      </c>
      <c r="G225" t="s">
        <v>130</v>
      </c>
      <c r="I225" t="s">
        <v>959</v>
      </c>
    </row>
    <row r="226" spans="1:9" x14ac:dyDescent="0.3">
      <c r="A226" s="29" t="s">
        <v>600</v>
      </c>
      <c r="B226" t="s">
        <v>439</v>
      </c>
      <c r="C226" t="s">
        <v>609</v>
      </c>
      <c r="D226" t="s">
        <v>930</v>
      </c>
      <c r="E226" s="15">
        <v>45371</v>
      </c>
      <c r="F226" s="15">
        <v>45657</v>
      </c>
      <c r="G226" t="s">
        <v>130</v>
      </c>
      <c r="H226" t="s">
        <v>931</v>
      </c>
      <c r="I226" t="s">
        <v>960</v>
      </c>
    </row>
    <row r="227" spans="1:9" x14ac:dyDescent="0.3">
      <c r="A227" s="29" t="s">
        <v>600</v>
      </c>
      <c r="B227" t="s">
        <v>396</v>
      </c>
      <c r="C227" t="s">
        <v>604</v>
      </c>
      <c r="D227" t="s">
        <v>632</v>
      </c>
      <c r="E227" s="15">
        <v>45383</v>
      </c>
      <c r="F227" s="15">
        <v>45657</v>
      </c>
      <c r="G227" t="s">
        <v>130</v>
      </c>
      <c r="I227" t="s">
        <v>1103</v>
      </c>
    </row>
    <row r="228" spans="1:9" x14ac:dyDescent="0.3">
      <c r="A228" s="29" t="s">
        <v>600</v>
      </c>
      <c r="B228" t="s">
        <v>396</v>
      </c>
      <c r="C228" t="s">
        <v>609</v>
      </c>
      <c r="D228" t="s">
        <v>1105</v>
      </c>
      <c r="E228" s="15">
        <v>45383</v>
      </c>
      <c r="F228" s="15">
        <v>45657</v>
      </c>
      <c r="G228" t="s">
        <v>130</v>
      </c>
      <c r="I228" t="s">
        <v>1104</v>
      </c>
    </row>
    <row r="229" spans="1:9" x14ac:dyDescent="0.3">
      <c r="A229" s="29" t="s">
        <v>600</v>
      </c>
      <c r="B229" t="s">
        <v>397</v>
      </c>
      <c r="C229" t="s">
        <v>604</v>
      </c>
      <c r="D229" t="s">
        <v>632</v>
      </c>
      <c r="E229" s="15">
        <v>45383</v>
      </c>
      <c r="F229" s="15">
        <v>45657</v>
      </c>
      <c r="G229" t="s">
        <v>130</v>
      </c>
      <c r="I229" t="s">
        <v>1106</v>
      </c>
    </row>
    <row r="230" spans="1:9" x14ac:dyDescent="0.3">
      <c r="A230" s="29" t="s">
        <v>600</v>
      </c>
      <c r="B230" t="s">
        <v>397</v>
      </c>
      <c r="C230" t="s">
        <v>609</v>
      </c>
      <c r="D230" t="s">
        <v>1107</v>
      </c>
      <c r="E230" s="15">
        <v>45383</v>
      </c>
      <c r="F230" s="15">
        <v>45657</v>
      </c>
      <c r="G230" t="s">
        <v>130</v>
      </c>
      <c r="I230" t="s">
        <v>1108</v>
      </c>
    </row>
    <row r="231" spans="1:9" x14ac:dyDescent="0.3">
      <c r="A231" s="29" t="s">
        <v>600</v>
      </c>
      <c r="B231" s="126" t="s">
        <v>129</v>
      </c>
      <c r="C231" t="s">
        <v>604</v>
      </c>
      <c r="D231" t="s">
        <v>632</v>
      </c>
      <c r="E231" s="15">
        <v>45383</v>
      </c>
      <c r="F231" s="15">
        <v>45657</v>
      </c>
      <c r="G231" t="s">
        <v>130</v>
      </c>
      <c r="I231" t="s">
        <v>1109</v>
      </c>
    </row>
    <row r="232" spans="1:9" x14ac:dyDescent="0.3">
      <c r="A232" s="29" t="s">
        <v>600</v>
      </c>
      <c r="B232" s="126" t="s">
        <v>129</v>
      </c>
      <c r="C232" t="s">
        <v>609</v>
      </c>
      <c r="D232" t="s">
        <v>1110</v>
      </c>
      <c r="E232" s="15">
        <v>45383</v>
      </c>
      <c r="F232" s="15">
        <v>45657</v>
      </c>
      <c r="G232" t="s">
        <v>130</v>
      </c>
      <c r="I232" t="s">
        <v>1116</v>
      </c>
    </row>
    <row r="233" spans="1:9" x14ac:dyDescent="0.3">
      <c r="A233" s="29" t="s">
        <v>600</v>
      </c>
      <c r="B233" s="126" t="s">
        <v>129</v>
      </c>
      <c r="C233" t="s">
        <v>609</v>
      </c>
      <c r="D233" t="s">
        <v>1111</v>
      </c>
      <c r="E233" s="15">
        <v>45383</v>
      </c>
      <c r="F233" s="15">
        <v>45657</v>
      </c>
      <c r="G233" t="s">
        <v>130</v>
      </c>
      <c r="I233" t="s">
        <v>1117</v>
      </c>
    </row>
    <row r="234" spans="1:9" x14ac:dyDescent="0.3">
      <c r="A234" s="29" t="s">
        <v>600</v>
      </c>
      <c r="B234" s="126" t="s">
        <v>129</v>
      </c>
      <c r="C234" t="s">
        <v>609</v>
      </c>
      <c r="D234" t="s">
        <v>1112</v>
      </c>
      <c r="E234" s="15">
        <v>45383</v>
      </c>
      <c r="F234" s="15">
        <v>45657</v>
      </c>
      <c r="G234" t="s">
        <v>130</v>
      </c>
      <c r="I234" t="s">
        <v>1118</v>
      </c>
    </row>
    <row r="235" spans="1:9" x14ac:dyDescent="0.3">
      <c r="A235" s="29" t="s">
        <v>600</v>
      </c>
      <c r="B235" s="126" t="s">
        <v>129</v>
      </c>
      <c r="C235" t="s">
        <v>609</v>
      </c>
      <c r="D235" t="s">
        <v>1113</v>
      </c>
      <c r="E235" s="15"/>
      <c r="F235" s="15"/>
    </row>
    <row r="236" spans="1:9" x14ac:dyDescent="0.3">
      <c r="A236" s="29" t="s">
        <v>600</v>
      </c>
      <c r="B236" s="126" t="s">
        <v>129</v>
      </c>
      <c r="C236" t="s">
        <v>609</v>
      </c>
      <c r="D236" t="s">
        <v>1114</v>
      </c>
      <c r="E236" s="15"/>
      <c r="F236" s="15"/>
      <c r="H236" t="s">
        <v>1119</v>
      </c>
    </row>
    <row r="237" spans="1:9" x14ac:dyDescent="0.3">
      <c r="A237" s="29" t="s">
        <v>600</v>
      </c>
      <c r="B237" s="126" t="s">
        <v>129</v>
      </c>
      <c r="C237" t="s">
        <v>609</v>
      </c>
      <c r="D237" t="s">
        <v>1115</v>
      </c>
      <c r="E237" s="15">
        <v>45383</v>
      </c>
      <c r="F237" s="15">
        <v>45657</v>
      </c>
      <c r="G237" t="s">
        <v>130</v>
      </c>
      <c r="I237" t="s">
        <v>1120</v>
      </c>
    </row>
    <row r="238" spans="1:9" x14ac:dyDescent="0.3">
      <c r="A238" s="29" t="s">
        <v>600</v>
      </c>
      <c r="B238" t="s">
        <v>439</v>
      </c>
      <c r="C238" t="s">
        <v>604</v>
      </c>
      <c r="D238" t="s">
        <v>632</v>
      </c>
      <c r="E238" s="15">
        <v>45840</v>
      </c>
      <c r="F238" s="15">
        <v>45747</v>
      </c>
      <c r="G238" t="s">
        <v>130</v>
      </c>
      <c r="I238" t="s">
        <v>1187</v>
      </c>
    </row>
    <row r="239" spans="1:9" x14ac:dyDescent="0.3">
      <c r="A239" s="29" t="s">
        <v>600</v>
      </c>
      <c r="B239" t="s">
        <v>439</v>
      </c>
      <c r="C239" t="s">
        <v>609</v>
      </c>
      <c r="D239" t="s">
        <v>924</v>
      </c>
      <c r="E239" s="15">
        <v>45840</v>
      </c>
      <c r="F239" s="15">
        <v>45747</v>
      </c>
      <c r="G239" t="s">
        <v>130</v>
      </c>
      <c r="I239" t="s">
        <v>1188</v>
      </c>
    </row>
    <row r="240" spans="1:9" x14ac:dyDescent="0.3">
      <c r="A240" s="29" t="s">
        <v>600</v>
      </c>
      <c r="B240" t="s">
        <v>439</v>
      </c>
      <c r="C240" t="s">
        <v>609</v>
      </c>
      <c r="D240" t="s">
        <v>926</v>
      </c>
      <c r="E240" s="15">
        <v>45840</v>
      </c>
      <c r="F240" s="15">
        <v>45747</v>
      </c>
      <c r="G240" t="s">
        <v>130</v>
      </c>
      <c r="I240" t="s">
        <v>1189</v>
      </c>
    </row>
    <row r="241" spans="1:9" x14ac:dyDescent="0.3">
      <c r="A241" s="29" t="s">
        <v>600</v>
      </c>
      <c r="B241" t="s">
        <v>439</v>
      </c>
      <c r="C241" t="s">
        <v>609</v>
      </c>
      <c r="D241" t="s">
        <v>928</v>
      </c>
      <c r="E241" s="15">
        <v>45840</v>
      </c>
      <c r="F241" s="15">
        <v>45747</v>
      </c>
      <c r="G241" t="s">
        <v>130</v>
      </c>
      <c r="I241" t="s">
        <v>1190</v>
      </c>
    </row>
    <row r="242" spans="1:9" x14ac:dyDescent="0.3">
      <c r="A242" s="29" t="s">
        <v>600</v>
      </c>
      <c r="B242" t="s">
        <v>439</v>
      </c>
      <c r="C242" t="s">
        <v>609</v>
      </c>
      <c r="D242" t="s">
        <v>930</v>
      </c>
      <c r="E242" s="15">
        <v>45840</v>
      </c>
      <c r="F242" s="15">
        <v>45747</v>
      </c>
      <c r="G242" t="s">
        <v>130</v>
      </c>
      <c r="H242" t="s">
        <v>931</v>
      </c>
      <c r="I242" t="s">
        <v>1191</v>
      </c>
    </row>
    <row r="243" spans="1:9" x14ac:dyDescent="0.3">
      <c r="A243" s="29" t="s">
        <v>1194</v>
      </c>
      <c r="B243" t="s">
        <v>1195</v>
      </c>
      <c r="C243" t="s">
        <v>604</v>
      </c>
      <c r="D243" t="s">
        <v>632</v>
      </c>
      <c r="E243" s="15">
        <v>45860</v>
      </c>
      <c r="F243" s="15">
        <v>45838</v>
      </c>
      <c r="G243" t="s">
        <v>130</v>
      </c>
      <c r="I243" t="s">
        <v>1198</v>
      </c>
    </row>
    <row r="244" spans="1:9" x14ac:dyDescent="0.3">
      <c r="A244" s="29" t="s">
        <v>1194</v>
      </c>
      <c r="B244" t="s">
        <v>1196</v>
      </c>
      <c r="C244" t="s">
        <v>604</v>
      </c>
      <c r="D244" t="s">
        <v>632</v>
      </c>
      <c r="E244" s="15">
        <v>45860</v>
      </c>
      <c r="F244" s="15">
        <v>45838</v>
      </c>
      <c r="G244" t="s">
        <v>130</v>
      </c>
      <c r="I244" t="s">
        <v>1197</v>
      </c>
    </row>
    <row r="245" spans="1:9" x14ac:dyDescent="0.3">
      <c r="A245" s="29" t="s">
        <v>600</v>
      </c>
      <c r="B245" t="s">
        <v>516</v>
      </c>
      <c r="C245" t="s">
        <v>604</v>
      </c>
      <c r="D245" t="s">
        <v>632</v>
      </c>
      <c r="E245" s="15">
        <v>45861</v>
      </c>
      <c r="F245" s="15">
        <v>45838</v>
      </c>
      <c r="G245" t="s">
        <v>130</v>
      </c>
      <c r="I245" t="s">
        <v>1248</v>
      </c>
    </row>
    <row r="246" spans="1:9" x14ac:dyDescent="0.3">
      <c r="A246" s="29" t="s">
        <v>600</v>
      </c>
      <c r="B246" t="s">
        <v>199</v>
      </c>
      <c r="C246" t="s">
        <v>604</v>
      </c>
      <c r="D246" t="s">
        <v>632</v>
      </c>
      <c r="E246" s="15">
        <v>45861</v>
      </c>
      <c r="F246" s="15">
        <v>45838</v>
      </c>
      <c r="G246" t="s">
        <v>130</v>
      </c>
      <c r="I246" t="s">
        <v>1201</v>
      </c>
    </row>
    <row r="247" spans="1:9" x14ac:dyDescent="0.3">
      <c r="A247" s="29" t="s">
        <v>600</v>
      </c>
      <c r="B247" t="s">
        <v>199</v>
      </c>
      <c r="C247" t="s">
        <v>609</v>
      </c>
      <c r="D247" t="s">
        <v>1203</v>
      </c>
      <c r="E247" s="15">
        <v>45862</v>
      </c>
      <c r="F247" s="15">
        <v>45838</v>
      </c>
      <c r="G247" t="s">
        <v>130</v>
      </c>
      <c r="I247" t="s">
        <v>1210</v>
      </c>
    </row>
    <row r="248" spans="1:9" x14ac:dyDescent="0.3">
      <c r="A248" s="29" t="s">
        <v>600</v>
      </c>
      <c r="B248" t="s">
        <v>199</v>
      </c>
      <c r="C248" t="s">
        <v>609</v>
      </c>
      <c r="D248" t="s">
        <v>1204</v>
      </c>
      <c r="E248" s="15">
        <v>45862</v>
      </c>
      <c r="F248" s="15">
        <v>45838</v>
      </c>
      <c r="G248" t="s">
        <v>130</v>
      </c>
      <c r="I248" t="s">
        <v>1210</v>
      </c>
    </row>
    <row r="249" spans="1:9" x14ac:dyDescent="0.3">
      <c r="A249" s="29" t="s">
        <v>600</v>
      </c>
      <c r="B249" t="s">
        <v>199</v>
      </c>
      <c r="C249" t="s">
        <v>609</v>
      </c>
      <c r="D249" t="s">
        <v>1205</v>
      </c>
      <c r="E249" s="15">
        <v>45862</v>
      </c>
      <c r="F249" s="15">
        <v>45838</v>
      </c>
      <c r="G249" t="s">
        <v>130</v>
      </c>
      <c r="I249" t="s">
        <v>1211</v>
      </c>
    </row>
    <row r="250" spans="1:9" x14ac:dyDescent="0.3">
      <c r="A250" s="29" t="s">
        <v>600</v>
      </c>
      <c r="B250" t="s">
        <v>199</v>
      </c>
      <c r="C250" t="s">
        <v>609</v>
      </c>
      <c r="D250" t="s">
        <v>1206</v>
      </c>
      <c r="E250" s="15">
        <v>45862</v>
      </c>
      <c r="F250" s="15">
        <v>45838</v>
      </c>
      <c r="G250" t="s">
        <v>130</v>
      </c>
      <c r="H250" t="s">
        <v>1225</v>
      </c>
      <c r="I250" t="s">
        <v>1212</v>
      </c>
    </row>
    <row r="251" spans="1:9" x14ac:dyDescent="0.3">
      <c r="A251" s="29" t="s">
        <v>600</v>
      </c>
      <c r="B251" t="s">
        <v>199</v>
      </c>
      <c r="C251" t="s">
        <v>609</v>
      </c>
      <c r="D251" t="s">
        <v>1207</v>
      </c>
      <c r="E251" s="15">
        <v>45862</v>
      </c>
      <c r="F251" s="15">
        <v>45838</v>
      </c>
      <c r="G251" t="s">
        <v>149</v>
      </c>
      <c r="H251" t="s">
        <v>1234</v>
      </c>
      <c r="I251" t="s">
        <v>1209</v>
      </c>
    </row>
    <row r="252" spans="1:9" x14ac:dyDescent="0.3">
      <c r="A252" s="29" t="s">
        <v>600</v>
      </c>
      <c r="B252" t="s">
        <v>503</v>
      </c>
      <c r="C252" t="s">
        <v>604</v>
      </c>
      <c r="D252" t="s">
        <v>632</v>
      </c>
      <c r="E252" s="15">
        <v>45861</v>
      </c>
      <c r="F252" s="15">
        <v>45838</v>
      </c>
      <c r="G252" t="s">
        <v>130</v>
      </c>
      <c r="I252" t="s">
        <v>1202</v>
      </c>
    </row>
    <row r="253" spans="1:9" x14ac:dyDescent="0.3">
      <c r="A253" s="29" t="s">
        <v>600</v>
      </c>
      <c r="B253" t="s">
        <v>503</v>
      </c>
      <c r="C253" t="s">
        <v>609</v>
      </c>
      <c r="D253" t="s">
        <v>1226</v>
      </c>
      <c r="E253" s="15">
        <v>45861</v>
      </c>
      <c r="F253" s="15">
        <v>45838</v>
      </c>
      <c r="G253" t="s">
        <v>130</v>
      </c>
      <c r="I253" t="s">
        <v>1230</v>
      </c>
    </row>
    <row r="254" spans="1:9" x14ac:dyDescent="0.3">
      <c r="A254" s="29" t="s">
        <v>600</v>
      </c>
      <c r="B254" t="s">
        <v>503</v>
      </c>
      <c r="C254" t="s">
        <v>609</v>
      </c>
      <c r="D254" t="s">
        <v>1227</v>
      </c>
      <c r="E254" s="15">
        <v>45861</v>
      </c>
      <c r="F254" s="15">
        <v>45838</v>
      </c>
      <c r="G254" t="s">
        <v>130</v>
      </c>
      <c r="I254" t="s">
        <v>1230</v>
      </c>
    </row>
    <row r="255" spans="1:9" x14ac:dyDescent="0.3">
      <c r="A255" s="29" t="s">
        <v>600</v>
      </c>
      <c r="B255" t="s">
        <v>503</v>
      </c>
      <c r="C255" t="s">
        <v>609</v>
      </c>
      <c r="D255" t="s">
        <v>1228</v>
      </c>
      <c r="E255" s="15">
        <v>45862</v>
      </c>
      <c r="F255" s="15">
        <v>45838</v>
      </c>
      <c r="G255" t="s">
        <v>130</v>
      </c>
      <c r="H255" t="s">
        <v>1225</v>
      </c>
      <c r="I255" t="s">
        <v>1212</v>
      </c>
    </row>
    <row r="256" spans="1:9" x14ac:dyDescent="0.3">
      <c r="A256" s="29" t="s">
        <v>600</v>
      </c>
      <c r="B256" t="s">
        <v>503</v>
      </c>
      <c r="C256" t="s">
        <v>609</v>
      </c>
      <c r="D256" t="s">
        <v>1229</v>
      </c>
      <c r="E256" s="15">
        <v>45862</v>
      </c>
      <c r="F256" s="15">
        <v>45838</v>
      </c>
      <c r="G256" t="s">
        <v>130</v>
      </c>
      <c r="I256" t="s">
        <v>1231</v>
      </c>
    </row>
    <row r="257" spans="1:9" x14ac:dyDescent="0.3">
      <c r="A257" s="29" t="s">
        <v>1014</v>
      </c>
      <c r="B257" t="s">
        <v>1199</v>
      </c>
      <c r="C257" t="s">
        <v>604</v>
      </c>
      <c r="D257" t="s">
        <v>632</v>
      </c>
      <c r="E257" s="15">
        <v>45861</v>
      </c>
      <c r="F257" s="15">
        <v>45838</v>
      </c>
      <c r="G257" t="s">
        <v>130</v>
      </c>
      <c r="H257" t="s">
        <v>1213</v>
      </c>
      <c r="I257" t="s">
        <v>1200</v>
      </c>
    </row>
    <row r="258" spans="1:9" x14ac:dyDescent="0.3">
      <c r="A258" s="29" t="s">
        <v>1014</v>
      </c>
      <c r="B258" t="s">
        <v>1199</v>
      </c>
      <c r="C258" t="s">
        <v>609</v>
      </c>
      <c r="D258" t="s">
        <v>1214</v>
      </c>
      <c r="E258" s="15">
        <v>45861</v>
      </c>
      <c r="F258" s="15">
        <v>45838</v>
      </c>
      <c r="G258" t="s">
        <v>130</v>
      </c>
      <c r="I258" t="s">
        <v>1222</v>
      </c>
    </row>
    <row r="259" spans="1:9" x14ac:dyDescent="0.3">
      <c r="A259" s="29" t="s">
        <v>1014</v>
      </c>
      <c r="B259" t="s">
        <v>1199</v>
      </c>
      <c r="C259" t="s">
        <v>609</v>
      </c>
      <c r="D259" t="s">
        <v>1215</v>
      </c>
      <c r="E259" s="15">
        <v>45861</v>
      </c>
      <c r="F259" s="15">
        <v>45838</v>
      </c>
      <c r="G259" t="s">
        <v>130</v>
      </c>
      <c r="I259" t="s">
        <v>1249</v>
      </c>
    </row>
    <row r="260" spans="1:9" x14ac:dyDescent="0.3">
      <c r="A260" s="29" t="s">
        <v>1014</v>
      </c>
      <c r="B260" t="s">
        <v>1199</v>
      </c>
      <c r="C260" t="s">
        <v>609</v>
      </c>
      <c r="D260" t="s">
        <v>1216</v>
      </c>
      <c r="E260" s="15">
        <v>45861</v>
      </c>
      <c r="F260" s="15">
        <v>45838</v>
      </c>
      <c r="G260" t="s">
        <v>130</v>
      </c>
      <c r="I260" t="s">
        <v>1223</v>
      </c>
    </row>
    <row r="261" spans="1:9" x14ac:dyDescent="0.3">
      <c r="A261" s="29" t="s">
        <v>1014</v>
      </c>
      <c r="B261" t="s">
        <v>1199</v>
      </c>
      <c r="C261" t="s">
        <v>609</v>
      </c>
      <c r="D261" t="s">
        <v>1217</v>
      </c>
      <c r="E261" s="15">
        <v>45861</v>
      </c>
      <c r="F261" s="15">
        <v>45838</v>
      </c>
      <c r="G261" s="133" t="s">
        <v>149</v>
      </c>
      <c r="H261" t="s">
        <v>1208</v>
      </c>
      <c r="I261" t="s">
        <v>1224</v>
      </c>
    </row>
    <row r="262" spans="1:9" x14ac:dyDescent="0.3">
      <c r="A262" s="29" t="s">
        <v>1014</v>
      </c>
      <c r="B262" t="s">
        <v>1199</v>
      </c>
      <c r="C262" t="s">
        <v>609</v>
      </c>
      <c r="D262" t="s">
        <v>1218</v>
      </c>
      <c r="E262" s="15">
        <v>45861</v>
      </c>
      <c r="F262" s="15">
        <v>45838</v>
      </c>
      <c r="G262" t="s">
        <v>130</v>
      </c>
      <c r="H262" t="s">
        <v>1119</v>
      </c>
    </row>
    <row r="263" spans="1:9" x14ac:dyDescent="0.3">
      <c r="A263" s="29" t="s">
        <v>600</v>
      </c>
      <c r="B263" t="s">
        <v>136</v>
      </c>
      <c r="C263" t="s">
        <v>604</v>
      </c>
      <c r="D263" t="s">
        <v>632</v>
      </c>
      <c r="E263" s="15">
        <v>45866</v>
      </c>
      <c r="F263" s="15">
        <v>45838</v>
      </c>
      <c r="G263" t="s">
        <v>130</v>
      </c>
      <c r="I263" t="s">
        <v>1287</v>
      </c>
    </row>
    <row r="264" spans="1:9" x14ac:dyDescent="0.3">
      <c r="A264" s="29" t="s">
        <v>600</v>
      </c>
      <c r="B264" t="s">
        <v>442</v>
      </c>
      <c r="C264" t="s">
        <v>604</v>
      </c>
      <c r="D264" t="s">
        <v>632</v>
      </c>
      <c r="E264" s="15">
        <v>45866</v>
      </c>
      <c r="F264" s="15">
        <v>45838</v>
      </c>
      <c r="G264" t="s">
        <v>130</v>
      </c>
      <c r="I264" t="s">
        <v>1288</v>
      </c>
    </row>
    <row r="265" spans="1:9" x14ac:dyDescent="0.3">
      <c r="A265" s="29" t="s">
        <v>600</v>
      </c>
      <c r="B265" t="s">
        <v>303</v>
      </c>
      <c r="C265" t="s">
        <v>604</v>
      </c>
      <c r="D265" t="s">
        <v>632</v>
      </c>
      <c r="E265" s="15">
        <v>45867</v>
      </c>
      <c r="F265" s="15">
        <v>45838</v>
      </c>
      <c r="G265" t="s">
        <v>130</v>
      </c>
      <c r="I265" t="s">
        <v>1289</v>
      </c>
    </row>
    <row r="266" spans="1:9" x14ac:dyDescent="0.3">
      <c r="A266" s="29" t="s">
        <v>600</v>
      </c>
      <c r="B266" t="s">
        <v>1290</v>
      </c>
      <c r="C266" t="s">
        <v>604</v>
      </c>
      <c r="D266" t="s">
        <v>632</v>
      </c>
      <c r="E266" s="15">
        <v>45887</v>
      </c>
      <c r="F266" s="15">
        <v>45838</v>
      </c>
      <c r="G266" t="s">
        <v>130</v>
      </c>
      <c r="I266" t="s">
        <v>1291</v>
      </c>
    </row>
    <row r="267" spans="1:9" x14ac:dyDescent="0.3">
      <c r="A267" s="29" t="s">
        <v>1014</v>
      </c>
      <c r="B267" t="s">
        <v>413</v>
      </c>
      <c r="C267" t="s">
        <v>604</v>
      </c>
      <c r="D267" t="s">
        <v>632</v>
      </c>
      <c r="E267" s="15">
        <v>45888</v>
      </c>
      <c r="F267" s="15">
        <v>45838</v>
      </c>
      <c r="G267" t="s">
        <v>130</v>
      </c>
      <c r="I267" t="s">
        <v>1292</v>
      </c>
    </row>
    <row r="268" spans="1:9" x14ac:dyDescent="0.3">
      <c r="A268" s="29" t="s">
        <v>1014</v>
      </c>
      <c r="B268" t="s">
        <v>427</v>
      </c>
      <c r="C268" t="s">
        <v>604</v>
      </c>
      <c r="D268" t="s">
        <v>632</v>
      </c>
      <c r="E268" s="15">
        <v>45891</v>
      </c>
      <c r="F268" s="15">
        <v>45838</v>
      </c>
      <c r="G268" t="s">
        <v>130</v>
      </c>
      <c r="I268" t="s">
        <v>1293</v>
      </c>
    </row>
    <row r="269" spans="1:9" x14ac:dyDescent="0.3">
      <c r="A269" s="29" t="s">
        <v>600</v>
      </c>
      <c r="B269" t="s">
        <v>136</v>
      </c>
      <c r="C269" t="s">
        <v>604</v>
      </c>
      <c r="D269" t="s">
        <v>632</v>
      </c>
      <c r="E269" s="15">
        <v>45911</v>
      </c>
      <c r="F269" s="15">
        <v>45838</v>
      </c>
      <c r="G269" t="s">
        <v>130</v>
      </c>
      <c r="I269" t="s">
        <v>1297</v>
      </c>
    </row>
    <row r="270" spans="1:9" x14ac:dyDescent="0.3">
      <c r="A270" s="29" t="s">
        <v>600</v>
      </c>
      <c r="B270" t="s">
        <v>442</v>
      </c>
      <c r="C270" t="s">
        <v>604</v>
      </c>
      <c r="D270" t="s">
        <v>632</v>
      </c>
      <c r="E270" s="15">
        <v>45911</v>
      </c>
      <c r="F270" s="15">
        <v>45838</v>
      </c>
      <c r="G270" t="s">
        <v>130</v>
      </c>
      <c r="I270" t="s">
        <v>1288</v>
      </c>
    </row>
    <row r="271" spans="1:9" x14ac:dyDescent="0.3">
      <c r="A271" s="29" t="s">
        <v>600</v>
      </c>
      <c r="B271" t="s">
        <v>303</v>
      </c>
      <c r="C271" t="s">
        <v>604</v>
      </c>
      <c r="D271" t="s">
        <v>632</v>
      </c>
      <c r="E271" s="15">
        <v>45911</v>
      </c>
      <c r="F271" s="15">
        <v>45838</v>
      </c>
      <c r="G271" t="s">
        <v>130</v>
      </c>
      <c r="I271" t="s">
        <v>1298</v>
      </c>
    </row>
    <row r="272" spans="1:9" x14ac:dyDescent="0.3">
      <c r="A272" s="29" t="s">
        <v>600</v>
      </c>
      <c r="B272" t="s">
        <v>1280</v>
      </c>
      <c r="C272" t="s">
        <v>604</v>
      </c>
      <c r="D272" t="s">
        <v>632</v>
      </c>
      <c r="E272" s="15">
        <v>45915</v>
      </c>
      <c r="F272" s="15">
        <v>45838</v>
      </c>
      <c r="G272" t="s">
        <v>130</v>
      </c>
      <c r="I272" t="s">
        <v>1302</v>
      </c>
    </row>
    <row r="273" spans="1:9" x14ac:dyDescent="0.3">
      <c r="A273" s="29" t="s">
        <v>600</v>
      </c>
      <c r="B273" t="s">
        <v>310</v>
      </c>
      <c r="C273" t="s">
        <v>604</v>
      </c>
      <c r="D273" t="s">
        <v>632</v>
      </c>
      <c r="E273" s="15">
        <v>45915</v>
      </c>
      <c r="F273" s="15">
        <v>45838</v>
      </c>
      <c r="G273" t="s">
        <v>130</v>
      </c>
      <c r="I273" t="s">
        <v>1303</v>
      </c>
    </row>
    <row r="274" spans="1:9" x14ac:dyDescent="0.3">
      <c r="A274" s="29" t="s">
        <v>600</v>
      </c>
      <c r="B274" t="s">
        <v>1281</v>
      </c>
      <c r="C274" t="s">
        <v>604</v>
      </c>
      <c r="D274" t="s">
        <v>632</v>
      </c>
      <c r="E274" s="15">
        <v>45915</v>
      </c>
      <c r="F274" s="15">
        <v>45838</v>
      </c>
      <c r="G274" t="s">
        <v>130</v>
      </c>
      <c r="I274" t="s">
        <v>1304</v>
      </c>
    </row>
    <row r="275" spans="1:9" x14ac:dyDescent="0.3">
      <c r="A275" s="29" t="s">
        <v>1014</v>
      </c>
      <c r="B275" t="s">
        <v>1283</v>
      </c>
      <c r="C275" t="s">
        <v>604</v>
      </c>
      <c r="D275" t="s">
        <v>632</v>
      </c>
      <c r="E275" s="15">
        <v>45915</v>
      </c>
      <c r="F275" s="15">
        <v>45838</v>
      </c>
      <c r="G275" t="s">
        <v>130</v>
      </c>
      <c r="I275" t="s">
        <v>1305</v>
      </c>
    </row>
    <row r="276" spans="1:9" x14ac:dyDescent="0.3">
      <c r="A276" s="29" t="s">
        <v>600</v>
      </c>
      <c r="B276" t="s">
        <v>574</v>
      </c>
      <c r="C276" t="s">
        <v>604</v>
      </c>
      <c r="D276" t="s">
        <v>632</v>
      </c>
      <c r="E276" s="15">
        <v>45923</v>
      </c>
      <c r="F276" s="15">
        <v>45838</v>
      </c>
      <c r="G276" t="s">
        <v>130</v>
      </c>
      <c r="I276" t="s">
        <v>1312</v>
      </c>
    </row>
    <row r="277" spans="1:9" x14ac:dyDescent="0.3">
      <c r="A277" s="29" t="s">
        <v>600</v>
      </c>
      <c r="B277" t="s">
        <v>1280</v>
      </c>
      <c r="C277" t="s">
        <v>604</v>
      </c>
      <c r="D277" t="s">
        <v>632</v>
      </c>
      <c r="E277" s="15">
        <v>45930</v>
      </c>
      <c r="F277" s="15">
        <v>45838</v>
      </c>
      <c r="G277" t="s">
        <v>130</v>
      </c>
      <c r="H277" t="s">
        <v>1314</v>
      </c>
      <c r="I277" t="s">
        <v>1313</v>
      </c>
    </row>
    <row r="278" spans="1:9" x14ac:dyDescent="0.3">
      <c r="A278" s="29" t="s">
        <v>600</v>
      </c>
      <c r="B278" t="s">
        <v>369</v>
      </c>
      <c r="C278" t="s">
        <v>604</v>
      </c>
      <c r="D278" t="s">
        <v>632</v>
      </c>
      <c r="E278" s="15">
        <v>45947</v>
      </c>
      <c r="F278" s="15">
        <v>45838</v>
      </c>
      <c r="G278" t="s">
        <v>130</v>
      </c>
      <c r="H278" t="s">
        <v>1321</v>
      </c>
      <c r="I278" s="185" t="s">
        <v>1320</v>
      </c>
    </row>
  </sheetData>
  <autoFilter ref="A1:I276" xr:uid="{00000000-0009-0000-0000-000003000000}"/>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DDDB5-79F6-4132-9942-378764F443DD}">
  <dimension ref="A1:I69"/>
  <sheetViews>
    <sheetView showGridLines="0" topLeftCell="A15" zoomScale="87" zoomScaleNormal="80" workbookViewId="0">
      <selection activeCell="B1" sqref="B1"/>
    </sheetView>
  </sheetViews>
  <sheetFormatPr defaultColWidth="8.88671875" defaultRowHeight="16.2" x14ac:dyDescent="0.4"/>
  <cols>
    <col min="1" max="1" width="9.5546875" style="32" bestFit="1" customWidth="1"/>
    <col min="2" max="3" width="31.44140625" style="24" customWidth="1"/>
    <col min="4" max="4" width="46.33203125" style="24" bestFit="1" customWidth="1"/>
    <col min="5" max="5" width="50.6640625" style="32" bestFit="1" customWidth="1"/>
    <col min="6" max="6" width="13.6640625" style="32" customWidth="1"/>
    <col min="7" max="7" width="15.109375" style="32" customWidth="1"/>
    <col min="8" max="8" width="31.5546875" style="32" bestFit="1" customWidth="1"/>
    <col min="9" max="9" width="23.6640625" style="24" bestFit="1" customWidth="1"/>
    <col min="10" max="16384" width="8.88671875" style="24"/>
  </cols>
  <sheetData>
    <row r="1" spans="1:9" x14ac:dyDescent="0.4">
      <c r="A1" s="30" t="s">
        <v>592</v>
      </c>
      <c r="B1" s="28" t="s">
        <v>593</v>
      </c>
      <c r="C1" s="28" t="s">
        <v>112</v>
      </c>
      <c r="D1" s="28" t="s">
        <v>961</v>
      </c>
      <c r="E1" s="30" t="s">
        <v>962</v>
      </c>
      <c r="F1" s="30" t="s">
        <v>963</v>
      </c>
      <c r="G1" s="30" t="s">
        <v>964</v>
      </c>
      <c r="H1" s="30" t="s">
        <v>965</v>
      </c>
      <c r="I1" s="30" t="s">
        <v>966</v>
      </c>
    </row>
    <row r="2" spans="1:9" x14ac:dyDescent="0.4">
      <c r="A2" s="31" t="s">
        <v>600</v>
      </c>
      <c r="B2" s="25" t="s">
        <v>44</v>
      </c>
      <c r="C2" s="25" t="s">
        <v>967</v>
      </c>
      <c r="D2" s="25" t="s">
        <v>968</v>
      </c>
      <c r="E2" s="25" t="s">
        <v>969</v>
      </c>
      <c r="F2" s="31" t="s">
        <v>32</v>
      </c>
      <c r="G2" s="31" t="s">
        <v>32</v>
      </c>
      <c r="H2" s="31" t="s">
        <v>970</v>
      </c>
      <c r="I2" s="31" t="s">
        <v>971</v>
      </c>
    </row>
    <row r="3" spans="1:9" x14ac:dyDescent="0.4">
      <c r="A3" s="31" t="s">
        <v>600</v>
      </c>
      <c r="B3" s="25" t="s">
        <v>45</v>
      </c>
      <c r="C3" s="25" t="s">
        <v>972</v>
      </c>
      <c r="D3" s="25" t="s">
        <v>968</v>
      </c>
      <c r="E3" s="25" t="s">
        <v>969</v>
      </c>
      <c r="F3" s="31" t="s">
        <v>32</v>
      </c>
      <c r="G3" s="31" t="s">
        <v>32</v>
      </c>
      <c r="H3" s="31" t="s">
        <v>970</v>
      </c>
      <c r="I3" s="31" t="s">
        <v>971</v>
      </c>
    </row>
    <row r="4" spans="1:9" x14ac:dyDescent="0.4">
      <c r="A4" s="31" t="s">
        <v>600</v>
      </c>
      <c r="B4" s="25" t="s">
        <v>46</v>
      </c>
      <c r="C4" s="25" t="s">
        <v>973</v>
      </c>
      <c r="D4" s="25" t="s">
        <v>968</v>
      </c>
      <c r="E4" s="25" t="s">
        <v>969</v>
      </c>
      <c r="F4" s="31" t="s">
        <v>32</v>
      </c>
      <c r="G4" s="31" t="s">
        <v>32</v>
      </c>
      <c r="H4" s="31" t="s">
        <v>970</v>
      </c>
      <c r="I4" s="31" t="s">
        <v>971</v>
      </c>
    </row>
    <row r="5" spans="1:9" ht="32.4" x14ac:dyDescent="0.4">
      <c r="A5" s="31" t="s">
        <v>600</v>
      </c>
      <c r="B5" s="25" t="s">
        <v>297</v>
      </c>
      <c r="C5" s="25" t="s">
        <v>974</v>
      </c>
      <c r="D5" s="25" t="s">
        <v>975</v>
      </c>
      <c r="E5" s="25" t="s">
        <v>976</v>
      </c>
      <c r="F5" s="31" t="s">
        <v>32</v>
      </c>
      <c r="G5" s="31" t="s">
        <v>32</v>
      </c>
      <c r="H5" s="31" t="s">
        <v>970</v>
      </c>
      <c r="I5" s="31" t="s">
        <v>971</v>
      </c>
    </row>
    <row r="6" spans="1:9" x14ac:dyDescent="0.4">
      <c r="A6" s="31" t="s">
        <v>600</v>
      </c>
      <c r="B6" s="25" t="s">
        <v>47</v>
      </c>
      <c r="C6" s="25" t="s">
        <v>973</v>
      </c>
      <c r="D6" s="25" t="s">
        <v>968</v>
      </c>
      <c r="E6" s="25" t="s">
        <v>969</v>
      </c>
      <c r="F6" s="31" t="s">
        <v>32</v>
      </c>
      <c r="G6" s="31" t="s">
        <v>32</v>
      </c>
      <c r="H6" s="31" t="s">
        <v>970</v>
      </c>
      <c r="I6" s="31" t="s">
        <v>971</v>
      </c>
    </row>
    <row r="7" spans="1:9" ht="64.8" x14ac:dyDescent="0.4">
      <c r="A7" s="31" t="s">
        <v>600</v>
      </c>
      <c r="B7" s="25" t="s">
        <v>48</v>
      </c>
      <c r="C7" s="25" t="s">
        <v>977</v>
      </c>
      <c r="D7" s="25" t="s">
        <v>978</v>
      </c>
      <c r="E7" s="25" t="s">
        <v>979</v>
      </c>
      <c r="F7" s="31" t="s">
        <v>32</v>
      </c>
      <c r="G7" s="31" t="s">
        <v>32</v>
      </c>
      <c r="H7" s="31" t="s">
        <v>970</v>
      </c>
      <c r="I7" s="31" t="s">
        <v>971</v>
      </c>
    </row>
    <row r="8" spans="1:9" ht="64.8" x14ac:dyDescent="0.4">
      <c r="A8" s="31" t="s">
        <v>600</v>
      </c>
      <c r="B8" s="25" t="s">
        <v>49</v>
      </c>
      <c r="C8" s="25" t="s">
        <v>980</v>
      </c>
      <c r="D8" s="25" t="s">
        <v>978</v>
      </c>
      <c r="E8" s="25" t="s">
        <v>979</v>
      </c>
      <c r="F8" s="31" t="s">
        <v>32</v>
      </c>
      <c r="G8" s="31" t="s">
        <v>32</v>
      </c>
      <c r="H8" s="31" t="s">
        <v>970</v>
      </c>
      <c r="I8" s="31" t="s">
        <v>971</v>
      </c>
    </row>
    <row r="9" spans="1:9" ht="64.8" x14ac:dyDescent="0.4">
      <c r="A9" s="31" t="s">
        <v>600</v>
      </c>
      <c r="B9" s="25" t="s">
        <v>50</v>
      </c>
      <c r="C9" s="25" t="s">
        <v>981</v>
      </c>
      <c r="D9" s="25" t="s">
        <v>978</v>
      </c>
      <c r="E9" s="25" t="s">
        <v>979</v>
      </c>
      <c r="F9" s="31" t="s">
        <v>32</v>
      </c>
      <c r="G9" s="31" t="s">
        <v>32</v>
      </c>
      <c r="H9" s="31" t="s">
        <v>970</v>
      </c>
      <c r="I9" s="31" t="s">
        <v>971</v>
      </c>
    </row>
    <row r="10" spans="1:9" x14ac:dyDescent="0.4">
      <c r="A10" s="31" t="s">
        <v>600</v>
      </c>
      <c r="B10" s="25" t="s">
        <v>51</v>
      </c>
      <c r="C10" s="25" t="s">
        <v>982</v>
      </c>
      <c r="D10" s="25" t="s">
        <v>968</v>
      </c>
      <c r="E10" s="25" t="s">
        <v>969</v>
      </c>
      <c r="F10" s="31" t="s">
        <v>32</v>
      </c>
      <c r="G10" s="31" t="s">
        <v>32</v>
      </c>
      <c r="H10" s="31" t="s">
        <v>970</v>
      </c>
      <c r="I10" s="31" t="s">
        <v>971</v>
      </c>
    </row>
    <row r="11" spans="1:9" x14ac:dyDescent="0.4">
      <c r="A11" s="31" t="s">
        <v>600</v>
      </c>
      <c r="B11" s="25" t="s">
        <v>52</v>
      </c>
      <c r="C11" s="25" t="s">
        <v>983</v>
      </c>
      <c r="D11" s="25" t="s">
        <v>968</v>
      </c>
      <c r="E11" s="25" t="s">
        <v>969</v>
      </c>
      <c r="F11" s="31" t="s">
        <v>32</v>
      </c>
      <c r="G11" s="31" t="s">
        <v>32</v>
      </c>
      <c r="H11" s="31" t="s">
        <v>970</v>
      </c>
      <c r="I11" s="31" t="s">
        <v>971</v>
      </c>
    </row>
    <row r="12" spans="1:9" x14ac:dyDescent="0.4">
      <c r="A12" s="31" t="s">
        <v>600</v>
      </c>
      <c r="B12" s="25" t="s">
        <v>53</v>
      </c>
      <c r="C12" s="25" t="s">
        <v>984</v>
      </c>
      <c r="D12" s="25" t="s">
        <v>968</v>
      </c>
      <c r="E12" s="25" t="s">
        <v>969</v>
      </c>
      <c r="F12" s="31" t="s">
        <v>32</v>
      </c>
      <c r="G12" s="31" t="s">
        <v>32</v>
      </c>
      <c r="H12" s="31" t="s">
        <v>970</v>
      </c>
      <c r="I12" s="31" t="s">
        <v>971</v>
      </c>
    </row>
    <row r="13" spans="1:9" x14ac:dyDescent="0.4">
      <c r="A13" s="31" t="s">
        <v>600</v>
      </c>
      <c r="B13" s="25" t="s">
        <v>54</v>
      </c>
      <c r="C13" s="25" t="s">
        <v>985</v>
      </c>
      <c r="D13" s="25" t="s">
        <v>968</v>
      </c>
      <c r="E13" s="25" t="s">
        <v>969</v>
      </c>
      <c r="F13" s="31" t="s">
        <v>32</v>
      </c>
      <c r="G13" s="31" t="s">
        <v>32</v>
      </c>
      <c r="H13" s="31" t="s">
        <v>970</v>
      </c>
      <c r="I13" s="31" t="s">
        <v>971</v>
      </c>
    </row>
    <row r="14" spans="1:9" x14ac:dyDescent="0.4">
      <c r="A14" s="31" t="s">
        <v>600</v>
      </c>
      <c r="B14" s="25" t="s">
        <v>311</v>
      </c>
      <c r="C14" s="25"/>
      <c r="D14" s="25" t="s">
        <v>986</v>
      </c>
      <c r="E14" s="25" t="s">
        <v>987</v>
      </c>
      <c r="F14" s="31" t="s">
        <v>32</v>
      </c>
      <c r="G14" s="31" t="s">
        <v>29</v>
      </c>
      <c r="H14" s="31"/>
      <c r="I14" s="31"/>
    </row>
    <row r="15" spans="1:9" ht="48.6" x14ac:dyDescent="0.4">
      <c r="A15" s="31" t="s">
        <v>600</v>
      </c>
      <c r="B15" s="25" t="s">
        <v>312</v>
      </c>
      <c r="C15" s="25"/>
      <c r="D15" s="25" t="s">
        <v>988</v>
      </c>
      <c r="E15" s="25" t="s">
        <v>989</v>
      </c>
      <c r="F15" s="31" t="s">
        <v>32</v>
      </c>
      <c r="G15" s="31" t="s">
        <v>29</v>
      </c>
      <c r="H15" s="31"/>
      <c r="I15" s="31"/>
    </row>
    <row r="16" spans="1:9" x14ac:dyDescent="0.4">
      <c r="A16" s="31" t="s">
        <v>600</v>
      </c>
      <c r="B16" s="25" t="s">
        <v>367</v>
      </c>
      <c r="C16" s="25"/>
      <c r="D16" s="25" t="s">
        <v>986</v>
      </c>
      <c r="E16" s="25" t="s">
        <v>990</v>
      </c>
      <c r="F16" s="31" t="s">
        <v>32</v>
      </c>
      <c r="G16" s="31" t="s">
        <v>29</v>
      </c>
      <c r="H16" s="31"/>
      <c r="I16" s="31"/>
    </row>
    <row r="17" spans="1:9" x14ac:dyDescent="0.4">
      <c r="A17" s="31" t="s">
        <v>600</v>
      </c>
      <c r="B17" s="25" t="s">
        <v>369</v>
      </c>
      <c r="C17" s="25"/>
      <c r="D17" s="25" t="s">
        <v>991</v>
      </c>
      <c r="E17" s="25" t="s">
        <v>992</v>
      </c>
      <c r="F17" s="31" t="s">
        <v>32</v>
      </c>
      <c r="G17" s="31" t="s">
        <v>29</v>
      </c>
      <c r="H17" s="31"/>
      <c r="I17" s="31"/>
    </row>
    <row r="18" spans="1:9" x14ac:dyDescent="0.4">
      <c r="A18" s="31" t="s">
        <v>600</v>
      </c>
      <c r="B18" s="25" t="s">
        <v>370</v>
      </c>
      <c r="C18" s="25"/>
      <c r="D18" s="25" t="s">
        <v>986</v>
      </c>
      <c r="E18" s="25" t="s">
        <v>993</v>
      </c>
      <c r="F18" s="31" t="s">
        <v>32</v>
      </c>
      <c r="G18" s="31" t="s">
        <v>29</v>
      </c>
      <c r="H18" s="31"/>
      <c r="I18" s="31"/>
    </row>
    <row r="19" spans="1:9" x14ac:dyDescent="0.4">
      <c r="A19" s="31" t="s">
        <v>600</v>
      </c>
      <c r="B19" s="25" t="s">
        <v>371</v>
      </c>
      <c r="C19" s="25"/>
      <c r="D19" s="25" t="s">
        <v>994</v>
      </c>
      <c r="E19" s="25" t="s">
        <v>995</v>
      </c>
      <c r="F19" s="31" t="s">
        <v>32</v>
      </c>
      <c r="G19" s="31" t="s">
        <v>29</v>
      </c>
      <c r="H19" s="31"/>
      <c r="I19" s="31"/>
    </row>
    <row r="20" spans="1:9" ht="81" x14ac:dyDescent="0.4">
      <c r="A20" s="31" t="s">
        <v>600</v>
      </c>
      <c r="B20" s="25" t="s">
        <v>372</v>
      </c>
      <c r="C20" s="25"/>
      <c r="D20" s="25" t="s">
        <v>996</v>
      </c>
      <c r="E20" s="25" t="s">
        <v>997</v>
      </c>
      <c r="F20" s="31" t="s">
        <v>32</v>
      </c>
      <c r="G20" s="31" t="s">
        <v>29</v>
      </c>
      <c r="H20" s="31"/>
      <c r="I20" s="31"/>
    </row>
    <row r="21" spans="1:9" ht="32.4" x14ac:dyDescent="0.4">
      <c r="A21" s="31" t="s">
        <v>600</v>
      </c>
      <c r="B21" s="26" t="s">
        <v>389</v>
      </c>
      <c r="C21" s="26"/>
      <c r="D21" s="26" t="s">
        <v>998</v>
      </c>
      <c r="E21" s="26" t="s">
        <v>999</v>
      </c>
      <c r="F21" s="31" t="s">
        <v>32</v>
      </c>
      <c r="G21" s="31" t="s">
        <v>29</v>
      </c>
      <c r="H21" s="31"/>
      <c r="I21" s="31"/>
    </row>
    <row r="22" spans="1:9" ht="32.4" x14ac:dyDescent="0.4">
      <c r="A22" s="31" t="s">
        <v>600</v>
      </c>
      <c r="B22" s="25" t="s">
        <v>405</v>
      </c>
      <c r="C22" s="25" t="s">
        <v>1000</v>
      </c>
      <c r="D22" s="25" t="s">
        <v>1001</v>
      </c>
      <c r="E22" s="25" t="s">
        <v>1002</v>
      </c>
      <c r="F22" s="31" t="s">
        <v>32</v>
      </c>
      <c r="G22" s="31" t="s">
        <v>32</v>
      </c>
      <c r="H22" s="31" t="s">
        <v>1003</v>
      </c>
      <c r="I22" s="31"/>
    </row>
    <row r="23" spans="1:9" x14ac:dyDescent="0.4">
      <c r="A23" s="31" t="s">
        <v>600</v>
      </c>
      <c r="B23" s="25" t="s">
        <v>451</v>
      </c>
      <c r="C23" s="25"/>
      <c r="D23" s="25" t="s">
        <v>986</v>
      </c>
      <c r="E23" s="25" t="s">
        <v>1004</v>
      </c>
      <c r="F23" s="31" t="s">
        <v>32</v>
      </c>
      <c r="G23" s="31" t="s">
        <v>29</v>
      </c>
      <c r="H23" s="31"/>
      <c r="I23" s="31"/>
    </row>
    <row r="24" spans="1:9" ht="32.4" x14ac:dyDescent="0.4">
      <c r="A24" s="31" t="s">
        <v>600</v>
      </c>
      <c r="B24" s="25" t="s">
        <v>452</v>
      </c>
      <c r="C24" s="25"/>
      <c r="D24" s="25" t="s">
        <v>1005</v>
      </c>
      <c r="E24" s="25" t="s">
        <v>1006</v>
      </c>
      <c r="F24" s="31" t="s">
        <v>32</v>
      </c>
      <c r="G24" s="31" t="s">
        <v>29</v>
      </c>
      <c r="H24" s="31"/>
      <c r="I24" s="31"/>
    </row>
    <row r="25" spans="1:9" ht="48.6" x14ac:dyDescent="0.4">
      <c r="A25" s="31" t="s">
        <v>600</v>
      </c>
      <c r="B25" s="25" t="s">
        <v>454</v>
      </c>
      <c r="C25" s="25"/>
      <c r="D25" s="25" t="s">
        <v>1007</v>
      </c>
      <c r="E25" s="25" t="s">
        <v>1008</v>
      </c>
      <c r="F25" s="31" t="s">
        <v>32</v>
      </c>
      <c r="G25" s="31" t="s">
        <v>29</v>
      </c>
      <c r="H25" s="31"/>
      <c r="I25" s="31"/>
    </row>
    <row r="26" spans="1:9" ht="48.6" x14ac:dyDescent="0.4">
      <c r="A26" s="31" t="s">
        <v>600</v>
      </c>
      <c r="B26" s="25" t="s">
        <v>455</v>
      </c>
      <c r="C26" s="25"/>
      <c r="D26" s="25" t="s">
        <v>1009</v>
      </c>
      <c r="E26" s="25" t="s">
        <v>1010</v>
      </c>
      <c r="F26" s="31" t="s">
        <v>32</v>
      </c>
      <c r="G26" s="31" t="s">
        <v>29</v>
      </c>
      <c r="H26" s="31"/>
      <c r="I26" s="31"/>
    </row>
    <row r="27" spans="1:9" x14ac:dyDescent="0.4">
      <c r="A27" s="31" t="s">
        <v>600</v>
      </c>
      <c r="B27" s="25" t="s">
        <v>456</v>
      </c>
      <c r="C27" s="25"/>
      <c r="D27" s="25" t="s">
        <v>986</v>
      </c>
      <c r="E27" s="25" t="s">
        <v>1011</v>
      </c>
      <c r="F27" s="31" t="s">
        <v>32</v>
      </c>
      <c r="G27" s="31" t="s">
        <v>29</v>
      </c>
      <c r="H27" s="31"/>
      <c r="I27" s="31"/>
    </row>
    <row r="28" spans="1:9" ht="32.4" x14ac:dyDescent="0.4">
      <c r="A28" s="31" t="s">
        <v>600</v>
      </c>
      <c r="B28" s="25" t="s">
        <v>457</v>
      </c>
      <c r="C28" s="25"/>
      <c r="D28" s="25" t="s">
        <v>1005</v>
      </c>
      <c r="E28" s="25" t="s">
        <v>1012</v>
      </c>
      <c r="F28" s="31" t="s">
        <v>32</v>
      </c>
      <c r="G28" s="31" t="s">
        <v>29</v>
      </c>
      <c r="H28" s="31"/>
      <c r="I28" s="31"/>
    </row>
    <row r="29" spans="1:9" x14ac:dyDescent="0.4">
      <c r="A29" s="31" t="s">
        <v>600</v>
      </c>
      <c r="B29" s="25" t="s">
        <v>280</v>
      </c>
      <c r="C29" s="25"/>
      <c r="D29" s="25" t="s">
        <v>1001</v>
      </c>
      <c r="E29" s="25" t="s">
        <v>1013</v>
      </c>
      <c r="F29" s="31" t="s">
        <v>32</v>
      </c>
      <c r="G29" s="31" t="s">
        <v>29</v>
      </c>
      <c r="H29" s="31"/>
      <c r="I29" s="31"/>
    </row>
    <row r="30" spans="1:9" ht="32.4" x14ac:dyDescent="0.4">
      <c r="A30" s="31" t="s">
        <v>1014</v>
      </c>
      <c r="B30" s="27" t="s">
        <v>452</v>
      </c>
      <c r="C30" s="27"/>
      <c r="D30" s="27" t="s">
        <v>1015</v>
      </c>
      <c r="E30" s="27" t="s">
        <v>1016</v>
      </c>
      <c r="F30" s="31" t="s">
        <v>32</v>
      </c>
      <c r="G30" s="31" t="s">
        <v>29</v>
      </c>
      <c r="H30" s="31"/>
      <c r="I30" s="31"/>
    </row>
    <row r="31" spans="1:9" ht="32.4" x14ac:dyDescent="0.4">
      <c r="A31" s="31" t="s">
        <v>1014</v>
      </c>
      <c r="B31" s="27" t="s">
        <v>454</v>
      </c>
      <c r="C31" s="27"/>
      <c r="D31" s="27" t="s">
        <v>1017</v>
      </c>
      <c r="E31" s="27" t="s">
        <v>1018</v>
      </c>
      <c r="F31" s="31" t="s">
        <v>32</v>
      </c>
      <c r="G31" s="31" t="s">
        <v>29</v>
      </c>
      <c r="H31" s="31"/>
      <c r="I31" s="31"/>
    </row>
    <row r="32" spans="1:9" ht="48.6" x14ac:dyDescent="0.4">
      <c r="A32" s="31" t="s">
        <v>628</v>
      </c>
      <c r="B32" s="25" t="s">
        <v>362</v>
      </c>
      <c r="C32" s="25"/>
      <c r="D32" s="25" t="s">
        <v>1019</v>
      </c>
      <c r="E32" s="25" t="s">
        <v>1020</v>
      </c>
      <c r="F32" s="31" t="s">
        <v>32</v>
      </c>
      <c r="G32" s="31" t="s">
        <v>29</v>
      </c>
      <c r="H32" s="31"/>
      <c r="I32" s="31"/>
    </row>
    <row r="33" spans="1:9" ht="32.4" x14ac:dyDescent="0.4">
      <c r="A33" s="31" t="s">
        <v>128</v>
      </c>
      <c r="B33" s="25" t="s">
        <v>129</v>
      </c>
      <c r="C33" s="111" t="s">
        <v>1021</v>
      </c>
      <c r="D33" s="25" t="s">
        <v>1001</v>
      </c>
      <c r="E33" s="25" t="s">
        <v>1022</v>
      </c>
      <c r="F33" s="31" t="s">
        <v>29</v>
      </c>
      <c r="G33" s="31" t="s">
        <v>32</v>
      </c>
      <c r="H33" s="31" t="s">
        <v>1023</v>
      </c>
      <c r="I33" s="31" t="s">
        <v>964</v>
      </c>
    </row>
    <row r="34" spans="1:9" ht="32.4" x14ac:dyDescent="0.4">
      <c r="A34" s="31" t="s">
        <v>128</v>
      </c>
      <c r="B34" s="25" t="s">
        <v>134</v>
      </c>
      <c r="C34" s="25" t="s">
        <v>1024</v>
      </c>
      <c r="D34" s="25" t="s">
        <v>1025</v>
      </c>
      <c r="E34" s="25" t="s">
        <v>1026</v>
      </c>
      <c r="F34" s="31" t="s">
        <v>29</v>
      </c>
      <c r="G34" s="31" t="s">
        <v>32</v>
      </c>
      <c r="H34" s="31" t="s">
        <v>1023</v>
      </c>
      <c r="I34" s="31" t="s">
        <v>964</v>
      </c>
    </row>
    <row r="35" spans="1:9" ht="32.4" x14ac:dyDescent="0.4">
      <c r="A35" s="31" t="s">
        <v>128</v>
      </c>
      <c r="B35" s="25" t="s">
        <v>136</v>
      </c>
      <c r="C35" s="25" t="s">
        <v>1027</v>
      </c>
      <c r="D35" s="25" t="s">
        <v>1025</v>
      </c>
      <c r="E35" s="25" t="s">
        <v>1026</v>
      </c>
      <c r="F35" s="31" t="s">
        <v>29</v>
      </c>
      <c r="G35" s="31" t="s">
        <v>32</v>
      </c>
      <c r="H35" s="31" t="s">
        <v>1023</v>
      </c>
      <c r="I35" s="31" t="s">
        <v>964</v>
      </c>
    </row>
    <row r="36" spans="1:9" ht="32.4" x14ac:dyDescent="0.4">
      <c r="A36" s="31" t="s">
        <v>128</v>
      </c>
      <c r="B36" s="25" t="s">
        <v>140</v>
      </c>
      <c r="C36" s="25" t="s">
        <v>1028</v>
      </c>
      <c r="D36" s="25" t="s">
        <v>1025</v>
      </c>
      <c r="E36" s="25" t="s">
        <v>1026</v>
      </c>
      <c r="F36" s="31" t="s">
        <v>29</v>
      </c>
      <c r="G36" s="31" t="s">
        <v>32</v>
      </c>
      <c r="H36" s="31" t="s">
        <v>1023</v>
      </c>
      <c r="I36" s="31" t="s">
        <v>964</v>
      </c>
    </row>
    <row r="37" spans="1:9" ht="32.4" x14ac:dyDescent="0.4">
      <c r="A37" s="31" t="s">
        <v>128</v>
      </c>
      <c r="B37" s="25" t="s">
        <v>141</v>
      </c>
      <c r="C37" s="25" t="s">
        <v>1029</v>
      </c>
      <c r="D37" s="25" t="s">
        <v>1025</v>
      </c>
      <c r="E37" s="25" t="s">
        <v>1026</v>
      </c>
      <c r="F37" s="31" t="s">
        <v>29</v>
      </c>
      <c r="G37" s="31" t="s">
        <v>32</v>
      </c>
      <c r="H37" s="31" t="s">
        <v>1023</v>
      </c>
      <c r="I37" s="31" t="s">
        <v>964</v>
      </c>
    </row>
    <row r="38" spans="1:9" ht="32.4" x14ac:dyDescent="0.4">
      <c r="A38" s="31" t="s">
        <v>128</v>
      </c>
      <c r="B38" s="25" t="s">
        <v>537</v>
      </c>
      <c r="C38" s="25" t="s">
        <v>1030</v>
      </c>
      <c r="D38" s="25" t="s">
        <v>1025</v>
      </c>
      <c r="E38" s="25" t="s">
        <v>1026</v>
      </c>
      <c r="F38" s="31" t="s">
        <v>29</v>
      </c>
      <c r="G38" s="31" t="s">
        <v>32</v>
      </c>
      <c r="H38" s="31" t="s">
        <v>1023</v>
      </c>
      <c r="I38" s="31" t="s">
        <v>964</v>
      </c>
    </row>
    <row r="39" spans="1:9" ht="48.6" x14ac:dyDescent="0.4">
      <c r="A39" s="31" t="s">
        <v>128</v>
      </c>
      <c r="B39" s="25" t="s">
        <v>165</v>
      </c>
      <c r="C39" s="25" t="s">
        <v>1031</v>
      </c>
      <c r="D39" s="25" t="s">
        <v>1032</v>
      </c>
      <c r="E39" s="25" t="s">
        <v>1033</v>
      </c>
      <c r="F39" s="31" t="s">
        <v>29</v>
      </c>
      <c r="G39" s="31" t="s">
        <v>32</v>
      </c>
      <c r="H39" s="31" t="s">
        <v>1023</v>
      </c>
      <c r="I39" s="31" t="s">
        <v>964</v>
      </c>
    </row>
    <row r="40" spans="1:9" ht="48.6" x14ac:dyDescent="0.4">
      <c r="A40" s="31" t="s">
        <v>128</v>
      </c>
      <c r="B40" s="25" t="s">
        <v>167</v>
      </c>
      <c r="C40" s="25" t="s">
        <v>1034</v>
      </c>
      <c r="D40" s="25" t="s">
        <v>1032</v>
      </c>
      <c r="E40" s="25" t="s">
        <v>1033</v>
      </c>
      <c r="F40" s="31" t="s">
        <v>29</v>
      </c>
      <c r="G40" s="31" t="s">
        <v>32</v>
      </c>
      <c r="H40" s="31" t="s">
        <v>1023</v>
      </c>
      <c r="I40" s="31" t="s">
        <v>964</v>
      </c>
    </row>
    <row r="42" spans="1:9" x14ac:dyDescent="0.4">
      <c r="A42" s="31" t="s">
        <v>128</v>
      </c>
      <c r="B42" s="25" t="s">
        <v>205</v>
      </c>
      <c r="C42" s="25" t="s">
        <v>1035</v>
      </c>
      <c r="D42" s="25" t="s">
        <v>968</v>
      </c>
      <c r="E42" s="25" t="s">
        <v>1036</v>
      </c>
      <c r="F42" s="31" t="s">
        <v>29</v>
      </c>
      <c r="G42" s="31" t="s">
        <v>32</v>
      </c>
      <c r="H42" s="31" t="s">
        <v>1023</v>
      </c>
      <c r="I42" s="31" t="s">
        <v>964</v>
      </c>
    </row>
    <row r="43" spans="1:9" ht="32.4" x14ac:dyDescent="0.4">
      <c r="A43" s="31" t="s">
        <v>128</v>
      </c>
      <c r="B43" s="25" t="s">
        <v>206</v>
      </c>
      <c r="C43" s="25" t="s">
        <v>1037</v>
      </c>
      <c r="D43" s="25" t="s">
        <v>1025</v>
      </c>
      <c r="E43" s="25" t="s">
        <v>1026</v>
      </c>
      <c r="F43" s="31" t="s">
        <v>29</v>
      </c>
      <c r="G43" s="31" t="s">
        <v>32</v>
      </c>
      <c r="H43" s="31" t="s">
        <v>1023</v>
      </c>
      <c r="I43" s="31" t="s">
        <v>964</v>
      </c>
    </row>
    <row r="44" spans="1:9" ht="48.6" x14ac:dyDescent="0.4">
      <c r="A44" s="31" t="s">
        <v>128</v>
      </c>
      <c r="B44" s="25" t="s">
        <v>227</v>
      </c>
      <c r="C44" s="25" t="s">
        <v>1038</v>
      </c>
      <c r="D44" s="25" t="s">
        <v>1039</v>
      </c>
      <c r="E44" s="25" t="s">
        <v>1040</v>
      </c>
      <c r="F44" s="31" t="s">
        <v>29</v>
      </c>
      <c r="G44" s="31" t="s">
        <v>32</v>
      </c>
      <c r="H44" s="31" t="s">
        <v>1023</v>
      </c>
      <c r="I44" s="31" t="s">
        <v>964</v>
      </c>
    </row>
    <row r="45" spans="1:9" ht="64.8" x14ac:dyDescent="0.4">
      <c r="A45" s="31" t="s">
        <v>128</v>
      </c>
      <c r="B45" s="25" t="s">
        <v>228</v>
      </c>
      <c r="C45" s="25" t="s">
        <v>1041</v>
      </c>
      <c r="D45" s="25" t="s">
        <v>1039</v>
      </c>
      <c r="E45" s="25" t="s">
        <v>1042</v>
      </c>
      <c r="F45" s="31" t="s">
        <v>29</v>
      </c>
      <c r="G45" s="31" t="s">
        <v>32</v>
      </c>
      <c r="H45" s="31" t="s">
        <v>1023</v>
      </c>
      <c r="I45" s="31" t="s">
        <v>964</v>
      </c>
    </row>
    <row r="46" spans="1:9" ht="64.8" x14ac:dyDescent="0.4">
      <c r="A46" s="31" t="s">
        <v>128</v>
      </c>
      <c r="B46" s="25" t="s">
        <v>231</v>
      </c>
      <c r="C46" s="25" t="s">
        <v>1043</v>
      </c>
      <c r="D46" s="25" t="s">
        <v>1039</v>
      </c>
      <c r="E46" s="25" t="s">
        <v>1042</v>
      </c>
      <c r="F46" s="31" t="s">
        <v>29</v>
      </c>
      <c r="G46" s="31" t="s">
        <v>32</v>
      </c>
      <c r="H46" s="31" t="s">
        <v>1023</v>
      </c>
      <c r="I46" s="31" t="s">
        <v>964</v>
      </c>
    </row>
    <row r="47" spans="1:9" ht="64.8" x14ac:dyDescent="0.4">
      <c r="A47" s="31" t="s">
        <v>128</v>
      </c>
      <c r="B47" s="25" t="s">
        <v>233</v>
      </c>
      <c r="C47" s="25" t="s">
        <v>1044</v>
      </c>
      <c r="D47" s="25" t="s">
        <v>1039</v>
      </c>
      <c r="E47" s="25" t="s">
        <v>1042</v>
      </c>
      <c r="F47" s="31" t="s">
        <v>29</v>
      </c>
      <c r="G47" s="31" t="s">
        <v>32</v>
      </c>
      <c r="H47" s="31" t="s">
        <v>1023</v>
      </c>
      <c r="I47" s="31" t="s">
        <v>964</v>
      </c>
    </row>
    <row r="48" spans="1:9" ht="48.6" x14ac:dyDescent="0.4">
      <c r="A48" s="31" t="s">
        <v>128</v>
      </c>
      <c r="B48" s="25" t="s">
        <v>292</v>
      </c>
      <c r="C48" s="25" t="s">
        <v>1045</v>
      </c>
      <c r="D48" s="25" t="s">
        <v>1032</v>
      </c>
      <c r="E48" s="25" t="s">
        <v>1046</v>
      </c>
      <c r="F48" s="31" t="s">
        <v>29</v>
      </c>
      <c r="G48" s="31" t="s">
        <v>32</v>
      </c>
      <c r="H48" s="31" t="s">
        <v>1023</v>
      </c>
      <c r="I48" s="31" t="s">
        <v>964</v>
      </c>
    </row>
    <row r="49" spans="1:9" ht="32.4" x14ac:dyDescent="0.4">
      <c r="A49" s="31" t="s">
        <v>128</v>
      </c>
      <c r="B49" s="25" t="s">
        <v>294</v>
      </c>
      <c r="C49" s="25" t="s">
        <v>1047</v>
      </c>
      <c r="D49" s="25" t="s">
        <v>1048</v>
      </c>
      <c r="E49" s="25" t="s">
        <v>1049</v>
      </c>
      <c r="F49" s="31" t="s">
        <v>29</v>
      </c>
      <c r="G49" s="31" t="s">
        <v>29</v>
      </c>
      <c r="H49" s="31"/>
      <c r="I49" s="31"/>
    </row>
    <row r="50" spans="1:9" ht="32.4" x14ac:dyDescent="0.4">
      <c r="A50" s="31" t="s">
        <v>128</v>
      </c>
      <c r="B50" s="25" t="s">
        <v>295</v>
      </c>
      <c r="C50" s="111" t="s">
        <v>1050</v>
      </c>
      <c r="D50" s="25" t="s">
        <v>1048</v>
      </c>
      <c r="E50" s="25" t="s">
        <v>1049</v>
      </c>
      <c r="F50" s="31" t="s">
        <v>29</v>
      </c>
      <c r="G50" s="31" t="s">
        <v>29</v>
      </c>
      <c r="H50" s="31"/>
      <c r="I50" s="31"/>
    </row>
    <row r="51" spans="1:9" x14ac:dyDescent="0.4">
      <c r="A51" s="31" t="s">
        <v>128</v>
      </c>
      <c r="B51" s="25" t="s">
        <v>360</v>
      </c>
      <c r="C51" s="25" t="s">
        <v>1051</v>
      </c>
      <c r="D51" s="25" t="s">
        <v>1052</v>
      </c>
      <c r="E51" s="25" t="s">
        <v>1053</v>
      </c>
      <c r="F51" s="31" t="s">
        <v>29</v>
      </c>
      <c r="G51" s="31" t="s">
        <v>32</v>
      </c>
      <c r="H51" s="31" t="s">
        <v>1023</v>
      </c>
      <c r="I51" s="31" t="s">
        <v>964</v>
      </c>
    </row>
    <row r="52" spans="1:9" x14ac:dyDescent="0.4">
      <c r="A52" s="31" t="s">
        <v>128</v>
      </c>
      <c r="B52" s="25" t="s">
        <v>386</v>
      </c>
      <c r="C52" s="25" t="s">
        <v>1054</v>
      </c>
      <c r="D52" s="25" t="s">
        <v>968</v>
      </c>
      <c r="E52" s="25" t="s">
        <v>1055</v>
      </c>
      <c r="F52" s="31" t="s">
        <v>29</v>
      </c>
      <c r="G52" s="31" t="s">
        <v>32</v>
      </c>
      <c r="H52" s="31" t="s">
        <v>1023</v>
      </c>
      <c r="I52" s="31" t="s">
        <v>964</v>
      </c>
    </row>
    <row r="53" spans="1:9" ht="32.4" x14ac:dyDescent="0.4">
      <c r="A53" s="31" t="s">
        <v>128</v>
      </c>
      <c r="B53" s="25" t="s">
        <v>415</v>
      </c>
      <c r="C53" s="25" t="s">
        <v>1056</v>
      </c>
      <c r="D53" s="25" t="s">
        <v>1057</v>
      </c>
      <c r="E53" s="25" t="s">
        <v>1058</v>
      </c>
      <c r="F53" s="31" t="s">
        <v>29</v>
      </c>
      <c r="G53" s="31" t="s">
        <v>32</v>
      </c>
      <c r="H53" s="31" t="s">
        <v>1023</v>
      </c>
      <c r="I53" s="31" t="s">
        <v>964</v>
      </c>
    </row>
    <row r="54" spans="1:9" x14ac:dyDescent="0.4">
      <c r="A54" s="31" t="s">
        <v>128</v>
      </c>
      <c r="B54" s="25" t="s">
        <v>416</v>
      </c>
      <c r="C54" s="33" t="s">
        <v>1059</v>
      </c>
      <c r="D54" s="25" t="s">
        <v>1057</v>
      </c>
      <c r="E54" s="25" t="s">
        <v>1060</v>
      </c>
      <c r="F54" s="31" t="s">
        <v>29</v>
      </c>
      <c r="G54" s="31" t="s">
        <v>32</v>
      </c>
      <c r="H54" s="31" t="s">
        <v>1023</v>
      </c>
      <c r="I54" s="31" t="s">
        <v>964</v>
      </c>
    </row>
    <row r="55" spans="1:9" ht="48.6" x14ac:dyDescent="0.4">
      <c r="A55" s="31" t="s">
        <v>128</v>
      </c>
      <c r="B55" s="25" t="s">
        <v>417</v>
      </c>
      <c r="C55" s="111" t="s">
        <v>1061</v>
      </c>
      <c r="D55" s="25" t="s">
        <v>1062</v>
      </c>
      <c r="E55" s="25" t="s">
        <v>1063</v>
      </c>
      <c r="F55" s="31" t="s">
        <v>29</v>
      </c>
      <c r="G55" s="31" t="s">
        <v>32</v>
      </c>
      <c r="H55" s="31" t="s">
        <v>1023</v>
      </c>
      <c r="I55" s="31" t="s">
        <v>964</v>
      </c>
    </row>
    <row r="56" spans="1:9" ht="32.4" x14ac:dyDescent="0.4">
      <c r="A56" s="31" t="s">
        <v>128</v>
      </c>
      <c r="B56" s="25" t="s">
        <v>438</v>
      </c>
      <c r="C56" s="25" t="s">
        <v>1064</v>
      </c>
      <c r="D56" s="25" t="s">
        <v>1025</v>
      </c>
      <c r="E56" s="25" t="s">
        <v>1026</v>
      </c>
      <c r="F56" s="31" t="s">
        <v>29</v>
      </c>
      <c r="G56" s="31" t="s">
        <v>32</v>
      </c>
      <c r="H56" s="31" t="s">
        <v>1023</v>
      </c>
      <c r="I56" s="31" t="s">
        <v>964</v>
      </c>
    </row>
    <row r="57" spans="1:9" ht="32.4" x14ac:dyDescent="0.4">
      <c r="A57" s="31" t="s">
        <v>128</v>
      </c>
      <c r="B57" s="25" t="s">
        <v>439</v>
      </c>
      <c r="C57" s="25" t="s">
        <v>1064</v>
      </c>
      <c r="D57" s="25" t="s">
        <v>1025</v>
      </c>
      <c r="E57" s="25" t="s">
        <v>1026</v>
      </c>
      <c r="F57" s="31" t="s">
        <v>29</v>
      </c>
      <c r="G57" s="31" t="s">
        <v>32</v>
      </c>
      <c r="H57" s="31" t="s">
        <v>1023</v>
      </c>
      <c r="I57" s="31" t="s">
        <v>964</v>
      </c>
    </row>
    <row r="58" spans="1:9" ht="32.4" x14ac:dyDescent="0.4">
      <c r="A58" s="31" t="s">
        <v>128</v>
      </c>
      <c r="B58" s="25" t="s">
        <v>442</v>
      </c>
      <c r="C58" s="25" t="s">
        <v>1065</v>
      </c>
      <c r="D58" s="25" t="s">
        <v>1025</v>
      </c>
      <c r="E58" s="25" t="s">
        <v>1026</v>
      </c>
      <c r="F58" s="31" t="s">
        <v>29</v>
      </c>
      <c r="G58" s="31" t="s">
        <v>32</v>
      </c>
      <c r="H58" s="31" t="s">
        <v>1023</v>
      </c>
      <c r="I58" s="31" t="s">
        <v>964</v>
      </c>
    </row>
    <row r="59" spans="1:9" ht="32.4" x14ac:dyDescent="0.4">
      <c r="A59" s="31" t="s">
        <v>128</v>
      </c>
      <c r="B59" s="25" t="s">
        <v>303</v>
      </c>
      <c r="C59" s="25" t="s">
        <v>1066</v>
      </c>
      <c r="D59" s="25" t="s">
        <v>1025</v>
      </c>
      <c r="E59" s="25" t="s">
        <v>1026</v>
      </c>
      <c r="F59" s="31" t="s">
        <v>29</v>
      </c>
      <c r="G59" s="31" t="s">
        <v>32</v>
      </c>
      <c r="H59" s="31" t="s">
        <v>1023</v>
      </c>
      <c r="I59" s="31" t="s">
        <v>964</v>
      </c>
    </row>
    <row r="60" spans="1:9" ht="32.4" x14ac:dyDescent="0.4">
      <c r="A60" s="31" t="s">
        <v>128</v>
      </c>
      <c r="B60" s="25" t="s">
        <v>482</v>
      </c>
      <c r="C60" s="25" t="s">
        <v>1067</v>
      </c>
      <c r="D60" s="25" t="s">
        <v>1025</v>
      </c>
      <c r="E60" s="25" t="s">
        <v>1026</v>
      </c>
      <c r="F60" s="31" t="s">
        <v>29</v>
      </c>
      <c r="G60" s="31" t="s">
        <v>32</v>
      </c>
      <c r="H60" s="31" t="s">
        <v>1023</v>
      </c>
      <c r="I60" s="31" t="s">
        <v>964</v>
      </c>
    </row>
    <row r="61" spans="1:9" x14ac:dyDescent="0.4">
      <c r="A61" s="112" t="s">
        <v>128</v>
      </c>
      <c r="B61" s="34" t="s">
        <v>541</v>
      </c>
      <c r="C61" s="34" t="s">
        <v>1068</v>
      </c>
      <c r="D61" s="34" t="s">
        <v>1069</v>
      </c>
      <c r="E61" s="34" t="s">
        <v>1070</v>
      </c>
      <c r="F61" s="112" t="s">
        <v>29</v>
      </c>
      <c r="G61" s="112" t="s">
        <v>32</v>
      </c>
      <c r="H61" s="31" t="s">
        <v>1023</v>
      </c>
      <c r="I61" s="31" t="s">
        <v>964</v>
      </c>
    </row>
    <row r="62" spans="1:9" ht="32.4" x14ac:dyDescent="0.4">
      <c r="A62" s="112" t="s">
        <v>128</v>
      </c>
      <c r="B62" s="34" t="s">
        <v>183</v>
      </c>
      <c r="C62" s="34" t="s">
        <v>1071</v>
      </c>
      <c r="D62" s="34" t="s">
        <v>1001</v>
      </c>
      <c r="E62" s="34" t="s">
        <v>1072</v>
      </c>
      <c r="F62" s="112" t="s">
        <v>29</v>
      </c>
      <c r="G62" s="112" t="s">
        <v>32</v>
      </c>
      <c r="H62" s="31" t="s">
        <v>1023</v>
      </c>
      <c r="I62" s="31" t="s">
        <v>964</v>
      </c>
    </row>
    <row r="63" spans="1:9" ht="32.4" x14ac:dyDescent="0.4">
      <c r="A63" s="112" t="s">
        <v>128</v>
      </c>
      <c r="B63" s="34" t="s">
        <v>241</v>
      </c>
      <c r="C63" s="34" t="s">
        <v>1073</v>
      </c>
      <c r="D63" s="34" t="s">
        <v>1069</v>
      </c>
      <c r="E63" s="34" t="s">
        <v>1074</v>
      </c>
      <c r="F63" s="112" t="s">
        <v>29</v>
      </c>
      <c r="G63" s="112" t="s">
        <v>32</v>
      </c>
      <c r="H63" s="31" t="s">
        <v>1023</v>
      </c>
      <c r="I63" s="31" t="s">
        <v>964</v>
      </c>
    </row>
    <row r="64" spans="1:9" ht="32.4" x14ac:dyDescent="0.4">
      <c r="A64" s="112" t="s">
        <v>128</v>
      </c>
      <c r="B64" s="34" t="s">
        <v>242</v>
      </c>
      <c r="C64" s="34" t="s">
        <v>1075</v>
      </c>
      <c r="D64" s="34" t="s">
        <v>1069</v>
      </c>
      <c r="E64" s="34" t="s">
        <v>1074</v>
      </c>
      <c r="F64" s="112" t="s">
        <v>29</v>
      </c>
      <c r="G64" s="112" t="s">
        <v>32</v>
      </c>
      <c r="H64" s="31" t="s">
        <v>1023</v>
      </c>
      <c r="I64" s="31" t="s">
        <v>964</v>
      </c>
    </row>
    <row r="65" spans="1:9" ht="32.4" x14ac:dyDescent="0.4">
      <c r="A65" s="112" t="s">
        <v>128</v>
      </c>
      <c r="B65" s="34" t="s">
        <v>252</v>
      </c>
      <c r="C65" s="34" t="s">
        <v>1076</v>
      </c>
      <c r="D65" s="34" t="s">
        <v>1069</v>
      </c>
      <c r="E65" s="34" t="s">
        <v>1077</v>
      </c>
      <c r="F65" s="112" t="s">
        <v>29</v>
      </c>
      <c r="G65" s="112" t="s">
        <v>32</v>
      </c>
      <c r="H65" s="31" t="s">
        <v>1023</v>
      </c>
      <c r="I65" s="31" t="s">
        <v>964</v>
      </c>
    </row>
    <row r="66" spans="1:9" ht="32.4" x14ac:dyDescent="0.4">
      <c r="A66" s="112" t="s">
        <v>128</v>
      </c>
      <c r="B66" s="34" t="s">
        <v>254</v>
      </c>
      <c r="C66" s="34" t="s">
        <v>1078</v>
      </c>
      <c r="D66" s="34" t="s">
        <v>1069</v>
      </c>
      <c r="E66" s="34" t="s">
        <v>1077</v>
      </c>
      <c r="F66" s="112" t="s">
        <v>29</v>
      </c>
      <c r="G66" s="112" t="s">
        <v>32</v>
      </c>
      <c r="H66" s="31" t="s">
        <v>1023</v>
      </c>
      <c r="I66" s="31" t="s">
        <v>964</v>
      </c>
    </row>
    <row r="67" spans="1:9" ht="64.8" x14ac:dyDescent="0.4">
      <c r="A67" s="112" t="s">
        <v>128</v>
      </c>
      <c r="B67" s="34" t="s">
        <v>302</v>
      </c>
      <c r="C67" s="34" t="s">
        <v>1079</v>
      </c>
      <c r="D67" s="34" t="s">
        <v>1080</v>
      </c>
      <c r="E67" s="34" t="s">
        <v>1081</v>
      </c>
      <c r="F67" s="112" t="s">
        <v>29</v>
      </c>
      <c r="G67" s="112" t="s">
        <v>32</v>
      </c>
      <c r="H67" s="31" t="s">
        <v>1023</v>
      </c>
      <c r="I67" s="31" t="s">
        <v>964</v>
      </c>
    </row>
    <row r="68" spans="1:9" x14ac:dyDescent="0.4">
      <c r="A68" s="112" t="s">
        <v>128</v>
      </c>
      <c r="B68" s="34" t="s">
        <v>353</v>
      </c>
      <c r="C68" s="34" t="s">
        <v>1082</v>
      </c>
      <c r="D68" s="34" t="s">
        <v>1069</v>
      </c>
      <c r="E68" s="34" t="s">
        <v>1083</v>
      </c>
      <c r="F68" s="112" t="s">
        <v>29</v>
      </c>
      <c r="G68" s="112" t="s">
        <v>32</v>
      </c>
      <c r="H68" s="31" t="s">
        <v>1023</v>
      </c>
      <c r="I68" s="31" t="s">
        <v>964</v>
      </c>
    </row>
    <row r="69" spans="1:9" ht="32.4" x14ac:dyDescent="0.4">
      <c r="A69" s="112" t="s">
        <v>128</v>
      </c>
      <c r="B69" s="34" t="s">
        <v>429</v>
      </c>
      <c r="C69" s="34" t="s">
        <v>1084</v>
      </c>
      <c r="D69" s="34" t="s">
        <v>1069</v>
      </c>
      <c r="E69" s="34" t="s">
        <v>1077</v>
      </c>
      <c r="F69" s="112" t="s">
        <v>29</v>
      </c>
      <c r="G69" s="112" t="s">
        <v>32</v>
      </c>
      <c r="H69" s="31" t="s">
        <v>1023</v>
      </c>
      <c r="I69" s="31" t="s">
        <v>964</v>
      </c>
    </row>
  </sheetData>
  <autoFilter ref="A1:J69" xr:uid="{206DDDB5-79F6-4132-9942-378764F443DD}"/>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28745-4737-43FB-B538-64A34E96FDB5}">
  <dimension ref="A1:CB87"/>
  <sheetViews>
    <sheetView showGridLines="0" topLeftCell="M1" zoomScale="54" zoomScaleNormal="60" workbookViewId="0">
      <selection activeCell="I87" sqref="A65:I87"/>
    </sheetView>
  </sheetViews>
  <sheetFormatPr defaultColWidth="8.88671875" defaultRowHeight="15.6" x14ac:dyDescent="0.3"/>
  <cols>
    <col min="1" max="1" width="3.6640625" style="103" customWidth="1"/>
    <col min="2" max="2" width="18.44140625" style="87" customWidth="1"/>
    <col min="3" max="3" width="38.33203125" style="87" bestFit="1" customWidth="1"/>
    <col min="4" max="4" width="18.6640625" style="87" customWidth="1"/>
    <col min="5" max="5" width="15.6640625" style="87" customWidth="1"/>
    <col min="6" max="6" width="28" style="87" customWidth="1"/>
    <col min="7" max="7" width="29.33203125" style="87" customWidth="1"/>
    <col min="8" max="8" width="42.6640625" style="87" customWidth="1"/>
    <col min="9" max="9" width="12.6640625" style="87" customWidth="1"/>
    <col min="10" max="11" width="21.6640625" style="87" customWidth="1"/>
    <col min="12" max="12" width="30.33203125" style="87" customWidth="1"/>
    <col min="13" max="13" width="33.44140625" style="87" customWidth="1"/>
    <col min="14" max="14" width="21.6640625" style="87" customWidth="1"/>
    <col min="15" max="15" width="12.6640625" style="87" customWidth="1"/>
    <col min="16" max="20" width="20.5546875" style="87" customWidth="1"/>
    <col min="21" max="21" width="8.88671875" style="87"/>
    <col min="22" max="26" width="25.109375" style="87" customWidth="1"/>
    <col min="27" max="27" width="8.88671875" style="87"/>
    <col min="28" max="28" width="22.109375" style="87" customWidth="1"/>
    <col min="29" max="30" width="8.88671875" style="87"/>
    <col min="31" max="31" width="37.6640625" style="87" customWidth="1"/>
    <col min="32" max="32" width="37.5546875" style="87" customWidth="1"/>
    <col min="33" max="33" width="8.88671875" style="87" customWidth="1"/>
    <col min="34" max="16384" width="8.88671875" style="87"/>
  </cols>
  <sheetData>
    <row r="1" spans="1:80" ht="51.6" customHeight="1" thickBot="1" x14ac:dyDescent="0.5">
      <c r="A1" s="108"/>
      <c r="B1" s="109"/>
      <c r="C1" s="109"/>
      <c r="D1" s="109"/>
      <c r="E1" s="109"/>
      <c r="F1" s="109"/>
      <c r="G1" s="109"/>
      <c r="H1" s="109"/>
      <c r="I1" s="109"/>
      <c r="J1" s="109"/>
      <c r="K1" s="109"/>
      <c r="L1" s="109"/>
      <c r="M1" s="109"/>
      <c r="N1" s="109"/>
      <c r="O1" s="109"/>
      <c r="P1" s="109"/>
      <c r="Q1" s="109"/>
      <c r="R1" s="109"/>
      <c r="S1" s="109"/>
      <c r="T1" s="109"/>
      <c r="U1" s="109"/>
      <c r="V1" s="109"/>
      <c r="W1" s="109"/>
      <c r="X1" s="109"/>
      <c r="Y1" s="109"/>
      <c r="Z1" s="109"/>
      <c r="AA1" s="109"/>
      <c r="AB1" s="109"/>
      <c r="AC1" s="109"/>
      <c r="AD1" s="109"/>
      <c r="AE1" s="109"/>
      <c r="AF1" s="109"/>
      <c r="AG1" s="109"/>
      <c r="AH1" s="109"/>
      <c r="AI1" s="109"/>
      <c r="AJ1" s="109"/>
      <c r="AK1" s="109"/>
      <c r="AL1" s="109"/>
      <c r="AM1" s="109"/>
      <c r="AN1" s="109"/>
      <c r="AO1" s="109"/>
      <c r="AP1" s="109"/>
      <c r="AQ1" s="109"/>
      <c r="AR1" s="109"/>
      <c r="AS1" s="109"/>
      <c r="AT1" s="109"/>
      <c r="AU1" s="109"/>
      <c r="AV1" s="109"/>
      <c r="AW1" s="109"/>
      <c r="AX1" s="109"/>
      <c r="AY1" s="109"/>
      <c r="AZ1" s="109"/>
      <c r="BA1" s="109"/>
      <c r="BB1" s="109"/>
      <c r="BC1" s="109"/>
      <c r="BD1" s="109"/>
      <c r="BE1" s="109"/>
      <c r="BF1" s="109"/>
      <c r="BG1" s="109"/>
      <c r="BH1" s="109"/>
      <c r="BI1" s="109"/>
      <c r="BJ1" s="109"/>
      <c r="BK1" s="109"/>
      <c r="BL1" s="109"/>
      <c r="BM1" s="109"/>
      <c r="BN1" s="109"/>
      <c r="BO1" s="109"/>
      <c r="BP1" s="109"/>
      <c r="BQ1" s="109"/>
      <c r="BR1" s="109"/>
      <c r="BS1" s="109"/>
      <c r="BT1" s="109"/>
      <c r="BU1" s="109"/>
      <c r="BV1" s="109"/>
      <c r="BW1" s="109"/>
      <c r="BX1" s="109"/>
      <c r="BY1" s="109"/>
      <c r="BZ1" s="109"/>
      <c r="CA1" s="109"/>
      <c r="CB1" s="109"/>
    </row>
    <row r="2" spans="1:80" ht="16.2" thickTop="1" x14ac:dyDescent="0.3"/>
    <row r="7" spans="1:80" x14ac:dyDescent="0.3">
      <c r="D7" s="98" t="s">
        <v>1085</v>
      </c>
      <c r="E7" s="97"/>
      <c r="G7" s="110" t="s">
        <v>1086</v>
      </c>
      <c r="H7" s="110" t="s">
        <v>1087</v>
      </c>
      <c r="J7" s="98" t="s">
        <v>1128</v>
      </c>
      <c r="K7" s="97"/>
      <c r="M7" s="110" t="s">
        <v>1086</v>
      </c>
      <c r="N7" s="110" t="s">
        <v>1087</v>
      </c>
      <c r="P7" s="98" t="s">
        <v>1185</v>
      </c>
      <c r="Q7" s="97"/>
      <c r="S7" s="110" t="s">
        <v>1086</v>
      </c>
      <c r="T7" s="110" t="s">
        <v>1087</v>
      </c>
      <c r="V7" s="98" t="s">
        <v>1310</v>
      </c>
      <c r="W7" s="97"/>
      <c r="Y7" s="110" t="s">
        <v>1086</v>
      </c>
      <c r="Z7" s="110" t="s">
        <v>1087</v>
      </c>
      <c r="AB7" s="98" t="s">
        <v>1311</v>
      </c>
      <c r="AC7" s="97"/>
      <c r="AE7" s="110" t="s">
        <v>1086</v>
      </c>
      <c r="AF7" s="110" t="s">
        <v>1087</v>
      </c>
    </row>
    <row r="8" spans="1:80" x14ac:dyDescent="0.3">
      <c r="B8" s="101"/>
      <c r="D8" s="102"/>
      <c r="E8" s="97"/>
      <c r="G8" s="100" t="s">
        <v>283</v>
      </c>
      <c r="H8" s="100">
        <v>45744</v>
      </c>
      <c r="J8" s="102"/>
      <c r="K8" s="97"/>
      <c r="M8" s="100">
        <v>45747</v>
      </c>
      <c r="N8" s="100">
        <v>45828</v>
      </c>
      <c r="P8" s="102"/>
      <c r="Q8" s="97"/>
      <c r="S8" s="100">
        <v>45832</v>
      </c>
      <c r="T8" s="100">
        <v>45915</v>
      </c>
      <c r="V8" s="102"/>
      <c r="W8" s="97"/>
      <c r="Y8" s="100" t="s">
        <v>283</v>
      </c>
      <c r="Z8" s="100" t="s">
        <v>283</v>
      </c>
      <c r="AB8" s="102"/>
      <c r="AC8" s="97"/>
      <c r="AE8" s="100" t="s">
        <v>283</v>
      </c>
      <c r="AF8" s="100" t="s">
        <v>283</v>
      </c>
    </row>
    <row r="9" spans="1:80" x14ac:dyDescent="0.3">
      <c r="B9" s="99" t="s">
        <v>1088</v>
      </c>
      <c r="D9" s="88"/>
      <c r="J9" s="88"/>
      <c r="P9" s="88"/>
      <c r="V9" s="88"/>
      <c r="AB9" s="88"/>
    </row>
    <row r="10" spans="1:80" x14ac:dyDescent="0.3">
      <c r="B10" s="179" t="s">
        <v>1089</v>
      </c>
      <c r="D10" s="113" t="s">
        <v>5</v>
      </c>
      <c r="E10" s="114"/>
      <c r="F10" s="114"/>
      <c r="G10" s="114"/>
      <c r="H10" s="115"/>
      <c r="J10" s="105" t="s">
        <v>5</v>
      </c>
      <c r="K10" s="89"/>
      <c r="L10" s="89"/>
      <c r="M10" s="89"/>
      <c r="N10" s="90"/>
      <c r="P10" s="105" t="s">
        <v>5</v>
      </c>
      <c r="Q10" s="89"/>
      <c r="R10" s="89"/>
      <c r="S10" s="89"/>
      <c r="T10" s="90"/>
      <c r="V10" s="105" t="s">
        <v>5</v>
      </c>
      <c r="W10" s="89"/>
      <c r="X10" s="89"/>
      <c r="Y10" s="89"/>
      <c r="Z10" s="90"/>
      <c r="AB10" s="105" t="s">
        <v>5</v>
      </c>
      <c r="AC10" s="89"/>
      <c r="AD10" s="89"/>
      <c r="AE10" s="89"/>
      <c r="AF10" s="90"/>
    </row>
    <row r="11" spans="1:80" ht="22.95" customHeight="1" x14ac:dyDescent="0.3">
      <c r="B11" s="179"/>
      <c r="D11" s="167" t="s">
        <v>1102</v>
      </c>
      <c r="E11" s="168"/>
      <c r="F11" s="168"/>
      <c r="G11" s="168"/>
      <c r="H11" s="169"/>
      <c r="J11" s="173" t="s">
        <v>1181</v>
      </c>
      <c r="K11" s="174"/>
      <c r="L11" s="174"/>
      <c r="M11" s="174"/>
      <c r="N11" s="175"/>
      <c r="P11" s="176" t="s">
        <v>1306</v>
      </c>
      <c r="Q11" s="177"/>
      <c r="R11" s="177"/>
      <c r="S11" s="177"/>
      <c r="T11" s="178"/>
      <c r="V11" s="107"/>
      <c r="W11" s="92"/>
      <c r="X11" s="92"/>
      <c r="Y11" s="92"/>
      <c r="Z11" s="93"/>
      <c r="AB11" s="107"/>
      <c r="AC11" s="92"/>
      <c r="AD11" s="92"/>
      <c r="AE11" s="92"/>
      <c r="AF11" s="93"/>
    </row>
    <row r="12" spans="1:80" ht="38.4" customHeight="1" x14ac:dyDescent="0.3">
      <c r="B12" s="179"/>
      <c r="D12" s="167"/>
      <c r="E12" s="168"/>
      <c r="F12" s="168"/>
      <c r="G12" s="168"/>
      <c r="H12" s="169"/>
      <c r="J12" s="173"/>
      <c r="K12" s="174"/>
      <c r="L12" s="174"/>
      <c r="M12" s="174"/>
      <c r="N12" s="175"/>
      <c r="P12" s="176"/>
      <c r="Q12" s="177"/>
      <c r="R12" s="177"/>
      <c r="S12" s="177"/>
      <c r="T12" s="178"/>
      <c r="V12" s="106"/>
      <c r="W12" s="92"/>
      <c r="X12" s="92"/>
      <c r="Y12" s="92"/>
      <c r="Z12" s="93"/>
      <c r="AB12" s="106"/>
      <c r="AC12" s="92"/>
      <c r="AD12" s="92"/>
      <c r="AE12" s="92"/>
      <c r="AF12" s="93"/>
    </row>
    <row r="13" spans="1:80" ht="97.8" customHeight="1" x14ac:dyDescent="0.3">
      <c r="B13" s="179"/>
      <c r="D13" s="167"/>
      <c r="E13" s="168"/>
      <c r="F13" s="168"/>
      <c r="G13" s="168"/>
      <c r="H13" s="169"/>
      <c r="J13" s="173"/>
      <c r="K13" s="174"/>
      <c r="L13" s="174"/>
      <c r="M13" s="174"/>
      <c r="N13" s="175"/>
      <c r="P13" s="176"/>
      <c r="Q13" s="177"/>
      <c r="R13" s="177"/>
      <c r="S13" s="177"/>
      <c r="T13" s="178"/>
      <c r="V13" s="106"/>
      <c r="W13" s="92"/>
      <c r="X13" s="92"/>
      <c r="Y13" s="92"/>
      <c r="Z13" s="93"/>
      <c r="AB13" s="106"/>
      <c r="AC13" s="92"/>
      <c r="AD13" s="92"/>
      <c r="AE13" s="92"/>
      <c r="AF13" s="93"/>
    </row>
    <row r="14" spans="1:80" ht="13.95" customHeight="1" x14ac:dyDescent="0.3">
      <c r="B14" s="179"/>
      <c r="D14" s="167"/>
      <c r="E14" s="168"/>
      <c r="F14" s="168"/>
      <c r="G14" s="168"/>
      <c r="H14" s="169"/>
      <c r="J14" s="173"/>
      <c r="K14" s="174"/>
      <c r="L14" s="174"/>
      <c r="M14" s="174"/>
      <c r="N14" s="175"/>
      <c r="P14" s="106"/>
      <c r="Q14" s="92"/>
      <c r="R14" s="92"/>
      <c r="S14" s="92"/>
      <c r="T14" s="93"/>
      <c r="V14" s="106"/>
      <c r="W14" s="92"/>
      <c r="X14" s="92"/>
      <c r="Y14" s="92"/>
      <c r="Z14" s="93"/>
      <c r="AB14" s="106"/>
      <c r="AC14" s="92"/>
      <c r="AD14" s="92"/>
      <c r="AE14" s="92"/>
      <c r="AF14" s="93"/>
    </row>
    <row r="15" spans="1:80" x14ac:dyDescent="0.3">
      <c r="B15" s="179"/>
      <c r="D15" s="116" t="s">
        <v>138</v>
      </c>
      <c r="E15" s="35"/>
      <c r="F15" s="35"/>
      <c r="G15" s="35"/>
      <c r="H15" s="117"/>
      <c r="J15" s="107" t="s">
        <v>138</v>
      </c>
      <c r="K15" s="92"/>
      <c r="L15" s="92"/>
      <c r="M15" s="92"/>
      <c r="N15" s="93"/>
      <c r="P15" s="107" t="s">
        <v>138</v>
      </c>
      <c r="Q15" s="92"/>
      <c r="R15" s="92"/>
      <c r="S15" s="92"/>
      <c r="T15" s="93"/>
      <c r="V15" s="107" t="s">
        <v>138</v>
      </c>
      <c r="W15" s="92"/>
      <c r="X15" s="92"/>
      <c r="Y15" s="92"/>
      <c r="Z15" s="93"/>
      <c r="AB15" s="107" t="s">
        <v>138</v>
      </c>
      <c r="AC15" s="92"/>
      <c r="AD15" s="92"/>
      <c r="AE15" s="92"/>
      <c r="AF15" s="93"/>
    </row>
    <row r="16" spans="1:80" ht="265.2" customHeight="1" x14ac:dyDescent="0.3">
      <c r="B16" s="179"/>
      <c r="D16" s="170" t="s">
        <v>1099</v>
      </c>
      <c r="E16" s="171"/>
      <c r="F16" s="171"/>
      <c r="G16" s="171"/>
      <c r="H16" s="172"/>
      <c r="J16" s="176" t="s">
        <v>1183</v>
      </c>
      <c r="K16" s="177"/>
      <c r="L16" s="177"/>
      <c r="M16" s="177"/>
      <c r="N16" s="178"/>
      <c r="P16" s="176" t="s">
        <v>1307</v>
      </c>
      <c r="Q16" s="177"/>
      <c r="R16" s="177"/>
      <c r="S16" s="177"/>
      <c r="T16" s="178"/>
      <c r="V16" s="106"/>
      <c r="W16" s="92"/>
      <c r="X16" s="92"/>
      <c r="Y16" s="92"/>
      <c r="Z16" s="93"/>
      <c r="AB16" s="106"/>
      <c r="AC16" s="92"/>
      <c r="AD16" s="92"/>
      <c r="AE16" s="92"/>
      <c r="AF16" s="93"/>
    </row>
    <row r="17" spans="2:32" x14ac:dyDescent="0.3">
      <c r="B17" s="179"/>
      <c r="D17" s="170"/>
      <c r="E17" s="171"/>
      <c r="F17" s="171"/>
      <c r="G17" s="171"/>
      <c r="H17" s="172"/>
      <c r="J17" s="106"/>
      <c r="K17" s="92"/>
      <c r="L17" s="92"/>
      <c r="M17" s="92"/>
      <c r="N17" s="93"/>
      <c r="P17" s="106"/>
      <c r="Q17" s="92"/>
      <c r="R17" s="92"/>
      <c r="S17" s="92"/>
      <c r="T17" s="93"/>
      <c r="V17" s="106"/>
      <c r="W17" s="92"/>
      <c r="X17" s="92"/>
      <c r="Y17" s="92"/>
      <c r="Z17" s="93"/>
      <c r="AB17" s="106"/>
      <c r="AC17" s="92"/>
      <c r="AD17" s="92"/>
      <c r="AE17" s="92"/>
      <c r="AF17" s="93"/>
    </row>
    <row r="18" spans="2:32" x14ac:dyDescent="0.3">
      <c r="B18" s="179"/>
      <c r="D18" s="118"/>
      <c r="E18" s="35"/>
      <c r="F18" s="35"/>
      <c r="G18" s="35"/>
      <c r="H18" s="117"/>
      <c r="J18" s="106"/>
      <c r="K18" s="92"/>
      <c r="L18" s="92"/>
      <c r="M18" s="92"/>
      <c r="N18" s="93"/>
      <c r="P18" s="106"/>
      <c r="Q18" s="92"/>
      <c r="R18" s="92"/>
      <c r="S18" s="92"/>
      <c r="T18" s="93"/>
      <c r="V18" s="106"/>
      <c r="W18" s="92"/>
      <c r="X18" s="92"/>
      <c r="Y18" s="92"/>
      <c r="Z18" s="93"/>
      <c r="AB18" s="106"/>
      <c r="AC18" s="92"/>
      <c r="AD18" s="92"/>
      <c r="AE18" s="92"/>
      <c r="AF18" s="93"/>
    </row>
    <row r="19" spans="2:32" x14ac:dyDescent="0.3">
      <c r="B19" s="179"/>
      <c r="D19" s="116" t="s">
        <v>1090</v>
      </c>
      <c r="E19" s="35"/>
      <c r="F19" s="35"/>
      <c r="G19" s="35"/>
      <c r="H19" s="117"/>
      <c r="J19" s="107" t="s">
        <v>1090</v>
      </c>
      <c r="K19" s="92"/>
      <c r="L19" s="92"/>
      <c r="M19" s="92"/>
      <c r="N19" s="93"/>
      <c r="P19" s="107" t="s">
        <v>1090</v>
      </c>
      <c r="Q19" s="92"/>
      <c r="R19" s="92"/>
      <c r="S19" s="92"/>
      <c r="T19" s="93"/>
      <c r="V19" s="107" t="s">
        <v>1090</v>
      </c>
      <c r="W19" s="92"/>
      <c r="X19" s="92"/>
      <c r="Y19" s="92"/>
      <c r="Z19" s="93"/>
      <c r="AB19" s="107" t="s">
        <v>1090</v>
      </c>
      <c r="AC19" s="92"/>
      <c r="AD19" s="92"/>
      <c r="AE19" s="92"/>
      <c r="AF19" s="93"/>
    </row>
    <row r="20" spans="2:32" ht="55.95" customHeight="1" x14ac:dyDescent="0.3">
      <c r="B20" s="179"/>
      <c r="D20" s="170" t="s">
        <v>1101</v>
      </c>
      <c r="E20" s="171"/>
      <c r="F20" s="171"/>
      <c r="G20" s="171"/>
      <c r="H20" s="172"/>
      <c r="J20" s="106"/>
      <c r="K20" s="92"/>
      <c r="L20" s="92"/>
      <c r="M20" s="92"/>
      <c r="N20" s="93"/>
      <c r="P20" s="106"/>
      <c r="Q20" s="92"/>
      <c r="R20" s="92"/>
      <c r="S20" s="92"/>
      <c r="T20" s="93"/>
      <c r="V20" s="106"/>
      <c r="W20" s="92"/>
      <c r="X20" s="92"/>
      <c r="Y20" s="92"/>
      <c r="Z20" s="93"/>
      <c r="AB20" s="106"/>
      <c r="AC20" s="92"/>
      <c r="AD20" s="92"/>
      <c r="AE20" s="92"/>
      <c r="AF20" s="93"/>
    </row>
    <row r="21" spans="2:32" ht="77.400000000000006" customHeight="1" x14ac:dyDescent="0.3">
      <c r="B21" s="179"/>
      <c r="D21" s="170"/>
      <c r="E21" s="171"/>
      <c r="F21" s="171"/>
      <c r="G21" s="171"/>
      <c r="H21" s="172"/>
      <c r="J21" s="106"/>
      <c r="K21" s="92"/>
      <c r="L21" s="92"/>
      <c r="M21" s="92"/>
      <c r="N21" s="93"/>
      <c r="P21" s="106"/>
      <c r="Q21" s="92"/>
      <c r="R21" s="92"/>
      <c r="S21" s="92"/>
      <c r="T21" s="93"/>
      <c r="V21" s="106"/>
      <c r="W21" s="92"/>
      <c r="X21" s="92"/>
      <c r="Y21" s="92"/>
      <c r="Z21" s="93"/>
      <c r="AB21" s="106"/>
      <c r="AC21" s="92"/>
      <c r="AD21" s="92"/>
      <c r="AE21" s="92"/>
      <c r="AF21" s="93"/>
    </row>
    <row r="22" spans="2:32" x14ac:dyDescent="0.3">
      <c r="B22" s="179"/>
      <c r="D22" s="118"/>
      <c r="E22" s="35"/>
      <c r="F22" s="35"/>
      <c r="G22" s="35"/>
      <c r="H22" s="117"/>
      <c r="J22" s="106"/>
      <c r="K22" s="92"/>
      <c r="L22" s="92"/>
      <c r="M22" s="92"/>
      <c r="N22" s="93"/>
      <c r="P22" s="106"/>
      <c r="Q22" s="92"/>
      <c r="R22" s="92"/>
      <c r="S22" s="92"/>
      <c r="T22" s="93"/>
      <c r="V22" s="106"/>
      <c r="W22" s="92"/>
      <c r="X22" s="92"/>
      <c r="Y22" s="92"/>
      <c r="Z22" s="93"/>
      <c r="AB22" s="106"/>
      <c r="AC22" s="92"/>
      <c r="AD22" s="92"/>
      <c r="AE22" s="92"/>
      <c r="AF22" s="93"/>
    </row>
    <row r="23" spans="2:32" x14ac:dyDescent="0.3">
      <c r="B23" s="179"/>
      <c r="D23" s="116" t="s">
        <v>1091</v>
      </c>
      <c r="E23" s="35"/>
      <c r="F23" s="35"/>
      <c r="G23" s="35"/>
      <c r="H23" s="117"/>
      <c r="J23" s="107" t="s">
        <v>1091</v>
      </c>
      <c r="K23" s="92"/>
      <c r="L23" s="92"/>
      <c r="M23" s="92"/>
      <c r="N23" s="93"/>
      <c r="P23" s="107" t="s">
        <v>1091</v>
      </c>
      <c r="Q23" s="92"/>
      <c r="R23" s="92"/>
      <c r="S23" s="92"/>
      <c r="T23" s="93"/>
      <c r="V23" s="107" t="s">
        <v>1091</v>
      </c>
      <c r="W23" s="92"/>
      <c r="X23" s="92"/>
      <c r="Y23" s="92"/>
      <c r="Z23" s="93"/>
      <c r="AB23" s="107" t="s">
        <v>1091</v>
      </c>
      <c r="AC23" s="92"/>
      <c r="AD23" s="92"/>
      <c r="AE23" s="92"/>
      <c r="AF23" s="93"/>
    </row>
    <row r="24" spans="2:32" ht="17.399999999999999" customHeight="1" x14ac:dyDescent="0.3">
      <c r="B24" s="179"/>
      <c r="D24" s="125" t="s">
        <v>1100</v>
      </c>
      <c r="E24" s="123"/>
      <c r="F24" s="123"/>
      <c r="G24" s="123"/>
      <c r="H24" s="124"/>
      <c r="J24" s="106"/>
      <c r="K24" s="92"/>
      <c r="L24" s="92"/>
      <c r="M24" s="92"/>
      <c r="N24" s="93"/>
      <c r="P24" s="176" t="s">
        <v>1308</v>
      </c>
      <c r="Q24" s="177"/>
      <c r="R24" s="177"/>
      <c r="S24" s="177"/>
      <c r="T24" s="178"/>
      <c r="V24" s="106"/>
      <c r="W24" s="92"/>
      <c r="X24" s="92"/>
      <c r="Y24" s="92"/>
      <c r="Z24" s="93"/>
      <c r="AB24" s="106"/>
      <c r="AC24" s="92"/>
      <c r="AD24" s="92"/>
      <c r="AE24" s="92"/>
      <c r="AF24" s="93"/>
    </row>
    <row r="25" spans="2:32" ht="106.2" customHeight="1" x14ac:dyDescent="0.3">
      <c r="B25" s="179"/>
      <c r="D25" s="119"/>
      <c r="E25" s="35"/>
      <c r="F25" s="35"/>
      <c r="G25" s="35"/>
      <c r="H25" s="117"/>
      <c r="J25" s="106"/>
      <c r="K25" s="92"/>
      <c r="L25" s="92"/>
      <c r="M25" s="92"/>
      <c r="N25" s="93"/>
      <c r="P25" s="176"/>
      <c r="Q25" s="177"/>
      <c r="R25" s="177"/>
      <c r="S25" s="177"/>
      <c r="T25" s="178"/>
      <c r="V25" s="106"/>
      <c r="W25" s="92"/>
      <c r="X25" s="92"/>
      <c r="Y25" s="92"/>
      <c r="Z25" s="93"/>
      <c r="AB25" s="106"/>
      <c r="AC25" s="92"/>
      <c r="AD25" s="92"/>
      <c r="AE25" s="92"/>
      <c r="AF25" s="93"/>
    </row>
    <row r="26" spans="2:32" x14ac:dyDescent="0.3">
      <c r="B26" s="179"/>
      <c r="D26" s="116" t="s">
        <v>1092</v>
      </c>
      <c r="E26" s="35"/>
      <c r="F26" s="35"/>
      <c r="G26" s="35"/>
      <c r="H26" s="117"/>
      <c r="J26" s="107" t="s">
        <v>1092</v>
      </c>
      <c r="K26" s="92"/>
      <c r="L26" s="92"/>
      <c r="M26" s="92"/>
      <c r="N26" s="93"/>
      <c r="P26" s="107" t="s">
        <v>1092</v>
      </c>
      <c r="Q26" s="92"/>
      <c r="R26" s="92"/>
      <c r="S26" s="92"/>
      <c r="T26" s="93"/>
      <c r="V26" s="107" t="s">
        <v>1092</v>
      </c>
      <c r="W26" s="92"/>
      <c r="X26" s="92"/>
      <c r="Y26" s="92"/>
      <c r="Z26" s="93"/>
      <c r="AB26" s="107" t="s">
        <v>1092</v>
      </c>
      <c r="AC26" s="92"/>
      <c r="AD26" s="92"/>
      <c r="AE26" s="92"/>
      <c r="AF26" s="93"/>
    </row>
    <row r="27" spans="2:32" ht="202.8" customHeight="1" x14ac:dyDescent="0.3">
      <c r="B27" s="179"/>
      <c r="D27" s="119" t="s">
        <v>283</v>
      </c>
      <c r="E27" s="35"/>
      <c r="F27" s="35"/>
      <c r="G27" s="35"/>
      <c r="H27" s="117"/>
      <c r="J27" s="176" t="s">
        <v>1184</v>
      </c>
      <c r="K27" s="177"/>
      <c r="L27" s="177"/>
      <c r="M27" s="177"/>
      <c r="N27" s="178"/>
      <c r="P27" s="176" t="s">
        <v>1309</v>
      </c>
      <c r="Q27" s="177"/>
      <c r="R27" s="177"/>
      <c r="S27" s="177"/>
      <c r="T27" s="178"/>
      <c r="V27" s="91"/>
      <c r="W27" s="92"/>
      <c r="X27" s="92"/>
      <c r="Y27" s="92"/>
      <c r="Z27" s="93"/>
      <c r="AB27" s="91"/>
      <c r="AC27" s="92"/>
      <c r="AD27" s="92"/>
      <c r="AE27" s="92"/>
      <c r="AF27" s="93"/>
    </row>
    <row r="28" spans="2:32" x14ac:dyDescent="0.3">
      <c r="B28" s="179"/>
      <c r="D28" s="119"/>
      <c r="E28" s="35"/>
      <c r="F28" s="35"/>
      <c r="G28" s="35"/>
      <c r="H28" s="117"/>
      <c r="J28" s="91"/>
      <c r="K28" s="92"/>
      <c r="L28" s="92"/>
      <c r="M28" s="92"/>
      <c r="N28" s="93"/>
      <c r="P28" s="91"/>
      <c r="Q28" s="92"/>
      <c r="R28" s="92"/>
      <c r="S28" s="92"/>
      <c r="T28" s="93"/>
      <c r="V28" s="91"/>
      <c r="W28" s="92"/>
      <c r="X28" s="92"/>
      <c r="Y28" s="92"/>
      <c r="Z28" s="93"/>
      <c r="AB28" s="91"/>
      <c r="AC28" s="92"/>
      <c r="AD28" s="92"/>
      <c r="AE28" s="92"/>
      <c r="AF28" s="93"/>
    </row>
    <row r="29" spans="2:32" x14ac:dyDescent="0.3">
      <c r="B29" s="179"/>
      <c r="D29" s="119"/>
      <c r="E29" s="35"/>
      <c r="F29" s="35"/>
      <c r="G29" s="35"/>
      <c r="H29" s="117"/>
      <c r="J29" s="91"/>
      <c r="K29" s="92"/>
      <c r="L29" s="92"/>
      <c r="M29" s="92"/>
      <c r="N29" s="93"/>
      <c r="P29" s="91"/>
      <c r="Q29" s="92"/>
      <c r="R29" s="92"/>
      <c r="S29" s="92"/>
      <c r="T29" s="93"/>
      <c r="V29" s="91"/>
      <c r="W29" s="92"/>
      <c r="X29" s="92"/>
      <c r="Y29" s="92"/>
      <c r="Z29" s="93"/>
      <c r="AB29" s="91"/>
      <c r="AC29" s="92"/>
      <c r="AD29" s="92"/>
      <c r="AE29" s="92"/>
      <c r="AF29" s="93"/>
    </row>
    <row r="30" spans="2:32" x14ac:dyDescent="0.3">
      <c r="B30" s="179"/>
      <c r="D30" s="120"/>
      <c r="E30" s="121"/>
      <c r="F30" s="121"/>
      <c r="G30" s="121"/>
      <c r="H30" s="122"/>
      <c r="J30" s="94"/>
      <c r="K30" s="95"/>
      <c r="L30" s="95"/>
      <c r="M30" s="95"/>
      <c r="N30" s="96"/>
      <c r="P30" s="94"/>
      <c r="Q30" s="95"/>
      <c r="R30" s="95"/>
      <c r="S30" s="95"/>
      <c r="T30" s="96"/>
      <c r="V30" s="94"/>
      <c r="W30" s="95"/>
      <c r="X30" s="95"/>
      <c r="Y30" s="95"/>
      <c r="Z30" s="96"/>
      <c r="AB30" s="94"/>
      <c r="AC30" s="95"/>
      <c r="AD30" s="95"/>
      <c r="AE30" s="95"/>
      <c r="AF30" s="96"/>
    </row>
    <row r="34" spans="2:32" x14ac:dyDescent="0.3">
      <c r="D34" s="98" t="s">
        <v>1093</v>
      </c>
      <c r="E34" s="97"/>
      <c r="G34" s="110" t="s">
        <v>1086</v>
      </c>
      <c r="H34" s="110" t="s">
        <v>1087</v>
      </c>
      <c r="J34" s="98" t="s">
        <v>1085</v>
      </c>
      <c r="K34" s="97"/>
      <c r="M34" s="110" t="s">
        <v>1086</v>
      </c>
      <c r="N34" s="110" t="s">
        <v>1087</v>
      </c>
      <c r="O34" s="104"/>
      <c r="P34" s="98" t="s">
        <v>1128</v>
      </c>
      <c r="Q34" s="97"/>
      <c r="S34" s="110" t="s">
        <v>1086</v>
      </c>
      <c r="T34" s="110" t="s">
        <v>1087</v>
      </c>
      <c r="V34" s="98" t="s">
        <v>1185</v>
      </c>
      <c r="W34" s="97"/>
      <c r="Y34" s="110" t="s">
        <v>1086</v>
      </c>
      <c r="Z34" s="110" t="s">
        <v>1087</v>
      </c>
      <c r="AB34" s="98" t="s">
        <v>1310</v>
      </c>
      <c r="AC34" s="97"/>
      <c r="AE34" s="110" t="s">
        <v>1086</v>
      </c>
      <c r="AF34" s="110" t="s">
        <v>1087</v>
      </c>
    </row>
    <row r="35" spans="2:32" x14ac:dyDescent="0.3">
      <c r="D35" s="102"/>
      <c r="E35" s="97"/>
      <c r="G35" s="100">
        <v>45721</v>
      </c>
      <c r="H35" s="100">
        <v>45744</v>
      </c>
      <c r="J35" s="102"/>
      <c r="K35" s="97"/>
      <c r="M35" s="100">
        <v>45747</v>
      </c>
      <c r="N35" s="100">
        <v>45832</v>
      </c>
      <c r="P35" s="102"/>
      <c r="Q35" s="97"/>
      <c r="S35" s="100">
        <v>45832</v>
      </c>
      <c r="T35" s="100" t="s">
        <v>283</v>
      </c>
      <c r="V35" s="102"/>
      <c r="W35" s="97"/>
      <c r="Y35" s="100" t="s">
        <v>283</v>
      </c>
      <c r="Z35" s="100" t="s">
        <v>283</v>
      </c>
      <c r="AB35" s="102"/>
      <c r="AC35" s="97"/>
      <c r="AE35" s="100" t="s">
        <v>283</v>
      </c>
      <c r="AF35" s="100" t="s">
        <v>283</v>
      </c>
    </row>
    <row r="36" spans="2:32" ht="14.4" customHeight="1" x14ac:dyDescent="0.3">
      <c r="B36" s="99" t="s">
        <v>1088</v>
      </c>
      <c r="D36" s="88"/>
      <c r="J36" s="88"/>
      <c r="P36" s="88"/>
      <c r="V36" s="88"/>
      <c r="AB36" s="88"/>
    </row>
    <row r="37" spans="2:32" x14ac:dyDescent="0.3">
      <c r="B37" s="180" t="s">
        <v>1094</v>
      </c>
      <c r="D37" s="105" t="s">
        <v>5</v>
      </c>
      <c r="E37" s="89"/>
      <c r="F37" s="89"/>
      <c r="G37" s="89"/>
      <c r="H37" s="90"/>
      <c r="J37" s="113" t="s">
        <v>5</v>
      </c>
      <c r="K37" s="114"/>
      <c r="L37" s="114"/>
      <c r="M37" s="114"/>
      <c r="N37" s="115"/>
      <c r="P37" s="105" t="s">
        <v>5</v>
      </c>
      <c r="Q37" s="89"/>
      <c r="R37" s="89"/>
      <c r="S37" s="89"/>
      <c r="T37" s="90"/>
      <c r="V37" s="105" t="s">
        <v>5</v>
      </c>
      <c r="W37" s="89"/>
      <c r="X37" s="89"/>
      <c r="Y37" s="89"/>
      <c r="Z37" s="90"/>
      <c r="AB37" s="105" t="s">
        <v>5</v>
      </c>
      <c r="AC37" s="89"/>
      <c r="AD37" s="89"/>
      <c r="AE37" s="89"/>
      <c r="AF37" s="90"/>
    </row>
    <row r="38" spans="2:32" x14ac:dyDescent="0.3">
      <c r="B38" s="181"/>
      <c r="D38" s="107"/>
      <c r="E38" s="92"/>
      <c r="F38" s="92"/>
      <c r="G38" s="92"/>
      <c r="H38" s="93"/>
      <c r="J38" s="167" t="s">
        <v>1102</v>
      </c>
      <c r="K38" s="168"/>
      <c r="L38" s="168"/>
      <c r="M38" s="168"/>
      <c r="N38" s="169"/>
      <c r="P38" s="173" t="s">
        <v>1181</v>
      </c>
      <c r="Q38" s="174"/>
      <c r="R38" s="174"/>
      <c r="S38" s="174"/>
      <c r="T38" s="175"/>
      <c r="V38" s="173"/>
      <c r="W38" s="174"/>
      <c r="X38" s="174"/>
      <c r="Y38" s="174"/>
      <c r="Z38" s="175"/>
      <c r="AB38" s="173"/>
      <c r="AC38" s="174"/>
      <c r="AD38" s="174"/>
      <c r="AE38" s="174"/>
      <c r="AF38" s="175"/>
    </row>
    <row r="39" spans="2:32" x14ac:dyDescent="0.3">
      <c r="B39" s="181"/>
      <c r="D39" s="106"/>
      <c r="E39" s="92"/>
      <c r="F39" s="92"/>
      <c r="G39" s="92"/>
      <c r="H39" s="93"/>
      <c r="J39" s="167"/>
      <c r="K39" s="168"/>
      <c r="L39" s="168"/>
      <c r="M39" s="168"/>
      <c r="N39" s="169"/>
      <c r="P39" s="173"/>
      <c r="Q39" s="174"/>
      <c r="R39" s="174"/>
      <c r="S39" s="174"/>
      <c r="T39" s="175"/>
      <c r="V39" s="173"/>
      <c r="W39" s="174"/>
      <c r="X39" s="174"/>
      <c r="Y39" s="174"/>
      <c r="Z39" s="175"/>
      <c r="AB39" s="173"/>
      <c r="AC39" s="174"/>
      <c r="AD39" s="174"/>
      <c r="AE39" s="174"/>
      <c r="AF39" s="175"/>
    </row>
    <row r="40" spans="2:32" x14ac:dyDescent="0.3">
      <c r="B40" s="181"/>
      <c r="D40" s="106"/>
      <c r="E40" s="92"/>
      <c r="F40" s="92"/>
      <c r="G40" s="92"/>
      <c r="H40" s="93"/>
      <c r="J40" s="167"/>
      <c r="K40" s="168"/>
      <c r="L40" s="168"/>
      <c r="M40" s="168"/>
      <c r="N40" s="169"/>
      <c r="P40" s="173"/>
      <c r="Q40" s="174"/>
      <c r="R40" s="174"/>
      <c r="S40" s="174"/>
      <c r="T40" s="175"/>
      <c r="V40" s="173"/>
      <c r="W40" s="174"/>
      <c r="X40" s="174"/>
      <c r="Y40" s="174"/>
      <c r="Z40" s="175"/>
      <c r="AB40" s="173"/>
      <c r="AC40" s="174"/>
      <c r="AD40" s="174"/>
      <c r="AE40" s="174"/>
      <c r="AF40" s="175"/>
    </row>
    <row r="41" spans="2:32" x14ac:dyDescent="0.3">
      <c r="B41" s="181"/>
      <c r="D41" s="106"/>
      <c r="E41" s="92"/>
      <c r="F41" s="92"/>
      <c r="G41" s="92"/>
      <c r="H41" s="93"/>
      <c r="J41" s="167"/>
      <c r="K41" s="168"/>
      <c r="L41" s="168"/>
      <c r="M41" s="168"/>
      <c r="N41" s="169"/>
      <c r="P41" s="173"/>
      <c r="Q41" s="174"/>
      <c r="R41" s="174"/>
      <c r="S41" s="174"/>
      <c r="T41" s="175"/>
      <c r="V41" s="173"/>
      <c r="W41" s="174"/>
      <c r="X41" s="174"/>
      <c r="Y41" s="174"/>
      <c r="Z41" s="175"/>
      <c r="AB41" s="173"/>
      <c r="AC41" s="174"/>
      <c r="AD41" s="174"/>
      <c r="AE41" s="174"/>
      <c r="AF41" s="175"/>
    </row>
    <row r="42" spans="2:32" x14ac:dyDescent="0.3">
      <c r="B42" s="181"/>
      <c r="D42" s="107" t="s">
        <v>138</v>
      </c>
      <c r="E42" s="92"/>
      <c r="F42" s="92"/>
      <c r="G42" s="92"/>
      <c r="H42" s="93"/>
      <c r="J42" s="116" t="s">
        <v>138</v>
      </c>
      <c r="K42" s="35"/>
      <c r="L42" s="35"/>
      <c r="M42" s="35"/>
      <c r="N42" s="117"/>
      <c r="P42" s="107" t="s">
        <v>138</v>
      </c>
      <c r="Q42" s="92"/>
      <c r="R42" s="92"/>
      <c r="S42" s="92"/>
      <c r="T42" s="93"/>
      <c r="V42" s="107" t="s">
        <v>138</v>
      </c>
      <c r="W42" s="92"/>
      <c r="X42" s="92"/>
      <c r="Y42" s="92"/>
      <c r="Z42" s="93"/>
      <c r="AB42" s="107" t="s">
        <v>138</v>
      </c>
      <c r="AC42" s="92"/>
      <c r="AD42" s="92"/>
      <c r="AE42" s="92"/>
      <c r="AF42" s="93"/>
    </row>
    <row r="43" spans="2:32" x14ac:dyDescent="0.3">
      <c r="B43" s="181"/>
      <c r="D43" s="106"/>
      <c r="E43" s="92"/>
      <c r="F43" s="92"/>
      <c r="G43" s="92"/>
      <c r="H43" s="93"/>
      <c r="J43" s="170" t="s">
        <v>1099</v>
      </c>
      <c r="K43" s="171"/>
      <c r="L43" s="171"/>
      <c r="M43" s="171"/>
      <c r="N43" s="172"/>
      <c r="P43" s="176" t="s">
        <v>1183</v>
      </c>
      <c r="Q43" s="177"/>
      <c r="R43" s="177"/>
      <c r="S43" s="177"/>
      <c r="T43" s="178"/>
      <c r="V43" s="176"/>
      <c r="W43" s="177"/>
      <c r="X43" s="177"/>
      <c r="Y43" s="177"/>
      <c r="Z43" s="178"/>
      <c r="AB43" s="176"/>
      <c r="AC43" s="177"/>
      <c r="AD43" s="177"/>
      <c r="AE43" s="177"/>
      <c r="AF43" s="178"/>
    </row>
    <row r="44" spans="2:32" x14ac:dyDescent="0.3">
      <c r="B44" s="181"/>
      <c r="D44" s="106"/>
      <c r="E44" s="92"/>
      <c r="F44" s="92"/>
      <c r="G44" s="92"/>
      <c r="H44" s="93"/>
      <c r="J44" s="170"/>
      <c r="K44" s="171"/>
      <c r="L44" s="171"/>
      <c r="M44" s="171"/>
      <c r="N44" s="172"/>
      <c r="P44" s="106"/>
      <c r="Q44" s="92"/>
      <c r="R44" s="92"/>
      <c r="S44" s="92"/>
      <c r="T44" s="93"/>
      <c r="V44" s="106"/>
      <c r="W44" s="92"/>
      <c r="X44" s="92"/>
      <c r="Y44" s="92"/>
      <c r="Z44" s="93"/>
      <c r="AB44" s="106"/>
      <c r="AC44" s="92"/>
      <c r="AD44" s="92"/>
      <c r="AE44" s="92"/>
      <c r="AF44" s="93"/>
    </row>
    <row r="45" spans="2:32" x14ac:dyDescent="0.3">
      <c r="B45" s="181"/>
      <c r="D45" s="106"/>
      <c r="E45" s="92"/>
      <c r="F45" s="92"/>
      <c r="G45" s="92"/>
      <c r="H45" s="93"/>
      <c r="J45" s="118"/>
      <c r="K45" s="35"/>
      <c r="L45" s="35"/>
      <c r="M45" s="35"/>
      <c r="N45" s="117"/>
      <c r="P45" s="106"/>
      <c r="Q45" s="92"/>
      <c r="R45" s="92"/>
      <c r="S45" s="92"/>
      <c r="T45" s="93"/>
      <c r="V45" s="106"/>
      <c r="W45" s="92"/>
      <c r="X45" s="92"/>
      <c r="Y45" s="92"/>
      <c r="Z45" s="93"/>
      <c r="AB45" s="106"/>
      <c r="AC45" s="92"/>
      <c r="AD45" s="92"/>
      <c r="AE45" s="92"/>
      <c r="AF45" s="93"/>
    </row>
    <row r="46" spans="2:32" x14ac:dyDescent="0.3">
      <c r="B46" s="181"/>
      <c r="D46" s="107" t="s">
        <v>1090</v>
      </c>
      <c r="E46" s="92"/>
      <c r="F46" s="92"/>
      <c r="G46" s="92"/>
      <c r="H46" s="93"/>
      <c r="J46" s="116" t="s">
        <v>1090</v>
      </c>
      <c r="K46" s="35"/>
      <c r="L46" s="35"/>
      <c r="M46" s="35"/>
      <c r="N46" s="117"/>
      <c r="P46" s="107" t="s">
        <v>1090</v>
      </c>
      <c r="Q46" s="92"/>
      <c r="R46" s="92"/>
      <c r="S46" s="92"/>
      <c r="T46" s="93"/>
      <c r="V46" s="107" t="s">
        <v>1090</v>
      </c>
      <c r="W46" s="92"/>
      <c r="X46" s="92"/>
      <c r="Y46" s="92"/>
      <c r="Z46" s="93"/>
      <c r="AB46" s="107" t="s">
        <v>1090</v>
      </c>
      <c r="AC46" s="92"/>
      <c r="AD46" s="92"/>
      <c r="AE46" s="92"/>
      <c r="AF46" s="93"/>
    </row>
    <row r="47" spans="2:32" x14ac:dyDescent="0.3">
      <c r="B47" s="181"/>
      <c r="D47" s="106"/>
      <c r="E47" s="92"/>
      <c r="F47" s="92"/>
      <c r="G47" s="92"/>
      <c r="H47" s="93"/>
      <c r="J47" s="170" t="s">
        <v>1101</v>
      </c>
      <c r="K47" s="171"/>
      <c r="L47" s="171"/>
      <c r="M47" s="171"/>
      <c r="N47" s="172"/>
      <c r="P47" s="106"/>
      <c r="Q47" s="92"/>
      <c r="R47" s="92"/>
      <c r="S47" s="92"/>
      <c r="T47" s="93"/>
      <c r="V47" s="106"/>
      <c r="W47" s="92"/>
      <c r="X47" s="92"/>
      <c r="Y47" s="92"/>
      <c r="Z47" s="93"/>
      <c r="AB47" s="106"/>
      <c r="AC47" s="92"/>
      <c r="AD47" s="92"/>
      <c r="AE47" s="92"/>
      <c r="AF47" s="93"/>
    </row>
    <row r="48" spans="2:32" ht="131.4" customHeight="1" x14ac:dyDescent="0.3">
      <c r="B48" s="181"/>
      <c r="D48" s="106"/>
      <c r="E48" s="92"/>
      <c r="F48" s="92"/>
      <c r="G48" s="92"/>
      <c r="H48" s="93"/>
      <c r="J48" s="170"/>
      <c r="K48" s="171"/>
      <c r="L48" s="171"/>
      <c r="M48" s="171"/>
      <c r="N48" s="172"/>
      <c r="P48" s="106"/>
      <c r="Q48" s="92"/>
      <c r="R48" s="92"/>
      <c r="S48" s="92"/>
      <c r="T48" s="93"/>
      <c r="V48" s="106"/>
      <c r="W48" s="92"/>
      <c r="X48" s="92"/>
      <c r="Y48" s="92"/>
      <c r="Z48" s="93"/>
      <c r="AB48" s="106"/>
      <c r="AC48" s="92"/>
      <c r="AD48" s="92"/>
      <c r="AE48" s="92"/>
      <c r="AF48" s="93"/>
    </row>
    <row r="49" spans="2:32" x14ac:dyDescent="0.3">
      <c r="B49" s="181"/>
      <c r="D49" s="106"/>
      <c r="E49" s="92"/>
      <c r="F49" s="92"/>
      <c r="G49" s="92"/>
      <c r="H49" s="93"/>
      <c r="J49" s="118"/>
      <c r="K49" s="35"/>
      <c r="L49" s="35"/>
      <c r="M49" s="35"/>
      <c r="N49" s="117"/>
      <c r="P49" s="106"/>
      <c r="Q49" s="92"/>
      <c r="R49" s="92"/>
      <c r="S49" s="92"/>
      <c r="T49" s="93"/>
      <c r="V49" s="106"/>
      <c r="W49" s="92"/>
      <c r="X49" s="92"/>
      <c r="Y49" s="92"/>
      <c r="Z49" s="93"/>
      <c r="AB49" s="106"/>
      <c r="AC49" s="92"/>
      <c r="AD49" s="92"/>
      <c r="AE49" s="92"/>
      <c r="AF49" s="93"/>
    </row>
    <row r="50" spans="2:32" x14ac:dyDescent="0.3">
      <c r="B50" s="181"/>
      <c r="D50" s="107" t="s">
        <v>1091</v>
      </c>
      <c r="E50" s="92"/>
      <c r="F50" s="92"/>
      <c r="G50" s="92"/>
      <c r="H50" s="93"/>
      <c r="J50" s="116" t="s">
        <v>1091</v>
      </c>
      <c r="K50" s="35"/>
      <c r="L50" s="35"/>
      <c r="M50" s="35"/>
      <c r="N50" s="117"/>
      <c r="P50" s="107" t="s">
        <v>1091</v>
      </c>
      <c r="Q50" s="92"/>
      <c r="R50" s="92"/>
      <c r="S50" s="92"/>
      <c r="T50" s="93"/>
      <c r="V50" s="107" t="s">
        <v>1091</v>
      </c>
      <c r="W50" s="92"/>
      <c r="X50" s="92"/>
      <c r="Y50" s="92"/>
      <c r="Z50" s="93"/>
      <c r="AB50" s="107" t="s">
        <v>1091</v>
      </c>
      <c r="AC50" s="92"/>
      <c r="AD50" s="92"/>
      <c r="AE50" s="92"/>
      <c r="AF50" s="93"/>
    </row>
    <row r="51" spans="2:32" ht="23.4" customHeight="1" x14ac:dyDescent="0.3">
      <c r="B51" s="181"/>
      <c r="D51" s="91"/>
      <c r="E51" s="92"/>
      <c r="F51" s="92"/>
      <c r="G51" s="92"/>
      <c r="H51" s="93"/>
      <c r="J51" s="125" t="s">
        <v>1100</v>
      </c>
      <c r="K51" s="123"/>
      <c r="L51" s="123"/>
      <c r="M51" s="123"/>
      <c r="N51" s="124"/>
      <c r="P51" s="106"/>
      <c r="Q51" s="92"/>
      <c r="R51" s="92"/>
      <c r="S51" s="92"/>
      <c r="T51" s="93"/>
      <c r="V51" s="106"/>
      <c r="W51" s="92"/>
      <c r="X51" s="92"/>
      <c r="Y51" s="92"/>
      <c r="Z51" s="93"/>
      <c r="AB51" s="106"/>
      <c r="AC51" s="92"/>
      <c r="AD51" s="92"/>
      <c r="AE51" s="92"/>
      <c r="AF51" s="93"/>
    </row>
    <row r="52" spans="2:32" x14ac:dyDescent="0.3">
      <c r="B52" s="181"/>
      <c r="D52" s="91"/>
      <c r="E52" s="92"/>
      <c r="F52" s="92"/>
      <c r="G52" s="92"/>
      <c r="H52" s="93"/>
      <c r="J52" s="119"/>
      <c r="K52" s="35"/>
      <c r="L52" s="35"/>
      <c r="M52" s="35"/>
      <c r="N52" s="117"/>
      <c r="P52" s="106"/>
      <c r="Q52" s="92"/>
      <c r="R52" s="92"/>
      <c r="S52" s="92"/>
      <c r="T52" s="93"/>
      <c r="V52" s="106"/>
      <c r="W52" s="92"/>
      <c r="X52" s="92"/>
      <c r="Y52" s="92"/>
      <c r="Z52" s="93"/>
      <c r="AB52" s="106"/>
      <c r="AC52" s="92"/>
      <c r="AD52" s="92"/>
      <c r="AE52" s="92"/>
      <c r="AF52" s="93"/>
    </row>
    <row r="53" spans="2:32" x14ac:dyDescent="0.3">
      <c r="B53" s="181"/>
      <c r="D53" s="91"/>
      <c r="E53" s="92"/>
      <c r="F53" s="92"/>
      <c r="G53" s="92"/>
      <c r="H53" s="93"/>
      <c r="J53" s="116" t="s">
        <v>1092</v>
      </c>
      <c r="K53" s="35"/>
      <c r="L53" s="35"/>
      <c r="M53" s="35"/>
      <c r="N53" s="117"/>
      <c r="P53" s="107" t="s">
        <v>1092</v>
      </c>
      <c r="Q53" s="92"/>
      <c r="R53" s="92"/>
      <c r="S53" s="92"/>
      <c r="T53" s="93"/>
      <c r="V53" s="107" t="s">
        <v>1092</v>
      </c>
      <c r="W53" s="92"/>
      <c r="X53" s="92"/>
      <c r="Y53" s="92"/>
      <c r="Z53" s="93"/>
      <c r="AB53" s="107" t="s">
        <v>1092</v>
      </c>
      <c r="AC53" s="92"/>
      <c r="AD53" s="92"/>
      <c r="AE53" s="92"/>
      <c r="AF53" s="93"/>
    </row>
    <row r="54" spans="2:32" ht="246" customHeight="1" x14ac:dyDescent="0.3">
      <c r="B54" s="181"/>
      <c r="D54" s="107" t="s">
        <v>1092</v>
      </c>
      <c r="E54" s="92"/>
      <c r="F54" s="92"/>
      <c r="G54" s="92"/>
      <c r="H54" s="93"/>
      <c r="J54" s="119" t="s">
        <v>283</v>
      </c>
      <c r="K54" s="35"/>
      <c r="L54" s="35"/>
      <c r="M54" s="35"/>
      <c r="N54" s="117"/>
      <c r="P54" s="176" t="s">
        <v>1184</v>
      </c>
      <c r="Q54" s="177"/>
      <c r="R54" s="177"/>
      <c r="S54" s="177"/>
      <c r="T54" s="178"/>
      <c r="V54" s="176"/>
      <c r="W54" s="177"/>
      <c r="X54" s="177"/>
      <c r="Y54" s="177"/>
      <c r="Z54" s="178"/>
      <c r="AB54" s="176"/>
      <c r="AC54" s="177"/>
      <c r="AD54" s="177"/>
      <c r="AE54" s="177"/>
      <c r="AF54" s="178"/>
    </row>
    <row r="55" spans="2:32" x14ac:dyDescent="0.3">
      <c r="B55" s="181"/>
      <c r="D55" s="91"/>
      <c r="E55" s="92"/>
      <c r="F55" s="92"/>
      <c r="G55" s="92"/>
      <c r="H55" s="93"/>
      <c r="J55" s="119"/>
      <c r="K55" s="35"/>
      <c r="L55" s="35"/>
      <c r="M55" s="35"/>
      <c r="N55" s="117"/>
      <c r="P55" s="91"/>
      <c r="Q55" s="92"/>
      <c r="R55" s="92"/>
      <c r="S55" s="92"/>
      <c r="T55" s="93"/>
      <c r="V55" s="91"/>
      <c r="W55" s="92"/>
      <c r="X55" s="92"/>
      <c r="Y55" s="92"/>
      <c r="Z55" s="93"/>
      <c r="AB55" s="91"/>
      <c r="AC55" s="92"/>
      <c r="AD55" s="92"/>
      <c r="AE55" s="92"/>
      <c r="AF55" s="93"/>
    </row>
    <row r="56" spans="2:32" x14ac:dyDescent="0.3">
      <c r="B56" s="181"/>
      <c r="D56" s="91"/>
      <c r="E56" s="92"/>
      <c r="F56" s="92"/>
      <c r="G56" s="92"/>
      <c r="H56" s="93"/>
      <c r="J56" s="119"/>
      <c r="K56" s="35"/>
      <c r="L56" s="35"/>
      <c r="M56" s="35"/>
      <c r="N56" s="117"/>
      <c r="P56" s="91"/>
      <c r="Q56" s="92"/>
      <c r="R56" s="92"/>
      <c r="S56" s="92"/>
      <c r="T56" s="93"/>
      <c r="V56" s="91"/>
      <c r="W56" s="92"/>
      <c r="X56" s="92"/>
      <c r="Y56" s="92"/>
      <c r="Z56" s="93"/>
      <c r="AB56" s="91"/>
      <c r="AC56" s="92"/>
      <c r="AD56" s="92"/>
      <c r="AE56" s="92"/>
      <c r="AF56" s="93"/>
    </row>
    <row r="57" spans="2:32" x14ac:dyDescent="0.3">
      <c r="B57" s="181"/>
      <c r="D57" s="91"/>
      <c r="E57" s="92"/>
      <c r="F57" s="92"/>
      <c r="G57" s="92"/>
      <c r="H57" s="93"/>
      <c r="J57" s="119"/>
      <c r="K57" s="35"/>
      <c r="L57" s="35"/>
      <c r="M57" s="35"/>
      <c r="N57" s="117"/>
      <c r="P57" s="91"/>
      <c r="Q57" s="92"/>
      <c r="R57" s="92"/>
      <c r="S57" s="92"/>
      <c r="T57" s="93"/>
      <c r="V57" s="91"/>
      <c r="W57" s="92"/>
      <c r="X57" s="92"/>
      <c r="Y57" s="92"/>
      <c r="Z57" s="93"/>
      <c r="AB57" s="91"/>
      <c r="AC57" s="92"/>
      <c r="AD57" s="92"/>
      <c r="AE57" s="92"/>
      <c r="AF57" s="93"/>
    </row>
    <row r="58" spans="2:32" x14ac:dyDescent="0.3">
      <c r="B58" s="182"/>
      <c r="D58" s="94"/>
      <c r="E58" s="95"/>
      <c r="F58" s="95"/>
      <c r="G58" s="95"/>
      <c r="H58" s="96"/>
      <c r="J58" s="94"/>
      <c r="K58" s="95"/>
      <c r="L58" s="95"/>
      <c r="M58" s="95"/>
      <c r="N58" s="96"/>
      <c r="P58" s="94"/>
      <c r="Q58" s="95"/>
      <c r="R58" s="95"/>
      <c r="S58" s="95"/>
      <c r="T58" s="96"/>
      <c r="V58" s="94"/>
      <c r="W58" s="95"/>
      <c r="X58" s="95"/>
      <c r="Y58" s="95"/>
      <c r="Z58" s="96"/>
      <c r="AB58" s="94"/>
      <c r="AC58" s="95"/>
      <c r="AD58" s="95"/>
      <c r="AE58" s="95"/>
      <c r="AF58" s="96"/>
    </row>
    <row r="59" spans="2:32" x14ac:dyDescent="0.3">
      <c r="Y59" s="1"/>
      <c r="AE59" s="1"/>
    </row>
    <row r="60" spans="2:32" x14ac:dyDescent="0.3">
      <c r="Y60" s="1"/>
    </row>
    <row r="61" spans="2:32" x14ac:dyDescent="0.3">
      <c r="Y61" s="1"/>
    </row>
    <row r="62" spans="2:32" x14ac:dyDescent="0.3">
      <c r="Y62" s="1"/>
    </row>
    <row r="63" spans="2:32" x14ac:dyDescent="0.3">
      <c r="Y63" s="1"/>
    </row>
    <row r="64" spans="2:32" x14ac:dyDescent="0.3">
      <c r="Y64" s="1"/>
    </row>
    <row r="65" spans="1:16" x14ac:dyDescent="0.3">
      <c r="A65" s="87"/>
      <c r="P65" s="1"/>
    </row>
    <row r="66" spans="1:16" x14ac:dyDescent="0.3">
      <c r="A66" s="87"/>
      <c r="P66" s="1"/>
    </row>
    <row r="67" spans="1:16" x14ac:dyDescent="0.3">
      <c r="A67" s="87"/>
      <c r="P67" s="1"/>
    </row>
    <row r="68" spans="1:16" x14ac:dyDescent="0.3">
      <c r="A68" s="87"/>
      <c r="P68" s="1"/>
    </row>
    <row r="69" spans="1:16" x14ac:dyDescent="0.3">
      <c r="A69" s="87"/>
      <c r="P69" s="1"/>
    </row>
    <row r="70" spans="1:16" x14ac:dyDescent="0.3">
      <c r="A70" s="87"/>
      <c r="P70" s="1"/>
    </row>
    <row r="71" spans="1:16" x14ac:dyDescent="0.3">
      <c r="A71" s="87"/>
    </row>
    <row r="72" spans="1:16" x14ac:dyDescent="0.3">
      <c r="A72" s="87"/>
    </row>
    <row r="73" spans="1:16" x14ac:dyDescent="0.3">
      <c r="A73" s="87"/>
    </row>
    <row r="74" spans="1:16" x14ac:dyDescent="0.3">
      <c r="A74" s="87"/>
    </row>
    <row r="75" spans="1:16" x14ac:dyDescent="0.3">
      <c r="A75" s="87"/>
    </row>
    <row r="76" spans="1:16" x14ac:dyDescent="0.3">
      <c r="A76" s="87"/>
    </row>
    <row r="77" spans="1:16" x14ac:dyDescent="0.3">
      <c r="A77" s="87"/>
    </row>
    <row r="78" spans="1:16" x14ac:dyDescent="0.3">
      <c r="A78" s="87"/>
    </row>
    <row r="79" spans="1:16" x14ac:dyDescent="0.3">
      <c r="A79" s="87"/>
    </row>
    <row r="80" spans="1:16" x14ac:dyDescent="0.3">
      <c r="A80" s="87"/>
    </row>
    <row r="81" spans="1:1" x14ac:dyDescent="0.3">
      <c r="A81" s="87"/>
    </row>
    <row r="82" spans="1:1" x14ac:dyDescent="0.3">
      <c r="A82" s="87"/>
    </row>
    <row r="83" spans="1:1" x14ac:dyDescent="0.3">
      <c r="A83" s="87"/>
    </row>
    <row r="84" spans="1:1" x14ac:dyDescent="0.3">
      <c r="A84" s="87"/>
    </row>
    <row r="85" spans="1:1" x14ac:dyDescent="0.3">
      <c r="A85" s="87"/>
    </row>
    <row r="86" spans="1:1" x14ac:dyDescent="0.3">
      <c r="A86" s="87"/>
    </row>
    <row r="87" spans="1:1" x14ac:dyDescent="0.3">
      <c r="A87" s="87"/>
    </row>
  </sheetData>
  <mergeCells count="24">
    <mergeCell ref="AB38:AF41"/>
    <mergeCell ref="AB43:AF43"/>
    <mergeCell ref="AB54:AF54"/>
    <mergeCell ref="P11:T13"/>
    <mergeCell ref="P16:T16"/>
    <mergeCell ref="P24:T25"/>
    <mergeCell ref="P27:T27"/>
    <mergeCell ref="V38:Z41"/>
    <mergeCell ref="V43:Z43"/>
    <mergeCell ref="V54:Z54"/>
    <mergeCell ref="P38:T41"/>
    <mergeCell ref="P43:T43"/>
    <mergeCell ref="P54:T54"/>
    <mergeCell ref="B10:B30"/>
    <mergeCell ref="B37:B58"/>
    <mergeCell ref="D11:H14"/>
    <mergeCell ref="D16:H17"/>
    <mergeCell ref="D20:H21"/>
    <mergeCell ref="J38:N41"/>
    <mergeCell ref="J43:N44"/>
    <mergeCell ref="J47:N48"/>
    <mergeCell ref="J11:N14"/>
    <mergeCell ref="J16:N16"/>
    <mergeCell ref="J27:N27"/>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05452-0B58-48DE-975B-13BCDADD59FD}">
  <dimension ref="A1:AQ75"/>
  <sheetViews>
    <sheetView showGridLines="0" zoomScale="62" zoomScaleNormal="85" workbookViewId="0">
      <selection activeCell="C7" sqref="C7"/>
    </sheetView>
  </sheetViews>
  <sheetFormatPr defaultColWidth="8.88671875" defaultRowHeight="19.8" x14ac:dyDescent="0.3"/>
  <cols>
    <col min="1" max="1" width="3.6640625" style="136" customWidth="1"/>
    <col min="2" max="2" width="15.5546875" style="136" customWidth="1"/>
    <col min="3" max="3" width="50.5546875" style="135" bestFit="1" customWidth="1"/>
    <col min="4" max="4" width="67.33203125" style="135" customWidth="1"/>
    <col min="5" max="5" width="24" style="135" customWidth="1"/>
    <col min="6" max="6" width="34.21875" style="135" bestFit="1" customWidth="1"/>
    <col min="7" max="7" width="28.21875" style="135" bestFit="1" customWidth="1"/>
    <col min="8" max="8" width="118.5546875" style="135" customWidth="1"/>
    <col min="9" max="9" width="43.88671875" style="135" customWidth="1"/>
    <col min="10" max="10" width="75.44140625" style="135" customWidth="1"/>
    <col min="11" max="11" width="121.6640625" style="135" customWidth="1"/>
    <col min="12" max="12" width="26.88671875" style="135" customWidth="1"/>
    <col min="13" max="13" width="19.109375" style="135" customWidth="1"/>
    <col min="14" max="14" width="25.33203125" style="135" customWidth="1"/>
    <col min="15" max="15" width="22.6640625" style="135" customWidth="1"/>
    <col min="16" max="16" width="32.33203125" style="135" customWidth="1"/>
    <col min="17" max="16384" width="8.88671875" style="135"/>
  </cols>
  <sheetData>
    <row r="1" spans="1:43" ht="48" customHeight="1" thickBot="1" x14ac:dyDescent="0.35">
      <c r="A1" s="134"/>
      <c r="B1" s="134"/>
      <c r="C1" s="134"/>
      <c r="D1" s="134"/>
      <c r="E1" s="134"/>
      <c r="F1" s="134"/>
      <c r="G1" s="134"/>
      <c r="H1" s="134"/>
      <c r="I1" s="134"/>
      <c r="J1" s="134"/>
      <c r="K1" s="134"/>
      <c r="L1" s="134"/>
      <c r="M1" s="134"/>
      <c r="N1" s="134"/>
      <c r="O1" s="134"/>
      <c r="P1" s="134"/>
      <c r="Q1" s="134"/>
      <c r="R1" s="134"/>
      <c r="S1" s="134"/>
      <c r="T1" s="134"/>
      <c r="U1" s="134"/>
      <c r="V1" s="134"/>
      <c r="W1" s="134"/>
      <c r="X1" s="134"/>
      <c r="Y1" s="134"/>
      <c r="Z1" s="134"/>
      <c r="AA1" s="134"/>
      <c r="AB1" s="134"/>
      <c r="AC1" s="134"/>
      <c r="AD1" s="134"/>
      <c r="AE1" s="134"/>
      <c r="AF1" s="134"/>
      <c r="AG1" s="134"/>
      <c r="AH1" s="134"/>
      <c r="AI1" s="134"/>
      <c r="AJ1" s="134"/>
      <c r="AK1" s="134"/>
      <c r="AL1" s="134"/>
      <c r="AM1" s="134"/>
      <c r="AN1" s="134"/>
      <c r="AO1" s="134"/>
      <c r="AP1" s="134"/>
      <c r="AQ1" s="134"/>
    </row>
    <row r="2" spans="1:43" ht="20.399999999999999" thickTop="1" x14ac:dyDescent="0.3">
      <c r="A2" s="135"/>
      <c r="B2" s="135"/>
    </row>
    <row r="3" spans="1:43" s="136" customFormat="1" x14ac:dyDescent="0.3">
      <c r="C3" s="137" t="s">
        <v>1123</v>
      </c>
      <c r="D3" s="138">
        <f ca="1">TODAY()</f>
        <v>45953</v>
      </c>
      <c r="K3" s="135"/>
    </row>
    <row r="4" spans="1:43" s="136" customFormat="1" x14ac:dyDescent="0.3">
      <c r="K4" s="135"/>
    </row>
    <row r="5" spans="1:43" s="136" customFormat="1" x14ac:dyDescent="0.3">
      <c r="C5" s="184" t="s">
        <v>1125</v>
      </c>
      <c r="D5" s="184"/>
      <c r="E5" s="184"/>
      <c r="F5" s="184"/>
      <c r="K5" s="135"/>
    </row>
    <row r="6" spans="1:43" s="136" customFormat="1" x14ac:dyDescent="0.3">
      <c r="C6" s="139" t="s">
        <v>1243</v>
      </c>
      <c r="D6" s="140" t="s">
        <v>22</v>
      </c>
      <c r="E6" s="140" t="s">
        <v>23</v>
      </c>
      <c r="F6" s="140" t="s">
        <v>1316</v>
      </c>
      <c r="K6" s="135"/>
    </row>
    <row r="7" spans="1:43" s="136" customFormat="1" x14ac:dyDescent="0.3">
      <c r="B7" s="163">
        <v>23</v>
      </c>
      <c r="C7" s="162" t="s">
        <v>26</v>
      </c>
      <c r="D7" s="141">
        <f>COUNTIF($G$18:$G$1048576,C7)</f>
        <v>23</v>
      </c>
      <c r="E7" s="142">
        <f t="shared" ref="E7:E12" si="0">D7/$D$12</f>
        <v>0.65714285714285714</v>
      </c>
      <c r="F7" s="141">
        <f>D7-B7</f>
        <v>0</v>
      </c>
      <c r="K7" s="135"/>
    </row>
    <row r="8" spans="1:43" s="136" customFormat="1" x14ac:dyDescent="0.3">
      <c r="B8" s="163">
        <v>0</v>
      </c>
      <c r="C8" s="162" t="s">
        <v>1186</v>
      </c>
      <c r="D8" s="141">
        <f>COUNTIF($G$18:$G$1048576,C8)</f>
        <v>0</v>
      </c>
      <c r="E8" s="142">
        <f t="shared" si="0"/>
        <v>0</v>
      </c>
      <c r="F8" s="141">
        <f>D8-B8</f>
        <v>0</v>
      </c>
      <c r="K8" s="135"/>
    </row>
    <row r="9" spans="1:43" s="136" customFormat="1" x14ac:dyDescent="0.3">
      <c r="B9" s="163">
        <v>8</v>
      </c>
      <c r="C9" s="162" t="s">
        <v>1236</v>
      </c>
      <c r="D9" s="141">
        <f>COUNTIF($G$18:$G$1048576,C9)</f>
        <v>8</v>
      </c>
      <c r="E9" s="142">
        <f t="shared" si="0"/>
        <v>0.22857142857142856</v>
      </c>
      <c r="F9" s="141">
        <f>D9-B9</f>
        <v>0</v>
      </c>
      <c r="K9" s="135"/>
    </row>
    <row r="10" spans="1:43" s="136" customFormat="1" x14ac:dyDescent="0.3">
      <c r="B10" s="163">
        <v>3</v>
      </c>
      <c r="C10" s="162" t="s">
        <v>1237</v>
      </c>
      <c r="D10" s="141">
        <f>COUNTIF($G$18:$G$1048576,C10)</f>
        <v>3</v>
      </c>
      <c r="E10" s="142">
        <f t="shared" si="0"/>
        <v>8.5714285714285715E-2</v>
      </c>
      <c r="F10" s="141">
        <f>D10-B10</f>
        <v>0</v>
      </c>
      <c r="K10" s="135"/>
    </row>
    <row r="11" spans="1:43" s="136" customFormat="1" x14ac:dyDescent="0.3">
      <c r="B11" s="163">
        <v>1</v>
      </c>
      <c r="C11" s="162" t="s">
        <v>1182</v>
      </c>
      <c r="D11" s="141">
        <f>COUNTIF($G$18:$G$1048576,C11)</f>
        <v>1</v>
      </c>
      <c r="E11" s="142">
        <f t="shared" si="0"/>
        <v>2.8571428571428571E-2</v>
      </c>
      <c r="F11" s="141">
        <f>D11-B11</f>
        <v>0</v>
      </c>
      <c r="K11" s="135"/>
    </row>
    <row r="12" spans="1:43" x14ac:dyDescent="0.3">
      <c r="A12" s="135"/>
      <c r="B12" s="158"/>
      <c r="C12" s="139" t="s">
        <v>1124</v>
      </c>
      <c r="D12" s="143">
        <f>COUNTA(C19:C53)</f>
        <v>35</v>
      </c>
      <c r="E12" s="140">
        <f t="shared" si="0"/>
        <v>1</v>
      </c>
      <c r="F12" s="140"/>
    </row>
    <row r="13" spans="1:43" x14ac:dyDescent="0.3">
      <c r="A13" s="135"/>
      <c r="B13" s="135"/>
      <c r="C13" s="144"/>
      <c r="D13" s="144"/>
      <c r="E13" s="144"/>
      <c r="F13" s="144"/>
    </row>
    <row r="14" spans="1:43" x14ac:dyDescent="0.3">
      <c r="C14" s="137" t="s">
        <v>1126</v>
      </c>
      <c r="D14" s="138">
        <v>45838</v>
      </c>
    </row>
    <row r="15" spans="1:43" x14ac:dyDescent="0.3">
      <c r="C15" s="137" t="s">
        <v>1246</v>
      </c>
      <c r="D15" s="138" t="s">
        <v>1245</v>
      </c>
    </row>
    <row r="16" spans="1:43" x14ac:dyDescent="0.3">
      <c r="D16" s="145"/>
    </row>
    <row r="17" spans="2:9" x14ac:dyDescent="0.3">
      <c r="E17" s="183" t="s">
        <v>1318</v>
      </c>
      <c r="F17" s="183"/>
    </row>
    <row r="18" spans="2:9" ht="39.6" x14ac:dyDescent="0.3">
      <c r="B18" s="157" t="s">
        <v>1239</v>
      </c>
      <c r="C18" s="157" t="s">
        <v>593</v>
      </c>
      <c r="D18" s="137" t="s">
        <v>1095</v>
      </c>
      <c r="E18" s="164" t="s">
        <v>1096</v>
      </c>
      <c r="F18" s="164" t="s">
        <v>1097</v>
      </c>
      <c r="G18" s="137" t="s">
        <v>1130</v>
      </c>
      <c r="H18" s="157" t="s">
        <v>1122</v>
      </c>
      <c r="I18" s="157" t="s">
        <v>1129</v>
      </c>
    </row>
    <row r="19" spans="2:9" x14ac:dyDescent="0.3">
      <c r="B19" s="146">
        <v>1</v>
      </c>
      <c r="C19" s="147" t="s">
        <v>1219</v>
      </c>
      <c r="D19" s="150" t="s">
        <v>1192</v>
      </c>
      <c r="E19" s="149" t="s">
        <v>130</v>
      </c>
      <c r="F19" s="149" t="s">
        <v>1285</v>
      </c>
      <c r="G19" s="154" t="s">
        <v>26</v>
      </c>
      <c r="H19" s="152" t="s">
        <v>283</v>
      </c>
      <c r="I19" s="152" t="s">
        <v>283</v>
      </c>
    </row>
    <row r="20" spans="2:9" x14ac:dyDescent="0.3">
      <c r="B20" s="146">
        <v>2</v>
      </c>
      <c r="C20" s="147" t="s">
        <v>1220</v>
      </c>
      <c r="D20" s="150" t="s">
        <v>1192</v>
      </c>
      <c r="E20" s="149" t="s">
        <v>130</v>
      </c>
      <c r="F20" s="149" t="s">
        <v>1285</v>
      </c>
      <c r="G20" s="154" t="s">
        <v>26</v>
      </c>
      <c r="H20" s="152" t="s">
        <v>283</v>
      </c>
      <c r="I20" s="152" t="s">
        <v>283</v>
      </c>
    </row>
    <row r="21" spans="2:9" x14ac:dyDescent="0.3">
      <c r="B21" s="146">
        <v>3</v>
      </c>
      <c r="C21" s="147" t="s">
        <v>1283</v>
      </c>
      <c r="D21" s="148" t="s">
        <v>1284</v>
      </c>
      <c r="E21" s="149" t="s">
        <v>130</v>
      </c>
      <c r="F21" s="149" t="s">
        <v>1285</v>
      </c>
      <c r="G21" s="154" t="s">
        <v>26</v>
      </c>
      <c r="H21" s="152" t="s">
        <v>283</v>
      </c>
      <c r="I21" s="152"/>
    </row>
    <row r="22" spans="2:9" x14ac:dyDescent="0.3">
      <c r="B22" s="146">
        <v>4</v>
      </c>
      <c r="C22" s="147" t="s">
        <v>439</v>
      </c>
      <c r="D22" s="148" t="s">
        <v>1232</v>
      </c>
      <c r="E22" s="149" t="s">
        <v>130</v>
      </c>
      <c r="F22" s="149" t="s">
        <v>130</v>
      </c>
      <c r="G22" s="154" t="s">
        <v>26</v>
      </c>
      <c r="H22" s="152" t="s">
        <v>283</v>
      </c>
      <c r="I22" s="152" t="s">
        <v>283</v>
      </c>
    </row>
    <row r="23" spans="2:9" x14ac:dyDescent="0.3">
      <c r="B23" s="146">
        <v>4</v>
      </c>
      <c r="C23" s="147" t="s">
        <v>310</v>
      </c>
      <c r="D23" s="148" t="s">
        <v>1284</v>
      </c>
      <c r="E23" s="149" t="s">
        <v>130</v>
      </c>
      <c r="F23" s="149" t="s">
        <v>130</v>
      </c>
      <c r="G23" s="154" t="s">
        <v>26</v>
      </c>
      <c r="H23" s="152" t="s">
        <v>283</v>
      </c>
      <c r="I23" s="152"/>
    </row>
    <row r="24" spans="2:9" x14ac:dyDescent="0.3">
      <c r="B24" s="146">
        <v>5</v>
      </c>
      <c r="C24" s="147" t="s">
        <v>1282</v>
      </c>
      <c r="D24" s="148" t="s">
        <v>1284</v>
      </c>
      <c r="E24" s="149" t="s">
        <v>130</v>
      </c>
      <c r="F24" s="149" t="s">
        <v>130</v>
      </c>
      <c r="G24" s="154" t="s">
        <v>26</v>
      </c>
      <c r="H24" s="152" t="s">
        <v>283</v>
      </c>
      <c r="I24" s="152" t="s">
        <v>283</v>
      </c>
    </row>
    <row r="25" spans="2:9" ht="39.6" x14ac:dyDescent="0.3">
      <c r="B25" s="146">
        <v>6</v>
      </c>
      <c r="C25" s="147" t="s">
        <v>49</v>
      </c>
      <c r="D25" s="148" t="s">
        <v>1098</v>
      </c>
      <c r="E25" s="149" t="s">
        <v>130</v>
      </c>
      <c r="F25" s="149" t="s">
        <v>130</v>
      </c>
      <c r="G25" s="154" t="s">
        <v>26</v>
      </c>
      <c r="H25" s="153" t="s">
        <v>1179</v>
      </c>
      <c r="I25" s="153" t="s">
        <v>283</v>
      </c>
    </row>
    <row r="26" spans="2:9" ht="39.6" x14ac:dyDescent="0.3">
      <c r="B26" s="146">
        <v>7</v>
      </c>
      <c r="C26" s="147" t="s">
        <v>50</v>
      </c>
      <c r="D26" s="148" t="s">
        <v>1098</v>
      </c>
      <c r="E26" s="149" t="s">
        <v>130</v>
      </c>
      <c r="F26" s="149" t="s">
        <v>130</v>
      </c>
      <c r="G26" s="154" t="s">
        <v>26</v>
      </c>
      <c r="H26" s="153" t="s">
        <v>1179</v>
      </c>
      <c r="I26" s="153" t="s">
        <v>283</v>
      </c>
    </row>
    <row r="27" spans="2:9" x14ac:dyDescent="0.3">
      <c r="B27" s="146">
        <v>8</v>
      </c>
      <c r="C27" s="147" t="s">
        <v>47</v>
      </c>
      <c r="D27" s="148" t="s">
        <v>1098</v>
      </c>
      <c r="E27" s="149" t="s">
        <v>130</v>
      </c>
      <c r="F27" s="149" t="s">
        <v>130</v>
      </c>
      <c r="G27" s="154" t="s">
        <v>26</v>
      </c>
      <c r="H27" s="153" t="s">
        <v>1193</v>
      </c>
      <c r="I27" s="152" t="s">
        <v>283</v>
      </c>
    </row>
    <row r="28" spans="2:9" ht="79.2" x14ac:dyDescent="0.3">
      <c r="B28" s="146">
        <v>9</v>
      </c>
      <c r="C28" s="147" t="s">
        <v>516</v>
      </c>
      <c r="D28" s="150" t="s">
        <v>1192</v>
      </c>
      <c r="E28" s="149" t="s">
        <v>130</v>
      </c>
      <c r="F28" s="151" t="s">
        <v>130</v>
      </c>
      <c r="G28" s="154" t="s">
        <v>26</v>
      </c>
      <c r="H28" s="153" t="s">
        <v>1240</v>
      </c>
      <c r="I28" s="152" t="s">
        <v>283</v>
      </c>
    </row>
    <row r="29" spans="2:9" x14ac:dyDescent="0.3">
      <c r="B29" s="146">
        <v>10</v>
      </c>
      <c r="C29" s="147" t="s">
        <v>463</v>
      </c>
      <c r="D29" s="148" t="s">
        <v>1233</v>
      </c>
      <c r="E29" s="149" t="s">
        <v>130</v>
      </c>
      <c r="F29" s="149" t="s">
        <v>130</v>
      </c>
      <c r="G29" s="154" t="s">
        <v>26</v>
      </c>
      <c r="H29" s="152" t="s">
        <v>283</v>
      </c>
      <c r="I29" s="152" t="s">
        <v>283</v>
      </c>
    </row>
    <row r="30" spans="2:9" x14ac:dyDescent="0.3">
      <c r="B30" s="146">
        <v>11</v>
      </c>
      <c r="C30" s="147" t="s">
        <v>48</v>
      </c>
      <c r="D30" s="148" t="s">
        <v>1098</v>
      </c>
      <c r="E30" s="149" t="s">
        <v>130</v>
      </c>
      <c r="F30" s="149" t="s">
        <v>130</v>
      </c>
      <c r="G30" s="154" t="s">
        <v>26</v>
      </c>
      <c r="H30" s="153" t="s">
        <v>1274</v>
      </c>
      <c r="I30" s="153" t="s">
        <v>283</v>
      </c>
    </row>
    <row r="31" spans="2:9" ht="59.4" x14ac:dyDescent="0.3">
      <c r="B31" s="146">
        <v>12</v>
      </c>
      <c r="C31" s="147" t="s">
        <v>503</v>
      </c>
      <c r="D31" s="150" t="s">
        <v>1221</v>
      </c>
      <c r="E31" s="149" t="s">
        <v>130</v>
      </c>
      <c r="F31" s="149" t="s">
        <v>130</v>
      </c>
      <c r="G31" s="154" t="s">
        <v>26</v>
      </c>
      <c r="H31" s="153" t="s">
        <v>283</v>
      </c>
      <c r="I31" s="153"/>
    </row>
    <row r="32" spans="2:9" x14ac:dyDescent="0.3">
      <c r="B32" s="146">
        <v>14</v>
      </c>
      <c r="C32" s="147" t="s">
        <v>303</v>
      </c>
      <c r="D32" s="148" t="s">
        <v>1232</v>
      </c>
      <c r="E32" s="149" t="s">
        <v>130</v>
      </c>
      <c r="F32" s="151" t="s">
        <v>1242</v>
      </c>
      <c r="G32" s="154" t="s">
        <v>26</v>
      </c>
      <c r="H32" s="153" t="s">
        <v>1315</v>
      </c>
      <c r="I32" s="152" t="s">
        <v>283</v>
      </c>
    </row>
    <row r="33" spans="2:9" x14ac:dyDescent="0.3">
      <c r="B33" s="146">
        <v>15</v>
      </c>
      <c r="C33" s="147" t="s">
        <v>413</v>
      </c>
      <c r="D33" s="148" t="s">
        <v>1233</v>
      </c>
      <c r="E33" s="149" t="s">
        <v>130</v>
      </c>
      <c r="F33" s="151" t="s">
        <v>1242</v>
      </c>
      <c r="G33" s="154" t="s">
        <v>26</v>
      </c>
      <c r="H33" s="152" t="s">
        <v>1317</v>
      </c>
      <c r="I33" s="152" t="s">
        <v>283</v>
      </c>
    </row>
    <row r="34" spans="2:9" x14ac:dyDescent="0.3">
      <c r="B34" s="146">
        <v>16</v>
      </c>
      <c r="C34" s="147" t="s">
        <v>52</v>
      </c>
      <c r="D34" s="148" t="s">
        <v>1098</v>
      </c>
      <c r="E34" s="149" t="s">
        <v>130</v>
      </c>
      <c r="F34" s="151" t="s">
        <v>1242</v>
      </c>
      <c r="G34" s="154" t="s">
        <v>26</v>
      </c>
      <c r="H34" s="153" t="s">
        <v>1250</v>
      </c>
      <c r="I34" s="153" t="s">
        <v>283</v>
      </c>
    </row>
    <row r="35" spans="2:9" x14ac:dyDescent="0.3">
      <c r="B35" s="146">
        <v>17</v>
      </c>
      <c r="C35" s="147" t="s">
        <v>51</v>
      </c>
      <c r="D35" s="148" t="s">
        <v>1098</v>
      </c>
      <c r="E35" s="149" t="s">
        <v>130</v>
      </c>
      <c r="F35" s="151" t="s">
        <v>1242</v>
      </c>
      <c r="G35" s="154" t="s">
        <v>26</v>
      </c>
      <c r="H35" s="153" t="s">
        <v>1251</v>
      </c>
      <c r="I35" s="153" t="s">
        <v>283</v>
      </c>
    </row>
    <row r="36" spans="2:9" x14ac:dyDescent="0.3">
      <c r="B36" s="146">
        <v>18</v>
      </c>
      <c r="C36" s="147" t="s">
        <v>54</v>
      </c>
      <c r="D36" s="148" t="s">
        <v>1098</v>
      </c>
      <c r="E36" s="149" t="s">
        <v>130</v>
      </c>
      <c r="F36" s="151" t="s">
        <v>1242</v>
      </c>
      <c r="G36" s="154" t="s">
        <v>26</v>
      </c>
      <c r="H36" s="153" t="s">
        <v>1252</v>
      </c>
      <c r="I36" s="153" t="s">
        <v>283</v>
      </c>
    </row>
    <row r="37" spans="2:9" ht="118.8" x14ac:dyDescent="0.3">
      <c r="B37" s="146">
        <v>19</v>
      </c>
      <c r="C37" s="147" t="s">
        <v>199</v>
      </c>
      <c r="D37" s="153" t="s">
        <v>1221</v>
      </c>
      <c r="E37" s="149" t="s">
        <v>130</v>
      </c>
      <c r="F37" s="151" t="s">
        <v>1242</v>
      </c>
      <c r="G37" s="154" t="s">
        <v>26</v>
      </c>
      <c r="H37" s="153" t="s">
        <v>1235</v>
      </c>
      <c r="I37" s="152" t="s">
        <v>283</v>
      </c>
    </row>
    <row r="38" spans="2:9" x14ac:dyDescent="0.3">
      <c r="B38" s="146">
        <v>20</v>
      </c>
      <c r="C38" s="147" t="s">
        <v>442</v>
      </c>
      <c r="D38" s="152" t="s">
        <v>1232</v>
      </c>
      <c r="E38" s="149" t="s">
        <v>130</v>
      </c>
      <c r="F38" s="151" t="s">
        <v>1242</v>
      </c>
      <c r="G38" s="154" t="s">
        <v>26</v>
      </c>
      <c r="H38" s="152" t="s">
        <v>1241</v>
      </c>
      <c r="I38" s="152" t="s">
        <v>283</v>
      </c>
    </row>
    <row r="39" spans="2:9" ht="39.6" x14ac:dyDescent="0.3">
      <c r="B39" s="146">
        <v>21</v>
      </c>
      <c r="C39" s="147" t="s">
        <v>316</v>
      </c>
      <c r="D39" s="153" t="s">
        <v>1192</v>
      </c>
      <c r="E39" s="149" t="s">
        <v>130</v>
      </c>
      <c r="F39" s="151" t="s">
        <v>1242</v>
      </c>
      <c r="G39" s="154" t="s">
        <v>26</v>
      </c>
      <c r="H39" s="153" t="s">
        <v>1319</v>
      </c>
      <c r="I39" s="153" t="s">
        <v>1247</v>
      </c>
    </row>
    <row r="40" spans="2:9" x14ac:dyDescent="0.3">
      <c r="B40" s="146">
        <v>22</v>
      </c>
      <c r="C40" s="147" t="s">
        <v>53</v>
      </c>
      <c r="D40" s="152" t="s">
        <v>1098</v>
      </c>
      <c r="E40" s="149" t="s">
        <v>130</v>
      </c>
      <c r="F40" s="151" t="s">
        <v>1242</v>
      </c>
      <c r="G40" s="154" t="s">
        <v>26</v>
      </c>
      <c r="H40" s="153" t="s">
        <v>1253</v>
      </c>
      <c r="I40" s="153" t="s">
        <v>283</v>
      </c>
    </row>
    <row r="41" spans="2:9" ht="39.6" x14ac:dyDescent="0.3">
      <c r="B41" s="146">
        <v>23</v>
      </c>
      <c r="C41" s="147" t="s">
        <v>41</v>
      </c>
      <c r="D41" s="148" t="s">
        <v>1098</v>
      </c>
      <c r="E41" s="149" t="s">
        <v>130</v>
      </c>
      <c r="F41" s="149" t="s">
        <v>149</v>
      </c>
      <c r="G41" s="155" t="s">
        <v>1236</v>
      </c>
      <c r="H41" s="152" t="s">
        <v>1127</v>
      </c>
      <c r="I41" s="153" t="s">
        <v>1238</v>
      </c>
    </row>
    <row r="42" spans="2:9" ht="59.4" x14ac:dyDescent="0.3">
      <c r="B42" s="146">
        <v>24</v>
      </c>
      <c r="C42" s="147" t="s">
        <v>44</v>
      </c>
      <c r="D42" s="148" t="s">
        <v>1098</v>
      </c>
      <c r="E42" s="149" t="s">
        <v>130</v>
      </c>
      <c r="F42" s="149" t="s">
        <v>149</v>
      </c>
      <c r="G42" s="155" t="s">
        <v>1236</v>
      </c>
      <c r="H42" s="153" t="s">
        <v>1273</v>
      </c>
      <c r="I42" s="153" t="s">
        <v>283</v>
      </c>
    </row>
    <row r="43" spans="2:9" ht="59.4" x14ac:dyDescent="0.3">
      <c r="B43" s="146">
        <v>25</v>
      </c>
      <c r="C43" s="147" t="s">
        <v>45</v>
      </c>
      <c r="D43" s="148" t="s">
        <v>1098</v>
      </c>
      <c r="E43" s="149" t="s">
        <v>130</v>
      </c>
      <c r="F43" s="149" t="s">
        <v>149</v>
      </c>
      <c r="G43" s="155" t="s">
        <v>1236</v>
      </c>
      <c r="H43" s="153" t="s">
        <v>1180</v>
      </c>
      <c r="I43" s="153" t="s">
        <v>283</v>
      </c>
    </row>
    <row r="44" spans="2:9" x14ac:dyDescent="0.3">
      <c r="B44" s="146">
        <v>26</v>
      </c>
      <c r="C44" s="147" t="s">
        <v>46</v>
      </c>
      <c r="D44" s="148" t="s">
        <v>1098</v>
      </c>
      <c r="E44" s="149" t="s">
        <v>130</v>
      </c>
      <c r="F44" s="149" t="s">
        <v>149</v>
      </c>
      <c r="G44" s="155" t="s">
        <v>1236</v>
      </c>
      <c r="H44" s="152" t="s">
        <v>1272</v>
      </c>
      <c r="I44" s="152" t="s">
        <v>283</v>
      </c>
    </row>
    <row r="45" spans="2:9" x14ac:dyDescent="0.3">
      <c r="B45" s="146">
        <v>27</v>
      </c>
      <c r="C45" s="147" t="s">
        <v>136</v>
      </c>
      <c r="D45" s="148" t="s">
        <v>1232</v>
      </c>
      <c r="E45" s="149" t="s">
        <v>130</v>
      </c>
      <c r="F45" s="149" t="s">
        <v>149</v>
      </c>
      <c r="G45" s="155" t="s">
        <v>1236</v>
      </c>
      <c r="H45" s="152" t="s">
        <v>1272</v>
      </c>
      <c r="I45" s="152" t="s">
        <v>283</v>
      </c>
    </row>
    <row r="46" spans="2:9" x14ac:dyDescent="0.3">
      <c r="B46" s="146">
        <v>28</v>
      </c>
      <c r="C46" s="147" t="s">
        <v>427</v>
      </c>
      <c r="D46" s="148" t="s">
        <v>1233</v>
      </c>
      <c r="E46" s="149" t="s">
        <v>130</v>
      </c>
      <c r="F46" s="149" t="s">
        <v>149</v>
      </c>
      <c r="G46" s="155" t="s">
        <v>1236</v>
      </c>
      <c r="H46" s="152" t="s">
        <v>1286</v>
      </c>
      <c r="I46" s="152" t="s">
        <v>283</v>
      </c>
    </row>
    <row r="47" spans="2:9" x14ac:dyDescent="0.3">
      <c r="B47" s="146">
        <v>29</v>
      </c>
      <c r="C47" s="147" t="s">
        <v>198</v>
      </c>
      <c r="D47" s="148" t="s">
        <v>1233</v>
      </c>
      <c r="E47" s="149" t="s">
        <v>130</v>
      </c>
      <c r="F47" s="149" t="s">
        <v>149</v>
      </c>
      <c r="G47" s="155" t="s">
        <v>1236</v>
      </c>
      <c r="H47" s="152" t="s">
        <v>1295</v>
      </c>
      <c r="I47" s="152" t="s">
        <v>283</v>
      </c>
    </row>
    <row r="48" spans="2:9" x14ac:dyDescent="0.3">
      <c r="B48" s="146">
        <v>30</v>
      </c>
      <c r="C48" s="147" t="s">
        <v>1281</v>
      </c>
      <c r="D48" s="148" t="s">
        <v>1284</v>
      </c>
      <c r="E48" s="149" t="s">
        <v>130</v>
      </c>
      <c r="F48" s="149" t="s">
        <v>149</v>
      </c>
      <c r="G48" s="155" t="s">
        <v>1236</v>
      </c>
      <c r="H48" s="152" t="s">
        <v>1294</v>
      </c>
      <c r="I48" s="152" t="s">
        <v>283</v>
      </c>
    </row>
    <row r="49" spans="1:9" x14ac:dyDescent="0.3">
      <c r="B49" s="146">
        <v>31</v>
      </c>
      <c r="C49" s="186" t="s">
        <v>1280</v>
      </c>
      <c r="D49" s="148" t="s">
        <v>1284</v>
      </c>
      <c r="E49" s="149" t="s">
        <v>149</v>
      </c>
      <c r="F49" s="149" t="s">
        <v>149</v>
      </c>
      <c r="G49" s="155" t="s">
        <v>1237</v>
      </c>
      <c r="H49" s="152" t="s">
        <v>1299</v>
      </c>
      <c r="I49" s="152" t="s">
        <v>283</v>
      </c>
    </row>
    <row r="50" spans="1:9" x14ac:dyDescent="0.3">
      <c r="B50" s="146">
        <v>32</v>
      </c>
      <c r="C50" s="186" t="s">
        <v>454</v>
      </c>
      <c r="D50" s="148" t="s">
        <v>1233</v>
      </c>
      <c r="E50" s="149" t="s">
        <v>149</v>
      </c>
      <c r="F50" s="149" t="s">
        <v>149</v>
      </c>
      <c r="G50" s="155" t="s">
        <v>1237</v>
      </c>
      <c r="H50" s="152" t="s">
        <v>1300</v>
      </c>
      <c r="I50" s="152" t="s">
        <v>1296</v>
      </c>
    </row>
    <row r="51" spans="1:9" x14ac:dyDescent="0.3">
      <c r="B51" s="146">
        <v>33</v>
      </c>
      <c r="C51" s="186" t="s">
        <v>450</v>
      </c>
      <c r="D51" s="148" t="s">
        <v>1233</v>
      </c>
      <c r="E51" s="149" t="s">
        <v>149</v>
      </c>
      <c r="F51" s="149" t="s">
        <v>149</v>
      </c>
      <c r="G51" s="155" t="s">
        <v>1237</v>
      </c>
      <c r="H51" s="152" t="s">
        <v>1301</v>
      </c>
      <c r="I51" s="152" t="s">
        <v>283</v>
      </c>
    </row>
    <row r="52" spans="1:9" x14ac:dyDescent="0.3">
      <c r="B52" s="146">
        <v>34</v>
      </c>
      <c r="C52" s="147" t="s">
        <v>306</v>
      </c>
      <c r="D52" s="148" t="s">
        <v>1098</v>
      </c>
      <c r="E52" s="149" t="s">
        <v>283</v>
      </c>
      <c r="F52" s="149" t="s">
        <v>283</v>
      </c>
      <c r="G52" s="155" t="s">
        <v>1182</v>
      </c>
      <c r="H52" s="152" t="s">
        <v>283</v>
      </c>
      <c r="I52" s="152" t="s">
        <v>1244</v>
      </c>
    </row>
    <row r="53" spans="1:9" s="127" customFormat="1" x14ac:dyDescent="0.3">
      <c r="A53" s="128"/>
      <c r="B53" s="146">
        <v>35</v>
      </c>
      <c r="C53" s="147" t="s">
        <v>288</v>
      </c>
      <c r="D53" s="148" t="s">
        <v>1098</v>
      </c>
      <c r="E53" s="131" t="s">
        <v>130</v>
      </c>
      <c r="F53" s="131" t="s">
        <v>130</v>
      </c>
      <c r="G53" s="154" t="s">
        <v>26</v>
      </c>
      <c r="H53" s="129" t="s">
        <v>283</v>
      </c>
      <c r="I53" s="130" t="s">
        <v>283</v>
      </c>
    </row>
    <row r="54" spans="1:9" ht="72" customHeight="1" x14ac:dyDescent="0.3"/>
    <row r="56" spans="1:9" x14ac:dyDescent="0.3">
      <c r="C56" s="156"/>
    </row>
    <row r="57" spans="1:9" x14ac:dyDescent="0.3">
      <c r="C57" s="156"/>
    </row>
    <row r="58" spans="1:9" x14ac:dyDescent="0.3">
      <c r="C58" s="156"/>
    </row>
    <row r="59" spans="1:9" x14ac:dyDescent="0.3">
      <c r="C59" s="156"/>
    </row>
    <row r="74" ht="14.4" customHeight="1" x14ac:dyDescent="0.3"/>
    <row r="75" ht="15.6" customHeight="1" x14ac:dyDescent="0.3"/>
  </sheetData>
  <autoFilter ref="B18:I53" xr:uid="{E2A05452-0B58-48DE-975B-13BCDADD59FD}">
    <sortState xmlns:xlrd2="http://schemas.microsoft.com/office/spreadsheetml/2017/richdata2" ref="B19:I53">
      <sortCondition ref="B18:B53"/>
    </sortState>
  </autoFilter>
  <mergeCells count="2">
    <mergeCell ref="E17:F17"/>
    <mergeCell ref="C5:F5"/>
  </mergeCells>
  <conditionalFormatting sqref="E17:E28 E30 E23:F23 G14:G15 E44:F53">
    <cfRule type="cellIs" dxfId="31" priority="108" operator="equal">
      <formula>"NOK"</formula>
    </cfRule>
  </conditionalFormatting>
  <conditionalFormatting sqref="E25:E26 E30">
    <cfRule type="cellIs" dxfId="30" priority="107" operator="equal">
      <formula>"NOK"</formula>
    </cfRule>
  </conditionalFormatting>
  <conditionalFormatting sqref="E32:E43 E42:F42">
    <cfRule type="cellIs" dxfId="29" priority="30" operator="equal">
      <formula>"NOK"</formula>
    </cfRule>
    <cfRule type="cellIs" dxfId="28" priority="31" operator="equal">
      <formula>"NOK"</formula>
    </cfRule>
  </conditionalFormatting>
  <conditionalFormatting sqref="E18:F53">
    <cfRule type="cellIs" dxfId="27" priority="1" operator="equal">
      <formula>"OK"</formula>
    </cfRule>
  </conditionalFormatting>
  <conditionalFormatting sqref="E23:F23 E31:F31 E44:F53">
    <cfRule type="cellIs" dxfId="26" priority="111" operator="equal">
      <formula>"NOK"</formula>
    </cfRule>
  </conditionalFormatting>
  <conditionalFormatting sqref="E25:F26 E29:E30 F20:F31 F18">
    <cfRule type="cellIs" dxfId="25" priority="110" operator="equal">
      <formula>"NOK"</formula>
    </cfRule>
  </conditionalFormatting>
  <conditionalFormatting sqref="E29:F29 G1 G65:G1048576">
    <cfRule type="cellIs" dxfId="24" priority="175" operator="equal">
      <formula>"NOK"</formula>
    </cfRule>
  </conditionalFormatting>
  <conditionalFormatting sqref="E29:F29">
    <cfRule type="cellIs" dxfId="23" priority="163" operator="equal">
      <formula>"NOK"</formula>
    </cfRule>
    <cfRule type="cellIs" dxfId="22" priority="164" operator="equal">
      <formula>"NOK"</formula>
    </cfRule>
  </conditionalFormatting>
  <conditionalFormatting sqref="F19">
    <cfRule type="cellIs" dxfId="21" priority="61" operator="equal">
      <formula>"NOK"</formula>
    </cfRule>
  </conditionalFormatting>
  <conditionalFormatting sqref="F21:F28">
    <cfRule type="cellIs" dxfId="20" priority="98" operator="equal">
      <formula>"NOK"</formula>
    </cfRule>
  </conditionalFormatting>
  <conditionalFormatting sqref="F23:F25">
    <cfRule type="cellIs" dxfId="19" priority="97" operator="equal">
      <formula>"NOK"</formula>
    </cfRule>
  </conditionalFormatting>
  <conditionalFormatting sqref="F28">
    <cfRule type="cellIs" dxfId="18" priority="114" operator="equal">
      <formula>"NOK"</formula>
    </cfRule>
  </conditionalFormatting>
  <conditionalFormatting sqref="F30">
    <cfRule type="cellIs" dxfId="17" priority="41" operator="equal">
      <formula>"NOK"</formula>
    </cfRule>
    <cfRule type="cellIs" dxfId="16" priority="43" operator="equal">
      <formula>"NOK"</formula>
    </cfRule>
  </conditionalFormatting>
  <conditionalFormatting sqref="F30:F31">
    <cfRule type="cellIs" dxfId="15" priority="42" operator="equal">
      <formula>"NOK"</formula>
    </cfRule>
  </conditionalFormatting>
  <conditionalFormatting sqref="F32">
    <cfRule type="cellIs" dxfId="14" priority="2" operator="equal">
      <formula>"NOK"</formula>
    </cfRule>
  </conditionalFormatting>
  <conditionalFormatting sqref="F32:F40">
    <cfRule type="cellIs" dxfId="13" priority="16" operator="equal">
      <formula>"NOK"</formula>
    </cfRule>
  </conditionalFormatting>
  <conditionalFormatting sqref="F34:F39">
    <cfRule type="cellIs" dxfId="12" priority="15" operator="equal">
      <formula>"NOK"</formula>
    </cfRule>
    <cfRule type="cellIs" dxfId="11" priority="17" operator="equal">
      <formula>"NOK"</formula>
    </cfRule>
  </conditionalFormatting>
  <conditionalFormatting sqref="F41:F43">
    <cfRule type="cellIs" dxfId="10" priority="4" operator="equal">
      <formula>"NOK"</formula>
    </cfRule>
    <cfRule type="cellIs" dxfId="9" priority="5" operator="equal">
      <formula>"NOK"</formula>
    </cfRule>
  </conditionalFormatting>
  <conditionalFormatting sqref="G17">
    <cfRule type="cellIs" dxfId="8" priority="66" operator="equal">
      <formula>"NOK"</formula>
    </cfRule>
    <cfRule type="cellIs" dxfId="7" priority="67" operator="equal">
      <formula>"OK"</formula>
    </cfRule>
  </conditionalFormatting>
  <conditionalFormatting sqref="G19:G53">
    <cfRule type="cellIs" dxfId="6" priority="20" operator="equal">
      <formula>"Reaberto"</formula>
    </cfRule>
  </conditionalFormatting>
  <conditionalFormatting sqref="G1:H1 G65:H1048576">
    <cfRule type="cellIs" dxfId="5" priority="168" operator="equal">
      <formula>"OK"</formula>
    </cfRule>
  </conditionalFormatting>
  <conditionalFormatting sqref="G14:H15 E17">
    <cfRule type="cellIs" dxfId="4" priority="121" operator="equal">
      <formula>"OK"</formula>
    </cfRule>
  </conditionalFormatting>
  <conditionalFormatting sqref="H1 H14:H17 H65:H1048576">
    <cfRule type="cellIs" dxfId="3" priority="169" operator="equal">
      <formula>"NOK"</formula>
    </cfRule>
  </conditionalFormatting>
  <conditionalFormatting sqref="H16:H17">
    <cfRule type="cellIs" dxfId="2" priority="96" operator="equal">
      <formula>"OK"</formula>
    </cfRule>
  </conditionalFormatting>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A7AD8-548F-46EB-9D95-57305968A545}">
  <dimension ref="B3:L22"/>
  <sheetViews>
    <sheetView zoomScale="61" zoomScaleNormal="100" workbookViewId="0">
      <selection activeCell="L16" sqref="L16"/>
    </sheetView>
  </sheetViews>
  <sheetFormatPr defaultRowHeight="14.4" x14ac:dyDescent="0.3"/>
  <cols>
    <col min="1" max="1" width="3.77734375" customWidth="1"/>
    <col min="2" max="2" width="19.44140625" bestFit="1" customWidth="1"/>
    <col min="3" max="3" width="70.88671875" customWidth="1"/>
    <col min="4" max="4" width="16.33203125" bestFit="1" customWidth="1"/>
    <col min="5" max="5" width="33" style="2" bestFit="1" customWidth="1"/>
    <col min="6" max="6" width="19.109375" bestFit="1" customWidth="1"/>
    <col min="7" max="7" width="15.6640625" bestFit="1" customWidth="1"/>
    <col min="8" max="8" width="17.109375" customWidth="1"/>
    <col min="9" max="9" width="16.109375" bestFit="1" customWidth="1"/>
    <col min="10" max="10" width="16.44140625" bestFit="1" customWidth="1"/>
    <col min="11" max="11" width="11.44140625" bestFit="1" customWidth="1"/>
    <col min="12" max="12" width="72.44140625" style="1" bestFit="1" customWidth="1"/>
  </cols>
  <sheetData>
    <row r="3" spans="2:12" x14ac:dyDescent="0.3">
      <c r="B3" s="132" t="s">
        <v>1131</v>
      </c>
      <c r="C3" s="132" t="s">
        <v>1132</v>
      </c>
      <c r="D3" s="132" t="s">
        <v>1133</v>
      </c>
      <c r="E3" s="132" t="s">
        <v>1134</v>
      </c>
      <c r="F3" s="132" t="s">
        <v>1135</v>
      </c>
      <c r="G3" s="132" t="s">
        <v>1136</v>
      </c>
      <c r="H3" s="132" t="s">
        <v>1137</v>
      </c>
      <c r="I3" s="132" t="s">
        <v>1138</v>
      </c>
      <c r="J3" s="132" t="s">
        <v>1139</v>
      </c>
      <c r="K3" s="132" t="s">
        <v>1140</v>
      </c>
      <c r="L3" s="159" t="s">
        <v>1264</v>
      </c>
    </row>
    <row r="4" spans="2:12" x14ac:dyDescent="0.3">
      <c r="B4" s="132" t="s">
        <v>1258</v>
      </c>
      <c r="C4" s="132" t="s">
        <v>1259</v>
      </c>
      <c r="D4" s="132" t="s">
        <v>1145</v>
      </c>
      <c r="E4" s="132" t="s">
        <v>136</v>
      </c>
      <c r="F4" s="132" t="s">
        <v>1146</v>
      </c>
      <c r="G4" s="132" t="s">
        <v>1147</v>
      </c>
      <c r="H4" s="132" t="s">
        <v>1148</v>
      </c>
      <c r="I4" s="132">
        <v>13</v>
      </c>
      <c r="J4" s="132">
        <v>11</v>
      </c>
      <c r="K4" s="132">
        <v>84.615399999999994</v>
      </c>
      <c r="L4" s="161" t="s">
        <v>1276</v>
      </c>
    </row>
    <row r="5" spans="2:12" x14ac:dyDescent="0.3">
      <c r="B5" s="132" t="s">
        <v>1143</v>
      </c>
      <c r="C5" s="132" t="s">
        <v>1144</v>
      </c>
      <c r="D5" s="132" t="s">
        <v>1145</v>
      </c>
      <c r="E5" s="132" t="s">
        <v>48</v>
      </c>
      <c r="F5" s="132" t="s">
        <v>1146</v>
      </c>
      <c r="G5" s="132" t="s">
        <v>1147</v>
      </c>
      <c r="H5" s="132" t="s">
        <v>1148</v>
      </c>
      <c r="I5" s="132">
        <v>113948</v>
      </c>
      <c r="J5" s="132">
        <v>77017</v>
      </c>
      <c r="K5" s="132">
        <v>67.589600000000004</v>
      </c>
      <c r="L5" s="161" t="s">
        <v>1277</v>
      </c>
    </row>
    <row r="6" spans="2:12" x14ac:dyDescent="0.3">
      <c r="B6" s="132" t="s">
        <v>1149</v>
      </c>
      <c r="C6" s="132" t="s">
        <v>1150</v>
      </c>
      <c r="D6" s="132" t="s">
        <v>128</v>
      </c>
      <c r="E6" s="132" t="s">
        <v>51</v>
      </c>
      <c r="F6" s="132" t="s">
        <v>1151</v>
      </c>
      <c r="G6" s="132" t="s">
        <v>1142</v>
      </c>
      <c r="H6" s="132" t="s">
        <v>1148</v>
      </c>
      <c r="I6" s="132">
        <v>2138963</v>
      </c>
      <c r="J6" s="132">
        <v>29</v>
      </c>
      <c r="K6" s="132">
        <v>1.4E-3</v>
      </c>
      <c r="L6" s="160" t="s">
        <v>1265</v>
      </c>
    </row>
    <row r="7" spans="2:12" x14ac:dyDescent="0.3">
      <c r="B7" s="132" t="s">
        <v>1152</v>
      </c>
      <c r="C7" s="132" t="s">
        <v>1153</v>
      </c>
      <c r="D7" s="132" t="s">
        <v>128</v>
      </c>
      <c r="E7" s="132" t="s">
        <v>52</v>
      </c>
      <c r="F7" s="132" t="s">
        <v>1151</v>
      </c>
      <c r="G7" s="132" t="s">
        <v>1142</v>
      </c>
      <c r="H7" s="132" t="s">
        <v>1148</v>
      </c>
      <c r="I7" s="132">
        <v>2138963</v>
      </c>
      <c r="J7" s="132">
        <v>29</v>
      </c>
      <c r="K7" s="132">
        <v>1.4E-3</v>
      </c>
      <c r="L7" s="160" t="s">
        <v>1265</v>
      </c>
    </row>
    <row r="8" spans="2:12" x14ac:dyDescent="0.3">
      <c r="B8" s="132" t="s">
        <v>1154</v>
      </c>
      <c r="C8" s="132" t="s">
        <v>1155</v>
      </c>
      <c r="D8" s="132" t="s">
        <v>128</v>
      </c>
      <c r="E8" s="132" t="s">
        <v>53</v>
      </c>
      <c r="F8" s="132" t="s">
        <v>1151</v>
      </c>
      <c r="G8" s="132" t="s">
        <v>1142</v>
      </c>
      <c r="H8" s="132" t="s">
        <v>1148</v>
      </c>
      <c r="I8" s="132">
        <v>2138963</v>
      </c>
      <c r="J8" s="132">
        <v>36</v>
      </c>
      <c r="K8" s="132">
        <v>1.6999999999999999E-3</v>
      </c>
      <c r="L8" s="160" t="s">
        <v>1265</v>
      </c>
    </row>
    <row r="9" spans="2:12" x14ac:dyDescent="0.3">
      <c r="B9" s="132" t="s">
        <v>1157</v>
      </c>
      <c r="C9" s="132" t="s">
        <v>1158</v>
      </c>
      <c r="D9" s="132" t="s">
        <v>128</v>
      </c>
      <c r="E9" s="132" t="s">
        <v>54</v>
      </c>
      <c r="F9" s="132" t="s">
        <v>1151</v>
      </c>
      <c r="G9" s="132" t="s">
        <v>1142</v>
      </c>
      <c r="H9" s="132" t="s">
        <v>1148</v>
      </c>
      <c r="I9" s="132">
        <v>2138963</v>
      </c>
      <c r="J9" s="132">
        <v>36</v>
      </c>
      <c r="K9" s="132">
        <v>1.6999999999999999E-3</v>
      </c>
      <c r="L9" s="160" t="s">
        <v>1265</v>
      </c>
    </row>
    <row r="10" spans="2:12" x14ac:dyDescent="0.3">
      <c r="B10" s="132" t="s">
        <v>1254</v>
      </c>
      <c r="C10" s="132" t="s">
        <v>1215</v>
      </c>
      <c r="D10" s="132" t="s">
        <v>1156</v>
      </c>
      <c r="E10" s="132" t="s">
        <v>316</v>
      </c>
      <c r="F10" s="132" t="s">
        <v>1146</v>
      </c>
      <c r="G10" s="132" t="s">
        <v>1255</v>
      </c>
      <c r="H10" s="132" t="s">
        <v>1148</v>
      </c>
      <c r="I10" s="132">
        <v>113228</v>
      </c>
      <c r="J10" s="132">
        <v>16945</v>
      </c>
      <c r="K10" s="132">
        <v>14.965400000000001</v>
      </c>
      <c r="L10" s="160" t="s">
        <v>1271</v>
      </c>
    </row>
    <row r="11" spans="2:12" x14ac:dyDescent="0.3">
      <c r="B11" s="132" t="s">
        <v>1256</v>
      </c>
      <c r="C11" s="132" t="s">
        <v>1217</v>
      </c>
      <c r="D11" s="132" t="s">
        <v>1257</v>
      </c>
      <c r="E11" s="132" t="s">
        <v>316</v>
      </c>
      <c r="F11" s="132" t="s">
        <v>1146</v>
      </c>
      <c r="G11" s="132" t="s">
        <v>1255</v>
      </c>
      <c r="H11" s="132" t="s">
        <v>1148</v>
      </c>
      <c r="I11" s="132">
        <v>38</v>
      </c>
      <c r="J11" s="132">
        <v>1</v>
      </c>
      <c r="K11" s="132">
        <v>2.6316000000000002</v>
      </c>
      <c r="L11" s="160" t="s">
        <v>1266</v>
      </c>
    </row>
    <row r="12" spans="2:12" x14ac:dyDescent="0.3">
      <c r="B12" s="132" t="s">
        <v>1159</v>
      </c>
      <c r="C12" s="132" t="s">
        <v>1160</v>
      </c>
      <c r="D12" s="132" t="s">
        <v>1145</v>
      </c>
      <c r="E12" s="132" t="s">
        <v>44</v>
      </c>
      <c r="F12" s="132" t="s">
        <v>1146</v>
      </c>
      <c r="G12" s="132" t="s">
        <v>1147</v>
      </c>
      <c r="H12" s="132" t="s">
        <v>1148</v>
      </c>
      <c r="I12" s="132">
        <v>130343</v>
      </c>
      <c r="J12" s="132">
        <v>67</v>
      </c>
      <c r="K12" s="132">
        <v>5.1400000000000001E-2</v>
      </c>
      <c r="L12" s="160" t="s">
        <v>1267</v>
      </c>
    </row>
    <row r="13" spans="2:12" x14ac:dyDescent="0.3">
      <c r="B13" s="132" t="s">
        <v>1161</v>
      </c>
      <c r="C13" s="132" t="s">
        <v>1162</v>
      </c>
      <c r="D13" s="132" t="s">
        <v>1145</v>
      </c>
      <c r="E13" s="132" t="s">
        <v>44</v>
      </c>
      <c r="F13" s="132" t="s">
        <v>1146</v>
      </c>
      <c r="G13" s="132" t="s">
        <v>1147</v>
      </c>
      <c r="H13" s="132" t="s">
        <v>1148</v>
      </c>
      <c r="I13" s="132">
        <v>2008285</v>
      </c>
      <c r="J13" s="132">
        <v>51</v>
      </c>
      <c r="K13" s="132">
        <v>2.5000000000000001E-3</v>
      </c>
      <c r="L13" s="160" t="s">
        <v>1267</v>
      </c>
    </row>
    <row r="14" spans="2:12" x14ac:dyDescent="0.3">
      <c r="B14" s="132" t="s">
        <v>1163</v>
      </c>
      <c r="C14" s="132" t="s">
        <v>1164</v>
      </c>
      <c r="D14" s="132" t="s">
        <v>1156</v>
      </c>
      <c r="E14" s="132" t="s">
        <v>44</v>
      </c>
      <c r="F14" s="132" t="s">
        <v>1146</v>
      </c>
      <c r="G14" s="132" t="s">
        <v>1147</v>
      </c>
      <c r="H14" s="132" t="s">
        <v>1148</v>
      </c>
      <c r="I14" s="132">
        <v>16150</v>
      </c>
      <c r="J14" s="132">
        <v>1924</v>
      </c>
      <c r="K14" s="132">
        <v>11.9133</v>
      </c>
      <c r="L14" s="161" t="s">
        <v>1278</v>
      </c>
    </row>
    <row r="15" spans="2:12" x14ac:dyDescent="0.3">
      <c r="B15" s="132" t="s">
        <v>1166</v>
      </c>
      <c r="C15" s="132" t="s">
        <v>1167</v>
      </c>
      <c r="D15" s="132" t="s">
        <v>1165</v>
      </c>
      <c r="E15" s="132" t="s">
        <v>44</v>
      </c>
      <c r="F15" s="132" t="s">
        <v>1146</v>
      </c>
      <c r="G15" s="132" t="s">
        <v>1147</v>
      </c>
      <c r="H15" s="132" t="s">
        <v>1148</v>
      </c>
      <c r="I15" s="132">
        <v>1676415</v>
      </c>
      <c r="J15" s="132">
        <v>7</v>
      </c>
      <c r="K15" s="132">
        <v>4.0000000000000002E-4</v>
      </c>
      <c r="L15" s="160" t="s">
        <v>1268</v>
      </c>
    </row>
    <row r="16" spans="2:12" x14ac:dyDescent="0.3">
      <c r="B16" s="132" t="s">
        <v>1168</v>
      </c>
      <c r="C16" s="132" t="s">
        <v>1169</v>
      </c>
      <c r="D16" s="132" t="s">
        <v>1165</v>
      </c>
      <c r="E16" s="132" t="s">
        <v>46</v>
      </c>
      <c r="F16" s="132" t="s">
        <v>1146</v>
      </c>
      <c r="G16" s="132" t="s">
        <v>1147</v>
      </c>
      <c r="H16" s="132" t="s">
        <v>1148</v>
      </c>
      <c r="I16" s="132">
        <v>13</v>
      </c>
      <c r="J16" s="132">
        <v>3</v>
      </c>
      <c r="K16" s="132">
        <v>23.076899999999998</v>
      </c>
      <c r="L16" s="161" t="s">
        <v>1276</v>
      </c>
    </row>
    <row r="17" spans="2:12" x14ac:dyDescent="0.3">
      <c r="B17" s="132" t="s">
        <v>1262</v>
      </c>
      <c r="C17" s="132" t="s">
        <v>1263</v>
      </c>
      <c r="D17" s="132" t="s">
        <v>128</v>
      </c>
      <c r="E17" s="132" t="s">
        <v>442</v>
      </c>
      <c r="F17" s="132" t="s">
        <v>1141</v>
      </c>
      <c r="G17" s="132" t="s">
        <v>1142</v>
      </c>
      <c r="H17" s="132" t="s">
        <v>1148</v>
      </c>
      <c r="I17" s="132">
        <v>2138963</v>
      </c>
      <c r="J17" s="132">
        <v>26793</v>
      </c>
      <c r="K17" s="132">
        <v>1.2525999999999999</v>
      </c>
      <c r="L17" s="160" t="s">
        <v>1269</v>
      </c>
    </row>
    <row r="18" spans="2:12" x14ac:dyDescent="0.3">
      <c r="B18" s="132" t="s">
        <v>1260</v>
      </c>
      <c r="C18" s="132" t="s">
        <v>1261</v>
      </c>
      <c r="D18" s="132" t="s">
        <v>1145</v>
      </c>
      <c r="E18" s="132" t="s">
        <v>442</v>
      </c>
      <c r="F18" s="132" t="s">
        <v>1146</v>
      </c>
      <c r="G18" s="132" t="s">
        <v>1147</v>
      </c>
      <c r="H18" s="132" t="s">
        <v>1148</v>
      </c>
      <c r="I18" s="132">
        <v>1233119</v>
      </c>
      <c r="J18" s="132">
        <v>46553</v>
      </c>
      <c r="K18" s="132">
        <v>3.7751999999999999</v>
      </c>
      <c r="L18" s="160" t="s">
        <v>1265</v>
      </c>
    </row>
    <row r="19" spans="2:12" x14ac:dyDescent="0.3">
      <c r="B19" s="132" t="s">
        <v>1170</v>
      </c>
      <c r="C19" s="132" t="s">
        <v>1171</v>
      </c>
      <c r="D19" s="132" t="s">
        <v>1145</v>
      </c>
      <c r="E19" s="132" t="s">
        <v>45</v>
      </c>
      <c r="F19" s="132" t="s">
        <v>1146</v>
      </c>
      <c r="G19" s="132" t="s">
        <v>1147</v>
      </c>
      <c r="H19" s="132" t="s">
        <v>1148</v>
      </c>
      <c r="I19" s="132">
        <v>130343</v>
      </c>
      <c r="J19" s="132">
        <v>67</v>
      </c>
      <c r="K19" s="132">
        <v>5.1400000000000001E-2</v>
      </c>
      <c r="L19" s="160" t="s">
        <v>1267</v>
      </c>
    </row>
    <row r="20" spans="2:12" x14ac:dyDescent="0.3">
      <c r="B20" s="132" t="s">
        <v>1172</v>
      </c>
      <c r="C20" s="132" t="s">
        <v>1173</v>
      </c>
      <c r="D20" s="132" t="s">
        <v>1174</v>
      </c>
      <c r="E20" s="132" t="s">
        <v>45</v>
      </c>
      <c r="F20" s="132" t="s">
        <v>1146</v>
      </c>
      <c r="G20" s="132" t="s">
        <v>1147</v>
      </c>
      <c r="H20" s="132" t="s">
        <v>1148</v>
      </c>
      <c r="I20" s="132">
        <v>110</v>
      </c>
      <c r="J20" s="132">
        <v>12</v>
      </c>
      <c r="K20" s="132">
        <v>10.9091</v>
      </c>
      <c r="L20" s="161" t="s">
        <v>1279</v>
      </c>
    </row>
    <row r="21" spans="2:12" x14ac:dyDescent="0.3">
      <c r="B21" s="132" t="s">
        <v>1177</v>
      </c>
      <c r="C21" s="132" t="s">
        <v>1178</v>
      </c>
      <c r="D21" s="132" t="s">
        <v>1165</v>
      </c>
      <c r="E21" s="132" t="s">
        <v>45</v>
      </c>
      <c r="F21" s="132" t="s">
        <v>1146</v>
      </c>
      <c r="G21" s="132" t="s">
        <v>1147</v>
      </c>
      <c r="H21" s="132" t="s">
        <v>1148</v>
      </c>
      <c r="I21" s="132">
        <v>2008639</v>
      </c>
      <c r="J21" s="132">
        <v>3</v>
      </c>
      <c r="K21" s="132">
        <v>1E-4</v>
      </c>
      <c r="L21" s="159" t="s">
        <v>1270</v>
      </c>
    </row>
    <row r="22" spans="2:12" x14ac:dyDescent="0.3">
      <c r="B22" s="132" t="s">
        <v>1175</v>
      </c>
      <c r="C22" s="132" t="s">
        <v>1176</v>
      </c>
      <c r="D22" s="132" t="s">
        <v>1156</v>
      </c>
      <c r="E22" s="132" t="s">
        <v>45</v>
      </c>
      <c r="F22" s="132" t="s">
        <v>1146</v>
      </c>
      <c r="G22" s="132" t="s">
        <v>1147</v>
      </c>
      <c r="H22" s="132" t="s">
        <v>1148</v>
      </c>
      <c r="I22" s="132">
        <v>141060</v>
      </c>
      <c r="J22" s="132">
        <v>10733</v>
      </c>
      <c r="K22" s="132">
        <v>7.6087999999999996</v>
      </c>
      <c r="L22" s="160" t="s">
        <v>1275</v>
      </c>
    </row>
  </sheetData>
  <autoFilter ref="B3:L22" xr:uid="{FE6A7AD8-548F-46EB-9D95-57305968A545}"/>
  <conditionalFormatting sqref="H1:H1048576">
    <cfRule type="cellIs" dxfId="1" priority="1" operator="equal">
      <formula>"KO"</formula>
    </cfRule>
    <cfRule type="cellIs" dxfId="0" priority="2" operator="equal">
      <formula>"OK"</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6D051AEB2C48B458F82B58F7F6D9A00" ma:contentTypeVersion="16" ma:contentTypeDescription="Create a new document." ma:contentTypeScope="" ma:versionID="8e35d4e5a03174a6789cd6d884c29251">
  <xsd:schema xmlns:xsd="http://www.w3.org/2001/XMLSchema" xmlns:xs="http://www.w3.org/2001/XMLSchema" xmlns:p="http://schemas.microsoft.com/office/2006/metadata/properties" xmlns:ns1="http://schemas.microsoft.com/sharepoint/v3" xmlns:ns2="a9b50dc7-8f72-473c-8b7e-4a8c46ecad32" xmlns:ns3="7b1ec8e5-5652-48eb-8550-a56a35f5f817" targetNamespace="http://schemas.microsoft.com/office/2006/metadata/properties" ma:root="true" ma:fieldsID="b22a0ae7eacf54c6c3b12852cb12f7e3" ns1:_="" ns2:_="" ns3:_="">
    <xsd:import namespace="http://schemas.microsoft.com/sharepoint/v3"/>
    <xsd:import namespace="a9b50dc7-8f72-473c-8b7e-4a8c46ecad32"/>
    <xsd:import namespace="7b1ec8e5-5652-48eb-8550-a56a35f5f81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1:_ip_UnifiedCompliancePolicyProperties" minOccurs="0"/>
                <xsd:element ref="ns1:_ip_UnifiedCompliancePolicyUIAction" minOccurs="0"/>
                <xsd:element ref="ns2:MediaServiceObjectDetectorVersions" minOccurs="0"/>
                <xsd:element ref="ns2:MediaServiceSearchProperties" minOccurs="0"/>
                <xsd:element ref="ns2:MediaServiceDateTake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9b50dc7-8f72-473c-8b7e-4a8c46ecad3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description="" ma:hidden="true" ma:indexed="true" ma:internalName="MediaServiceDateTake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b1ec8e5-5652-48eb-8550-a56a35f5f81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1a5ce08-dc66-4f05-9d75-293f82016f98}" ma:internalName="TaxCatchAll" ma:showField="CatchAllData" ma:web="7b1ec8e5-5652-48eb-8550-a56a35f5f81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a9b50dc7-8f72-473c-8b7e-4a8c46ecad32">
      <Terms xmlns="http://schemas.microsoft.com/office/infopath/2007/PartnerControls"/>
    </lcf76f155ced4ddcb4097134ff3c332f>
    <TaxCatchAll xmlns="7b1ec8e5-5652-48eb-8550-a56a35f5f817"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13A9D5AD-5A66-43CE-BB4D-0F048F16D84B}">
  <ds:schemaRefs>
    <ds:schemaRef ds:uri="http://schemas.microsoft.com/sharepoint/v3/contenttype/forms"/>
  </ds:schemaRefs>
</ds:datastoreItem>
</file>

<file path=customXml/itemProps2.xml><?xml version="1.0" encoding="utf-8"?>
<ds:datastoreItem xmlns:ds="http://schemas.openxmlformats.org/officeDocument/2006/customXml" ds:itemID="{3535DE0C-4547-475C-9986-FE2ED2C064D0}"/>
</file>

<file path=customXml/itemProps3.xml><?xml version="1.0" encoding="utf-8"?>
<ds:datastoreItem xmlns:ds="http://schemas.openxmlformats.org/officeDocument/2006/customXml" ds:itemID="{BD08B9EA-78A1-402B-9A17-848E2AB9FB5A}">
  <ds:schemaRefs>
    <ds:schemaRef ds:uri="http://www.w3.org/XML/1998/namespace"/>
    <ds:schemaRef ds:uri="http://schemas.microsoft.com/office/2006/documentManagement/types"/>
    <ds:schemaRef ds:uri="http://schemas.microsoft.com/sharepoint/v3"/>
    <ds:schemaRef ds:uri="a9b50dc7-8f72-473c-8b7e-4a8c46ecad32"/>
    <ds:schemaRef ds:uri="http://schemas.microsoft.com/office/infopath/2007/PartnerControls"/>
    <ds:schemaRef ds:uri="http://purl.org/dc/dcmitype/"/>
    <ds:schemaRef ds:uri="http://purl.org/dc/elements/1.1/"/>
    <ds:schemaRef ds:uri="http://schemas.openxmlformats.org/package/2006/metadata/core-properties"/>
    <ds:schemaRef ds:uri="7b1ec8e5-5652-48eb-8550-a56a35f5f817"/>
    <ds:schemaRef ds:uri="http://schemas.microsoft.com/office/2006/metadata/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40</vt:i4>
      </vt:variant>
    </vt:vector>
  </HeadingPairs>
  <TitlesOfParts>
    <vt:vector size="50" baseType="lpstr">
      <vt:lpstr>Status</vt:lpstr>
      <vt:lpstr>PDS (old)</vt:lpstr>
      <vt:lpstr>Aux.</vt:lpstr>
      <vt:lpstr>PDS</vt:lpstr>
      <vt:lpstr>Detalhe</vt:lpstr>
      <vt:lpstr>Caderno Testes</vt:lpstr>
      <vt:lpstr>Campos IMP vs CNT</vt:lpstr>
      <vt:lpstr>Planeamento</vt:lpstr>
      <vt:lpstr>Status PM (Campos)</vt:lpstr>
      <vt:lpstr>Controlos Corporativos</vt:lpstr>
      <vt:lpstr>'Campos IMP vs CNT'!_Hlk71900621</vt:lpstr>
      <vt:lpstr>'Campos IMP vs CNT'!_Toc164082158</vt:lpstr>
      <vt:lpstr>'Campos IMP vs CNT'!_Toc164082286</vt:lpstr>
      <vt:lpstr>'Campos IMP vs CNT'!_Toc164082298</vt:lpstr>
      <vt:lpstr>'Campos IMP vs CNT'!_Toc164082299</vt:lpstr>
      <vt:lpstr>'Campos IMP vs CNT'!_Toc164082302</vt:lpstr>
      <vt:lpstr>'Campos IMP vs CNT'!_Toc164082303</vt:lpstr>
      <vt:lpstr>'Campos IMP vs CNT'!_Toc164082304</vt:lpstr>
      <vt:lpstr>'Campos IMP vs CNT'!_Toc164082314</vt:lpstr>
      <vt:lpstr>'Campos IMP vs CNT'!_Toc164082315</vt:lpstr>
      <vt:lpstr>'Campos IMP vs CNT'!_Toc164082316</vt:lpstr>
      <vt:lpstr>'Campos IMP vs CNT'!_Toc164082319</vt:lpstr>
      <vt:lpstr>'Campos IMP vs CNT'!_Toc164082330</vt:lpstr>
      <vt:lpstr>'Campos IMP vs CNT'!_Toc164082331</vt:lpstr>
      <vt:lpstr>'Campos IMP vs CNT'!_Toc164082332</vt:lpstr>
      <vt:lpstr>'Campos IMP vs CNT'!_Toc164082333</vt:lpstr>
      <vt:lpstr>'Campos IMP vs CNT'!_Toc164082334</vt:lpstr>
      <vt:lpstr>'Campos IMP vs CNT'!_Toc164082339</vt:lpstr>
      <vt:lpstr>'Campos IMP vs CNT'!_Toc164082348</vt:lpstr>
      <vt:lpstr>'Campos IMP vs CNT'!_Toc164082349</vt:lpstr>
      <vt:lpstr>'Campos IMP vs CNT'!_Toc164082351</vt:lpstr>
      <vt:lpstr>'Campos IMP vs CNT'!_Toc164082352</vt:lpstr>
      <vt:lpstr>'Campos IMP vs CNT'!_Toc164082353</vt:lpstr>
      <vt:lpstr>'Campos IMP vs CNT'!_Toc164082359</vt:lpstr>
      <vt:lpstr>'Campos IMP vs CNT'!_Toc164082360</vt:lpstr>
      <vt:lpstr>'Campos IMP vs CNT'!_Toc164082361</vt:lpstr>
      <vt:lpstr>'Campos IMP vs CNT'!_Toc164082362</vt:lpstr>
      <vt:lpstr>'Campos IMP vs CNT'!_Toc164082363</vt:lpstr>
      <vt:lpstr>'Campos IMP vs CNT'!_Toc164082366</vt:lpstr>
      <vt:lpstr>'Campos IMP vs CNT'!_Toc164082367</vt:lpstr>
      <vt:lpstr>'Campos IMP vs CNT'!_Toc164082368</vt:lpstr>
      <vt:lpstr>'Campos IMP vs CNT'!_Toc164082369</vt:lpstr>
      <vt:lpstr>'Campos IMP vs CNT'!_Toc164082370</vt:lpstr>
      <vt:lpstr>'Campos IMP vs CNT'!_Toc164082371</vt:lpstr>
      <vt:lpstr>'Campos IMP vs CNT'!_Toc164082372</vt:lpstr>
      <vt:lpstr>'Campos IMP vs CNT'!_Toc164082373</vt:lpstr>
      <vt:lpstr>'Campos IMP vs CNT'!_Toc164082374</vt:lpstr>
      <vt:lpstr>'Campos IMP vs CNT'!_Toc164082375</vt:lpstr>
      <vt:lpstr>'Campos IMP vs CNT'!_Toc164082382</vt:lpstr>
      <vt:lpstr>'Campos IMP vs CNT'!_Toc164082383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Cristiana Serafim Stephani</dc:creator>
  <cp:keywords/>
  <dc:description/>
  <cp:lastModifiedBy>Gonçalo Mendes Baptista Filipe</cp:lastModifiedBy>
  <cp:revision/>
  <dcterms:created xsi:type="dcterms:W3CDTF">2024-05-23T09:46:15Z</dcterms:created>
  <dcterms:modified xsi:type="dcterms:W3CDTF">2025-10-23T11:55:18Z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1b88ec2-a72b-4523-9e84-0458a1764731_Enabled">
    <vt:lpwstr>true</vt:lpwstr>
  </property>
  <property fmtid="{D5CDD505-2E9C-101B-9397-08002B2CF9AE}" pid="3" name="MSIP_Label_41b88ec2-a72b-4523-9e84-0458a1764731_SetDate">
    <vt:lpwstr>2024-05-23T13:22:07Z</vt:lpwstr>
  </property>
  <property fmtid="{D5CDD505-2E9C-101B-9397-08002B2CF9AE}" pid="4" name="MSIP_Label_41b88ec2-a72b-4523-9e84-0458a1764731_Method">
    <vt:lpwstr>Privileged</vt:lpwstr>
  </property>
  <property fmtid="{D5CDD505-2E9C-101B-9397-08002B2CF9AE}" pid="5" name="MSIP_Label_41b88ec2-a72b-4523-9e84-0458a1764731_Name">
    <vt:lpwstr>Public O365</vt:lpwstr>
  </property>
  <property fmtid="{D5CDD505-2E9C-101B-9397-08002B2CF9AE}" pid="6" name="MSIP_Label_41b88ec2-a72b-4523-9e84-0458a1764731_SiteId">
    <vt:lpwstr>35595a02-4d6d-44ac-99e1-f9ab4cd872db</vt:lpwstr>
  </property>
  <property fmtid="{D5CDD505-2E9C-101B-9397-08002B2CF9AE}" pid="7" name="MSIP_Label_41b88ec2-a72b-4523-9e84-0458a1764731_ActionId">
    <vt:lpwstr>31e3cbb2-9e6e-4b62-8d7d-92b28613781b</vt:lpwstr>
  </property>
  <property fmtid="{D5CDD505-2E9C-101B-9397-08002B2CF9AE}" pid="8" name="MSIP_Label_41b88ec2-a72b-4523-9e84-0458a1764731_ContentBits">
    <vt:lpwstr>0</vt:lpwstr>
  </property>
  <property fmtid="{D5CDD505-2E9C-101B-9397-08002B2CF9AE}" pid="9" name="ContentTypeId">
    <vt:lpwstr>0x010100C6D051AEB2C48B458F82B58F7F6D9A00</vt:lpwstr>
  </property>
  <property fmtid="{D5CDD505-2E9C-101B-9397-08002B2CF9AE}" pid="10" name="MediaServiceImageTags">
    <vt:lpwstr/>
  </property>
</Properties>
</file>