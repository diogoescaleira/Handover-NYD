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santandernet.sharepoint.com/sites/BSLoanTapeBCE/Shared Documents/General/03. Loan Tape/01. Documentação Final/01. Loan Tape/01. PDS/"/>
    </mc:Choice>
  </mc:AlternateContent>
  <xr:revisionPtr revIDLastSave="11569" documentId="8_{E5CB3F0B-AC18-4F3B-B66E-A27715A44338}" xr6:coauthVersionLast="47" xr6:coauthVersionMax="47" xr10:uidLastSave="{1442B921-CB3D-4B84-B5AE-E2E505EC8326}"/>
  <bookViews>
    <workbookView xWindow="-120" yWindow="-120" windowWidth="29040" windowHeight="17520" tabRatio="863" activeTab="4" xr2:uid="{00000000-000D-0000-FFFF-FFFF00000000}"/>
  </bookViews>
  <sheets>
    <sheet name="Status" sheetId="4" r:id="rId1"/>
    <sheet name="PDS (old)" sheetId="6" state="hidden" r:id="rId2"/>
    <sheet name="Aux." sheetId="10" state="hidden" r:id="rId3"/>
    <sheet name="PDS" sheetId="11" r:id="rId4"/>
    <sheet name="Detalhe" sheetId="1" r:id="rId5"/>
    <sheet name="Status PM (Campos)" sheetId="18" r:id="rId6"/>
    <sheet name="Caderno Testes" sheetId="5" r:id="rId7"/>
    <sheet name="Processo Juros Corridos" sheetId="23" r:id="rId8"/>
    <sheet name="Desenvolvimentos Futuros" sheetId="21" r:id="rId9"/>
    <sheet name="INPUT -&gt;" sheetId="22" r:id="rId10"/>
    <sheet name="Planeamento DEV VS PRO" sheetId="15" r:id="rId11"/>
    <sheet name="PRO_LT_SCORECARD_FLEX_VALIDATIO" sheetId="20" r:id="rId12"/>
  </sheets>
  <externalReferences>
    <externalReference r:id="rId13"/>
    <externalReference r:id="rId14"/>
  </externalReferences>
  <definedNames>
    <definedName name="_xlnm._FilterDatabase" localSheetId="6" hidden="1">'Caderno Testes'!$A$1:$I$287</definedName>
    <definedName name="_xlnm._FilterDatabase" localSheetId="8" hidden="1">'Desenvolvimentos Futuros'!$B$32:$D$34</definedName>
    <definedName name="_xlnm._FilterDatabase" localSheetId="4" hidden="1">Detalhe!$C$5:$Y$408</definedName>
    <definedName name="_xlnm._FilterDatabase" localSheetId="3" hidden="1">Aux.!$B$2:$H$2</definedName>
    <definedName name="_xlnm._FilterDatabase" localSheetId="1" hidden="1">Aux.!$B$2:$H$2</definedName>
    <definedName name="_xlnm._FilterDatabase" localSheetId="11" hidden="1">PRO_LT_SCORECARD_FLEX_VALIDATIO!$A$1:$J$1839</definedName>
    <definedName name="_xlnm._FilterDatabase" localSheetId="5" hidden="1">'Status PM (Campos)'!$B$18:$I$53</definedName>
  </definedNames>
  <calcPr calcId="191028"/>
  <pivotCaches>
    <pivotCache cacheId="0" r:id="rId15"/>
    <pivotCache cacheId="1"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08" i="1" l="1"/>
  <c r="Y407" i="1"/>
  <c r="Y406" i="1"/>
  <c r="Y405" i="1"/>
  <c r="Y404" i="1"/>
  <c r="Y403" i="1"/>
  <c r="Y402" i="1"/>
  <c r="Y401" i="1"/>
  <c r="Y400" i="1"/>
  <c r="Y399" i="1"/>
  <c r="Y398" i="1"/>
  <c r="Y397" i="1"/>
  <c r="Y396" i="1"/>
  <c r="Y395" i="1"/>
  <c r="Y394" i="1"/>
  <c r="Y393" i="1"/>
  <c r="Y392" i="1"/>
  <c r="Y391" i="1"/>
  <c r="Y390" i="1"/>
  <c r="Y389" i="1"/>
  <c r="Y388" i="1"/>
  <c r="Y387" i="1"/>
  <c r="Y386" i="1"/>
  <c r="Y385" i="1"/>
  <c r="Y384" i="1"/>
  <c r="Y383" i="1"/>
  <c r="Y382" i="1"/>
  <c r="Y381" i="1"/>
  <c r="Y380" i="1"/>
  <c r="Y379" i="1"/>
  <c r="Y378" i="1"/>
  <c r="Y377" i="1"/>
  <c r="Y376" i="1"/>
  <c r="Y375" i="1"/>
  <c r="Y374" i="1"/>
  <c r="Y373" i="1"/>
  <c r="Y372" i="1"/>
  <c r="Y371" i="1"/>
  <c r="Y370" i="1"/>
  <c r="Y369" i="1"/>
  <c r="Y368" i="1"/>
  <c r="Y367" i="1"/>
  <c r="Y366" i="1"/>
  <c r="Y365" i="1"/>
  <c r="Y364" i="1"/>
  <c r="Y363" i="1"/>
  <c r="Y362" i="1"/>
  <c r="Y361" i="1"/>
  <c r="Y360" i="1"/>
  <c r="Y359" i="1"/>
  <c r="Y358" i="1"/>
  <c r="Y357" i="1"/>
  <c r="Y356" i="1"/>
  <c r="Y355" i="1"/>
  <c r="Y354" i="1"/>
  <c r="Y353" i="1"/>
  <c r="Y352" i="1"/>
  <c r="Y351" i="1"/>
  <c r="Y350" i="1"/>
  <c r="Y349" i="1"/>
  <c r="Y348" i="1"/>
  <c r="Y347" i="1"/>
  <c r="Y346" i="1"/>
  <c r="Y345" i="1"/>
  <c r="Y344" i="1"/>
  <c r="Y343" i="1"/>
  <c r="Y342" i="1"/>
  <c r="Y341" i="1"/>
  <c r="Y340" i="1"/>
  <c r="Y339" i="1"/>
  <c r="Y338" i="1"/>
  <c r="Y337" i="1"/>
  <c r="Y336" i="1"/>
  <c r="Y335" i="1"/>
  <c r="Y334" i="1"/>
  <c r="Y333" i="1"/>
  <c r="Y332" i="1"/>
  <c r="Y331" i="1"/>
  <c r="Y330" i="1"/>
  <c r="Y329" i="1"/>
  <c r="Y328" i="1"/>
  <c r="Y327" i="1"/>
  <c r="Y326" i="1"/>
  <c r="Y325" i="1"/>
  <c r="Y324" i="1"/>
  <c r="Y323" i="1"/>
  <c r="Y322" i="1"/>
  <c r="Y321" i="1"/>
  <c r="Y320" i="1"/>
  <c r="Y319" i="1"/>
  <c r="Y318" i="1"/>
  <c r="Y317" i="1"/>
  <c r="Y316" i="1"/>
  <c r="Y315" i="1"/>
  <c r="Y314" i="1"/>
  <c r="Y313" i="1"/>
  <c r="Y312" i="1"/>
  <c r="Y311" i="1"/>
  <c r="Y310" i="1"/>
  <c r="Y309" i="1"/>
  <c r="Y308" i="1"/>
  <c r="Y307" i="1"/>
  <c r="Y306" i="1"/>
  <c r="Y305" i="1"/>
  <c r="Y304" i="1"/>
  <c r="Y303" i="1"/>
  <c r="Y302" i="1"/>
  <c r="Y301" i="1"/>
  <c r="Y300" i="1"/>
  <c r="Y299" i="1"/>
  <c r="Y298" i="1"/>
  <c r="Y297" i="1"/>
  <c r="Y296" i="1"/>
  <c r="Y295" i="1"/>
  <c r="Y294" i="1"/>
  <c r="Y293" i="1"/>
  <c r="Y292" i="1"/>
  <c r="Y291" i="1"/>
  <c r="Y290" i="1"/>
  <c r="Y289" i="1"/>
  <c r="Y288" i="1"/>
  <c r="Y287" i="1"/>
  <c r="Y286" i="1"/>
  <c r="Y285" i="1"/>
  <c r="Y284" i="1"/>
  <c r="Y283" i="1"/>
  <c r="Y282" i="1"/>
  <c r="Y281" i="1"/>
  <c r="Y280" i="1"/>
  <c r="Y279" i="1"/>
  <c r="Y278" i="1"/>
  <c r="Y277" i="1"/>
  <c r="Y276" i="1"/>
  <c r="Y275" i="1"/>
  <c r="Y274" i="1"/>
  <c r="Y273" i="1"/>
  <c r="Y272" i="1"/>
  <c r="Y271" i="1"/>
  <c r="Y270" i="1"/>
  <c r="Y269" i="1"/>
  <c r="Y268" i="1"/>
  <c r="Y267" i="1"/>
  <c r="Y266" i="1"/>
  <c r="Y265" i="1"/>
  <c r="Y264" i="1"/>
  <c r="Y263" i="1"/>
  <c r="Y262" i="1"/>
  <c r="Y261" i="1"/>
  <c r="Y260" i="1"/>
  <c r="Y259" i="1"/>
  <c r="Y258" i="1"/>
  <c r="Y257" i="1"/>
  <c r="Y256" i="1"/>
  <c r="Y255" i="1"/>
  <c r="Y254" i="1"/>
  <c r="Y253" i="1"/>
  <c r="Y252" i="1"/>
  <c r="Y251" i="1"/>
  <c r="Y250" i="1"/>
  <c r="Y249" i="1"/>
  <c r="Y248" i="1"/>
  <c r="Y247" i="1"/>
  <c r="Y246" i="1"/>
  <c r="Y245" i="1"/>
  <c r="Y244" i="1"/>
  <c r="Y243" i="1"/>
  <c r="Y242" i="1"/>
  <c r="Y241" i="1"/>
  <c r="Y240" i="1"/>
  <c r="Y239" i="1"/>
  <c r="Y238" i="1"/>
  <c r="Y237" i="1"/>
  <c r="Y236" i="1"/>
  <c r="Y235" i="1"/>
  <c r="Y234" i="1"/>
  <c r="Y233" i="1"/>
  <c r="Y232" i="1"/>
  <c r="Y231" i="1"/>
  <c r="Y230" i="1"/>
  <c r="Y229" i="1"/>
  <c r="Y228" i="1"/>
  <c r="Y227" i="1"/>
  <c r="Y226" i="1"/>
  <c r="Y225" i="1"/>
  <c r="Y224" i="1"/>
  <c r="Y223" i="1"/>
  <c r="Y222" i="1"/>
  <c r="Y221" i="1"/>
  <c r="Y220" i="1"/>
  <c r="Y219" i="1"/>
  <c r="Y218" i="1"/>
  <c r="Y217" i="1"/>
  <c r="Y216" i="1"/>
  <c r="Y215" i="1"/>
  <c r="Y214" i="1"/>
  <c r="Y213" i="1"/>
  <c r="Y212" i="1"/>
  <c r="Y211" i="1"/>
  <c r="Y210" i="1"/>
  <c r="Y209" i="1"/>
  <c r="Y208" i="1"/>
  <c r="Y207" i="1"/>
  <c r="Y206" i="1"/>
  <c r="Y205" i="1"/>
  <c r="Y204"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K1839" i="20"/>
  <c r="K1838" i="20"/>
  <c r="K1837" i="20"/>
  <c r="K1836" i="20"/>
  <c r="K1835" i="20"/>
  <c r="K1834" i="20"/>
  <c r="K1833" i="20"/>
  <c r="K1832" i="20"/>
  <c r="K1831" i="20"/>
  <c r="K1830" i="20"/>
  <c r="K1829" i="20"/>
  <c r="K1828" i="20"/>
  <c r="K1827" i="20"/>
  <c r="K1826" i="20"/>
  <c r="K1825" i="20"/>
  <c r="K1824" i="20"/>
  <c r="K1823" i="20"/>
  <c r="K1822" i="20"/>
  <c r="K1821" i="20"/>
  <c r="K1820" i="20"/>
  <c r="K1819" i="20"/>
  <c r="K1818" i="20"/>
  <c r="K1817" i="20"/>
  <c r="K1816" i="20"/>
  <c r="K1815" i="20"/>
  <c r="K1814" i="20"/>
  <c r="K1813" i="20"/>
  <c r="K1812" i="20"/>
  <c r="K1811" i="20"/>
  <c r="K1810" i="20"/>
  <c r="K1809" i="20"/>
  <c r="K1808" i="20"/>
  <c r="K1807" i="20"/>
  <c r="K1806" i="20"/>
  <c r="K1805" i="20"/>
  <c r="K1804" i="20"/>
  <c r="K1803" i="20"/>
  <c r="K1802" i="20"/>
  <c r="K1801" i="20"/>
  <c r="K1800" i="20"/>
  <c r="K1799" i="20"/>
  <c r="K1798" i="20"/>
  <c r="K1797" i="20"/>
  <c r="K1796" i="20"/>
  <c r="K1795" i="20"/>
  <c r="K1794" i="20"/>
  <c r="K1793" i="20"/>
  <c r="K1792" i="20"/>
  <c r="K1791" i="20"/>
  <c r="K1790" i="20"/>
  <c r="K1789" i="20"/>
  <c r="K1788" i="20"/>
  <c r="K1787" i="20"/>
  <c r="K1786" i="20"/>
  <c r="K1785" i="20"/>
  <c r="K1784" i="20"/>
  <c r="K1783" i="20"/>
  <c r="K1782" i="20"/>
  <c r="K1781" i="20"/>
  <c r="K1780" i="20"/>
  <c r="K1779" i="20"/>
  <c r="K1778" i="20"/>
  <c r="K1777" i="20"/>
  <c r="K1776" i="20"/>
  <c r="K1775" i="20"/>
  <c r="K1774" i="20"/>
  <c r="K1773" i="20"/>
  <c r="K1772" i="20"/>
  <c r="K1771" i="20"/>
  <c r="K1770" i="20"/>
  <c r="K1769" i="20"/>
  <c r="K1768" i="20"/>
  <c r="K1767" i="20"/>
  <c r="K1766" i="20"/>
  <c r="K1765" i="20"/>
  <c r="K1764" i="20"/>
  <c r="K1763" i="20"/>
  <c r="K1762" i="20"/>
  <c r="K1761" i="20"/>
  <c r="K1760" i="20"/>
  <c r="K1759" i="20"/>
  <c r="K1758" i="20"/>
  <c r="K1757" i="20"/>
  <c r="K1756" i="20"/>
  <c r="K1755" i="20"/>
  <c r="K1754" i="20"/>
  <c r="K1753" i="20"/>
  <c r="K1752" i="20"/>
  <c r="K1751" i="20"/>
  <c r="K1750" i="20"/>
  <c r="K1749" i="20"/>
  <c r="K1748" i="20"/>
  <c r="K1747" i="20"/>
  <c r="K1746" i="20"/>
  <c r="K1745" i="20"/>
  <c r="K1744" i="20"/>
  <c r="K1743" i="20"/>
  <c r="K1742" i="20"/>
  <c r="K1741" i="20"/>
  <c r="K1740" i="20"/>
  <c r="K1739" i="20"/>
  <c r="K1738" i="20"/>
  <c r="K1737" i="20"/>
  <c r="K1736" i="20"/>
  <c r="K1735" i="20"/>
  <c r="K1734" i="20"/>
  <c r="K1733" i="20"/>
  <c r="K1732" i="20"/>
  <c r="K1731" i="20"/>
  <c r="K1730" i="20"/>
  <c r="K1729" i="20"/>
  <c r="K1728" i="20"/>
  <c r="K1727" i="20"/>
  <c r="K1726" i="20"/>
  <c r="K1725" i="20"/>
  <c r="K1724" i="20"/>
  <c r="K1723" i="20"/>
  <c r="K1722" i="20"/>
  <c r="K1721" i="20"/>
  <c r="K1720" i="20"/>
  <c r="K1719" i="20"/>
  <c r="K1718" i="20"/>
  <c r="K1717" i="20"/>
  <c r="K1716" i="20"/>
  <c r="K1715" i="20"/>
  <c r="K1714" i="20"/>
  <c r="K1713" i="20"/>
  <c r="K1712" i="20"/>
  <c r="K1711" i="20"/>
  <c r="K1710" i="20"/>
  <c r="K1709" i="20"/>
  <c r="K1708" i="20"/>
  <c r="K1707" i="20"/>
  <c r="K1706" i="20"/>
  <c r="K1705" i="20"/>
  <c r="K1704" i="20"/>
  <c r="K1703" i="20"/>
  <c r="K1702" i="20"/>
  <c r="K1701" i="20"/>
  <c r="K1700" i="20"/>
  <c r="K1699" i="20"/>
  <c r="K1698" i="20"/>
  <c r="K1697" i="20"/>
  <c r="K1696" i="20"/>
  <c r="K1695" i="20"/>
  <c r="K1694" i="20"/>
  <c r="K1693" i="20"/>
  <c r="K1692" i="20"/>
  <c r="K1691" i="20"/>
  <c r="K1690" i="20"/>
  <c r="K1689" i="20"/>
  <c r="K1688" i="20"/>
  <c r="K1687" i="20"/>
  <c r="K1686" i="20"/>
  <c r="K1685" i="20"/>
  <c r="K1684" i="20"/>
  <c r="K1683" i="20"/>
  <c r="K1682" i="20"/>
  <c r="K1681" i="20"/>
  <c r="K1680" i="20"/>
  <c r="K1679" i="20"/>
  <c r="K1678" i="20"/>
  <c r="K1677" i="20"/>
  <c r="K1676" i="20"/>
  <c r="K1675" i="20"/>
  <c r="K1674" i="20"/>
  <c r="K1673" i="20"/>
  <c r="K1672" i="20"/>
  <c r="K1671" i="20"/>
  <c r="K1670" i="20"/>
  <c r="K1669" i="20"/>
  <c r="K1668" i="20"/>
  <c r="K1667" i="20"/>
  <c r="K1666" i="20"/>
  <c r="K1665" i="20"/>
  <c r="K1664" i="20"/>
  <c r="K1663" i="20"/>
  <c r="K1662" i="20"/>
  <c r="K1661" i="20"/>
  <c r="K1660" i="20"/>
  <c r="K1659" i="20"/>
  <c r="K1658" i="20"/>
  <c r="K1657" i="20"/>
  <c r="K1656" i="20"/>
  <c r="K1655" i="20"/>
  <c r="K1654" i="20"/>
  <c r="K1653" i="20"/>
  <c r="K1652" i="20"/>
  <c r="K1651" i="20"/>
  <c r="K1650" i="20"/>
  <c r="K1649" i="20"/>
  <c r="K1648" i="20"/>
  <c r="K1647" i="20"/>
  <c r="K1646" i="20"/>
  <c r="K1645" i="20"/>
  <c r="K1644" i="20"/>
  <c r="K1643" i="20"/>
  <c r="K1642" i="20"/>
  <c r="K1641" i="20"/>
  <c r="K1640" i="20"/>
  <c r="K1639" i="20"/>
  <c r="K1638" i="20"/>
  <c r="K1637" i="20"/>
  <c r="K1636" i="20"/>
  <c r="K1635" i="20"/>
  <c r="K1634" i="20"/>
  <c r="K1633" i="20"/>
  <c r="K1632" i="20"/>
  <c r="K1631" i="20"/>
  <c r="K1630" i="20"/>
  <c r="K1629" i="20"/>
  <c r="K1628" i="20"/>
  <c r="K1627" i="20"/>
  <c r="K1626" i="20"/>
  <c r="K1625" i="20"/>
  <c r="K1624" i="20"/>
  <c r="K1623" i="20"/>
  <c r="K1622" i="20"/>
  <c r="K1621" i="20"/>
  <c r="K1620" i="20"/>
  <c r="K1619" i="20"/>
  <c r="K1618" i="20"/>
  <c r="K1617" i="20"/>
  <c r="K1616" i="20"/>
  <c r="K1615" i="20"/>
  <c r="K1614" i="20"/>
  <c r="K1613" i="20"/>
  <c r="K1612" i="20"/>
  <c r="K1611" i="20"/>
  <c r="K1610" i="20"/>
  <c r="K1609" i="20"/>
  <c r="K1608" i="20"/>
  <c r="K1607" i="20"/>
  <c r="K1606" i="20"/>
  <c r="K1605" i="20"/>
  <c r="K1604" i="20"/>
  <c r="K1603" i="20"/>
  <c r="K1602" i="20"/>
  <c r="K1601" i="20"/>
  <c r="K1600" i="20"/>
  <c r="K1599" i="20"/>
  <c r="K1598" i="20"/>
  <c r="K1597" i="20"/>
  <c r="K1596" i="20"/>
  <c r="K1595" i="20"/>
  <c r="K1594" i="20"/>
  <c r="K1593" i="20"/>
  <c r="K1592" i="20"/>
  <c r="K1591" i="20"/>
  <c r="K1590" i="20"/>
  <c r="K1589" i="20"/>
  <c r="K1588" i="20"/>
  <c r="K1587" i="20"/>
  <c r="K1586" i="20"/>
  <c r="K1585" i="20"/>
  <c r="K1584" i="20"/>
  <c r="K1583" i="20"/>
  <c r="K1582" i="20"/>
  <c r="K1581" i="20"/>
  <c r="K1580" i="20"/>
  <c r="K1579" i="20"/>
  <c r="K1578" i="20"/>
  <c r="K1577" i="20"/>
  <c r="K1576" i="20"/>
  <c r="K1575" i="20"/>
  <c r="K1574" i="20"/>
  <c r="K1573" i="20"/>
  <c r="K1572" i="20"/>
  <c r="K1571" i="20"/>
  <c r="K1570" i="20"/>
  <c r="K1569" i="20"/>
  <c r="K1568" i="20"/>
  <c r="K1567" i="20"/>
  <c r="K1566" i="20"/>
  <c r="K1565" i="20"/>
  <c r="K1564" i="20"/>
  <c r="K1563" i="20"/>
  <c r="K1562" i="20"/>
  <c r="K1561" i="20"/>
  <c r="K1560" i="20"/>
  <c r="K1559" i="20"/>
  <c r="K1558" i="20"/>
  <c r="K1557" i="20"/>
  <c r="K1556" i="20"/>
  <c r="K1555" i="20"/>
  <c r="K1554" i="20"/>
  <c r="K1553" i="20"/>
  <c r="K1552" i="20"/>
  <c r="K1551" i="20"/>
  <c r="K1550" i="20"/>
  <c r="K1549" i="20"/>
  <c r="K1548" i="20"/>
  <c r="K1547" i="20"/>
  <c r="K1546" i="20"/>
  <c r="K1545" i="20"/>
  <c r="K1544" i="20"/>
  <c r="K1543" i="20"/>
  <c r="K1542" i="20"/>
  <c r="K1541" i="20"/>
  <c r="K1540" i="20"/>
  <c r="K1539" i="20"/>
  <c r="K1538" i="20"/>
  <c r="K1537" i="20"/>
  <c r="K1536" i="20"/>
  <c r="K1535" i="20"/>
  <c r="K1534" i="20"/>
  <c r="K1533" i="20"/>
  <c r="K1532" i="20"/>
  <c r="K1531" i="20"/>
  <c r="K1530" i="20"/>
  <c r="K1529" i="20"/>
  <c r="K1528" i="20"/>
  <c r="K1527" i="20"/>
  <c r="K1526" i="20"/>
  <c r="K1525" i="20"/>
  <c r="K1524" i="20"/>
  <c r="K1523" i="20"/>
  <c r="K1522" i="20"/>
  <c r="K1521" i="20"/>
  <c r="K1520" i="20"/>
  <c r="K1519" i="20"/>
  <c r="K1518" i="20"/>
  <c r="K1517" i="20"/>
  <c r="K1516" i="20"/>
  <c r="K1515" i="20"/>
  <c r="K1514" i="20"/>
  <c r="K1513" i="20"/>
  <c r="K1512" i="20"/>
  <c r="K1511" i="20"/>
  <c r="K1510" i="20"/>
  <c r="K1509" i="20"/>
  <c r="K1508" i="20"/>
  <c r="K1507" i="20"/>
  <c r="K1506" i="20"/>
  <c r="K1505" i="20"/>
  <c r="K1504" i="20"/>
  <c r="K1503" i="20"/>
  <c r="K1502" i="20"/>
  <c r="K1501" i="20"/>
  <c r="K1500" i="20"/>
  <c r="K1499" i="20"/>
  <c r="K1498" i="20"/>
  <c r="K1497" i="20"/>
  <c r="K1496" i="20"/>
  <c r="K1495" i="20"/>
  <c r="K1494" i="20"/>
  <c r="K1493" i="20"/>
  <c r="K1492" i="20"/>
  <c r="K1491" i="20"/>
  <c r="K1490" i="20"/>
  <c r="K1489" i="20"/>
  <c r="K1488" i="20"/>
  <c r="K1487" i="20"/>
  <c r="K1486" i="20"/>
  <c r="K1485" i="20"/>
  <c r="K1484" i="20"/>
  <c r="K1483" i="20"/>
  <c r="K1482" i="20"/>
  <c r="K1481" i="20"/>
  <c r="K1480" i="20"/>
  <c r="K1479" i="20"/>
  <c r="K1478" i="20"/>
  <c r="K1477" i="20"/>
  <c r="K1476" i="20"/>
  <c r="K1475" i="20"/>
  <c r="K1474" i="20"/>
  <c r="K1473" i="20"/>
  <c r="K1472" i="20"/>
  <c r="K1471" i="20"/>
  <c r="K1470" i="20"/>
  <c r="K1469" i="20"/>
  <c r="K1468" i="20"/>
  <c r="K1467" i="20"/>
  <c r="K1466" i="20"/>
  <c r="K1465" i="20"/>
  <c r="K1464" i="20"/>
  <c r="K1463" i="20"/>
  <c r="K1462" i="20"/>
  <c r="K1461" i="20"/>
  <c r="K1460" i="20"/>
  <c r="K1459" i="20"/>
  <c r="K1458" i="20"/>
  <c r="K1457" i="20"/>
  <c r="K1456" i="20"/>
  <c r="K1455" i="20"/>
  <c r="K1454" i="20"/>
  <c r="K1453" i="20"/>
  <c r="K1452" i="20"/>
  <c r="K1451" i="20"/>
  <c r="K1450" i="20"/>
  <c r="K1449" i="20"/>
  <c r="K1448" i="20"/>
  <c r="K1447" i="20"/>
  <c r="K1446" i="20"/>
  <c r="K1445" i="20"/>
  <c r="K1444" i="20"/>
  <c r="K1443" i="20"/>
  <c r="K1442" i="20"/>
  <c r="K1441" i="20"/>
  <c r="K1440" i="20"/>
  <c r="K1439" i="20"/>
  <c r="K1438" i="20"/>
  <c r="K1437" i="20"/>
  <c r="K1436" i="20"/>
  <c r="K1435" i="20"/>
  <c r="K1434" i="20"/>
  <c r="K1433" i="20"/>
  <c r="K1432" i="20"/>
  <c r="K1431" i="20"/>
  <c r="K1430" i="20"/>
  <c r="K1429" i="20"/>
  <c r="K1428" i="20"/>
  <c r="K1427" i="20"/>
  <c r="K1426" i="20"/>
  <c r="K1425" i="20"/>
  <c r="K1424" i="20"/>
  <c r="K1423" i="20"/>
  <c r="K1422" i="20"/>
  <c r="K1421" i="20"/>
  <c r="K1420" i="20"/>
  <c r="K1419" i="20"/>
  <c r="K1418" i="20"/>
  <c r="K1417" i="20"/>
  <c r="K1416" i="20"/>
  <c r="K1415" i="20"/>
  <c r="K1414" i="20"/>
  <c r="K1413" i="20"/>
  <c r="K1412" i="20"/>
  <c r="K1411" i="20"/>
  <c r="K1410" i="20"/>
  <c r="K1409" i="20"/>
  <c r="K1408" i="20"/>
  <c r="K1407" i="20"/>
  <c r="K1406" i="20"/>
  <c r="K1405" i="20"/>
  <c r="K1404" i="20"/>
  <c r="K1403" i="20"/>
  <c r="K1402" i="20"/>
  <c r="K1401" i="20"/>
  <c r="K1400" i="20"/>
  <c r="K1399" i="20"/>
  <c r="K1398" i="20"/>
  <c r="K1397" i="20"/>
  <c r="K1396" i="20"/>
  <c r="K1395" i="20"/>
  <c r="K1394" i="20"/>
  <c r="K1393" i="20"/>
  <c r="K1392" i="20"/>
  <c r="K1391" i="20"/>
  <c r="K1390" i="20"/>
  <c r="K1389" i="20"/>
  <c r="K1388" i="20"/>
  <c r="K1387" i="20"/>
  <c r="K1386" i="20"/>
  <c r="K1385" i="20"/>
  <c r="K1384" i="20"/>
  <c r="K1383" i="20"/>
  <c r="K1382" i="20"/>
  <c r="K1381" i="20"/>
  <c r="K1380" i="20"/>
  <c r="K1379" i="20"/>
  <c r="K1378" i="20"/>
  <c r="K1377" i="20"/>
  <c r="K1376" i="20"/>
  <c r="K1375" i="20"/>
  <c r="K1374" i="20"/>
  <c r="K1373" i="20"/>
  <c r="K1372" i="20"/>
  <c r="K1371" i="20"/>
  <c r="K1370" i="20"/>
  <c r="K1369" i="20"/>
  <c r="K1368" i="20"/>
  <c r="K1367" i="20"/>
  <c r="K1366" i="20"/>
  <c r="K1365" i="20"/>
  <c r="K1364" i="20"/>
  <c r="K1363" i="20"/>
  <c r="K1362" i="20"/>
  <c r="K1361" i="20"/>
  <c r="K1360" i="20"/>
  <c r="K1359" i="20"/>
  <c r="K1358" i="20"/>
  <c r="K1357" i="20"/>
  <c r="K1356" i="20"/>
  <c r="K1355" i="20"/>
  <c r="K1354" i="20"/>
  <c r="K1353" i="20"/>
  <c r="K1352" i="20"/>
  <c r="K1351" i="20"/>
  <c r="K1350" i="20"/>
  <c r="K1349" i="20"/>
  <c r="K1348" i="20"/>
  <c r="K1347" i="20"/>
  <c r="K1346" i="20"/>
  <c r="K1345" i="20"/>
  <c r="K1344" i="20"/>
  <c r="K1343" i="20"/>
  <c r="K1342" i="20"/>
  <c r="K1341" i="20"/>
  <c r="K1340" i="20"/>
  <c r="K1339" i="20"/>
  <c r="K1338" i="20"/>
  <c r="K1337" i="20"/>
  <c r="K1336" i="20"/>
  <c r="K1335" i="20"/>
  <c r="K1334" i="20"/>
  <c r="K1333" i="20"/>
  <c r="K1332" i="20"/>
  <c r="K1331" i="20"/>
  <c r="K1330" i="20"/>
  <c r="K1329" i="20"/>
  <c r="K1328" i="20"/>
  <c r="K1327" i="20"/>
  <c r="K1326" i="20"/>
  <c r="K1325" i="20"/>
  <c r="K1324" i="20"/>
  <c r="K1323" i="20"/>
  <c r="K1322" i="20"/>
  <c r="K1321" i="20"/>
  <c r="K1320" i="20"/>
  <c r="K1319" i="20"/>
  <c r="K1318" i="20"/>
  <c r="K1317" i="20"/>
  <c r="K1316" i="20"/>
  <c r="K1315" i="20"/>
  <c r="K1314" i="20"/>
  <c r="K1313" i="20"/>
  <c r="K1312" i="20"/>
  <c r="K1311" i="20"/>
  <c r="K1310" i="20"/>
  <c r="K1309" i="20"/>
  <c r="K1308" i="20"/>
  <c r="K1307" i="20"/>
  <c r="K1306" i="20"/>
  <c r="K1305" i="20"/>
  <c r="K1304" i="20"/>
  <c r="K1303" i="20"/>
  <c r="K1302" i="20"/>
  <c r="K1301" i="20"/>
  <c r="K1300" i="20"/>
  <c r="K1299" i="20"/>
  <c r="K1298" i="20"/>
  <c r="K1297" i="20"/>
  <c r="K1296" i="20"/>
  <c r="K1295" i="20"/>
  <c r="K1294" i="20"/>
  <c r="K1293" i="20"/>
  <c r="K1292" i="20"/>
  <c r="K1291" i="20"/>
  <c r="K1290" i="20"/>
  <c r="K1289" i="20"/>
  <c r="K1288" i="20"/>
  <c r="K1287" i="20"/>
  <c r="K1286" i="20"/>
  <c r="K1285" i="20"/>
  <c r="K1284" i="20"/>
  <c r="K1283" i="20"/>
  <c r="K1282" i="20"/>
  <c r="K1281" i="20"/>
  <c r="K1280" i="20"/>
  <c r="K1279" i="20"/>
  <c r="K1278" i="20"/>
  <c r="K1277" i="20"/>
  <c r="K1276" i="20"/>
  <c r="K1275" i="20"/>
  <c r="K1274" i="20"/>
  <c r="K1273" i="20"/>
  <c r="K1272" i="20"/>
  <c r="K1271" i="20"/>
  <c r="K1270" i="20"/>
  <c r="K1269" i="20"/>
  <c r="K1268" i="20"/>
  <c r="K1267" i="20"/>
  <c r="K1266" i="20"/>
  <c r="K1265" i="20"/>
  <c r="K1264" i="20"/>
  <c r="K1263" i="20"/>
  <c r="K1262" i="20"/>
  <c r="K1261" i="20"/>
  <c r="K1260" i="20"/>
  <c r="K1259" i="20"/>
  <c r="K1258" i="20"/>
  <c r="K1257" i="20"/>
  <c r="K1256" i="20"/>
  <c r="K1255" i="20"/>
  <c r="K1254" i="20"/>
  <c r="K1253" i="20"/>
  <c r="K1252" i="20"/>
  <c r="K1251" i="20"/>
  <c r="K1250" i="20"/>
  <c r="K1249" i="20"/>
  <c r="K1248" i="20"/>
  <c r="K1247" i="20"/>
  <c r="K1246" i="20"/>
  <c r="K1245" i="20"/>
  <c r="K1244" i="20"/>
  <c r="K1243" i="20"/>
  <c r="K1242" i="20"/>
  <c r="K1241" i="20"/>
  <c r="K1240" i="20"/>
  <c r="K1239" i="20"/>
  <c r="K1238" i="20"/>
  <c r="K1237" i="20"/>
  <c r="K1236" i="20"/>
  <c r="K1235" i="20"/>
  <c r="K1234" i="20"/>
  <c r="K1233" i="20"/>
  <c r="K1232" i="20"/>
  <c r="K1231" i="20"/>
  <c r="K1230" i="20"/>
  <c r="K1229" i="20"/>
  <c r="K1228" i="20"/>
  <c r="K1227" i="20"/>
  <c r="K1226" i="20"/>
  <c r="K1225" i="20"/>
  <c r="K1224" i="20"/>
  <c r="K1223" i="20"/>
  <c r="K1222" i="20"/>
  <c r="K1221" i="20"/>
  <c r="K1220" i="20"/>
  <c r="K1219" i="20"/>
  <c r="K1218" i="20"/>
  <c r="K1217" i="20"/>
  <c r="K1216" i="20"/>
  <c r="K1215" i="20"/>
  <c r="K1214" i="20"/>
  <c r="K1213" i="20"/>
  <c r="K1212" i="20"/>
  <c r="K1211" i="20"/>
  <c r="K1210" i="20"/>
  <c r="K1209" i="20"/>
  <c r="K1208" i="20"/>
  <c r="K1207" i="20"/>
  <c r="K1206" i="20"/>
  <c r="K1205" i="20"/>
  <c r="K1204" i="20"/>
  <c r="K1203" i="20"/>
  <c r="K1202" i="20"/>
  <c r="K1201" i="20"/>
  <c r="K1200" i="20"/>
  <c r="K1199" i="20"/>
  <c r="K1198" i="20"/>
  <c r="K1197" i="20"/>
  <c r="K1196" i="20"/>
  <c r="K1195" i="20"/>
  <c r="K1194" i="20"/>
  <c r="K1193" i="20"/>
  <c r="K1192" i="20"/>
  <c r="K1191" i="20"/>
  <c r="K1190" i="20"/>
  <c r="K1189" i="20"/>
  <c r="K1188" i="20"/>
  <c r="K1187" i="20"/>
  <c r="K1186" i="20"/>
  <c r="K1185" i="20"/>
  <c r="K1184" i="20"/>
  <c r="K1183" i="20"/>
  <c r="K1182" i="20"/>
  <c r="K1181" i="20"/>
  <c r="K1180" i="20"/>
  <c r="K1179" i="20"/>
  <c r="K1178" i="20"/>
  <c r="K1177" i="20"/>
  <c r="K1176" i="20"/>
  <c r="K1175" i="20"/>
  <c r="K1174" i="20"/>
  <c r="K1173" i="20"/>
  <c r="K1172" i="20"/>
  <c r="K1171" i="20"/>
  <c r="K1170" i="20"/>
  <c r="K1169" i="20"/>
  <c r="K1168" i="20"/>
  <c r="K1167" i="20"/>
  <c r="K1166" i="20"/>
  <c r="K1165" i="20"/>
  <c r="K1164" i="20"/>
  <c r="K1163" i="20"/>
  <c r="K1162" i="20"/>
  <c r="K1161" i="20"/>
  <c r="K1160" i="20"/>
  <c r="K1159" i="20"/>
  <c r="K1158" i="20"/>
  <c r="K1157" i="20"/>
  <c r="K1156" i="20"/>
  <c r="K1155" i="20"/>
  <c r="K1154" i="20"/>
  <c r="K1153" i="20"/>
  <c r="K1152" i="20"/>
  <c r="K1151" i="20"/>
  <c r="K1150" i="20"/>
  <c r="K1149" i="20"/>
  <c r="K1148" i="20"/>
  <c r="K1147" i="20"/>
  <c r="K1146" i="20"/>
  <c r="K1145" i="20"/>
  <c r="K1144" i="20"/>
  <c r="K1143" i="20"/>
  <c r="K1142" i="20"/>
  <c r="K1141" i="20"/>
  <c r="K1140" i="20"/>
  <c r="K1139" i="20"/>
  <c r="K1138" i="20"/>
  <c r="K1137" i="20"/>
  <c r="K1136" i="20"/>
  <c r="K1135" i="20"/>
  <c r="K1134" i="20"/>
  <c r="K1133" i="20"/>
  <c r="K1132" i="20"/>
  <c r="K1131" i="20"/>
  <c r="K1130" i="20"/>
  <c r="K1129" i="20"/>
  <c r="K1128" i="20"/>
  <c r="K1127" i="20"/>
  <c r="K1126" i="20"/>
  <c r="K1125" i="20"/>
  <c r="K1124" i="20"/>
  <c r="K1123" i="20"/>
  <c r="K1122" i="20"/>
  <c r="K1121" i="20"/>
  <c r="K1120" i="20"/>
  <c r="K1119" i="20"/>
  <c r="K1118" i="20"/>
  <c r="K1117" i="20"/>
  <c r="K1116" i="20"/>
  <c r="K1115" i="20"/>
  <c r="K1114" i="20"/>
  <c r="K1113" i="20"/>
  <c r="K1112" i="20"/>
  <c r="K1111" i="20"/>
  <c r="K1110" i="20"/>
  <c r="K1109" i="20"/>
  <c r="K1108" i="20"/>
  <c r="K1107" i="20"/>
  <c r="K1106" i="20"/>
  <c r="K1105" i="20"/>
  <c r="K1104" i="20"/>
  <c r="K1103" i="20"/>
  <c r="K1102" i="20"/>
  <c r="K1101" i="20"/>
  <c r="K1100" i="20"/>
  <c r="K1099" i="20"/>
  <c r="K1098" i="20"/>
  <c r="K1097" i="20"/>
  <c r="K1096" i="20"/>
  <c r="K1095" i="20"/>
  <c r="K1094" i="20"/>
  <c r="K1093" i="20"/>
  <c r="K1092" i="20"/>
  <c r="K1091" i="20"/>
  <c r="K1090" i="20"/>
  <c r="K1089" i="20"/>
  <c r="K1088" i="20"/>
  <c r="K1087" i="20"/>
  <c r="K1086" i="20"/>
  <c r="K1085" i="20"/>
  <c r="K1084" i="20"/>
  <c r="K1083" i="20"/>
  <c r="K1082" i="20"/>
  <c r="K1081" i="20"/>
  <c r="K1080" i="20"/>
  <c r="K1079" i="20"/>
  <c r="K1078" i="20"/>
  <c r="K1077" i="20"/>
  <c r="K1076" i="20"/>
  <c r="K1075" i="20"/>
  <c r="K1074" i="20"/>
  <c r="K1073" i="20"/>
  <c r="K1072" i="20"/>
  <c r="K1071" i="20"/>
  <c r="K1070" i="20"/>
  <c r="K1069" i="20"/>
  <c r="K1068" i="20"/>
  <c r="K1067" i="20"/>
  <c r="K1066" i="20"/>
  <c r="K1065" i="20"/>
  <c r="K1064" i="20"/>
  <c r="K1063" i="20"/>
  <c r="K1062" i="20"/>
  <c r="K1061" i="20"/>
  <c r="K1060" i="20"/>
  <c r="K1059" i="20"/>
  <c r="K1058" i="20"/>
  <c r="K1057" i="20"/>
  <c r="K1056" i="20"/>
  <c r="K1055" i="20"/>
  <c r="K1054" i="20"/>
  <c r="K1053" i="20"/>
  <c r="K1052" i="20"/>
  <c r="K1051" i="20"/>
  <c r="K1050" i="20"/>
  <c r="K1049" i="20"/>
  <c r="K1048" i="20"/>
  <c r="K1047" i="20"/>
  <c r="K1046" i="20"/>
  <c r="K1045" i="20"/>
  <c r="K1044" i="20"/>
  <c r="K1043" i="20"/>
  <c r="K1042" i="20"/>
  <c r="K1041" i="20"/>
  <c r="K1040" i="20"/>
  <c r="K1039" i="20"/>
  <c r="K1038" i="20"/>
  <c r="K1037" i="20"/>
  <c r="K1036" i="20"/>
  <c r="K1035" i="20"/>
  <c r="K1034" i="20"/>
  <c r="K1033" i="20"/>
  <c r="K1032" i="20"/>
  <c r="K1031" i="20"/>
  <c r="K1030" i="20"/>
  <c r="K1029" i="20"/>
  <c r="K1028" i="20"/>
  <c r="K1027" i="20"/>
  <c r="K1026" i="20"/>
  <c r="K1025" i="20"/>
  <c r="K1024" i="20"/>
  <c r="K1023" i="20"/>
  <c r="K1022" i="20"/>
  <c r="K1021" i="20"/>
  <c r="K1020" i="20"/>
  <c r="K1019" i="20"/>
  <c r="K1018" i="20"/>
  <c r="K1017" i="20"/>
  <c r="K1016" i="20"/>
  <c r="K1015" i="20"/>
  <c r="K1014" i="20"/>
  <c r="K1013" i="20"/>
  <c r="K1012" i="20"/>
  <c r="K1011" i="20"/>
  <c r="K1010" i="20"/>
  <c r="K1009" i="20"/>
  <c r="K1008" i="20"/>
  <c r="K1007" i="20"/>
  <c r="K1006" i="20"/>
  <c r="K1005" i="20"/>
  <c r="K1004" i="20"/>
  <c r="K1003" i="20"/>
  <c r="K1002" i="20"/>
  <c r="K1001" i="20"/>
  <c r="K1000" i="20"/>
  <c r="K999" i="20"/>
  <c r="K998" i="20"/>
  <c r="K997" i="20"/>
  <c r="K996" i="20"/>
  <c r="K995" i="20"/>
  <c r="K994" i="20"/>
  <c r="K993" i="20"/>
  <c r="K992" i="20"/>
  <c r="K991" i="20"/>
  <c r="K990" i="20"/>
  <c r="K989" i="20"/>
  <c r="K988" i="20"/>
  <c r="K987" i="20"/>
  <c r="K986" i="20"/>
  <c r="K985" i="20"/>
  <c r="K984" i="20"/>
  <c r="K983" i="20"/>
  <c r="K982" i="20"/>
  <c r="K981" i="20"/>
  <c r="K980" i="20"/>
  <c r="K979" i="20"/>
  <c r="K978" i="20"/>
  <c r="K977" i="20"/>
  <c r="K976" i="20"/>
  <c r="K975" i="20"/>
  <c r="K974" i="20"/>
  <c r="K973" i="20"/>
  <c r="K972" i="20"/>
  <c r="K971" i="20"/>
  <c r="K970" i="20"/>
  <c r="K969" i="20"/>
  <c r="K968" i="20"/>
  <c r="K967" i="20"/>
  <c r="K966" i="20"/>
  <c r="K965" i="20"/>
  <c r="K964" i="20"/>
  <c r="K963" i="20"/>
  <c r="K962" i="20"/>
  <c r="K961" i="20"/>
  <c r="K960" i="20"/>
  <c r="K959" i="20"/>
  <c r="K958" i="20"/>
  <c r="K957" i="20"/>
  <c r="K956" i="20"/>
  <c r="K955" i="20"/>
  <c r="K954" i="20"/>
  <c r="K953" i="20"/>
  <c r="K952" i="20"/>
  <c r="K951" i="20"/>
  <c r="K950" i="20"/>
  <c r="K949" i="20"/>
  <c r="K948" i="20"/>
  <c r="K947" i="20"/>
  <c r="K946" i="20"/>
  <c r="K945" i="20"/>
  <c r="K944" i="20"/>
  <c r="K943" i="20"/>
  <c r="K942" i="20"/>
  <c r="K941" i="20"/>
  <c r="K940" i="20"/>
  <c r="K939" i="20"/>
  <c r="K938" i="20"/>
  <c r="K937" i="20"/>
  <c r="K936" i="20"/>
  <c r="K935" i="20"/>
  <c r="K934" i="20"/>
  <c r="K933" i="20"/>
  <c r="K932" i="20"/>
  <c r="K931" i="20"/>
  <c r="K930" i="20"/>
  <c r="K929" i="20"/>
  <c r="K928" i="20"/>
  <c r="K927" i="20"/>
  <c r="K926" i="20"/>
  <c r="K925" i="20"/>
  <c r="K924" i="20"/>
  <c r="K923" i="20"/>
  <c r="K922" i="20"/>
  <c r="K921" i="20"/>
  <c r="K920" i="20"/>
  <c r="K919" i="20"/>
  <c r="K918" i="20"/>
  <c r="K917" i="20"/>
  <c r="K916" i="20"/>
  <c r="K915" i="20"/>
  <c r="K914" i="20"/>
  <c r="K913" i="20"/>
  <c r="K912" i="20"/>
  <c r="K911" i="20"/>
  <c r="K910" i="20"/>
  <c r="K909" i="20"/>
  <c r="K908" i="20"/>
  <c r="K907" i="20"/>
  <c r="K906" i="20"/>
  <c r="K905" i="20"/>
  <c r="K904" i="20"/>
  <c r="K903" i="20"/>
  <c r="K902" i="20"/>
  <c r="K901" i="20"/>
  <c r="K900" i="20"/>
  <c r="K899" i="20"/>
  <c r="K898" i="20"/>
  <c r="K897" i="20"/>
  <c r="K896" i="20"/>
  <c r="K895" i="20"/>
  <c r="K894" i="20"/>
  <c r="K893" i="20"/>
  <c r="K892" i="20"/>
  <c r="K891" i="20"/>
  <c r="K890" i="20"/>
  <c r="K889" i="20"/>
  <c r="K888" i="20"/>
  <c r="K887" i="20"/>
  <c r="K886" i="20"/>
  <c r="K885" i="20"/>
  <c r="K884" i="20"/>
  <c r="K883" i="20"/>
  <c r="K882" i="20"/>
  <c r="K881" i="20"/>
  <c r="K880" i="20"/>
  <c r="K879" i="20"/>
  <c r="K878" i="20"/>
  <c r="K877" i="20"/>
  <c r="K876" i="20"/>
  <c r="K875" i="20"/>
  <c r="K874" i="20"/>
  <c r="K873" i="20"/>
  <c r="K872" i="20"/>
  <c r="K871" i="20"/>
  <c r="K870" i="20"/>
  <c r="K869" i="20"/>
  <c r="K868" i="20"/>
  <c r="K867" i="20"/>
  <c r="K866" i="20"/>
  <c r="K865" i="20"/>
  <c r="K864" i="20"/>
  <c r="K863" i="20"/>
  <c r="K862" i="20"/>
  <c r="K861" i="20"/>
  <c r="K860" i="20"/>
  <c r="K859" i="20"/>
  <c r="K858" i="20"/>
  <c r="K857" i="20"/>
  <c r="K856" i="20"/>
  <c r="K855" i="20"/>
  <c r="K854" i="20"/>
  <c r="K853" i="20"/>
  <c r="K852" i="20"/>
  <c r="K851" i="20"/>
  <c r="K850" i="20"/>
  <c r="K849" i="20"/>
  <c r="K848" i="20"/>
  <c r="K847" i="20"/>
  <c r="K846" i="20"/>
  <c r="K845" i="20"/>
  <c r="K844" i="20"/>
  <c r="K843" i="20"/>
  <c r="K842" i="20"/>
  <c r="K841" i="20"/>
  <c r="K840" i="20"/>
  <c r="K839" i="20"/>
  <c r="K838" i="20"/>
  <c r="K837" i="20"/>
  <c r="K836" i="20"/>
  <c r="K835" i="20"/>
  <c r="K834" i="20"/>
  <c r="K833" i="20"/>
  <c r="K832" i="20"/>
  <c r="K831" i="20"/>
  <c r="K830" i="20"/>
  <c r="K829" i="20"/>
  <c r="K828" i="20"/>
  <c r="K827" i="20"/>
  <c r="K826" i="20"/>
  <c r="K825" i="20"/>
  <c r="K824" i="20"/>
  <c r="K823" i="20"/>
  <c r="K822" i="20"/>
  <c r="K821" i="20"/>
  <c r="K820" i="20"/>
  <c r="K819" i="20"/>
  <c r="K818" i="20"/>
  <c r="K817" i="20"/>
  <c r="K816" i="20"/>
  <c r="K815" i="20"/>
  <c r="K814" i="20"/>
  <c r="K813" i="20"/>
  <c r="K812" i="20"/>
  <c r="K811" i="20"/>
  <c r="K810" i="20"/>
  <c r="K809" i="20"/>
  <c r="K808" i="20"/>
  <c r="K807" i="20"/>
  <c r="K806" i="20"/>
  <c r="K805" i="20"/>
  <c r="K804" i="20"/>
  <c r="K803" i="20"/>
  <c r="K802" i="20"/>
  <c r="K801" i="20"/>
  <c r="K800" i="20"/>
  <c r="K799" i="20"/>
  <c r="K798" i="20"/>
  <c r="K797" i="20"/>
  <c r="K796" i="20"/>
  <c r="K795" i="20"/>
  <c r="K794" i="20"/>
  <c r="K793" i="20"/>
  <c r="K792" i="20"/>
  <c r="K791" i="20"/>
  <c r="K790" i="20"/>
  <c r="K789" i="20"/>
  <c r="K788" i="20"/>
  <c r="K787" i="20"/>
  <c r="K786" i="20"/>
  <c r="K785" i="20"/>
  <c r="K784" i="20"/>
  <c r="K783" i="20"/>
  <c r="K782" i="20"/>
  <c r="K781" i="20"/>
  <c r="K780" i="20"/>
  <c r="K779" i="20"/>
  <c r="K778" i="20"/>
  <c r="K777" i="20"/>
  <c r="K776" i="20"/>
  <c r="K775" i="20"/>
  <c r="K774" i="20"/>
  <c r="K773" i="20"/>
  <c r="K772" i="20"/>
  <c r="K771" i="20"/>
  <c r="K770" i="20"/>
  <c r="K769" i="20"/>
  <c r="K768" i="20"/>
  <c r="K767" i="20"/>
  <c r="K766" i="20"/>
  <c r="K765" i="20"/>
  <c r="K764" i="20"/>
  <c r="K763" i="20"/>
  <c r="K762" i="20"/>
  <c r="K761" i="20"/>
  <c r="K760" i="20"/>
  <c r="K759" i="20"/>
  <c r="K758" i="20"/>
  <c r="K757" i="20"/>
  <c r="K756" i="20"/>
  <c r="K755" i="20"/>
  <c r="K754" i="20"/>
  <c r="K753" i="20"/>
  <c r="K752" i="20"/>
  <c r="K751" i="20"/>
  <c r="K750" i="20"/>
  <c r="K749" i="20"/>
  <c r="K748" i="20"/>
  <c r="K747" i="20"/>
  <c r="K746" i="20"/>
  <c r="K745" i="20"/>
  <c r="K744" i="20"/>
  <c r="K743" i="20"/>
  <c r="K742" i="20"/>
  <c r="K741" i="20"/>
  <c r="K740" i="20"/>
  <c r="K739" i="20"/>
  <c r="K738" i="20"/>
  <c r="K737" i="20"/>
  <c r="K736" i="20"/>
  <c r="K735" i="20"/>
  <c r="K734" i="20"/>
  <c r="K733" i="20"/>
  <c r="K732" i="20"/>
  <c r="K731" i="20"/>
  <c r="K730" i="20"/>
  <c r="K729" i="20"/>
  <c r="K728" i="20"/>
  <c r="K727" i="20"/>
  <c r="K726" i="20"/>
  <c r="K725" i="20"/>
  <c r="K724" i="20"/>
  <c r="K723" i="20"/>
  <c r="K722" i="20"/>
  <c r="K721" i="20"/>
  <c r="K720" i="20"/>
  <c r="K719" i="20"/>
  <c r="K718" i="20"/>
  <c r="K717" i="20"/>
  <c r="K716" i="20"/>
  <c r="K715" i="20"/>
  <c r="K714" i="20"/>
  <c r="K713" i="20"/>
  <c r="K712" i="20"/>
  <c r="K711" i="20"/>
  <c r="K710" i="20"/>
  <c r="K709" i="20"/>
  <c r="K708" i="20"/>
  <c r="K707" i="20"/>
  <c r="K706" i="20"/>
  <c r="K705" i="20"/>
  <c r="K704" i="20"/>
  <c r="K703" i="20"/>
  <c r="K702" i="20"/>
  <c r="K701" i="20"/>
  <c r="K700" i="20"/>
  <c r="K699" i="20"/>
  <c r="K698" i="20"/>
  <c r="K697" i="20"/>
  <c r="K696" i="20"/>
  <c r="K695" i="20"/>
  <c r="K694" i="20"/>
  <c r="K693" i="20"/>
  <c r="K692" i="20"/>
  <c r="K691" i="20"/>
  <c r="K690" i="20"/>
  <c r="K689" i="20"/>
  <c r="K688" i="20"/>
  <c r="K687" i="20"/>
  <c r="K686" i="20"/>
  <c r="K685" i="20"/>
  <c r="K684" i="20"/>
  <c r="K683" i="20"/>
  <c r="K682" i="20"/>
  <c r="K681" i="20"/>
  <c r="K680" i="20"/>
  <c r="K679" i="20"/>
  <c r="K678" i="20"/>
  <c r="K677" i="20"/>
  <c r="K676" i="20"/>
  <c r="K675" i="20"/>
  <c r="K674" i="20"/>
  <c r="K673" i="20"/>
  <c r="K672" i="20"/>
  <c r="K671" i="20"/>
  <c r="K670" i="20"/>
  <c r="K669" i="20"/>
  <c r="K668" i="20"/>
  <c r="K667" i="20"/>
  <c r="K666" i="20"/>
  <c r="K665" i="20"/>
  <c r="K664" i="20"/>
  <c r="K663" i="20"/>
  <c r="K662" i="20"/>
  <c r="K661" i="20"/>
  <c r="K660" i="20"/>
  <c r="K659" i="20"/>
  <c r="K658" i="20"/>
  <c r="K657" i="20"/>
  <c r="K656" i="20"/>
  <c r="K655" i="20"/>
  <c r="K654" i="20"/>
  <c r="K653" i="20"/>
  <c r="K652" i="20"/>
  <c r="K651" i="20"/>
  <c r="K650" i="20"/>
  <c r="K649" i="20"/>
  <c r="K648" i="20"/>
  <c r="K647" i="20"/>
  <c r="K646" i="20"/>
  <c r="K645" i="20"/>
  <c r="K644" i="20"/>
  <c r="K643" i="20"/>
  <c r="K642" i="20"/>
  <c r="K641" i="20"/>
  <c r="K640" i="20"/>
  <c r="K639" i="20"/>
  <c r="K638" i="20"/>
  <c r="K637" i="20"/>
  <c r="K636" i="20"/>
  <c r="K635" i="20"/>
  <c r="K634" i="20"/>
  <c r="K633" i="20"/>
  <c r="K632" i="20"/>
  <c r="K631" i="20"/>
  <c r="K630" i="20"/>
  <c r="K629" i="20"/>
  <c r="K628" i="20"/>
  <c r="K627" i="20"/>
  <c r="K626" i="20"/>
  <c r="K625" i="20"/>
  <c r="K624" i="20"/>
  <c r="K623" i="20"/>
  <c r="K622" i="20"/>
  <c r="K621" i="20"/>
  <c r="K620" i="20"/>
  <c r="K619" i="20"/>
  <c r="K618" i="20"/>
  <c r="K617" i="20"/>
  <c r="K616" i="20"/>
  <c r="K615" i="20"/>
  <c r="K614" i="20"/>
  <c r="K613" i="20"/>
  <c r="K612" i="20"/>
  <c r="K611" i="20"/>
  <c r="K610" i="20"/>
  <c r="K609" i="20"/>
  <c r="K608" i="20"/>
  <c r="K607" i="20"/>
  <c r="K606" i="20"/>
  <c r="K605" i="20"/>
  <c r="K604" i="20"/>
  <c r="K603" i="20"/>
  <c r="K602" i="20"/>
  <c r="K601" i="20"/>
  <c r="K600" i="20"/>
  <c r="K599" i="20"/>
  <c r="K598" i="20"/>
  <c r="K597" i="20"/>
  <c r="K596" i="20"/>
  <c r="K595" i="20"/>
  <c r="K594" i="20"/>
  <c r="K593" i="20"/>
  <c r="K592" i="20"/>
  <c r="K591" i="20"/>
  <c r="K590" i="20"/>
  <c r="K589" i="20"/>
  <c r="K588" i="20"/>
  <c r="K587" i="20"/>
  <c r="K586" i="20"/>
  <c r="K585" i="20"/>
  <c r="K584" i="20"/>
  <c r="K583" i="20"/>
  <c r="K582" i="20"/>
  <c r="K581" i="20"/>
  <c r="K580" i="20"/>
  <c r="K579" i="20"/>
  <c r="K578" i="20"/>
  <c r="K577" i="20"/>
  <c r="K576" i="20"/>
  <c r="K575" i="20"/>
  <c r="K574" i="20"/>
  <c r="K573" i="20"/>
  <c r="K572" i="20"/>
  <c r="K571" i="20"/>
  <c r="K570" i="20"/>
  <c r="K569" i="20"/>
  <c r="K568" i="20"/>
  <c r="K567" i="20"/>
  <c r="K566" i="20"/>
  <c r="K565" i="20"/>
  <c r="K564" i="20"/>
  <c r="K563" i="20"/>
  <c r="K562" i="20"/>
  <c r="K561" i="20"/>
  <c r="K560" i="20"/>
  <c r="K559" i="20"/>
  <c r="K558" i="20"/>
  <c r="K557" i="20"/>
  <c r="K556" i="20"/>
  <c r="K555" i="20"/>
  <c r="K554" i="20"/>
  <c r="K553" i="20"/>
  <c r="K552" i="20"/>
  <c r="K551" i="20"/>
  <c r="K550" i="20"/>
  <c r="K549" i="20"/>
  <c r="K548" i="20"/>
  <c r="K547" i="20"/>
  <c r="K546" i="20"/>
  <c r="K545" i="20"/>
  <c r="K544" i="20"/>
  <c r="K543" i="20"/>
  <c r="K542" i="20"/>
  <c r="K541" i="20"/>
  <c r="K540" i="20"/>
  <c r="K539" i="20"/>
  <c r="K538" i="20"/>
  <c r="K537" i="20"/>
  <c r="K536" i="20"/>
  <c r="K535" i="20"/>
  <c r="K534" i="20"/>
  <c r="K533" i="20"/>
  <c r="K532" i="20"/>
  <c r="K531" i="20"/>
  <c r="K530" i="20"/>
  <c r="K529" i="20"/>
  <c r="K528" i="20"/>
  <c r="K527" i="20"/>
  <c r="K526" i="20"/>
  <c r="K525" i="20"/>
  <c r="K524" i="20"/>
  <c r="K523" i="20"/>
  <c r="K522" i="20"/>
  <c r="K521" i="20"/>
  <c r="K520" i="20"/>
  <c r="K519" i="20"/>
  <c r="K518" i="20"/>
  <c r="K517" i="20"/>
  <c r="K516" i="20"/>
  <c r="K515" i="20"/>
  <c r="K514" i="20"/>
  <c r="K513" i="20"/>
  <c r="K512" i="20"/>
  <c r="K511" i="20"/>
  <c r="K510" i="20"/>
  <c r="K509" i="20"/>
  <c r="K508" i="20"/>
  <c r="K507" i="20"/>
  <c r="K506" i="20"/>
  <c r="K505" i="20"/>
  <c r="K504" i="20"/>
  <c r="K503" i="20"/>
  <c r="K502" i="20"/>
  <c r="K501" i="20"/>
  <c r="K500" i="20"/>
  <c r="K499" i="20"/>
  <c r="K498" i="20"/>
  <c r="K497" i="20"/>
  <c r="K496" i="20"/>
  <c r="K495" i="20"/>
  <c r="K494" i="20"/>
  <c r="K493" i="20"/>
  <c r="K492" i="20"/>
  <c r="K491" i="20"/>
  <c r="K490" i="20"/>
  <c r="K489" i="20"/>
  <c r="K488" i="20"/>
  <c r="K487" i="20"/>
  <c r="K486" i="20"/>
  <c r="K485" i="20"/>
  <c r="K484" i="20"/>
  <c r="K483" i="20"/>
  <c r="K482" i="20"/>
  <c r="K481" i="20"/>
  <c r="K480" i="20"/>
  <c r="K479" i="20"/>
  <c r="K478" i="20"/>
  <c r="K477" i="20"/>
  <c r="K476" i="20"/>
  <c r="K475" i="20"/>
  <c r="K474" i="20"/>
  <c r="K473" i="20"/>
  <c r="K472" i="20"/>
  <c r="K471" i="20"/>
  <c r="K470" i="20"/>
  <c r="K469" i="20"/>
  <c r="K468" i="20"/>
  <c r="K467" i="20"/>
  <c r="K466" i="20"/>
  <c r="K465" i="20"/>
  <c r="K464" i="20"/>
  <c r="K463" i="20"/>
  <c r="K462" i="20"/>
  <c r="K461" i="20"/>
  <c r="K460" i="20"/>
  <c r="K459" i="20"/>
  <c r="K458" i="20"/>
  <c r="K457" i="20"/>
  <c r="K456" i="20"/>
  <c r="K455" i="20"/>
  <c r="K454" i="20"/>
  <c r="K453" i="20"/>
  <c r="K452" i="20"/>
  <c r="K451" i="20"/>
  <c r="K450" i="20"/>
  <c r="K449" i="20"/>
  <c r="K448" i="20"/>
  <c r="K447" i="20"/>
  <c r="K446" i="20"/>
  <c r="K445" i="20"/>
  <c r="K444" i="20"/>
  <c r="K443" i="20"/>
  <c r="K442" i="20"/>
  <c r="K441" i="20"/>
  <c r="K440" i="20"/>
  <c r="K439" i="20"/>
  <c r="K438" i="20"/>
  <c r="K437" i="20"/>
  <c r="K436" i="20"/>
  <c r="K435" i="20"/>
  <c r="K434" i="20"/>
  <c r="K433" i="20"/>
  <c r="K432" i="20"/>
  <c r="K431" i="20"/>
  <c r="K430" i="20"/>
  <c r="K429" i="20"/>
  <c r="K428" i="20"/>
  <c r="K427" i="20"/>
  <c r="K426" i="20"/>
  <c r="K425" i="20"/>
  <c r="K424" i="20"/>
  <c r="K423" i="20"/>
  <c r="K422" i="20"/>
  <c r="K421" i="20"/>
  <c r="K420" i="20"/>
  <c r="K419" i="20"/>
  <c r="K418" i="20"/>
  <c r="K417" i="20"/>
  <c r="K416" i="20"/>
  <c r="K415" i="20"/>
  <c r="K414" i="20"/>
  <c r="K413" i="20"/>
  <c r="K412" i="20"/>
  <c r="K411" i="20"/>
  <c r="K410" i="20"/>
  <c r="K409" i="20"/>
  <c r="K408" i="20"/>
  <c r="K407" i="20"/>
  <c r="K406" i="20"/>
  <c r="K405" i="20"/>
  <c r="K404" i="20"/>
  <c r="K403" i="20"/>
  <c r="K402" i="20"/>
  <c r="K401" i="20"/>
  <c r="K400" i="20"/>
  <c r="K399" i="20"/>
  <c r="K398" i="20"/>
  <c r="K397" i="20"/>
  <c r="K396" i="20"/>
  <c r="K395" i="20"/>
  <c r="K394" i="20"/>
  <c r="K393" i="20"/>
  <c r="K392" i="20"/>
  <c r="K391" i="20"/>
  <c r="K390" i="20"/>
  <c r="K389" i="20"/>
  <c r="K388" i="20"/>
  <c r="K387" i="20"/>
  <c r="K386" i="20"/>
  <c r="K385" i="20"/>
  <c r="K384" i="20"/>
  <c r="K383" i="20"/>
  <c r="K382" i="20"/>
  <c r="K381" i="20"/>
  <c r="K380" i="20"/>
  <c r="K379" i="20"/>
  <c r="K378" i="20"/>
  <c r="K377" i="20"/>
  <c r="K376" i="20"/>
  <c r="K375" i="20"/>
  <c r="K374" i="20"/>
  <c r="K373" i="20"/>
  <c r="K372" i="20"/>
  <c r="K371" i="20"/>
  <c r="K370" i="20"/>
  <c r="K369" i="20"/>
  <c r="K368" i="20"/>
  <c r="K367" i="20"/>
  <c r="K366" i="20"/>
  <c r="K365" i="20"/>
  <c r="K364" i="20"/>
  <c r="K363" i="20"/>
  <c r="K362" i="20"/>
  <c r="K361" i="20"/>
  <c r="K360" i="20"/>
  <c r="K359" i="20"/>
  <c r="K358" i="20"/>
  <c r="K357" i="20"/>
  <c r="K356" i="20"/>
  <c r="K355" i="20"/>
  <c r="K354" i="20"/>
  <c r="K353" i="20"/>
  <c r="K352" i="20"/>
  <c r="K351" i="20"/>
  <c r="K350" i="20"/>
  <c r="K349" i="20"/>
  <c r="K348" i="20"/>
  <c r="K347" i="20"/>
  <c r="K346" i="20"/>
  <c r="K345" i="20"/>
  <c r="K344" i="20"/>
  <c r="K343" i="20"/>
  <c r="K342" i="20"/>
  <c r="K341" i="20"/>
  <c r="K340" i="20"/>
  <c r="K339" i="20"/>
  <c r="K338" i="20"/>
  <c r="K337" i="20"/>
  <c r="K336" i="20"/>
  <c r="K335" i="20"/>
  <c r="K334" i="20"/>
  <c r="K333" i="20"/>
  <c r="K332" i="20"/>
  <c r="K331" i="20"/>
  <c r="K330" i="20"/>
  <c r="K329" i="20"/>
  <c r="K328" i="20"/>
  <c r="K327" i="20"/>
  <c r="K326" i="20"/>
  <c r="K325" i="20"/>
  <c r="K324" i="20"/>
  <c r="K323" i="20"/>
  <c r="K322" i="20"/>
  <c r="K321" i="20"/>
  <c r="K320" i="20"/>
  <c r="K319" i="20"/>
  <c r="K318" i="20"/>
  <c r="K317" i="20"/>
  <c r="K316" i="20"/>
  <c r="K315" i="20"/>
  <c r="K314" i="20"/>
  <c r="K313" i="20"/>
  <c r="K312" i="20"/>
  <c r="K311" i="20"/>
  <c r="K310" i="20"/>
  <c r="K309" i="20"/>
  <c r="K308" i="20"/>
  <c r="K307" i="20"/>
  <c r="K306" i="20"/>
  <c r="K305" i="20"/>
  <c r="K304" i="20"/>
  <c r="K303" i="20"/>
  <c r="K302" i="20"/>
  <c r="K301" i="20"/>
  <c r="K300" i="20"/>
  <c r="K299" i="20"/>
  <c r="K298" i="20"/>
  <c r="K297" i="20"/>
  <c r="K296" i="20"/>
  <c r="K295" i="20"/>
  <c r="K294" i="20"/>
  <c r="K293" i="20"/>
  <c r="K292" i="20"/>
  <c r="K291" i="20"/>
  <c r="K290" i="20"/>
  <c r="K289" i="20"/>
  <c r="K288" i="20"/>
  <c r="K287" i="20"/>
  <c r="K286" i="20"/>
  <c r="K285" i="20"/>
  <c r="K284" i="20"/>
  <c r="K283" i="20"/>
  <c r="K282" i="20"/>
  <c r="K281" i="20"/>
  <c r="K280" i="20"/>
  <c r="K279" i="20"/>
  <c r="K278" i="20"/>
  <c r="K277" i="20"/>
  <c r="K276" i="20"/>
  <c r="K275" i="20"/>
  <c r="K274" i="20"/>
  <c r="K273" i="20"/>
  <c r="K272" i="20"/>
  <c r="K271" i="20"/>
  <c r="K270" i="20"/>
  <c r="K269" i="20"/>
  <c r="K268" i="20"/>
  <c r="K267" i="20"/>
  <c r="K266" i="20"/>
  <c r="K265" i="20"/>
  <c r="K264" i="20"/>
  <c r="K263" i="20"/>
  <c r="K262" i="20"/>
  <c r="K261" i="20"/>
  <c r="K260" i="20"/>
  <c r="K259" i="20"/>
  <c r="K258" i="20"/>
  <c r="K257" i="20"/>
  <c r="K256" i="20"/>
  <c r="K255" i="20"/>
  <c r="K254" i="20"/>
  <c r="K253" i="20"/>
  <c r="K252" i="20"/>
  <c r="K251" i="20"/>
  <c r="K250" i="20"/>
  <c r="K249" i="20"/>
  <c r="K248" i="20"/>
  <c r="K247" i="20"/>
  <c r="K246" i="20"/>
  <c r="K245" i="20"/>
  <c r="K244" i="20"/>
  <c r="K243" i="20"/>
  <c r="K242" i="20"/>
  <c r="K241" i="20"/>
  <c r="K240" i="20"/>
  <c r="K239" i="20"/>
  <c r="K238" i="20"/>
  <c r="K237" i="20"/>
  <c r="K236" i="20"/>
  <c r="K235" i="20"/>
  <c r="K234" i="20"/>
  <c r="K233" i="20"/>
  <c r="K232" i="20"/>
  <c r="K231" i="20"/>
  <c r="K230" i="20"/>
  <c r="K229" i="20"/>
  <c r="K228" i="20"/>
  <c r="K227" i="20"/>
  <c r="K226" i="20"/>
  <c r="K225" i="20"/>
  <c r="K224" i="20"/>
  <c r="K223" i="20"/>
  <c r="K222" i="20"/>
  <c r="K221" i="20"/>
  <c r="K220" i="20"/>
  <c r="K219" i="20"/>
  <c r="K218" i="20"/>
  <c r="K217" i="20"/>
  <c r="K216" i="20"/>
  <c r="K215" i="20"/>
  <c r="K214" i="20"/>
  <c r="K213" i="20"/>
  <c r="K212" i="20"/>
  <c r="K211" i="20"/>
  <c r="K210" i="20"/>
  <c r="K209" i="20"/>
  <c r="K208" i="20"/>
  <c r="K207" i="20"/>
  <c r="K206" i="20"/>
  <c r="K205" i="20"/>
  <c r="K204" i="20"/>
  <c r="K203" i="20"/>
  <c r="K202" i="20"/>
  <c r="K201" i="20"/>
  <c r="K200" i="20"/>
  <c r="K199" i="20"/>
  <c r="K198" i="20"/>
  <c r="K197" i="20"/>
  <c r="K196" i="20"/>
  <c r="K195" i="20"/>
  <c r="K194" i="20"/>
  <c r="K193" i="20"/>
  <c r="K192" i="20"/>
  <c r="K191" i="20"/>
  <c r="K190" i="20"/>
  <c r="K189" i="20"/>
  <c r="K188" i="20"/>
  <c r="K187" i="20"/>
  <c r="K186" i="20"/>
  <c r="K185" i="20"/>
  <c r="K184" i="20"/>
  <c r="K183" i="20"/>
  <c r="K182" i="20"/>
  <c r="K181" i="20"/>
  <c r="K180" i="20"/>
  <c r="K179" i="20"/>
  <c r="K178" i="20"/>
  <c r="K177" i="20"/>
  <c r="K176" i="20"/>
  <c r="K175" i="20"/>
  <c r="K174" i="20"/>
  <c r="K173" i="20"/>
  <c r="K172" i="20"/>
  <c r="K171" i="20"/>
  <c r="K170" i="20"/>
  <c r="K169" i="20"/>
  <c r="K168" i="20"/>
  <c r="K167" i="20"/>
  <c r="K166" i="20"/>
  <c r="K165" i="20"/>
  <c r="K164" i="20"/>
  <c r="K163" i="20"/>
  <c r="K162" i="20"/>
  <c r="K161" i="20"/>
  <c r="K160" i="20"/>
  <c r="K159" i="20"/>
  <c r="K158" i="20"/>
  <c r="K157" i="20"/>
  <c r="K156" i="20"/>
  <c r="K155" i="20"/>
  <c r="K154" i="20"/>
  <c r="K153" i="20"/>
  <c r="K152" i="20"/>
  <c r="K151" i="20"/>
  <c r="K150" i="20"/>
  <c r="K149" i="20"/>
  <c r="K148" i="20"/>
  <c r="K147" i="20"/>
  <c r="K146" i="20"/>
  <c r="K145" i="20"/>
  <c r="K144" i="20"/>
  <c r="K143" i="20"/>
  <c r="K142" i="20"/>
  <c r="K141" i="20"/>
  <c r="K140" i="20"/>
  <c r="K139" i="20"/>
  <c r="K138" i="20"/>
  <c r="K137" i="20"/>
  <c r="K136" i="20"/>
  <c r="K135" i="20"/>
  <c r="K134" i="20"/>
  <c r="K133" i="20"/>
  <c r="K132" i="20"/>
  <c r="K131" i="20"/>
  <c r="K130" i="20"/>
  <c r="K129" i="20"/>
  <c r="K128" i="20"/>
  <c r="K127" i="20"/>
  <c r="K126" i="20"/>
  <c r="K125" i="20"/>
  <c r="K124" i="20"/>
  <c r="K123" i="20"/>
  <c r="K122" i="20"/>
  <c r="K121" i="20"/>
  <c r="K120" i="20"/>
  <c r="K119" i="20"/>
  <c r="K118" i="20"/>
  <c r="K117" i="20"/>
  <c r="K116" i="20"/>
  <c r="K115" i="20"/>
  <c r="K114" i="20"/>
  <c r="K113" i="20"/>
  <c r="K112" i="20"/>
  <c r="K111" i="20"/>
  <c r="K110" i="20"/>
  <c r="K109" i="20"/>
  <c r="K108" i="20"/>
  <c r="K107" i="20"/>
  <c r="K106" i="20"/>
  <c r="K105" i="20"/>
  <c r="K104" i="20"/>
  <c r="K103" i="20"/>
  <c r="K102" i="20"/>
  <c r="K101" i="20"/>
  <c r="K100" i="20"/>
  <c r="K99" i="20"/>
  <c r="K98" i="20"/>
  <c r="K97" i="20"/>
  <c r="K96" i="20"/>
  <c r="K95" i="20"/>
  <c r="K94" i="20"/>
  <c r="K93" i="20"/>
  <c r="K92" i="20"/>
  <c r="K91" i="20"/>
  <c r="K90" i="20"/>
  <c r="K89" i="20"/>
  <c r="K88" i="20"/>
  <c r="K87" i="20"/>
  <c r="K86" i="20"/>
  <c r="K85" i="20"/>
  <c r="K84" i="20"/>
  <c r="K83" i="20"/>
  <c r="K82" i="20"/>
  <c r="K81" i="20"/>
  <c r="K80" i="20"/>
  <c r="K79" i="20"/>
  <c r="K78" i="20"/>
  <c r="K77" i="20"/>
  <c r="K76" i="20"/>
  <c r="K75" i="20"/>
  <c r="K74" i="20"/>
  <c r="K73" i="20"/>
  <c r="K72" i="20"/>
  <c r="K71" i="20"/>
  <c r="K70" i="20"/>
  <c r="K69" i="20"/>
  <c r="K68" i="20"/>
  <c r="K67" i="20"/>
  <c r="K66" i="20"/>
  <c r="K65" i="20"/>
  <c r="K64" i="20"/>
  <c r="K63" i="20"/>
  <c r="K62" i="20"/>
  <c r="K61" i="20"/>
  <c r="K60" i="20"/>
  <c r="K59" i="20"/>
  <c r="K58" i="20"/>
  <c r="K57" i="20"/>
  <c r="K56" i="20"/>
  <c r="K55" i="20"/>
  <c r="K54" i="20"/>
  <c r="K53" i="20"/>
  <c r="K52" i="20"/>
  <c r="K51" i="20"/>
  <c r="K50" i="20"/>
  <c r="K49" i="20"/>
  <c r="K48" i="20"/>
  <c r="K47" i="20"/>
  <c r="K46" i="20"/>
  <c r="K45" i="20"/>
  <c r="K44" i="20"/>
  <c r="K43" i="20"/>
  <c r="K42" i="20"/>
  <c r="K41" i="20"/>
  <c r="K40" i="20"/>
  <c r="K39" i="20"/>
  <c r="K38" i="20"/>
  <c r="K37" i="20"/>
  <c r="K36" i="20"/>
  <c r="K35" i="20"/>
  <c r="K34" i="20"/>
  <c r="K33" i="20"/>
  <c r="K32" i="20"/>
  <c r="K31" i="20"/>
  <c r="K30" i="20"/>
  <c r="K29" i="20"/>
  <c r="K28" i="20"/>
  <c r="K27" i="20"/>
  <c r="K26" i="20"/>
  <c r="K25" i="20"/>
  <c r="K24" i="20"/>
  <c r="K23" i="20"/>
  <c r="K22" i="20"/>
  <c r="K21" i="20"/>
  <c r="K20" i="20"/>
  <c r="K19" i="20"/>
  <c r="K18" i="20"/>
  <c r="K17" i="20"/>
  <c r="K16" i="20"/>
  <c r="K15" i="20"/>
  <c r="K14" i="20"/>
  <c r="K13" i="20"/>
  <c r="K12" i="20"/>
  <c r="K11" i="20"/>
  <c r="K10" i="20"/>
  <c r="K9" i="20"/>
  <c r="K8" i="20"/>
  <c r="K7" i="20"/>
  <c r="K6" i="20"/>
  <c r="K5" i="20"/>
  <c r="K4" i="20"/>
  <c r="K3" i="20"/>
  <c r="K2" i="20"/>
  <c r="M325" i="1" l="1"/>
  <c r="M389" i="1"/>
  <c r="M133" i="1"/>
  <c r="M197" i="1"/>
  <c r="M237" i="1"/>
  <c r="M405" i="1"/>
  <c r="M261" i="1"/>
  <c r="M205" i="1"/>
  <c r="M69" i="1"/>
  <c r="M349" i="1"/>
  <c r="M173" i="1"/>
  <c r="M301" i="1"/>
  <c r="M61" i="1"/>
  <c r="M125" i="1"/>
  <c r="M189" i="1"/>
  <c r="M253" i="1"/>
  <c r="M317" i="1"/>
  <c r="M381" i="1"/>
  <c r="M308" i="1"/>
  <c r="M269" i="1"/>
  <c r="M333" i="1"/>
  <c r="M397" i="1"/>
  <c r="M13" i="1"/>
  <c r="M77" i="1"/>
  <c r="M141" i="1"/>
  <c r="M21" i="1"/>
  <c r="M85" i="1"/>
  <c r="M149" i="1"/>
  <c r="M213" i="1"/>
  <c r="M277" i="1"/>
  <c r="M341" i="1"/>
  <c r="M157" i="1"/>
  <c r="M408" i="1"/>
  <c r="M29" i="1"/>
  <c r="M93" i="1"/>
  <c r="M221" i="1"/>
  <c r="M285" i="1"/>
  <c r="M37" i="1"/>
  <c r="M101" i="1"/>
  <c r="M165" i="1"/>
  <c r="M229" i="1"/>
  <c r="M293" i="1"/>
  <c r="M357" i="1"/>
  <c r="M401" i="1"/>
  <c r="M109" i="1"/>
  <c r="M365" i="1"/>
  <c r="M45" i="1"/>
  <c r="M404" i="1"/>
  <c r="M53" i="1"/>
  <c r="M117" i="1"/>
  <c r="M181" i="1"/>
  <c r="M245" i="1"/>
  <c r="M309" i="1"/>
  <c r="M373" i="1"/>
  <c r="M14" i="1"/>
  <c r="M38" i="1"/>
  <c r="M78" i="1"/>
  <c r="M110" i="1"/>
  <c r="M142" i="1"/>
  <c r="M182" i="1"/>
  <c r="M222" i="1"/>
  <c r="M246" i="1"/>
  <c r="M270" i="1"/>
  <c r="M310" i="1"/>
  <c r="M334" i="1"/>
  <c r="M350" i="1"/>
  <c r="M398" i="1"/>
  <c r="M22" i="1"/>
  <c r="M62" i="1"/>
  <c r="M94" i="1"/>
  <c r="M118" i="1"/>
  <c r="M158" i="1"/>
  <c r="M190" i="1"/>
  <c r="M214" i="1"/>
  <c r="M262" i="1"/>
  <c r="M286" i="1"/>
  <c r="M342" i="1"/>
  <c r="M366" i="1"/>
  <c r="M382" i="1"/>
  <c r="M7" i="1"/>
  <c r="M15" i="1"/>
  <c r="M23" i="1"/>
  <c r="M31" i="1"/>
  <c r="M39" i="1"/>
  <c r="M47" i="1"/>
  <c r="M55" i="1"/>
  <c r="M63" i="1"/>
  <c r="M71" i="1"/>
  <c r="M79" i="1"/>
  <c r="M87" i="1"/>
  <c r="M95" i="1"/>
  <c r="M103" i="1"/>
  <c r="M111" i="1"/>
  <c r="M119" i="1"/>
  <c r="M127" i="1"/>
  <c r="M135" i="1"/>
  <c r="M143" i="1"/>
  <c r="M151" i="1"/>
  <c r="M159" i="1"/>
  <c r="M167" i="1"/>
  <c r="M175" i="1"/>
  <c r="M183" i="1"/>
  <c r="M191" i="1"/>
  <c r="M199" i="1"/>
  <c r="M207" i="1"/>
  <c r="M215" i="1"/>
  <c r="M223" i="1"/>
  <c r="M231" i="1"/>
  <c r="M239" i="1"/>
  <c r="M247" i="1"/>
  <c r="M255" i="1"/>
  <c r="M263" i="1"/>
  <c r="M271" i="1"/>
  <c r="M279" i="1"/>
  <c r="M287" i="1"/>
  <c r="M295" i="1"/>
  <c r="M303" i="1"/>
  <c r="M311" i="1"/>
  <c r="M319" i="1"/>
  <c r="M327" i="1"/>
  <c r="M335" i="1"/>
  <c r="M343" i="1"/>
  <c r="M351" i="1"/>
  <c r="M359" i="1"/>
  <c r="M367" i="1"/>
  <c r="M375" i="1"/>
  <c r="M383" i="1"/>
  <c r="M391" i="1"/>
  <c r="M399" i="1"/>
  <c r="M407" i="1"/>
  <c r="M6" i="1"/>
  <c r="M30" i="1"/>
  <c r="M54" i="1"/>
  <c r="M102" i="1"/>
  <c r="M126" i="1"/>
  <c r="M166" i="1"/>
  <c r="M198" i="1"/>
  <c r="M230" i="1"/>
  <c r="M254" i="1"/>
  <c r="M294" i="1"/>
  <c r="M326" i="1"/>
  <c r="M358" i="1"/>
  <c r="M390" i="1"/>
  <c r="M8" i="1"/>
  <c r="M24" i="1"/>
  <c r="M32" i="1"/>
  <c r="M48" i="1"/>
  <c r="M64" i="1"/>
  <c r="M72" i="1"/>
  <c r="M80" i="1"/>
  <c r="M88" i="1"/>
  <c r="M96" i="1"/>
  <c r="M112" i="1"/>
  <c r="M120" i="1"/>
  <c r="M128" i="1"/>
  <c r="M136" i="1"/>
  <c r="M144" i="1"/>
  <c r="M152" i="1"/>
  <c r="M160" i="1"/>
  <c r="M168" i="1"/>
  <c r="M176" i="1"/>
  <c r="M184" i="1"/>
  <c r="M192" i="1"/>
  <c r="M200" i="1"/>
  <c r="M208" i="1"/>
  <c r="M216" i="1"/>
  <c r="M224" i="1"/>
  <c r="M232" i="1"/>
  <c r="M240" i="1"/>
  <c r="M248" i="1"/>
  <c r="M256" i="1"/>
  <c r="M264" i="1"/>
  <c r="M272" i="1"/>
  <c r="M280" i="1"/>
  <c r="M288" i="1"/>
  <c r="M296" i="1"/>
  <c r="M304" i="1"/>
  <c r="M312" i="1"/>
  <c r="M320" i="1"/>
  <c r="M328" i="1"/>
  <c r="M336" i="1"/>
  <c r="M344" i="1"/>
  <c r="M352" i="1"/>
  <c r="M360" i="1"/>
  <c r="M368" i="1"/>
  <c r="M376" i="1"/>
  <c r="M384" i="1"/>
  <c r="M392" i="1"/>
  <c r="M400" i="1"/>
  <c r="M16" i="1"/>
  <c r="M40" i="1"/>
  <c r="M56" i="1"/>
  <c r="M104" i="1"/>
  <c r="M9" i="1"/>
  <c r="M17" i="1"/>
  <c r="M25" i="1"/>
  <c r="M33" i="1"/>
  <c r="M41" i="1"/>
  <c r="M49" i="1"/>
  <c r="M57" i="1"/>
  <c r="M65" i="1"/>
  <c r="M73" i="1"/>
  <c r="M81" i="1"/>
  <c r="M89" i="1"/>
  <c r="M97" i="1"/>
  <c r="M105" i="1"/>
  <c r="M113" i="1"/>
  <c r="M121" i="1"/>
  <c r="M129" i="1"/>
  <c r="M137" i="1"/>
  <c r="M145" i="1"/>
  <c r="M153" i="1"/>
  <c r="M161" i="1"/>
  <c r="M169" i="1"/>
  <c r="M177" i="1"/>
  <c r="M185" i="1"/>
  <c r="M193" i="1"/>
  <c r="M201" i="1"/>
  <c r="M209" i="1"/>
  <c r="M217" i="1"/>
  <c r="M225" i="1"/>
  <c r="M233" i="1"/>
  <c r="M241" i="1"/>
  <c r="M249" i="1"/>
  <c r="M257" i="1"/>
  <c r="M265" i="1"/>
  <c r="M273" i="1"/>
  <c r="M281" i="1"/>
  <c r="M289" i="1"/>
  <c r="M297" i="1"/>
  <c r="M305" i="1"/>
  <c r="M313" i="1"/>
  <c r="M321" i="1"/>
  <c r="M329" i="1"/>
  <c r="M337" i="1"/>
  <c r="M345" i="1"/>
  <c r="M353" i="1"/>
  <c r="M361" i="1"/>
  <c r="M369" i="1"/>
  <c r="M377" i="1"/>
  <c r="M385" i="1"/>
  <c r="M393" i="1"/>
  <c r="M46" i="1"/>
  <c r="M70" i="1"/>
  <c r="M86" i="1"/>
  <c r="M134" i="1"/>
  <c r="M150" i="1"/>
  <c r="M174" i="1"/>
  <c r="M206" i="1"/>
  <c r="M238" i="1"/>
  <c r="M278" i="1"/>
  <c r="M302" i="1"/>
  <c r="M318" i="1"/>
  <c r="M374" i="1"/>
  <c r="M406" i="1"/>
  <c r="M10" i="1"/>
  <c r="M18" i="1"/>
  <c r="M26" i="1"/>
  <c r="M34" i="1"/>
  <c r="M42" i="1"/>
  <c r="M50" i="1"/>
  <c r="M58" i="1"/>
  <c r="M66" i="1"/>
  <c r="M74" i="1"/>
  <c r="M82" i="1"/>
  <c r="M90" i="1"/>
  <c r="M98" i="1"/>
  <c r="M106" i="1"/>
  <c r="M114" i="1"/>
  <c r="M122" i="1"/>
  <c r="M130" i="1"/>
  <c r="M138" i="1"/>
  <c r="M146" i="1"/>
  <c r="M154" i="1"/>
  <c r="M162" i="1"/>
  <c r="M170" i="1"/>
  <c r="M178" i="1"/>
  <c r="M186" i="1"/>
  <c r="M194" i="1"/>
  <c r="M202" i="1"/>
  <c r="M210" i="1"/>
  <c r="M218" i="1"/>
  <c r="M226" i="1"/>
  <c r="M234" i="1"/>
  <c r="M242" i="1"/>
  <c r="M250" i="1"/>
  <c r="M258" i="1"/>
  <c r="M266" i="1"/>
  <c r="M274" i="1"/>
  <c r="M282" i="1"/>
  <c r="M290" i="1"/>
  <c r="M298" i="1"/>
  <c r="M306" i="1"/>
  <c r="M314" i="1"/>
  <c r="M322" i="1"/>
  <c r="M330" i="1"/>
  <c r="M338" i="1"/>
  <c r="M346" i="1"/>
  <c r="M354" i="1"/>
  <c r="M362" i="1"/>
  <c r="M370" i="1"/>
  <c r="M378" i="1"/>
  <c r="M386" i="1"/>
  <c r="M394" i="1"/>
  <c r="M402" i="1"/>
  <c r="M19" i="1"/>
  <c r="M35" i="1"/>
  <c r="M43" i="1"/>
  <c r="M59" i="1"/>
  <c r="M75" i="1"/>
  <c r="M83" i="1"/>
  <c r="M107" i="1"/>
  <c r="M123" i="1"/>
  <c r="M139" i="1"/>
  <c r="M155" i="1"/>
  <c r="M163" i="1"/>
  <c r="M179" i="1"/>
  <c r="M203" i="1"/>
  <c r="M211" i="1"/>
  <c r="M227" i="1"/>
  <c r="M235" i="1"/>
  <c r="M243" i="1"/>
  <c r="M259" i="1"/>
  <c r="M267" i="1"/>
  <c r="M275" i="1"/>
  <c r="M283" i="1"/>
  <c r="M291" i="1"/>
  <c r="M299" i="1"/>
  <c r="M307" i="1"/>
  <c r="M315" i="1"/>
  <c r="M323" i="1"/>
  <c r="M331" i="1"/>
  <c r="M339" i="1"/>
  <c r="M347" i="1"/>
  <c r="M355" i="1"/>
  <c r="M363" i="1"/>
  <c r="M371" i="1"/>
  <c r="M379" i="1"/>
  <c r="M387" i="1"/>
  <c r="M395" i="1"/>
  <c r="M403" i="1"/>
  <c r="M11" i="1"/>
  <c r="M27" i="1"/>
  <c r="M51" i="1"/>
  <c r="M67" i="1"/>
  <c r="M91" i="1"/>
  <c r="M99" i="1"/>
  <c r="M115" i="1"/>
  <c r="M131" i="1"/>
  <c r="M147" i="1"/>
  <c r="M171" i="1"/>
  <c r="M187" i="1"/>
  <c r="M195" i="1"/>
  <c r="M219" i="1"/>
  <c r="M251" i="1"/>
  <c r="M12" i="1"/>
  <c r="M20" i="1"/>
  <c r="M28" i="1"/>
  <c r="M36" i="1"/>
  <c r="M44" i="1"/>
  <c r="M52" i="1"/>
  <c r="M60" i="1"/>
  <c r="M68" i="1"/>
  <c r="M76" i="1"/>
  <c r="M84" i="1"/>
  <c r="M92" i="1"/>
  <c r="M100" i="1"/>
  <c r="M108" i="1"/>
  <c r="M116" i="1"/>
  <c r="M124" i="1"/>
  <c r="M132" i="1"/>
  <c r="M140" i="1"/>
  <c r="M148" i="1"/>
  <c r="M156" i="1"/>
  <c r="M164" i="1"/>
  <c r="M172" i="1"/>
  <c r="M180" i="1"/>
  <c r="M188" i="1"/>
  <c r="M196" i="1"/>
  <c r="M204" i="1"/>
  <c r="M212" i="1"/>
  <c r="M220" i="1"/>
  <c r="M228" i="1"/>
  <c r="M236" i="1"/>
  <c r="M244" i="1"/>
  <c r="M252" i="1"/>
  <c r="M260" i="1"/>
  <c r="M268" i="1"/>
  <c r="M276" i="1"/>
  <c r="M284" i="1"/>
  <c r="M292" i="1"/>
  <c r="M300" i="1"/>
  <c r="M316" i="1"/>
  <c r="M324" i="1"/>
  <c r="M332" i="1"/>
  <c r="M340" i="1"/>
  <c r="M348" i="1"/>
  <c r="M356" i="1"/>
  <c r="M364" i="1"/>
  <c r="M372" i="1"/>
  <c r="M380" i="1"/>
  <c r="M388" i="1"/>
  <c r="M396" i="1"/>
  <c r="R388" i="1"/>
  <c r="S388" i="1"/>
  <c r="T388" i="1"/>
  <c r="U388" i="1"/>
  <c r="V388" i="1"/>
  <c r="W388" i="1"/>
  <c r="R389" i="1"/>
  <c r="S389" i="1"/>
  <c r="T389" i="1"/>
  <c r="U389" i="1"/>
  <c r="V389" i="1"/>
  <c r="W389" i="1"/>
  <c r="R390" i="1"/>
  <c r="S390" i="1"/>
  <c r="T390" i="1"/>
  <c r="U390" i="1"/>
  <c r="V390" i="1"/>
  <c r="W390" i="1"/>
  <c r="R391" i="1"/>
  <c r="S391" i="1"/>
  <c r="T391" i="1"/>
  <c r="U391" i="1"/>
  <c r="V391" i="1"/>
  <c r="W391" i="1"/>
  <c r="R392" i="1"/>
  <c r="S392" i="1"/>
  <c r="T392" i="1"/>
  <c r="U392" i="1"/>
  <c r="V392" i="1"/>
  <c r="W392" i="1"/>
  <c r="R393" i="1"/>
  <c r="S393" i="1"/>
  <c r="T393" i="1"/>
  <c r="U393" i="1"/>
  <c r="V393" i="1"/>
  <c r="W393" i="1"/>
  <c r="R394" i="1"/>
  <c r="S394" i="1"/>
  <c r="T394" i="1"/>
  <c r="U394" i="1"/>
  <c r="V394" i="1"/>
  <c r="W394" i="1"/>
  <c r="R395" i="1"/>
  <c r="S395" i="1"/>
  <c r="T395" i="1"/>
  <c r="U395" i="1"/>
  <c r="V395" i="1"/>
  <c r="W395" i="1"/>
  <c r="R396" i="1"/>
  <c r="S396" i="1"/>
  <c r="T396" i="1"/>
  <c r="U396" i="1"/>
  <c r="V396" i="1"/>
  <c r="W396" i="1"/>
  <c r="R397" i="1"/>
  <c r="S397" i="1"/>
  <c r="T397" i="1"/>
  <c r="U397" i="1"/>
  <c r="V397" i="1"/>
  <c r="W397" i="1"/>
  <c r="R398" i="1"/>
  <c r="S398" i="1"/>
  <c r="T398" i="1"/>
  <c r="U398" i="1"/>
  <c r="V398" i="1"/>
  <c r="W398" i="1"/>
  <c r="R399" i="1"/>
  <c r="S399" i="1"/>
  <c r="T399" i="1"/>
  <c r="U399" i="1"/>
  <c r="V399" i="1"/>
  <c r="W399" i="1"/>
  <c r="R400" i="1"/>
  <c r="S400" i="1"/>
  <c r="T400" i="1"/>
  <c r="U400" i="1"/>
  <c r="V400" i="1"/>
  <c r="W400" i="1"/>
  <c r="R401" i="1"/>
  <c r="S401" i="1"/>
  <c r="T401" i="1"/>
  <c r="U401" i="1"/>
  <c r="V401" i="1"/>
  <c r="W401" i="1"/>
  <c r="R402" i="1"/>
  <c r="S402" i="1"/>
  <c r="T402" i="1"/>
  <c r="U402" i="1"/>
  <c r="V402" i="1"/>
  <c r="W402" i="1"/>
  <c r="R403" i="1"/>
  <c r="S403" i="1"/>
  <c r="T403" i="1"/>
  <c r="U403" i="1"/>
  <c r="V403" i="1"/>
  <c r="W403" i="1"/>
  <c r="R404" i="1"/>
  <c r="S404" i="1"/>
  <c r="T404" i="1"/>
  <c r="U404" i="1"/>
  <c r="V404" i="1"/>
  <c r="W404" i="1"/>
  <c r="R405" i="1"/>
  <c r="S405" i="1"/>
  <c r="T405" i="1"/>
  <c r="U405" i="1"/>
  <c r="V405" i="1"/>
  <c r="W405" i="1"/>
  <c r="R406" i="1"/>
  <c r="S406" i="1"/>
  <c r="T406" i="1"/>
  <c r="U406" i="1"/>
  <c r="V406" i="1"/>
  <c r="W406" i="1"/>
  <c r="R407" i="1"/>
  <c r="S407" i="1"/>
  <c r="T407" i="1"/>
  <c r="U407" i="1"/>
  <c r="V407" i="1"/>
  <c r="W407" i="1"/>
  <c r="R408" i="1"/>
  <c r="S408" i="1"/>
  <c r="T408" i="1"/>
  <c r="U408" i="1"/>
  <c r="V408" i="1"/>
  <c r="W408" i="1"/>
  <c r="W387" i="1"/>
  <c r="V387" i="1"/>
  <c r="U387" i="1"/>
  <c r="T387" i="1"/>
  <c r="S387" i="1"/>
  <c r="R387" i="1"/>
  <c r="A408" i="1"/>
  <c r="A407" i="1"/>
  <c r="A406" i="1"/>
  <c r="A405" i="1"/>
  <c r="A404" i="1"/>
  <c r="A403" i="1"/>
  <c r="A402" i="1"/>
  <c r="A401" i="1"/>
  <c r="A400" i="1"/>
  <c r="A399" i="1"/>
  <c r="A398" i="1"/>
  <c r="A397" i="1"/>
  <c r="A396" i="1"/>
  <c r="A395" i="1"/>
  <c r="A394" i="1"/>
  <c r="A393" i="1"/>
  <c r="A392" i="1"/>
  <c r="A391" i="1"/>
  <c r="A390" i="1"/>
  <c r="A389" i="1"/>
  <c r="A388" i="1"/>
  <c r="A387" i="1"/>
  <c r="A386" i="1" l="1"/>
  <c r="A385" i="1" l="1"/>
  <c r="D7" i="18" l="1"/>
  <c r="F7" i="18" l="1"/>
  <c r="D11" i="18" l="1"/>
  <c r="F11" i="18" s="1"/>
  <c r="D10" i="18"/>
  <c r="F10" i="18" s="1"/>
  <c r="D9" i="18"/>
  <c r="F9" i="18" s="1"/>
  <c r="D8" i="18"/>
  <c r="F8" i="18" s="1"/>
  <c r="D12" i="18"/>
  <c r="E7" i="18" s="1"/>
  <c r="E10" i="18" l="1"/>
  <c r="E9" i="18"/>
  <c r="E11" i="18"/>
  <c r="E12" i="18" l="1"/>
  <c r="E8" i="18"/>
  <c r="D3" i="18" l="1"/>
  <c r="T29" i="11" l="1"/>
  <c r="S29" i="11"/>
  <c r="R29" i="11"/>
  <c r="Q29" i="11"/>
  <c r="P29" i="11"/>
  <c r="O29" i="11"/>
  <c r="N29" i="11"/>
  <c r="M29" i="11"/>
  <c r="L29" i="11"/>
  <c r="K29" i="11"/>
  <c r="J29" i="11"/>
  <c r="T28" i="11"/>
  <c r="S28" i="11"/>
  <c r="R28" i="11"/>
  <c r="Q28" i="11"/>
  <c r="P28" i="11"/>
  <c r="O28" i="11"/>
  <c r="N28" i="11"/>
  <c r="M28" i="11"/>
  <c r="L28" i="11"/>
  <c r="K28" i="11"/>
  <c r="J28" i="11"/>
  <c r="E4" i="10"/>
  <c r="E5" i="10"/>
  <c r="E6" i="10"/>
  <c r="E7" i="10"/>
  <c r="E8" i="10"/>
  <c r="E9" i="10"/>
  <c r="E10" i="10"/>
  <c r="E11" i="10"/>
  <c r="E12" i="10"/>
  <c r="E13" i="10"/>
  <c r="E3" i="10"/>
  <c r="C13" i="10"/>
  <c r="C4" i="10"/>
  <c r="C5" i="10"/>
  <c r="C6" i="10"/>
  <c r="C7" i="10"/>
  <c r="C8" i="10"/>
  <c r="C9" i="10"/>
  <c r="C10" i="10"/>
  <c r="C11" i="10"/>
  <c r="C12" i="10"/>
  <c r="C3" i="10"/>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C14" i="10" l="1"/>
  <c r="M30" i="11" a="1"/>
  <c r="M30" i="11" s="1"/>
  <c r="T31" i="11"/>
  <c r="L31" i="11"/>
  <c r="J30" i="11" a="1"/>
  <c r="J30" i="11" s="1"/>
  <c r="R30" i="11" a="1"/>
  <c r="R30" i="11" s="1"/>
  <c r="K30" i="11" a="1"/>
  <c r="K30" i="11" s="1"/>
  <c r="S31" i="11"/>
  <c r="Q30" i="11" a="1"/>
  <c r="Q30" i="11" s="1"/>
  <c r="N30" i="11" a="1"/>
  <c r="N30" i="11" s="1"/>
  <c r="O30" i="11" a="1"/>
  <c r="O30" i="11" s="1"/>
  <c r="P31" i="11"/>
  <c r="S30" i="11" a="1"/>
  <c r="S30" i="11" s="1"/>
  <c r="M31" i="11"/>
  <c r="N31" i="11"/>
  <c r="O31" i="11"/>
  <c r="L30" i="11" a="1"/>
  <c r="L30" i="11" s="1"/>
  <c r="P30" i="11" a="1"/>
  <c r="P30" i="11" s="1"/>
  <c r="T30" i="11" a="1"/>
  <c r="T30" i="11" s="1"/>
  <c r="Q31" i="11"/>
  <c r="J31" i="11"/>
  <c r="R31" i="11"/>
  <c r="K31" i="11"/>
  <c r="A274" i="1"/>
  <c r="A351" i="1" l="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Q29" i="6"/>
  <c r="Q28" i="6"/>
  <c r="K29" i="6"/>
  <c r="J29" i="6"/>
  <c r="L29" i="6"/>
  <c r="M29" i="6"/>
  <c r="O29" i="6"/>
  <c r="P29" i="6"/>
  <c r="R29" i="6"/>
  <c r="S29" i="6"/>
  <c r="T29" i="6"/>
  <c r="N29" i="6"/>
  <c r="Q30" i="6" l="1" a="1"/>
  <c r="Q30" i="6" s="1"/>
  <c r="G10" i="10"/>
  <c r="Q31" i="6"/>
  <c r="D13" i="10"/>
  <c r="D10" i="10" l="1"/>
  <c r="D4" i="10"/>
  <c r="D8" i="10"/>
  <c r="D7" i="10"/>
  <c r="D6" i="10"/>
  <c r="D5" i="10"/>
  <c r="D11" i="10"/>
  <c r="D12" i="10"/>
  <c r="D3" i="10"/>
  <c r="D9" i="10"/>
  <c r="N28" i="6" l="1"/>
  <c r="N30" i="6" s="1" a="1"/>
  <c r="N30" i="6" s="1"/>
  <c r="M28" i="6"/>
  <c r="M30" i="6" s="1" a="1"/>
  <c r="M30" i="6" s="1"/>
  <c r="J28" i="6"/>
  <c r="L28" i="6"/>
  <c r="L30" i="6" s="1" a="1"/>
  <c r="L30" i="6" s="1"/>
  <c r="O28" i="6"/>
  <c r="O30" i="6" s="1" a="1"/>
  <c r="O30" i="6" s="1"/>
  <c r="P28" i="6"/>
  <c r="P30" i="6" s="1" a="1"/>
  <c r="P30" i="6" s="1"/>
  <c r="S28" i="6"/>
  <c r="S30" i="6" s="1" a="1"/>
  <c r="S30" i="6" s="1"/>
  <c r="T28" i="6"/>
  <c r="T30" i="6" s="1" a="1"/>
  <c r="T30" i="6" s="1"/>
  <c r="K28" i="6"/>
  <c r="K30" i="6" s="1" a="1"/>
  <c r="K30" i="6" s="1"/>
  <c r="R28" i="6"/>
  <c r="R30" i="6" s="1" a="1"/>
  <c r="R30" i="6" s="1"/>
  <c r="J31" i="6" l="1"/>
  <c r="J30" i="6" a="1"/>
  <c r="J30" i="6" s="1"/>
  <c r="G9" i="10"/>
  <c r="G11" i="10"/>
  <c r="G4" i="10"/>
  <c r="E14" i="10"/>
  <c r="G3" i="10"/>
  <c r="G7" i="10"/>
  <c r="G12" i="10"/>
  <c r="G6" i="10"/>
  <c r="G5" i="10"/>
  <c r="G8" i="10"/>
  <c r="G13" i="10"/>
  <c r="O31" i="6"/>
  <c r="T31" i="6"/>
  <c r="R31" i="6"/>
  <c r="K31" i="6"/>
  <c r="P31" i="6"/>
  <c r="N31" i="6"/>
  <c r="L31" i="6"/>
  <c r="M31" i="6"/>
  <c r="S31" i="6"/>
  <c r="F9" i="10" l="1"/>
  <c r="F10" i="10"/>
  <c r="F13" i="10"/>
  <c r="F12" i="10"/>
  <c r="F11" i="10"/>
  <c r="F8" i="10"/>
  <c r="F7" i="10"/>
  <c r="F4" i="10"/>
  <c r="F3" i="10"/>
  <c r="F6" i="10"/>
  <c r="F5"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tc={2D26464F-DFFA-45D7-BA3B-52D11E46969B}</author>
  </authors>
  <commentList>
    <comment ref="M5" authorId="0" shapeId="0" xr:uid="{2D26464F-DFFA-45D7-BA3B-52D11E46969B}">
      <text>
        <t>[Threaded comment]
Your version of Excel allows you to read this threaded comment; however, any edits to it will get removed if the file is opened in a newer version of Excel. Learn more: https://go.microsoft.com/fwlink/?linkid=870924
Comment:
    Podem existir campos com controlos a NOK mas que estão justificados (ver ficheiro LT - Controlos e Justificações)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<sst xmlns="http://schemas.openxmlformats.org/spreadsheetml/2006/main" count="21595" uniqueCount="4940">
  <si>
    <t>Status Atual</t>
  </si>
  <si>
    <t>(All)</t>
  </si>
  <si>
    <t>Row Labels</t>
  </si>
  <si>
    <t>Count of Categorização</t>
  </si>
  <si>
    <t xml:space="preserve">Âmbito (Projeto) </t>
  </si>
  <si>
    <t>PM</t>
  </si>
  <si>
    <t>Fora OSI</t>
  </si>
  <si>
    <r>
      <rPr>
        <b/>
        <sz val="11"/>
        <color theme="1"/>
        <rFont val="Aptos Narrow"/>
        <family val="2"/>
        <scheme val="minor"/>
      </rPr>
      <t xml:space="preserve">Potencial de proposta </t>
    </r>
    <r>
      <rPr>
        <sz val="11"/>
        <color theme="1"/>
        <rFont val="Aptos Narrow"/>
        <family val="2"/>
        <scheme val="minor"/>
      </rPr>
      <t>- Campos concluídos, sem melhorias identidicadas, mas com necessidade de documentação</t>
    </r>
  </si>
  <si>
    <t>Analisar controlos NOK</t>
  </si>
  <si>
    <t>Count of Status Atual</t>
  </si>
  <si>
    <t/>
  </si>
  <si>
    <t>OSI VS FORA OSI</t>
  </si>
  <si>
    <r>
      <rPr>
        <b/>
        <sz val="11"/>
        <color theme="1"/>
        <rFont val="Aptos Narrow"/>
        <family val="2"/>
        <scheme val="minor"/>
      </rPr>
      <t>Potencial de proposta</t>
    </r>
    <r>
      <rPr>
        <sz val="11"/>
        <color theme="1"/>
        <rFont val="Aptos Narrow"/>
        <family val="2"/>
        <scheme val="minor"/>
      </rPr>
      <t xml:space="preserve"> - Campos com melhorias mais complexas identificadas na OSI ou fora da mesma.</t>
    </r>
  </si>
  <si>
    <t>Melhorias estruturais (garantir coerência entre campos)</t>
  </si>
  <si>
    <t>OSI</t>
  </si>
  <si>
    <t>Grand Total</t>
  </si>
  <si>
    <t>Total #</t>
  </si>
  <si>
    <t>Total %</t>
  </si>
  <si>
    <t>Quick-win âmbito do projeto em curso</t>
  </si>
  <si>
    <t>Novo campo</t>
  </si>
  <si>
    <t>1. Especificar</t>
  </si>
  <si>
    <t>Quick Win</t>
  </si>
  <si>
    <t>#</t>
  </si>
  <si>
    <t>%</t>
  </si>
  <si>
    <t>Necessidade de correção de erros</t>
  </si>
  <si>
    <t>2. Alterar especificação</t>
  </si>
  <si>
    <t>Campo Fechado</t>
  </si>
  <si>
    <t>Campo concluído, mas sem ou pouca informação na fonte</t>
  </si>
  <si>
    <t>3. Pendente de decisão</t>
  </si>
  <si>
    <t>Não</t>
  </si>
  <si>
    <t>Campo concluido</t>
  </si>
  <si>
    <t>4.1 Em implementação - Re-especificação</t>
  </si>
  <si>
    <t>Sim</t>
  </si>
  <si>
    <t>5.1 Em testes - Re-especificação</t>
  </si>
  <si>
    <t>Alteração de especificação por parte do BCE</t>
  </si>
  <si>
    <t>5.2 Em testes - Incidência</t>
  </si>
  <si>
    <t>7. Analisar controlos e completude</t>
  </si>
  <si>
    <t>8. Concluído - sem dados</t>
  </si>
  <si>
    <t>9. Concluído</t>
  </si>
  <si>
    <t>Pendente de decisão</t>
  </si>
  <si>
    <t>Especificação</t>
  </si>
  <si>
    <t>ORGNL_PRTCTN_VL</t>
  </si>
  <si>
    <t xml:space="preserve">Campos Contabilidade </t>
  </si>
  <si>
    <t>DT_ORGNL_PRTCTN_VL</t>
  </si>
  <si>
    <t>IMPRMNT_STTS</t>
  </si>
  <si>
    <t>PRFRMNG_STTS</t>
  </si>
  <si>
    <t>IMPRMNT_STTS_PRVS</t>
  </si>
  <si>
    <t>PRFRMNG_STTS_PRVS</t>
  </si>
  <si>
    <t>DPD_12M_PRFRMNG_STTS</t>
  </si>
  <si>
    <t>DPD_24M_PRFRMNG_STTS</t>
  </si>
  <si>
    <t>DPD_PRFRMNG_STTS</t>
  </si>
  <si>
    <t>DT_IMPRMNT_STTS</t>
  </si>
  <si>
    <t>DT_IMPRMNT_STTS_PRVS</t>
  </si>
  <si>
    <t>DT_PRFRMNG_STTS</t>
  </si>
  <si>
    <t>DT_PRFRMNG_STTS_PRVS</t>
  </si>
  <si>
    <t>4.2 Em implementação - Incidência</t>
  </si>
  <si>
    <t>6. Outros Desenvolvimentos</t>
  </si>
  <si>
    <t>Status Inicial (pós OSI)</t>
  </si>
  <si>
    <t>Variação</t>
  </si>
  <si>
    <t>Progressão</t>
  </si>
  <si>
    <t xml:space="preserve">3. Pendente de decisão - Identificados temas em OSI nos campos e é necessário identificar cauisticas (pode ficar como está ou ser alterado). Quem toma as decisões são as areas de negócio, porém o Luis poderá dar a decisão final </t>
  </si>
  <si>
    <t>Tema</t>
  </si>
  <si>
    <t>Questão</t>
  </si>
  <si>
    <t>Decisão</t>
  </si>
  <si>
    <t>O campo 'dtvalia_resp_bem' só possuI informação para datas de referências posteriores a 2024-07-31. Como devemos proceder caso seja necessário reportar dados anteriores a Jul.2024? </t>
  </si>
  <si>
    <t>Manter a especificação com mapeamento após jul.24</t>
  </si>
  <si>
    <t xml:space="preserve">O campo 'mavaliai_resp_bem' só possuI informação para datas de referências posteriores a 2024-07-31. Como devemos proceder caso seja necessário reportar dados anteriores a Jul.2024? </t>
  </si>
  <si>
    <t>DT_CNSTRCTN_STTS</t>
  </si>
  <si>
    <t xml:space="preserve">Teremos de criar uma tabela auxiliar com o histórico dos estados de construção e mapear para a data mais antiga do estado de construção atual. Uma vez que o MUG tem uma ótica de atualização diária, para o mapeamento e criação desta tabela auxiliar devemos olhar para uma ótica ou mensal?  </t>
  </si>
  <si>
    <t>Criar tabela auxiliar e ir buscar a ref_date. Devemos utilizar uma ótica diária. Analisar controlos por amostragem.</t>
  </si>
  <si>
    <t>Caso o bem só tenha um estado desde sempre/ desde que foi recebido como garantia devemos reportar a DT_INCPTN? E caso tenha mais do que um instrumento associado, qual a dt_incptn que devemos utilizar? A mais antiga?</t>
  </si>
  <si>
    <t>Questionar Corporação: 1) Caso o bem só tenha um estado desde sempre/ desde que foi recebido como garantia qual a data que devemos reportar? 2) A DR_CNSTRCTN_STTS pode ser anterior à DT_INCPTN? Estes casos poderão acontecer caso uma garantia esteja associada a mais do que um contrato.</t>
  </si>
  <si>
    <t>Campos Contabilidade vs Imparidade</t>
  </si>
  <si>
    <t xml:space="preserve">12 campos com informação de Imparidade, em que a Contabilidade assumiu a ownership uma vez que reporta este dado. Avançamos na re-especificação dos campos utilizando o mapeamento das tabelas de Contabilidade para datas de referência após Dez.22 e a tabela 7_8 de Imparidade para datas anteriores a Dez.22?
IMPRMNT_STTS	
PRFRMNG_STTS	
IMPRMNT_STTS_PRVS	
POCI	
PRFRMNG_STTS_PRVS	
DPD_12M_PRFRMNG_STTS	
DPD_24M_PRFRMNG_STTS	
DPD_PRFRMNG_STTS	
DT_IMPRMNT_STTS	
DT_IMPRMNT_STTS_PRVS	
DT_PRFRMNG_STTS	
DT_PRFRMNG_STTS_PRVS	</t>
  </si>
  <si>
    <t>Atualmente o campo de stage está a ser populado com informação de Imparidade até Dez.19 e a partir de Jan.20 com informação da FR004. Deste modo, a alteração de especificação prende-se apenas com a alteração da data para Dez.22.
Solicitar a Alexandre Gonçalvez que validem os campos após implementação de IT, sem prejuizo dos testes por parte da equipa LT.</t>
  </si>
  <si>
    <t>Campos Imparidade - Fonte da Verdade</t>
  </si>
  <si>
    <t xml:space="preserve">12 campos de Imparidade. Devemos sugerir mapeamento dos campos tendo em conta a tabela de o David Texugo indicou e enviar para validação? Enviamos um e-mail a solicitar esse mapeamento, mas sem resposta até ao momento. 
EIR	
EIR_INCPTN	
IFRS9_CCF	
IFRS9_EAD	
IFRS9_LGD	
INTRNL_SGMNT_IFRS9	
PD_IFRS9_12M_INCPTN	
PD_IFRS9_12M_RD	
PD_IFRS9_12M_RD_T1	
PD_IFRS9_LFTM_INCPTN	
PD_IFRS9_RMNNG_LFTM_INCPTN	
PD_IFRS9_RMNNG_LFTM_RD	</t>
  </si>
  <si>
    <t>Fazer proposta. Segmentar por campos OK e NOK.</t>
  </si>
  <si>
    <t>PRTCTN_VL</t>
  </si>
  <si>
    <t xml:space="preserve">40 garantias imóveis com valor de proteção a zero, cuja origem são a G39 ou G26. Analisados por Henrique e Susana:
    35 casos encontram-se no nosso ficheiro de Erros dos Métodos Indiciários com falta de informação: 
           33 – Apenas com informação na GP26 
             1 – Valor de avaliação a zero 
             1 - % de CI não encontrado para o critério 
    2 casos são do cliente Vilamoura World – imóvel não identificado 
    3 casos são do cliente IAD da Madeira e já foram distratados </t>
  </si>
  <si>
    <t xml:space="preserve">11 Garantias Imóveis cuja origem provêm das CSs, com valor da proteção igual a zero  (não são clones). Para quem devemos enviar estes casos para análise? </t>
  </si>
  <si>
    <t xml:space="preserve">121 Garantias Imóveis com contratos de Leasing associados, cujo valor da proteção é zero  (não são clones). Para quem devemos enviar estes casos para análise? </t>
  </si>
  <si>
    <t xml:space="preserve">1 garantia Financeira, cujo valor da proteção é zero – Caso não está na GT018 para datas posteriores a 2024-05-31. Devíamos retirar da LT os casos com o msldreal a zero (temos 25 casos)? </t>
  </si>
  <si>
    <t>46 casos com data inválidas 0001-01-01 para análise da equipa de leasing.</t>
  </si>
  <si>
    <t>4.1 respecificado</t>
  </si>
  <si>
    <t>4.2 IT não implementou corretamente</t>
  </si>
  <si>
    <t>6. Outros desenvolvimentos - Não podemos avançar no campo por haver necessidade de alguma alteração no campo fonte</t>
  </si>
  <si>
    <t xml:space="preserve">7. Controlos corporativos NOK que necessitam de ser analizados </t>
  </si>
  <si>
    <t>8. Campos que não são para mexer</t>
  </si>
  <si>
    <t>9. A partir do momento que sobe a CD</t>
  </si>
  <si>
    <t>Estado</t>
  </si>
  <si>
    <t>Status Inicial</t>
  </si>
  <si>
    <t>Status Atual (%)</t>
  </si>
  <si>
    <t>Legenda</t>
  </si>
  <si>
    <t xml:space="preserve">O campo será especificado pela primeira vez </t>
  </si>
  <si>
    <t>O campo já foi especificado, no entanto foi necessário alterar</t>
  </si>
  <si>
    <t xml:space="preserve">Houve algum tema identificado em OSI nos campos e é necessário identificar casuísticas (podendo ficar como está ou ser alterado). Quem toma as decisões são as áreas de negócio, porém o Luis poderá dar a decisão final </t>
  </si>
  <si>
    <t>O campo já foi re-especificado e está do lado de IT</t>
  </si>
  <si>
    <t>O campo já foi re-especificado e entregue, no entanto veio com erros de implementação por parte de IT</t>
  </si>
  <si>
    <t>O campo foi re-especificado e implementado por IT e está em fase de testes</t>
  </si>
  <si>
    <t>O campo foi re-especificado e implementado por IT, porém foram encontradas incidências que levaram a uma nova fase de testes</t>
  </si>
  <si>
    <t>Não podemos avançar no campo por haver necessidade de alguma alteração no campo fonte pendente da área responsável</t>
  </si>
  <si>
    <t xml:space="preserve">Controlos corporativos NOK que necessitam de ser analizados </t>
  </si>
  <si>
    <t>Campos que não são para alterar</t>
  </si>
  <si>
    <t>O campo já subiu a CD</t>
  </si>
  <si>
    <t>Quick-win de alta prioridade</t>
  </si>
  <si>
    <t>Quick-win de média prioridade</t>
  </si>
  <si>
    <t>TABLE_NAME</t>
  </si>
  <si>
    <t>COLUMN_NAME</t>
  </si>
  <si>
    <t>ÂMBITO</t>
  </si>
  <si>
    <t>Status</t>
  </si>
  <si>
    <t>Controlos e Completude</t>
  </si>
  <si>
    <t>Descrição</t>
  </si>
  <si>
    <t>Detalhe</t>
  </si>
  <si>
    <t>Quick-win</t>
  </si>
  <si>
    <t>Data alteração status</t>
  </si>
  <si>
    <t>Controlos e Completuade atual</t>
  </si>
  <si>
    <t>Comentários</t>
  </si>
  <si>
    <t>Data envio para IT</t>
  </si>
  <si>
    <t>Data Implementação</t>
  </si>
  <si>
    <t>Categorização</t>
  </si>
  <si>
    <t>Structural 
ECB Loan Tape</t>
  </si>
  <si>
    <t>Green 
Dashboard</t>
  </si>
  <si>
    <t>Pillar III ESG</t>
  </si>
  <si>
    <t>Green Finance</t>
  </si>
  <si>
    <t>ESG Risks</t>
  </si>
  <si>
    <t>Leveraged Finance</t>
  </si>
  <si>
    <t>INSTRUMENT</t>
  </si>
  <si>
    <t>ACCMLTD_CHNGS_FV_CR_INSTRMNT</t>
  </si>
  <si>
    <t>OK</t>
  </si>
  <si>
    <t>Concluido, controlos OK</t>
  </si>
  <si>
    <t>Y</t>
  </si>
  <si>
    <t>N</t>
  </si>
  <si>
    <t>ACCMLTD_IMPRMNT_INSTRMNT</t>
  </si>
  <si>
    <t>ACCMLTD_IMPRMNT_INSTRMNT_PRVS</t>
  </si>
  <si>
    <t>Campo com incidência. Verificar fonte LT</t>
  </si>
  <si>
    <t>LF</t>
  </si>
  <si>
    <t>ACCMLTD_WRTFFS_INSTRMNT</t>
  </si>
  <si>
    <t>ACCNTNG_CLSSFCTN</t>
  </si>
  <si>
    <t>ENTITY</t>
  </si>
  <si>
    <t>ACCNTNG_FRMWRK_SL</t>
  </si>
  <si>
    <t>Em especificação (Financial Statments CIB)</t>
  </si>
  <si>
    <t>Campo implementação, mas com falta de informação para o segmento de clientes CIB</t>
  </si>
  <si>
    <t>PM &amp; LF</t>
  </si>
  <si>
    <t>TYP_MRTGG</t>
  </si>
  <si>
    <t>NOK</t>
  </si>
  <si>
    <t>Alteração da Code list por parte do BCE</t>
  </si>
  <si>
    <t>Alterar especificação de acordo com codelist atual. No MUG existem apenas garantias elegiveis para cálculo de capital? Se sim, TYP_MRTGG irá assumir os valores 1, 5 e N/A. Caso contrário assumirá os valores  1, 5, 6 e N/A.</t>
  </si>
  <si>
    <t>AMNT_D_AT_MTRTY</t>
  </si>
  <si>
    <t>ANNL_TRNVR_LE</t>
  </si>
  <si>
    <t>ANNL_TRNVR_LE_BDR</t>
  </si>
  <si>
    <t>ANNL_TRNVR_PRVS</t>
  </si>
  <si>
    <t>ANNL_TRNVR_PRVS_BDR</t>
  </si>
  <si>
    <t>ANNLSD_AGRD_RT</t>
  </si>
  <si>
    <t>Verificar necessidade de alteração da fonte para fins de reconciliação. Rever Fonte</t>
  </si>
  <si>
    <t>Rever se devemos utilizar a informação de IFRS9 ou manter a de alm</t>
  </si>
  <si>
    <t>PROTECTION</t>
  </si>
  <si>
    <t>APPRSL_CRRNCY</t>
  </si>
  <si>
    <t>Controlos NOK</t>
  </si>
  <si>
    <t>APPRSR</t>
  </si>
  <si>
    <t>ARRRS_INSTRMNT</t>
  </si>
  <si>
    <t>ARRRS_INSTRMNT_12M</t>
  </si>
  <si>
    <t>ASST_SCRT_CLSS</t>
  </si>
  <si>
    <t>BRCHD_CVNNTS</t>
  </si>
  <si>
    <t>Campo especificado, mas sem dados. Campo marcado com MISS ou NA</t>
  </si>
  <si>
    <t>CAPEX</t>
  </si>
  <si>
    <t>CAPEX_PRVS</t>
  </si>
  <si>
    <t>CCF</t>
  </si>
  <si>
    <t>CHNNL_ORGNTN</t>
  </si>
  <si>
    <t>Aguarda implementação de IT</t>
  </si>
  <si>
    <t>CLLCTN_MD</t>
  </si>
  <si>
    <t>TTL_INTRST_PD</t>
  </si>
  <si>
    <t>Em especificação (Amortizações Capital/ Juros)</t>
  </si>
  <si>
    <t>CMMTMNT_INCPTN_INSTRMNT</t>
  </si>
  <si>
    <t>Analisar controlos e completude</t>
  </si>
  <si>
    <t>RL_ESTT_CLLTRL_LCTN</t>
  </si>
  <si>
    <t>Alterados 3 casos. Campo está a devolver PT para todas as proteções, no entanto estas não estão localizadas em PT e alterou-se a localização para os respetivos paises.</t>
  </si>
  <si>
    <t>CMPLNT_MRTR_C19_NM</t>
  </si>
  <si>
    <t>CNSMPTN_FNRP18</t>
  </si>
  <si>
    <t>DT_APPRSL_PRVS</t>
  </si>
  <si>
    <t>Campo com incidência e controlos NOK</t>
  </si>
  <si>
    <t>1) Campo com incidência, data igual à data da protection_vl 2) Alteração de formatos MISS</t>
  </si>
  <si>
    <t xml:space="preserve">Alteraração da definição do campo no Guia da Corporação. Campo passou a reportar a data da avaliação completa anterior à data da última avaliação  completa.
</t>
  </si>
  <si>
    <t>CNTRCT_ID</t>
  </si>
  <si>
    <t>CNTRCT_ID_BDR</t>
  </si>
  <si>
    <t>CNTRY</t>
  </si>
  <si>
    <t>COD_SOC</t>
  </si>
  <si>
    <t>INSTR_ENTITY</t>
  </si>
  <si>
    <t>INSTR_PROTECTION</t>
  </si>
  <si>
    <t>COD_SOC_INTRGRP</t>
  </si>
  <si>
    <t>CPN_CRRNCY</t>
  </si>
  <si>
    <t>CPN_RT_FXD</t>
  </si>
  <si>
    <t>CR_FLG</t>
  </si>
  <si>
    <t>CRE_FNRP18</t>
  </si>
  <si>
    <t>CRE_INCM_CRRNCY</t>
  </si>
  <si>
    <t>Campo sem mapeamento, para análise da área  de Riscos</t>
  </si>
  <si>
    <t>CRE_YRLY_EXPNSS</t>
  </si>
  <si>
    <t>CRE_YRLY_INCM</t>
  </si>
  <si>
    <t>CRRLTN_CFFCNT</t>
  </si>
  <si>
    <t>CRRNCY_DNMNTN</t>
  </si>
  <si>
    <t>CRRYNG_AMNT_INSTRMNT</t>
  </si>
  <si>
    <t>CSH</t>
  </si>
  <si>
    <t>CSH_PRVS</t>
  </si>
  <si>
    <t>CSH_SWP_TRP</t>
  </si>
  <si>
    <t>CVNNT_STTS</t>
  </si>
  <si>
    <t>CVNNT_TYP</t>
  </si>
  <si>
    <t>DBT_RPYMNT_CPCTY_SNR_DBT</t>
  </si>
  <si>
    <t>DBT_RPYMNT_CPCTY_TTL</t>
  </si>
  <si>
    <t>DBT_SRVC_RT</t>
  </si>
  <si>
    <t>DBT_SRVC_RT_12M</t>
  </si>
  <si>
    <t>DBT_YLD</t>
  </si>
  <si>
    <t>DCSD</t>
  </si>
  <si>
    <t>DFLT_STTS</t>
  </si>
  <si>
    <t>Alterar especificação  caso a LT passe a reportar os 1os titulares da Contabilidade.</t>
  </si>
  <si>
    <t>Na OSI foram reportados os 1os titulares da Contabilidade, o que para alguns casos, são diferentes do que está na CL01. Apenas será necessário ajustar este campo caso a LT passe a reportar os 1os titulares da Contabilidade. Campo com incidência: Para os casos em que o cliente tem operações titularizadas (flag consumo capital = 0) e tem pelo menos uma não titularizada (N/A), a LT está atualmente a reporta N/A.</t>
  </si>
  <si>
    <t>RFNNC_PRPS</t>
  </si>
  <si>
    <t>Alterar especificação. Campo depende do FRBRNC_STTS_INSTRMNT</t>
  </si>
  <si>
    <t>Sempre que o campo FRBRNC_STTS_INSTRMNT =3 o campo RFNNC_PRPS deve estar marcado como Y. Reespecificar, implementar e testar.</t>
  </si>
  <si>
    <t>DPD</t>
  </si>
  <si>
    <t>DPD_12M</t>
  </si>
  <si>
    <t>DPD_12M_FRBRNC_STTS</t>
  </si>
  <si>
    <t>Em testes. Campo depende do FRBRNC_STTS que está com incidência nos formatos. Não é necessário alterar a especificação do mesmo, apenas testar quando o campo FRBRNC_STTS estiver corrigido.</t>
  </si>
  <si>
    <t>Campo depende do histórico do PRFRMNG_STTS. Não é necessário alterar a especificação do mesmo, apenas testar se a metodologia do campo PRFRMNG_STTS for alterada.</t>
  </si>
  <si>
    <t>DPD_24M_FRBRNC_STTS</t>
  </si>
  <si>
    <t>Em testes. Campo depende do campo PRFRMNG_STTS. Não é necessário alterar a especificação do mesmo, apenas testar  se o campo PRFRMNG_STTS for alterado.</t>
  </si>
  <si>
    <t>DPD_FRBRNC_STTS</t>
  </si>
  <si>
    <t>DSTI</t>
  </si>
  <si>
    <t>Em especificação (Campos Novos)</t>
  </si>
  <si>
    <t>TYP_PRTCTN</t>
  </si>
  <si>
    <t>Alterar especificação (alteração da fonte para MUG)</t>
  </si>
  <si>
    <t>Campo depende do campo 'cgarant' do MUG</t>
  </si>
  <si>
    <t xml:space="preserve">Alteração de especificação com base no campo cgarant_bem e cgarant_rpt do MUG. Controlo NOK - A Corporação ajustou o controlo e estes casos passarão a estar OK
</t>
  </si>
  <si>
    <t>DT_BRTH</t>
  </si>
  <si>
    <t>DT_CMPLNT_MRTR_STTS_C19</t>
  </si>
  <si>
    <t>DT_CMPLNT_MRTR_STTS_PRVS_C19</t>
  </si>
  <si>
    <t>DT_PRTCTN_VL</t>
  </si>
  <si>
    <t xml:space="preserve">Campo com incidência e controlos NOK. </t>
  </si>
  <si>
    <t>Alteração formato de 0001-01-01 para 0000-00-00</t>
  </si>
  <si>
    <t>Incidência corrigida. Especificação alterada para campo da GT018, de modo a estar coerente com a especificação do campo PRTCTN_VL
Controlo NOK (ver caderno de testes a 03/12/2023)</t>
  </si>
  <si>
    <t>DT_DFLT_STTS</t>
  </si>
  <si>
    <t>Na OSI foram reportados os 1os titulares da Contabilidade, o que para alguns casos, são diferentes do que está na CL01. Apenas será necessário ajustar este campo caso a LT passe a reportar os 1os titulares da Contabilidade.</t>
  </si>
  <si>
    <t>DT_DFLT_STTS_INSTRMNT</t>
  </si>
  <si>
    <t>Campo com incidência. É necessário adicionar a data de inception sempre que os contratos não estejam em default
Campo entregue por IT durante a OSI, no entanto foi detatada a incidência identificada supra</t>
  </si>
  <si>
    <t>DT_END_GP_PPAL</t>
  </si>
  <si>
    <t>DT_END_GP_PPAL_C19</t>
  </si>
  <si>
    <t>DT_END_INTRST_ONLY</t>
  </si>
  <si>
    <t>DT_END_INTRST_ONLY_C19</t>
  </si>
  <si>
    <t>CNSTRCTN_STTS</t>
  </si>
  <si>
    <t>Campo dependente do MUG</t>
  </si>
  <si>
    <t>DT_FNNCL_STTMTS</t>
  </si>
  <si>
    <t>DT_FNNCL_STTMTS_PRVS</t>
  </si>
  <si>
    <t>RCVD_INTRST_24M</t>
  </si>
  <si>
    <t>Em especificação (Amortizações Capital/ Juros). Campo com dados mas pouca qualidade</t>
  </si>
  <si>
    <t>DT_FRBRNC_STTS_C19</t>
  </si>
  <si>
    <t>RCVD_INTRST_12M</t>
  </si>
  <si>
    <t>DT_FRBRNC_STTS_PRVS_C19</t>
  </si>
  <si>
    <t>DT_FRST_USG</t>
  </si>
  <si>
    <t>Controlos NOK por parte de Riscos</t>
  </si>
  <si>
    <t>Rever fonte. Confirmar com LCM que a informação deverá estar de acordo com IFRS9/Imparidade, mantendo a metodologia da OSI (ir apenas à tabela FR004 na data de referência, as restantes datas ir à tabela de IFRS9)</t>
  </si>
  <si>
    <t>DT_INCPTN</t>
  </si>
  <si>
    <t>DT_INTRNL_RTNG</t>
  </si>
  <si>
    <t>Em testes, campo entregue por IT durante a OSI. Incidência nos formatos. Testar e validar controlos NOK</t>
  </si>
  <si>
    <t>Em testes, campo entregue por IT durante a OSI. Testar e validar controlos</t>
  </si>
  <si>
    <t>DT_INTTN_LGL_PRCDNGS_LE</t>
  </si>
  <si>
    <t>DVLPMNT_STTS</t>
  </si>
  <si>
    <t>Alterar especificação. Campo dependente do MUG</t>
  </si>
  <si>
    <t>Mapeamento de acordo com o CNSTRCTN_STTS</t>
  </si>
  <si>
    <t>DT_LST_FLL_APPRSL</t>
  </si>
  <si>
    <t>Campo está a reportar a data da última avaliação e não a data da última avaliação in person. Implementação não está a aplicar a metodologia de cálculo de acordo com a especificação</t>
  </si>
  <si>
    <t>DT_MTRTY_PRTCTN</t>
  </si>
  <si>
    <t>SICR_ASSSSMNT_MTHD</t>
  </si>
  <si>
    <t>Rever com Corporação se a codelist do IMPRMNT_STTS alterou, caso não tenha alterado não é necessário alterar o campo.</t>
  </si>
  <si>
    <t>E-mail enviado para Corporação. Codelist IMPRMNT_STTS não alterou</t>
  </si>
  <si>
    <t>-</t>
  </si>
  <si>
    <t>DT_ORGNL_MTRTY</t>
  </si>
  <si>
    <t>NTNL_ID</t>
  </si>
  <si>
    <t>Campo com incidência (Formatos). Remover aspas</t>
  </si>
  <si>
    <t>DT_PRFRMNG_STTS_LE</t>
  </si>
  <si>
    <t>IFRS9_BHVRL_MTRTY</t>
  </si>
  <si>
    <t>Alterar especificação. Necessidade de alteração da fonte para fins de reconciliação</t>
  </si>
  <si>
    <t>Em curso. Aguardamos resposta da equipa de Imparidade. Sempre que o campo for nulo colocar 111111111 valor de NA</t>
  </si>
  <si>
    <t xml:space="preserve">Alteração de fonte e tabelas reporting para tabelas terminadas em 7_8
</t>
  </si>
  <si>
    <t>DT_PST_D</t>
  </si>
  <si>
    <t>DT_RFRNC</t>
  </si>
  <si>
    <t>DT_STRT_GP_PPAL</t>
  </si>
  <si>
    <t>DT_STRT_INTRST_ONLY</t>
  </si>
  <si>
    <t>DT_VLTN</t>
  </si>
  <si>
    <t>POCI</t>
  </si>
  <si>
    <t>Alterar especificação para a tabela de Contabilidade FR004 campo Flag_POCI. Campo estava a mapear informação das tabelas de Imparidade, no entanto ficou definido que o Owner da informação deveria ser Contabilidade, neste sentido é necessário alterar a fonte para a tabela da Contabilidade</t>
  </si>
  <si>
    <t>EAD</t>
  </si>
  <si>
    <t>Em testes. Campo com incidências, mas corrigida na LT no âmbito da OSI.</t>
  </si>
  <si>
    <t>EBA_CMPLNT_MRTR_ST_C19</t>
  </si>
  <si>
    <t>OTSTNDNG_NMNL_AMNT_INSTRMNT_PRVS</t>
  </si>
  <si>
    <t>Campo com incidência</t>
  </si>
  <si>
    <t>Diferenças na fonte
Regra utilizada na OSI:
cast(NVL((LT02_PRVS.GRSS_CRRYNG_AMNT_INSTRMNT_PRVS - NVL(ACCRD_T1.ACCRD_INTRST_INSTRMNT_PRVS,0)) ,11111111111.00) as decimal(21,2)) as  OTSTNDNG_NMNL_AMNT_INSTRMNT_PRVS</t>
  </si>
  <si>
    <t>INSTLMNT_PAY</t>
  </si>
  <si>
    <t>Campo especificado, mas com pouca qualidade de dados</t>
  </si>
  <si>
    <t>EC_GRP_ID</t>
  </si>
  <si>
    <t>EC_GRP_NM</t>
  </si>
  <si>
    <t>ECNMC_ACTVTY</t>
  </si>
  <si>
    <t>EIR</t>
  </si>
  <si>
    <t>EIR_INCPTN</t>
  </si>
  <si>
    <t>ELGBLTY_ECB</t>
  </si>
  <si>
    <t>EMPLYMNT_STTS</t>
  </si>
  <si>
    <t>EMPLYMNT_STTS_INTRNL</t>
  </si>
  <si>
    <t>ENTRPRS_SZ_LE</t>
  </si>
  <si>
    <t>ENTTY_ID</t>
  </si>
  <si>
    <t>ENTTY_NM</t>
  </si>
  <si>
    <t>EQTY</t>
  </si>
  <si>
    <t>EQTY_PRVS</t>
  </si>
  <si>
    <t>EXPCTD_LSS_CRR</t>
  </si>
  <si>
    <t>EXPSR_IN_SCP</t>
  </si>
  <si>
    <t>FRBRNC_STTS_INSTRMNT</t>
  </si>
  <si>
    <t>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t>
  </si>
  <si>
    <t>EXTRNL_RTNG_PRVS</t>
  </si>
  <si>
    <t>Alterar especificação para casos em informação na fonte.</t>
  </si>
  <si>
    <t>Quando não existe informação na fonte em vez de MISS substituir por NA</t>
  </si>
  <si>
    <t>EXTRNL_RTNG_NM</t>
  </si>
  <si>
    <t>FLD_SYNDCTN</t>
  </si>
  <si>
    <t>Em implementação IT BST (Sindicados)</t>
  </si>
  <si>
    <t>Aguarda desenvolvimentos nas plataformas Loan IQ e Mercurio</t>
  </si>
  <si>
    <t>FLG_BNKRPTCY_IN_GRP</t>
  </si>
  <si>
    <t>FLG_HGH_CDS</t>
  </si>
  <si>
    <t>FLG_ISDA_CRDT_EVNT</t>
  </si>
  <si>
    <t>FLG_LBO</t>
  </si>
  <si>
    <t>FLG_NN_ACCRL</t>
  </si>
  <si>
    <t>FLG_RQST_BNKRPTCY</t>
  </si>
  <si>
    <t>FLG_RQST_DSTRSSD_RSTRCTRNG</t>
  </si>
  <si>
    <t>Em especificação, rever fonte</t>
  </si>
  <si>
    <t>FLG_RQST_EMRGNCY_FNDNG</t>
  </si>
  <si>
    <t>FLG_SLL_WTH_LSS</t>
  </si>
  <si>
    <t>FR_CSH_FLW</t>
  </si>
  <si>
    <t>FR_CSH_FLW_T1</t>
  </si>
  <si>
    <t>FR_CSH_FLW_T2</t>
  </si>
  <si>
    <t>FR_CSH_FLW_T3</t>
  </si>
  <si>
    <t>FRBRNC_STTS_C19</t>
  </si>
  <si>
    <t>EXTRNL_RTNG</t>
  </si>
  <si>
    <t>GCC_PRNT_ID</t>
  </si>
  <si>
    <t>GCC_PRNT_NM</t>
  </si>
  <si>
    <t>GDWILL</t>
  </si>
  <si>
    <t>GDWILL_PRVS</t>
  </si>
  <si>
    <t>GRC_PRD_CPTL_INTRST_C19</t>
  </si>
  <si>
    <t>GRNTR_ID</t>
  </si>
  <si>
    <t>GRNTR_ID_TYP</t>
  </si>
  <si>
    <t>GRP_EBITDA</t>
  </si>
  <si>
    <t>GRP_EQTY</t>
  </si>
  <si>
    <t>GRP_NT_DBT</t>
  </si>
  <si>
    <t>GRP_TTL_DBT</t>
  </si>
  <si>
    <t>GRSS_CRRYNG_AMNT_INSTRMNT</t>
  </si>
  <si>
    <t>HEDGE_ID</t>
  </si>
  <si>
    <t>HRCT_MV</t>
  </si>
  <si>
    <t>IDCMB</t>
  </si>
  <si>
    <t>Em testes pela equipa de CDO</t>
  </si>
  <si>
    <t>EBITDA_PRVS</t>
  </si>
  <si>
    <t>Alterar especificação (Luis Bastos enviou nova metodologia do campo)</t>
  </si>
  <si>
    <t>IFRS9_CCF</t>
  </si>
  <si>
    <t>Campo Imparidade</t>
  </si>
  <si>
    <t>IFRS9_EAD</t>
  </si>
  <si>
    <t>IFRS9_LGD</t>
  </si>
  <si>
    <t>IMPRMNT_ASSSSMNT_MTHD</t>
  </si>
  <si>
    <t>IMPRMNT_CLCLTN_MTHD</t>
  </si>
  <si>
    <t>Rever com a Corporação se a nova code list foi apenas para a OSI (relativamente ao tema dos POCI).</t>
  </si>
  <si>
    <t>INCM_SC</t>
  </si>
  <si>
    <t>Em especificação (Salários)</t>
  </si>
  <si>
    <t>EBITDA</t>
  </si>
  <si>
    <t>INSTR_SNRTY_CLSS</t>
  </si>
  <si>
    <t>INSTRMNT_CLSS</t>
  </si>
  <si>
    <t>INSTRMNT_ID</t>
  </si>
  <si>
    <t>INTRNL_RTNG</t>
  </si>
  <si>
    <t>Em testes</t>
  </si>
  <si>
    <t>INTRNL_RTNG_INCPTN</t>
  </si>
  <si>
    <t>Alterar especificação, campo com incidência. Controlos NOK</t>
  </si>
  <si>
    <t>Na LT apenas foi especifido os restantes internal ratings, estando em falta o internal rating à data de inception.</t>
  </si>
  <si>
    <t>INTRNL_RTNG_PRVS</t>
  </si>
  <si>
    <t>INTRNL_SGMNT</t>
  </si>
  <si>
    <t>INTRNL_SGMNT_CAT_MSTA</t>
  </si>
  <si>
    <t>INTRNL_SGMNT_CATGSUB</t>
  </si>
  <si>
    <t>INTRNL_SGMNT_IFRS9</t>
  </si>
  <si>
    <t>INTRNL_UNT</t>
  </si>
  <si>
    <t>INTRST_RT_RST_FRQNCY</t>
  </si>
  <si>
    <t>ISIN</t>
  </si>
  <si>
    <t>ISIN_SCRTSTN</t>
  </si>
  <si>
    <t>ISSR_CNTRY</t>
  </si>
  <si>
    <t>ISSR_ESA_2010</t>
  </si>
  <si>
    <t>ISSR_ID</t>
  </si>
  <si>
    <t>ISSR_ID_TYP</t>
  </si>
  <si>
    <t>ISSR_NACE_SCTR</t>
  </si>
  <si>
    <t>ISSR_RTNG</t>
  </si>
  <si>
    <t>ISSR_RTNG_SRC</t>
  </si>
  <si>
    <t>ISSR_TYP</t>
  </si>
  <si>
    <t>JNT_LBLTY_AMNT</t>
  </si>
  <si>
    <t>LCL_INSTMRNT_ID</t>
  </si>
  <si>
    <t>LCR_BFFR_CTGRY</t>
  </si>
  <si>
    <t>LCRE</t>
  </si>
  <si>
    <t>Ficheiro enviado pela área. Rever se é necessário alterar a especificação de modo a estar de acordo com imparidade. Foi decisão que a informação a reportar deveria reconciliar com a informação de imparidade e por essa mesma razão não se utilizou os dados da LT</t>
  </si>
  <si>
    <t>LEI</t>
  </si>
  <si>
    <t>LGD</t>
  </si>
  <si>
    <t>LGL_PRCDNG_STTS</t>
  </si>
  <si>
    <t>LGL_PRCDNG_STTS_LE</t>
  </si>
  <si>
    <t>LND_DRGTN</t>
  </si>
  <si>
    <t>LSTI</t>
  </si>
  <si>
    <t>LTI</t>
  </si>
  <si>
    <t>LTI_INSTRMNT</t>
  </si>
  <si>
    <t>LTV</t>
  </si>
  <si>
    <t>LTV_INCPTN</t>
  </si>
  <si>
    <t>LTV_NPE</t>
  </si>
  <si>
    <t>LVRG</t>
  </si>
  <si>
    <t>LVRG_FNNC_FLG</t>
  </si>
  <si>
    <t>LVRG_PRVS</t>
  </si>
  <si>
    <t>MN_ENTTY_ID</t>
  </si>
  <si>
    <t>Campo com incidências. Verificar necessidade de alteração da fonte para fins de reconciliação.
Campo novo, enviado para especificação em Fevereiro e entregue por IT em Março (durante a OSI), no entanto campo está com incidências nas garantias prestadas (detetadas no decurso da OSI)</t>
  </si>
  <si>
    <t>Rever se os 1os titulares devem ser os da FR ou os da CL001 (clientes)</t>
  </si>
  <si>
    <t>MN_PRPS</t>
  </si>
  <si>
    <t>MNTHL_INCM</t>
  </si>
  <si>
    <t>MNTHL_INCM_SLR</t>
  </si>
  <si>
    <t>MNTHL_TRNVR</t>
  </si>
  <si>
    <t>MTRTY_LTST_FRBRNC_MSR_C19</t>
  </si>
  <si>
    <t>MTRTY_LTST_MRTR_C19</t>
  </si>
  <si>
    <t>NMBR_FRBRNC_MSRS</t>
  </si>
  <si>
    <t>NT_INCM</t>
  </si>
  <si>
    <t>NT_INCM_PRVS</t>
  </si>
  <si>
    <t>RWA_MTHD</t>
  </si>
  <si>
    <t>Alteração de formato de 11111111.00 para 11111111</t>
  </si>
  <si>
    <t>Incidência relativamente ao formatos corrigida. Controlos testados e OK</t>
  </si>
  <si>
    <t>OBSRVD_AGNT_ID</t>
  </si>
  <si>
    <t>OBSRVD_AGNT_NM</t>
  </si>
  <si>
    <t>OFF_BLNC_SHT_AMNT_INSTRMNT</t>
  </si>
  <si>
    <t>OFF_BLNC_SHT_AMNT_INSTRMNT_PRVS</t>
  </si>
  <si>
    <t>MISS deviam estar a ser reportados como NA ou zero</t>
  </si>
  <si>
    <t>OSI_ID</t>
  </si>
  <si>
    <t>OTSTNDNG_NMNL_AMNT_INSTRMNT</t>
  </si>
  <si>
    <t>DT_FRBRNC_STTS_PRVS</t>
  </si>
  <si>
    <t>Alterar especificação (alteração da fonte para a FR004)</t>
  </si>
  <si>
    <t>OWND_BY_SPNSR</t>
  </si>
  <si>
    <t>PBLC_GRNT_SCHM_C19_NM</t>
  </si>
  <si>
    <t>PD_CRR_INCPTN</t>
  </si>
  <si>
    <t>Campo com incidência. Confirmar com Tecnologia que o campo está alterado com base no que foi identificado na OSI</t>
  </si>
  <si>
    <t>PD_CRR_RD</t>
  </si>
  <si>
    <t>PD_CRR_RD_T1</t>
  </si>
  <si>
    <t>PD_IFRS9_12M_INCPTN</t>
  </si>
  <si>
    <t>PD_IFRS9_12M_RD</t>
  </si>
  <si>
    <t>Controlos NOK justificados no âmbito da OSI. 
1) Contratos fora do universo de IFRS9 2) Clientes que não são primeiros titulares de nenhum contrato
Alterar especificação  caso a LT passe a reportar os 1os titulares da Contabilidade.</t>
  </si>
  <si>
    <t>PD_IFRS9_12M_RD_T1</t>
  </si>
  <si>
    <t>PD_IFRS9_LFTM_INCPTN</t>
  </si>
  <si>
    <t>PD_IFRS9_RMNNG_LFTM_INCPTN</t>
  </si>
  <si>
    <t>PD_IFRS9_RMNNG_LFTM_RD</t>
  </si>
  <si>
    <t>PMNT_PBLC_GRNT_SCHM_C19</t>
  </si>
  <si>
    <t>DT_FRBRNC_STTS</t>
  </si>
  <si>
    <t>PRCH_UNDR_RSL_AGR</t>
  </si>
  <si>
    <t>PRDCT</t>
  </si>
  <si>
    <t>PRDNTL_PRTFL</t>
  </si>
  <si>
    <t>PRFRMNG_STTS_LE</t>
  </si>
  <si>
    <t>PRJCT_FNNC_LN</t>
  </si>
  <si>
    <t>PRM_LCTN</t>
  </si>
  <si>
    <t>100220 Casos que deviam ser N e estão a ser reportados MISS</t>
  </si>
  <si>
    <t>PRMRY_ASST_CLSSF</t>
  </si>
  <si>
    <t>PRPS</t>
  </si>
  <si>
    <t>PRSN_TYP</t>
  </si>
  <si>
    <t>PRT_LCR_BFFR</t>
  </si>
  <si>
    <t>PRTCTN_ALLCTD_VL</t>
  </si>
  <si>
    <t>PRTCTN_CLLD</t>
  </si>
  <si>
    <t>PRTCTN_FRCD_SL_VL</t>
  </si>
  <si>
    <t>PRTCTN_ID</t>
  </si>
  <si>
    <t>PRTCTN_PRVDR_ID</t>
  </si>
  <si>
    <t>PRTCTN_TYP_PBLC_GRNT_SCHM_C19</t>
  </si>
  <si>
    <t>DT_EXTRNL_RTNG</t>
  </si>
  <si>
    <t>1) Campo com incidência, está a reportar apenas valores de MISS e N/A</t>
  </si>
  <si>
    <t>14 casos com valor original da proteção a zero</t>
  </si>
  <si>
    <t>PRTCTN_VL_PRVS</t>
  </si>
  <si>
    <t>PRTCTN_VLTN_APPRCH</t>
  </si>
  <si>
    <t>PRVSNS_OFF_BLNC_SHT</t>
  </si>
  <si>
    <t>PYMNT_FRQNCY</t>
  </si>
  <si>
    <t>Campo com incidência. Verificar necessidade de alteração da fonte para fins de reconciliação</t>
  </si>
  <si>
    <t>Utilizada informação de imparidade, sempre que não exista reportar info da LT, tendo em conta que caso TYP-AMRTSTN seja 4 este campo também deverá ser igual a 4. Este último critério não está atualmente a ser aplicado na LT. Rever se devemos utilizar a informação de IFRS9 ou manter a de alm</t>
  </si>
  <si>
    <t>PYMNT_INTRST_ONLY</t>
  </si>
  <si>
    <t>Foi decisão que a informação a reportar deveria reconciliar com a informação de imparidade e por essa mesma razão não se utilizou os dados da LT. Rever se devemos utilizar a informação de IFRS9 ou manter a de alm</t>
  </si>
  <si>
    <t>RCRS</t>
  </si>
  <si>
    <t>RCVD_AMRTSTN_12M</t>
  </si>
  <si>
    <t>RCVD_AMRTSTN_24M</t>
  </si>
  <si>
    <t>Criação de uma tabela auxiliar de histórico dos estados de construção numa ótica diária</t>
  </si>
  <si>
    <t>DFLT_STTS_INSTRMNT</t>
  </si>
  <si>
    <t>É necessário adicionar este campo como obrigatório  para as linhas manuais (CMAH) e rever com a Leonor a tabela de parametrização (a área identificou incidências de acordo com o GUIA). Na OSI apenas foi adicionado a informação para ajustes manuais.</t>
  </si>
  <si>
    <t>CMMTMNT_INSTRMNT</t>
  </si>
  <si>
    <t>Alterar especificação (Área enviou nova metodologia do campo)</t>
  </si>
  <si>
    <t>Nova metodologia identificada pelo Rafael Pessoa durante OSI IFRS9, é necessário alterar a especificação para GRSS_CRRYNG_AMNT_INSTRMNT - OFF_BLNC_SHT_AMNT_INSTRMNT</t>
  </si>
  <si>
    <t>RFRNC_RT</t>
  </si>
  <si>
    <t>RL_ESTT_ADDRSS</t>
  </si>
  <si>
    <t>CMLTV_RCVRS_SNC_DFLT_INSTRMNT</t>
  </si>
  <si>
    <t>RL_ESTT_CLLTRL_LCTN_INT</t>
  </si>
  <si>
    <t>RL_ESTT_CTY</t>
  </si>
  <si>
    <t>RL_ESTT_PST_CD</t>
  </si>
  <si>
    <t>RRE_FNRP18</t>
  </si>
  <si>
    <t>RTNG_MTHD</t>
  </si>
  <si>
    <t>RTNG_SCL</t>
  </si>
  <si>
    <t>RTNTN_SHR</t>
  </si>
  <si>
    <t>RWA</t>
  </si>
  <si>
    <t>DT_LGL_FNL_MTRTY</t>
  </si>
  <si>
    <t xml:space="preserve">Controlos NOK e com Incidência nos formatos. </t>
  </si>
  <si>
    <t>Alterarção formato de 99999999 para 1111-11-11.</t>
  </si>
  <si>
    <t>SBJCT_PBLC_GRNT_SCHM_C19</t>
  </si>
  <si>
    <t>DT_NXT_INTRST_RT_RST</t>
  </si>
  <si>
    <t>Controlos NOK e com Incidência nos formatos.</t>
  </si>
  <si>
    <t xml:space="preserve"> Alteração formato de 0001-01-01 para 0000-00-00.</t>
  </si>
  <si>
    <t>SME_FNRP18</t>
  </si>
  <si>
    <t>SNGL_PRPS_VHCL</t>
  </si>
  <si>
    <t>SPCLTV_LNDNG</t>
  </si>
  <si>
    <t>SPNSR_NM</t>
  </si>
  <si>
    <t>SPRD</t>
  </si>
  <si>
    <t>SRCS_ENCMBRNC</t>
  </si>
  <si>
    <t>STTS_UNDRWRTTN_TRNSCTN</t>
  </si>
  <si>
    <t>SUBPORTFOLIO_ID</t>
  </si>
  <si>
    <t>SYNDCT_RL</t>
  </si>
  <si>
    <t>SYNDCTD_AGNT</t>
  </si>
  <si>
    <t>SYNDCTD_CNTRCT_ID</t>
  </si>
  <si>
    <t>SYNDCTD_LNDRS</t>
  </si>
  <si>
    <t>SYNDCTD_SHR</t>
  </si>
  <si>
    <t>SYNDCTN_TYP</t>
  </si>
  <si>
    <t>TAX_ID</t>
  </si>
  <si>
    <t>Campo especificado, mas com problemas a montante</t>
  </si>
  <si>
    <t>Concluido, controlos por parte de Riscos</t>
  </si>
  <si>
    <t>THRD_PRTY_PRRTY_CLMS</t>
  </si>
  <si>
    <t>TRNCH</t>
  </si>
  <si>
    <t>TTL_DBT</t>
  </si>
  <si>
    <t>TTL_DBT_PRVS</t>
  </si>
  <si>
    <t>ACCRD_INTRST_INSTRMNT</t>
  </si>
  <si>
    <t>TTL_LVRG_RT</t>
  </si>
  <si>
    <t>TTL_LVRG_RT_PRVS</t>
  </si>
  <si>
    <t>TYP_AMRTSTN</t>
  </si>
  <si>
    <t>TYP_CMPLNT_MRTR_C19</t>
  </si>
  <si>
    <t>TYP_CRE_OPRTN</t>
  </si>
  <si>
    <t>TYP_INSTRMNT</t>
  </si>
  <si>
    <t>TYP_INTRST_RT</t>
  </si>
  <si>
    <t>Incidências: Casos em que valor é 0</t>
  </si>
  <si>
    <t>44 garantias com valor zero.</t>
  </si>
  <si>
    <t>PRTCTN_VL_NPE</t>
  </si>
  <si>
    <t xml:space="preserve">Campo depende do histórico do PRFRMNG_STTS. Não é necessário alterar a especificação do mesmo, apenas testar se a metodologia do campo PRFRMNG_STTS for alterada. </t>
  </si>
  <si>
    <t>TYP_PRTCTN_INTRNL</t>
  </si>
  <si>
    <t>TYP_PRTCTN_VL</t>
  </si>
  <si>
    <t>TYPE_OF_PLCMNT</t>
  </si>
  <si>
    <t>VLTN_CRRNCY</t>
  </si>
  <si>
    <t>VLTN_TYP</t>
  </si>
  <si>
    <t>WTCH_LST</t>
  </si>
  <si>
    <t>YR_CNSTRCTN</t>
  </si>
  <si>
    <t>ADDRSS_CTY</t>
  </si>
  <si>
    <t>PM - Novos Campos</t>
  </si>
  <si>
    <t>ADDRSS_STRT</t>
  </si>
  <si>
    <t>DT_ENTRPRS_SZ</t>
  </si>
  <si>
    <t>NMBR_EMPLYS</t>
  </si>
  <si>
    <t>LGL_FRM</t>
  </si>
  <si>
    <t>HD_OFFC_UNDRTKNG_ID</t>
  </si>
  <si>
    <t>IMMDT_PRNT_UNDRTKNG_ID</t>
  </si>
  <si>
    <t>ULTMT_PRNT_UNDRTKNG_ID</t>
  </si>
  <si>
    <t>TTL_ASSTS</t>
  </si>
  <si>
    <t>ENTTY_ID_BDR</t>
  </si>
  <si>
    <t>CPN_RT_FLTNG</t>
  </si>
  <si>
    <t>INTRST_RT_CP</t>
  </si>
  <si>
    <t>INTRST_RT_FLR</t>
  </si>
  <si>
    <t>NMNL_INTRST_RT_FEE</t>
  </si>
  <si>
    <t>DT_STTLMNT</t>
  </si>
  <si>
    <t>TRNSFRRD_AMNT</t>
  </si>
  <si>
    <t>TYP_SCRTZTN</t>
  </si>
  <si>
    <t>TYP_OFF_BLNC_PRDCT</t>
  </si>
  <si>
    <t>BLNC_SHT_RCGNTN</t>
  </si>
  <si>
    <t>FLG_DFLT</t>
  </si>
  <si>
    <t>FLG_HGH_RSK</t>
  </si>
  <si>
    <t>PRTNR</t>
  </si>
  <si>
    <t>INCNTVS</t>
  </si>
  <si>
    <t>OTHR_OPRTNG_INCM</t>
  </si>
  <si>
    <t>RFRRL_FS</t>
  </si>
  <si>
    <t>INSRNC_CMSSNS</t>
  </si>
  <si>
    <t>OTHR_INCM_AND_CHRGS</t>
  </si>
  <si>
    <t>TX_ON_PRFT</t>
  </si>
  <si>
    <t>LND_AR</t>
  </si>
  <si>
    <t>LN_PSTN</t>
  </si>
  <si>
    <t>RL_ESTT_LNGTD</t>
  </si>
  <si>
    <t>RL_ESTT_LTTD</t>
  </si>
  <si>
    <t>INSTR_ACTIVITY</t>
  </si>
  <si>
    <t>PRCNTG_ACTVTY</t>
  </si>
  <si>
    <t>Tabela</t>
  </si>
  <si>
    <t>Campo</t>
  </si>
  <si>
    <t>Tipo de teste</t>
  </si>
  <si>
    <t>Descritivo</t>
  </si>
  <si>
    <t>Data atualização</t>
  </si>
  <si>
    <t>Data de referência</t>
  </si>
  <si>
    <t>Duvidas/comentários</t>
  </si>
  <si>
    <t>Query</t>
  </si>
  <si>
    <t>INSTRMNT</t>
  </si>
  <si>
    <t>Completude</t>
  </si>
  <si>
    <t>Validar se o número de MISS e N/A</t>
  </si>
  <si>
    <t xml:space="preserve">
SELECT rwa_mthd, a.NUM_REGISTOS, a.NUM_REGISTOS/b.NUM_REGISTOS*100 as Perc
from
(SELECT rwa_mthd , COUNT(*) AS NUM_REGISTOS
FROM cd_loan_tapes_bce.LT002_INSTRUMENT
WHERE REF_DATE='${date}'
  AND NOME_PERIMETRO='Individual Corporativo'
  AND AMBITO = 'PM'
  AND SEGMENTO = 'ESTR'
GROUP BY 1 
) a
join
(
SELECT COUNT(*) AS NUM_REGISTOS
FROM cd_loan_tapes_bce.LT002_INSTRUMENT
WHERE REF_DATE='${date}'
  AND NOME_PERIMETRO='Individual Corporativo'
  AND AMBITO = 'PM'
  AND SEGMENTO = 'ESTR'
) b
where rwa_mthd in ('99999999999', '11111111111')</t>
  </si>
  <si>
    <t>Desenvolvimento</t>
  </si>
  <si>
    <t>Validar alteração de formato de 11111111.00 para 11111111</t>
  </si>
  <si>
    <t>SELECT count(*), rwa_mthd
FROM cd_loan_tapes_bce.lt002_instrument
WHERE 1=1 
  AND REF_DATE='${date}'
  AND NOME_PERIMETRO='Individual Corporativo'
  AND AMBITO = 'PM'
  AND SEGMENTO = 'ESTR'
GROUP BY 2 ORDER BY 1</t>
  </si>
  <si>
    <t xml:space="preserve">Validar condição de N/A sempre que não existe de consumo de capital </t>
  </si>
  <si>
    <t>SELECT DISTINCT 
                EAD,
                RWA,
                rwa_mthd,
                VAL
FROM  
(SELECT DISTINCT INSTRMNT_ID,
                EAD,
                RWA,
                rwa_mthd
FROM cd_loan_tapes_bce.LT002_INSTRUMENT
WHERE REF_DATE='${date}'
  AND NOME_PERIMETRO='Individual Corporativo'
  AND AMBITO = 'PM') LT002
LEFT JOIN
(SELECT CHAVE_FR, SUM(flag_cons_cap) AS VAL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 KT
LEFT JOIN
(SELECT CT013.* FROM
(SELECT DISTINCT REF_DATE,
                 id_capital_perimetros,
                 s1emp,
                 contra1,
                 flag_cons_cap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
) BASE
ON INSTRMNT_ID=CHAVE_FR
WHERE VAL=0</t>
  </si>
  <si>
    <t>Controlos</t>
  </si>
  <si>
    <t>If "RWA" is populated other than default values, then "RWA calculation method" cannot be 'Not applicable'</t>
  </si>
  <si>
    <t>SELECT instrmnt_id, ead, rwa, rwa_mthd
FROM cd_loan_tapes_bce.lt002_instrument
WHERE 1=1 
  AND REF_DATE='${date}'
  AND NOME_PERIMETRO='Individual Corporativo'
  AND AMBITO = 'PM'
  AND SEGMENTO = 'ESTR'
 AND rwa NOT IN (99999999999.00, 11111111111.00)
  and rwa_mthd = 11111111111</t>
  </si>
  <si>
    <t>If "RWA" is populated with 'Not applicable', then "RWA calculation method" must be a default value</t>
  </si>
  <si>
    <t>SELECT instrmnt_id, ead, rwa, rwa_mthd
FROM cd_loan_tapes_bce.lt002_instrument
WHERE 1=1 
  AND REF_DATE='${date}'
  AND NOME_PERIMETRO='Individual Corporativo'
  AND AMBITO = 'PM'
  AND SEGMENTO = 'ESTR'
 AND rwa = 11111111111.00
  and rwa_mthd &lt;&gt; 11111111111</t>
  </si>
  <si>
    <t>Validar se o campo está de acordo com a Codelist</t>
  </si>
  <si>
    <t>SELECT rwa, a.NUM_REGISTOS, a.NUM_REGISTOS/b.NUM_REGISTOS*100 as Perc
from
(SELECT rwa , COUNT(*) AS NUM_REGISTOS
FROM cd_loan_tapes_bce.LT002_INSTRUMENT
WHERE REF_DATE='${date}'
  AND NOME_PERIMETRO='Individual Corporativo'
  AND AMBITO = 'PM'
  AND SEGMENTO = 'ESTR'
GROUP BY 1 
) a
join
(
SELECT COUNT(*) AS NUM_REGISTOS
FROM cd_loan_tapes_bce.LT002_INSTRUMENT
WHERE REF_DATE='${date}'
  AND NOME_PERIMETRO='Individual Corporativo'
  AND AMBITO = 'PM'
  AND SEGMENTO = 'ESTR'
) b
where rwa in (99999999999, 11111111111)</t>
  </si>
  <si>
    <t>Validar formatos</t>
  </si>
  <si>
    <t>SELECT count(*), rwa 
FROM cd_loan_tapes_bce.lt002_instrument
WHERE 1=1 
  AND REF_DATE='${date}'
  AND NOME_PERIMETRO='Individual Corporativo'
  AND AMBITO = 'PM'
  AND SEGMENTO = 'ESTR'
GROUP BY 2 ORDER BY 1</t>
  </si>
  <si>
    <t>Validar se não existem valores negativos</t>
  </si>
  <si>
    <t>1 Contrato com valores negativos</t>
  </si>
  <si>
    <t>SELECT DISTINCT INSTRMNT_ID, 
                EAD,
                RWA,
                rwa_mthd,
                VAL
FROM  
(SELECT DISTINCT INSTRMNT_ID,
                EAD,
                RWA,
                rwa_mthd 
FROM cd_loan_tapes_bce.LT002_INSTRUMENT
WHERE REF_DATE='${date}'
  AND NOME_PERIMETRO='Individual Corporativo'
  AND AMBITO = 'PM'
--   AND instrmnt_id = '31000314294093096000000000000000'
  ) LT002
LEFT JOIN
(SELECT CHAVE_FR, SUM(flag_cons_cap) AS VAL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 KT
LEFT JOIN
(SELECT CT013.* FROM
(SELECT DISTINCT REF_DATE,
                  id_capital_perimetros,
                 s1emp,
                 contra1,
                 flag_cons_cap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
) BASE
ON INSTRMNT_ID=CHAVE_FR
WHERE RWA &lt; 0</t>
  </si>
  <si>
    <t>Teste contra a fonte</t>
  </si>
  <si>
    <t>A fonte (CT013) tem um valor muito superior, porque existem várias chaves FR para uma chave BDR</t>
  </si>
  <si>
    <t>SELECT DISTINCT
                INSTRMNT_ID,
                S1EMP,
                CONTRA1,
                EAD,
                RWA,
                rwa_final,
                ead_final_bruta
FROM  
(SELECT DISTINCT INSTRMNT_ID,
                CCF,
                dflt_stts_instrmnt,
                DPD,
                EAD,
                LGD,
                pd_crr_incptn,
                pd_crr_rd,
                pd_crr_rd_t1,
                RWA,
                rwa_mthd,
                spcltv_lndng,
                crrltn_cffcnt
FROM cd_loan_tapes_bce.LT002_INSTRUMENT
WHERE REF_DATE='${date}'
  AND NOME_PERIMETRO='Individual Corporativo'
  AND AMBITO = 'PM'  
--   AND instrmnt_id = '31000347000690020000000000000000'
) LT002
INNER JOIN
(SELECT CHAVE_FR, KT.S1EMP, KT.CONTRA1, SUM(flag_cons_cap) AS VAL, SUM(RWA_FINAL) AS RWA_FINAL, SUM(ead_final_bruta) AS ead_final_bruta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WHERE CHAVE_FR = '31005122428280011667450200000001' OR concat(S1EMP,CONTRA1) = '1814008684'
) KT
INNER JOIN
(SELECT CT013.* FROM
(SELECT          REF_DATE,
                 id_capital_perimetros,
                 s1emp,
                 contra1,
                 flag_cons_cap,
                 rwa_final,
                 ead_final_bruta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1,2,3
) X
on CHAVE_FR = INSTRMNT_ID</t>
  </si>
  <si>
    <t>Verificar saldo de capital</t>
  </si>
  <si>
    <t>SELECT LT002.instrmnt_id, RWA, EAD, CONCAT(LT001.cempresa,LT001.cbalcao,LT001.cnumecta,LT001.zdeposit) AS CHAVE_FR, NVL(SUM(LT001.msaldo_final),0) AS Saldo_Capital
FROM
(SELECT cempresa, cbalcao, cnumecta, zdeposit, ccontab_final_cargabal, msaldo_final
FROM cd_loan_tapes_bce.lt001_univ_oper
WHERE  REF_DATE = '${date}'
AND NOME_PERIMETRO='Individual Corporativo'
AND AMBITO = 'PM'
) LT001
INNER JOIN
(SELECT *
FROM cd_loan_tapes_bce.kt_chaves_lt
WHERE  REF_DATE = '${date}'
AND NOME_PERIMETRO='Individual Corporativo'
AND AMBITO = 'PM'
AND segmento = 'ESTR') KT_LT
ON CONCAT(LT001.cempresa,LT001.cbalcao,LT001.cnumecta,LT001.zdeposit) = CONCAT(KT_LT.cempresa,KT_LT.cbalcao,KT_LT.cnumecta,KT_LT.zdeposit)
INNER JOIN
(SELECT instrmnt_id, rwa, ead
FROM cd_loan_tapes_bce.lt002_instrument
WHERE  REF_DATE = '${date}'
AND NOME_PERIMETRO='Individual Corporativo'
AND AMBITO = 'PM'
AND segmento ='ESTR'
AND instrmnt_id in (
'310051224282800116674502P0080001',
'310051224282800116674502P0070001',
'310051224282800116674502P0060001',
'31005122428280011667450200000001',
'310051224282800116674502P0100001',
'310051224282800116674502P0110001',
'310051224282800116674502P0020001',
'310051224282800116674502P0010001',
'310051224282800116674502P0030001',
'310051224282800116674502P0090001'
)
) LT002
ON KT_LT.INSTRMNT_ID = LT002.INSTRMNT_ID
LEFT JOIN
(SELECT *
FROM cd_captools.fr802_pl_contas
WHERE 1=1 
    AND REF_DATE = '${date}'
    AND cod_plano = 'CARGABAL'
    AND ((tipo_conta IN ('A','P') AND carteira_contabilistica not in('provisoes para compromissos e garantias concedidas', 'outras provisoes') AND composicao_valor &lt;&gt; 'imparidade acumulada' AND bruto_imparidade &lt;&gt; 'imparidade')
OR (tipo_conta IN ('EA','EP','M')))
) FR802
ON FR802.CONTA = LT001.ccontab_final_cargabal
LEFT JOIN
(SELECT *
FROM cd_captools.ct805_matriz_cnt
WHERE 1=1 
    AND REF_DATE = '${date}'
    AND DOMINIO = 'Capital'
    AND NOME_PERIMETRO = 'Individual Corporativo'
) CT805
ON FR802.CONTA = CT805.CONTA
GROUP BY 1,2,3,4</t>
  </si>
  <si>
    <t xml:space="preserve">
SELECT ead, a.NUM_REGISTOS, a.NUM_REGISTOS/b.NUM_REGISTOS*100 as Perc
from
(SELECT ead , COUNT(*) AS NUM_REGISTOS
FROM cd_loan_tapes_bce.LT002_INSTRUMENT
WHERE REF_DATE='${date}'
  AND NOME_PERIMETRO='Individual Corporativo'
  AND AMBITO = 'PM'
  AND SEGMENTO = 'ESTR'
GROUP BY 1 
) a
join
(
SELECT COUNT(*) AS NUM_REGISTOS
FROM cd_loan_tapes_bce.LT002_INSTRUMENT
WHERE REF_DATE='${date}'
  AND NOME_PERIMETRO='Individual Corporativo'
  AND AMBITO = 'PM'
  AND SEGMENTO = 'ESTR'
) b
where ead in (99999999999, 11111111111)</t>
  </si>
  <si>
    <t>SELECT DISTINCT INSTRMNT_ID, 
                EAD,
                RWA,
                rwa_mthd,
                VAL
FROM  
(SELECT DISTINCT INSTRMNT_ID,
                EAD,
                RWA,
                rwa_mthd 
FROM cd_loan_tapes_bce.LT002_INSTRUMENT
WHERE REF_DATE='${date}'
  AND NOME_PERIMETRO='Individual Corporativo'
  AND AMBITO = 'PM'
--   AND instrmnt_id = '31000314294093096000000000000000'
  ) LT002
LEFT JOIN
(SELECT CHAVE_FR, SUM(flag_cons_cap) AS VAL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 KT
LEFT JOIN
(SELECT CT013.* FROM
(SELECT DISTINCT REF_DATE,
                  id_capital_perimetros,
                 s1emp,
                 contra1,
                 flag_cons_cap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
) BASE
ON INSTRMNT_ID=CHAVE_FR
WHERE EAD &lt; 0</t>
  </si>
  <si>
    <t>PRTCTN</t>
  </si>
  <si>
    <t>Default values</t>
  </si>
  <si>
    <t>Validar que os MISS e NA estão de acordo com a especificação</t>
  </si>
  <si>
    <t>SELECT substr(prtctn_id,1,1), valor_it, count(*)
FROM 
(SELECT prtctn_id,
    valor_it,
    CASE WHEN substr(prtctn_id,1,1)&lt;&gt;'I'
         THEN 'N/A'
         WHEN cfinbem IN ('01','06','07','08') AND CL_HAB&gt;='3.40'
         THEN 'Y'
         WHEN cfinbem IN ('01','06','07','08') AND CL_HAB&lt;'3.40'
         THEN 'N'
         WHEN cfinbem='02' AND CL_COM&gt;='3.40'
         THEN 'Y' 
         WHEN cfinbem='02' AND CL_COM&lt;'3.40'
         THEN 'N' 
          WHEN cfinbem='03' AND CL_SERV&gt;='3.40'
         THEN 'Y' 
         WHEN cfinbem='03' AND CL_SERV&lt;'3.40'
         THEN 'N'
          WHEN cfinbem IN ('04','05') AND CL_IND&gt;='3.40'
         THEN 'Y'
         WHEN cfinbem IN ('04','05') AND CL_IND&lt;'3.40'
         THEN 'N'
         else 'MISS'
         END AS valor_simulado,
    cdisconf,
    cfinbem,
    CD_REPARTICAO_FIN,
    CL_COM,
    CL_HAB,
    CL_IND,
    CL_SERV
FROM 
(SELECT prtctn_id,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 IN (SELECT MAX(data_date_part)
    from cd_estruturais.tat91_tabelas where data_date_part &lt;= '${date}' and tayd91c0_ctabela= 'J48'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(SELECT MAX(data_date_part)
    from cd_estruturais.tat91_tabelas where data_date_part &lt;= '${date}' and tayd91c0_ctabela= '162'
)) AS TAT_162
ON TAT_J48.CD_REPARTICAO_FIN=TAT_162.tayd91c0_celemtab
) as base
GROUP BY 1,2</t>
  </si>
  <si>
    <t>Validar se campo está de acordo com o especificado</t>
  </si>
  <si>
    <t>SELECT count(*)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FROM 
(SELECT prtctn_id,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data_date_part='2024-05-31')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data_date_part='2024-05-31') AS TAT_162
ON TAT_J48.CD_REPARTICAO_FIN=TAT_162.tayd91c0_celemtab
) as base
WHERE 1=1 
    AND valor_it &lt;&gt; valor_simulado</t>
  </si>
  <si>
    <t>Verificar se o campo está de acordo com a Codelist</t>
  </si>
  <si>
    <t>SELECT prm_lctn,
    COUNT(*)
FROM cd_loan_tapes_bce.lt004_protection
WHERE ref_date='${date}'
    AND nome_perimetro='Individual Corporativo'
    AND segmento='ESTR'
    AND ambito='PM'
GROUP BY prm_lctn</t>
  </si>
  <si>
    <t>If "Protection type" does not equal '8 - Residential real estate collateral' nor '9 - Offices and commercial premises' nor '10 - Commercial real estate collateral' then "Prime location according to bank-internal definition  (Y/N)" must be populated with default values</t>
  </si>
  <si>
    <t>Existem 13 casos com TYP_PRTCTN a MISS. Voltar a testar quando TYP_PRTCTN estiver concluído</t>
  </si>
  <si>
    <t xml:space="preserve">
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TYP_PRTCTN
FROM 
(SELECT prtctn_id, TYP_PRTCTN,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data_date_part='2024-05-31')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data_date_part='2024-05-31') AS TAT_162
ON TAT_J48.CD_REPARTICAO_FIN=TAT_162.tayd91c0_celemtab
) as base
WHERE 1=1 
    AND typ_prtctn NOT IN ('8','9','10')
    AND VALOR_SIMULADO &lt;&gt; 'N/A'</t>
  </si>
  <si>
    <t>If "Protection type" equals '8 - Residential real estate collateral' or '9 - Offices and commercial premises' or '10 - Commercial real estate collateral' then "Prime location according to bank-internal definition  (Y/N)" cannot be 'Not applicable'</t>
  </si>
  <si>
    <t xml:space="preserve">
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TYP_PRTCTN
FROM 
(SELECT prtctn_id, TYP_PRTCTN,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data_date_part='2024-05-31')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data_date_part='2024-05-31') AS TAT_162
ON TAT_J48.CD_REPARTICAO_FIN=TAT_162.tayd91c0_celemtab
) as base
WHERE 1=1 
    AND typ_prtctn IN ('8','9','10')
    AND VALOR_SIMULADO ='N/A'</t>
  </si>
  <si>
    <t>Campo com valor 0 para os restantes contratos que não estão marcados com valores default</t>
  </si>
  <si>
    <t>SELECT off_blnc_sht_amnt_instrmnt_prvs, count(*)
FROM cd_loan_tapes_bce.lt002_instrument
WHERE 1=1 
  AND REF_DATE='${date}'
  AND NOME_PERIMETRO='Individual Corporativo'
  AND AMBITO = 'PM'
  AND SEGMENTO = 'ESTR'
  AND off_blnc_sht_amnt_instrmnt_prvs NOT IN(11111111111.00,99999999999.00)
GROUP BY 1</t>
  </si>
  <si>
    <t>SELECT count(*) FROM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IN ('A','R') AND CORAVGP = 'G39') 
OR CORAVGP='G26')
GROUP BY 2 
) GT011
ON LT004.prtctn_id = GT011.prtctn_id
) x
WHERE 1=1
    AND valor_simulado &lt;&gt; valor_lt</t>
  </si>
  <si>
    <t>SELECT prtctn_id, dt_lst_fll_apprsl
FROM cd_loan_tapes_bce.lt004_protection 
WHERE ref_date='${date}' 
    AND nome_perimetro='Individual Corporativo' 
    AND segmento='ESTR' 
    AND ambito='PM'
    AND prtctn_id LIKE 'P%' 
    -- AND prtctn_id LIKE 'F%' 
    AND dt_lst_fll_apprsl &lt;&gt; '1111-11-11'</t>
  </si>
  <si>
    <t>Date of last full appraisal must be later than 01 January 1970</t>
  </si>
  <si>
    <t>SELECT DISTINCT dt_lst_fll_apprsl
FROM cd_loan_tapes_bce.lt004_protection 
WHERE ref_date='${date}' 
    AND nome_perimetro='Individual Corporativo' 
    AND segmento='ESTR' 
    AND ambito='PM'
    AND dt_lst_fll_apprsl &lt; '1970-01-01'</t>
  </si>
  <si>
    <t>Date of last full appraisal must have a Date format (yyyy-mm-dd)</t>
  </si>
  <si>
    <t xml:space="preserve">SELECT DISTINCT dt_lst_fll_apprsl
FROM cd_loan_tapes_bce.lt004_protection 
WHERE ref_date='${date}' 
    AND nome_perimetro='Individual Corporativo' 
    AND segmento='ESTR' 
    AND ambito='PM'
    AND length(dt_lst_fll_apprsl) &lt;&gt; 10 </t>
  </si>
  <si>
    <t>"Date of last full appraisal" cannot be later than "Reference date"</t>
  </si>
  <si>
    <t xml:space="preserve">SELECT count(*) FROM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IN ('A','R') AND CORAVGP = 'G39') 
        OR CORAVGP='G26')
        GROUP BY 2 
        ) GT011
    ON LT004.prtctn_id = GT011.prtctn_id
) x
WHERE 1=1
    -- AND valor_simulado &lt;&gt; valor_lt
    -- AND valor_simulado &gt;= dt_orgnl_prtctn_vl
    AND valor_simulado &gt; '${date}'
-- GROUP BY 1,2,3,4
</t>
  </si>
  <si>
    <t>"Date of last full appraisal" must be greater or equal to the "Date of the appraisal previous to the most recent one available, i.e. previous to the last full appraisal (field DT_LST_FLL_APPRSL)."
If DT_LST_FLL_APPRSL and DT_APPRSL_PRVS are populated other than default values, then DT_LST_FLL_APPRSL &gt;= DT_APPRSL_PRVS</t>
  </si>
  <si>
    <t>Simular especificação</t>
  </si>
  <si>
    <t>SELECT 
CASE WHEN TYP_INSTRMNT NOT IN ('71','80','1001','1002','1004','2001') THEN '11111111111' 
     WHEN LT06.INSTRMNT_ID IS NULL THEN '11111111111' 
     WHEN LT06.INSTRMNT_ID IS NOT NULL AND imov&gt;0 THEN '1' 
     WHEN LT06.INSTRMNT_ID IS NOT NULL AND imov=0 THEN '5' 
     END AS TYP_MRTGG_Simulado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t>
  </si>
  <si>
    <t>If "Type of instrument" is different from '71 - Trade receivables', '80- Finance leases', '1001 - Revolving credit other than overdrafts and credit card debt', '1002 - Credit lines other than revolving credit', '1004 - Loans other than overdrafts, convenience credit, extended credit, credit card credit, revolving credit other than credit card credit, reverse repurchase agreements, trade receivables and financial leases' or '2001 - Guarantees' then "Type of mortgage" has to be populated with default values</t>
  </si>
  <si>
    <t xml:space="preserve">1027 contratos que possuem uma garantia </t>
  </si>
  <si>
    <t>SELECT DISTINCT LT02.instrmnt_id, LT06.instrmnt_id, LT06.prtctn_id,
CASE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AND TYP_INSTRMNT NOT IN ('71','80','1001','1002','1004','2001')</t>
  </si>
  <si>
    <t>If "Protection type" equals '8 - Residential real estate collateral' or '9 - Offices and commercial premises' or '10 - Commercial real estate collateral', then "Type of mortgage" cannot be 'Not applicable'</t>
  </si>
  <si>
    <t>46 Contratos descobertos com proteções imóveis associadas</t>
  </si>
  <si>
    <t>SELECT DISTINCT LT02.instrmnt_id, LT06.instrmnt_id, LT06.prtctn_id,
CASE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AND TYP_PRTCTN IN ('8','9','10')</t>
  </si>
  <si>
    <t>Número de casos com incidência</t>
  </si>
  <si>
    <t>SELECT count(*) FROM 
(SELECT DISTINCT LT02.instrmnt_id AS instrmnt_id_LT02, LT06.instrmnt_id, LT06.prtctn_id,
CASE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 AND TYP_INSTRMNT NOT IN ('71','80','1001','1002','1004','2001')
    AND TYP_PRTCTN IN ('8','9','10')
)X
WHERE 1=1  
    AND TYP_MRTGG_Simulado = '11111111111'
    AND TYP_INSTRMNT = '20'</t>
  </si>
  <si>
    <t xml:space="preserve">SELECT count(*), count(DISTINCT instrmnt_id_LT02) FROM 
(SELECT DISTINCT LT02.instrmnt_id AS instrmnt_id_LT02, LT06.instrmnt_id, LT06.prtctn_id,
CASE
--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AND TYP_INSTRMNT not IN ('71','80','1001','1002','1004','2001')
    and LT06.prtctn_id is not null 
    -- AND TYP_PRTCTN IN ('8','9','10')
)X
-- ORDER BY TYP_MRTGG_Simulado DESC
-- WHERE 1=1  
--     AND TYP_MRTGG_Simulado = '11111111111'
--     AND TYP_INSTRMNT = '20'
</t>
  </si>
  <si>
    <t>"Significant increase in credit risk assessment approach" should match the information on the Codelist</t>
  </si>
  <si>
    <t>SELECT count(*), sicr_assssmnt_mthd, imprmnt_stts
FROM cd_loan_tapes_bce.lt002_instrument
WHERE ref_date='2024-05-31'  
      AND nome_perimetro='Individual Corporativo'  
      AND segmento='ESTR'  
      AND ambito='PM' 
GROUP BY 2, 3</t>
  </si>
  <si>
    <t>If "Impairment status" equals '23 - Stage1' or  '24 - Stage 2' then "Significant increase in credit risk assessment approach" cannot be 'Not applicable'</t>
  </si>
  <si>
    <t>If "Impairment status" is not equal  '23 - Stage1' nor '24 - Stage 2' then "Significant increase in credit risk assessment approach" must be 'Not applicable'</t>
  </si>
  <si>
    <t xml:space="preserve">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t>
  </si>
  <si>
    <t>"Protection type" should match the information on the Codelist</t>
  </si>
  <si>
    <t xml:space="preserve">SELECT DISTINCT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t>
  </si>
  <si>
    <t>If "Type of protection received, irrespective of its eligibility for credit risk mitigation according to bank-internal classification" is informed other than default values, then "Protection type" has to be informed other than default values</t>
  </si>
  <si>
    <t>SELECT  prtctn_id, typ_prtctn_intrnl, TYP_PRTCTN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typ_prtctn_intrnl &lt;&gt; 'N/A'
 AND TYP_PRTCTN = '11111111111'</t>
  </si>
  <si>
    <t>If "Type of protection received, irrespective of its eligibility for credit risk mitigation according to bank-internal classification" is populated with 'Not Applicable' values then "Protection type" has to be informed with default values</t>
  </si>
  <si>
    <t>Não exitem casos em que TYP_PRTCTN_INTRNL = N/A</t>
  </si>
  <si>
    <t>SELECT  prtctn_id, typ_prtctn_intrnl, TYP_PRTCTN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typ_prtctn_intrnl = 'N/A'
 AND TYP_PRTCTN &lt;&gt; '11111111111'</t>
  </si>
  <si>
    <t>If "Type of protection value" is set as '1 - Fair value' then "Protection type" has to be set as '3 - Other physical collaterals', '7 - Other protection', '13 - Gold' or '18 - Equity and investment funds shares'</t>
  </si>
  <si>
    <t>2291 Casos</t>
  </si>
  <si>
    <t xml:space="preserve">
SELECT  count(*)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'1'
 AND TYP_PRTCTN not in ('3', '7', '13', '18')</t>
  </si>
  <si>
    <t>Identificar casuistica da incidência</t>
  </si>
  <si>
    <t>2262 garantias financeiras que não são derivados de crédito, 28 securities, 1 MISS</t>
  </si>
  <si>
    <t xml:space="preserve">
SELECT  count(*), typ_prtctn_vl, TYP_PRTCTN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'1'
 AND TYP_PRTCTN not in ('3', '7', '13', '18')
group by 2,3</t>
  </si>
  <si>
    <t>If "Type of protection value" is set as '2 - Long-term sustainable value' or '3 - Market value' then "Protection type" has to be set as '8 - Residential real estate collateral', '9 - Offices and commercial premises' or '10 - Commercial real estate collateral'</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</si>
  <si>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IN ('2','3')
    AND TYP_PRTCTN NOT IN ('8','9','10')</t>
  </si>
  <si>
    <t>"Previous appraisal date" must have a Date format (yyyy-mm-dd)</t>
  </si>
  <si>
    <t>SELECT *
FROM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substring(valor_simulado,5,1) &lt;&gt; '-' or substring(valor_simulado,8,1) &lt;&gt; '-'
    -- AND valor_simulado = '9999-99-99'
    -- AND valor_simulado = '0001-01-01'
    -- AND length(valor_simulado) &lt;&gt; 10</t>
  </si>
  <si>
    <t>"Previous appraisal date" must be later than 01 January 1970</t>
  </si>
  <si>
    <t>2 casos com datas ambiguas (anos 1008 e 0201)</t>
  </si>
  <si>
    <t xml:space="preserve">
SELECT *
FROM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&lt; '1970-01-01'
     AND valor_simulado NOT IN ('1111-11-11', '0000-00-00')</t>
  </si>
  <si>
    <t>"Previous appraisal date" cannot be later than "Reference date"</t>
  </si>
  <si>
    <t xml:space="preserve">
SELECT *
FROM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&gt; '2024-05-31'</t>
  </si>
  <si>
    <t>"Previous appraisal date" cannot be earlier than "Date of original protection value"</t>
  </si>
  <si>
    <t>Campo DT_ORGNL_PRTCN_VL com incidência</t>
  </si>
  <si>
    <t>SELECT *
FROM
(SELECT  LT004.prtctn_id, DT_ORGNL_PRTCTN_VL,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DT_ORGNL_PRTCTN_VL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&lt; DT_ORGNL_PRTCTN_VL
;</t>
  </si>
  <si>
    <t>"Previous appraisal date" cannot be later than "Date of protection value</t>
  </si>
  <si>
    <t xml:space="preserve">
SELECT *
FROM
(SELECT  LT004.prtctn_id, DT_PRTCTN_VL,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DT_PRTCTN_VL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&gt; DT_PRTCTN_VL
     AND valor_simulado NOT IN ('1111-11-11','0000-00-00')</t>
  </si>
  <si>
    <t xml:space="preserve">If the protection is a "personal guarantee" then "Previous appraisal date" should be 'Not Applicable' (We consider "personal guarantee" when "Protection ID" matches the "Protection Provider ID" (Guarantor) or "Tax ID" (Protection level) is populated other than default value and the "Protection type" equals '7 - Other protection')     </t>
  </si>
  <si>
    <t xml:space="preserve">
SELECT *
FROM
(SELECT  LT004.prtctn_id, DT_PRTCTN_VL,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DT_PRTCTN_VL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prtctn_id LIKE 'P%'
     AND valor_simulado &lt;&gt; '1111-11-11' </t>
  </si>
  <si>
    <t>"Impairment status" should match the information on the Codelist</t>
  </si>
  <si>
    <t>SELECT count(*), imprmnt_stts
FROM cd_loan_tapes_bce.lt002_instrument
WHERE ref_date='${date}'  AND nome_perimetro='Individual Corporativo'  AND segmento='ESTR'  AND ambito='PM'
GROUP BY 2</t>
  </si>
  <si>
    <t>"Impairment status" can only be '23 - Stage 1 (IFRS)' or '24 - Stage 2 (IFRS)' or '25 - Stage 3 (IFRS)' or default values(Since Santander Group is IFRS compliance and do not apply General Accounting Accepted Principles (GAAP) on a consolidated basis)</t>
  </si>
  <si>
    <t xml:space="preserve">if "Days past due at reference date" is between 30 and 90 days and "Subportfolio ID" is not classified as 'VRPL - FV with changes in PL' then "Impairment status" must be '24 - Stage 2 (IFRS)' or '25 - Stage 3 (IFRS)' </t>
  </si>
  <si>
    <t>5 contratos com em stage 1</t>
  </si>
  <si>
    <t>SELECT instrmnt_id, imprmnt_stts, dpd, subportfolio_id
FROM cd_loan_tapes_bce.lt002_instrument
WHERE ref_date='${date}'  AND nome_perimetro='Individual Corporativo'  AND segmento='ESTR'  AND ambito='PM'
      AND subportfolio_id &lt;&gt; 'VRPL'
      AND DPD &gt; 30
      AND DPD &lt; 90
      AND imprmnt_stts NOT IN ('24', '25')</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</si>
  <si>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</si>
  <si>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2561 casos em default marcados com stage 1 ou 2</t>
  </si>
  <si>
    <t>SELECT count(*), imprmnt_stts, dflt_stts_instrmnt
    FROM cd_loan_tapes_bce.lt002_instrument
    WHERE ref_date='${date}'  AND nome_perimetro='Individual Corporativo'  AND segmento='ESTR'  AND ambito='PM'
          AND subportfolio_id &lt;&gt; 'VRPL'
          AND dflt_stts_instrmnt IN ('18','19','20')
          AND imprmnt_stts &lt;&gt; '25'
GROUP BY 2,3 ORDER BY 1 DESC</t>
  </si>
  <si>
    <t>if "Default status of the instrument" is set as '14 - Not in default'  and "Subportfolio ID" is not classified as 'VRPL - FV with changes in PL' then "Impairment status" cannot be 25 - Stage 3 (IFRS)'</t>
  </si>
  <si>
    <t>4198 contratos que não estão em default e estaão marcados como stage 3.</t>
  </si>
  <si>
    <t>SELECT count(*), imprmnt_stts, dflt_stts_instrmnt
    FROM cd_loan_tapes_bce.lt002_instrument
    WHERE ref_date='${date}'  AND nome_perimetro='Individual Corporativo'  AND segmento='ESTR'  AND ambito='PM'
          AND subportfolio_id &lt;&gt; 'VRPL'
          AND dflt_stts_instrmnt = '14'
          AND imprmnt_stts = '25'
GROUP BY 2,3 ORDER BY 1 DESC</t>
  </si>
  <si>
    <t>if "Performing status" is '11 - Performing' and "Subportfolio ID" is not classified as 'VRPL - FV with changes in PL' then "Impairment status" cannot be '25 - Stage 3 (IFRS)'</t>
  </si>
  <si>
    <t>SELECT count(*), imprmnt_stts, prfrmng_stts
    FROM cd_loan_tapes_bce.lt002_instrument
    WHERE ref_date='${date}'  AND nome_perimetro='Individual Corporativo'  AND segmento='ESTR'  AND ambito='PM'
          AND subportfolio_id &lt;&gt; 'VRPL'
          AND prfrmng_stts = '11'
          AND imprmnt_stts = '25'
GROUP BY 2,3 ORDER BY 1 DESC</t>
  </si>
  <si>
    <t>If "Type of protection value" is set as '4 - Notional amount' then "Protection type" has to be set as '2 - Life insurance policies pledged', '4 - Credit derivatives', '5 - Financial guarantees other than credit derivatives', '12 - Securities', '15 - Currency and deposits', '16 - Loans', '17 - Trade receivables' or '7 - Other protection'</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</si>
  <si>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'4'
    AND TYP_PRTCTN NOT IN ('2','4','5', '12','15','16','17','7')</t>
  </si>
  <si>
    <t>If "Type of protection value" is set as '5 - Types of protection values other than notional amount, market value, fair value or long-term sustainable value' then "Protection type" cannot be 'Not applicable'</t>
  </si>
  <si>
    <t>Não existem casos em que TYP_PRTCTN = 5</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</si>
  <si>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'5'</t>
  </si>
  <si>
    <t>If "Type of protection value" equals 'Not applicable', then "Protection type" should equal '7 - Other protection'</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</si>
  <si>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'11111111111'
    AND TYP_PRTCTN &lt;&gt; '7'</t>
  </si>
  <si>
    <t>If "Previous appraisal date" is populated other than default values then "Protection type" has to be set as '8 - Residential real estate collateral', '9 - Offices and commercial premises' or '10 - Commercial real estate collateral'</t>
  </si>
  <si>
    <t xml:space="preserve">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LEFT JOIN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B 
 ON A.prtctn_id = B.prtctn_id
 WHERE 1=1 
 AND valor_simulado &lt;&gt; '1111-11-11'
 AND TYP_PRTCTN NOT IN ('8','9','10')    
   </t>
  </si>
  <si>
    <t>If "Currency of annual income and expenses" is populated other than default values then "Protection type" has to be set as '10 - Commercial real estate collateral' or '9 - Offices and commercial premises'</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</si>
  <si>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cre_incm_crrncy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CRE_INCM_CRRNCY NOT IN ('N/A', 'MISS')
AND TYP_PRTCTN NOT IN ('9','10')
;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cre_incm_crrncy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CRE_INCM_CRRNCY NOT IN ('N/A', 'MISS')
AND TYP_PRTCTN NOT IN ('9','10')</t>
  </si>
  <si>
    <t>If "Provider of latest valuation (appraiser)" is populated other than default values then "Protection type" has to be set as '8 - Residential real estate collateral', '9 - Offices and commercial premises', '10 - Commercial real estate collateral'</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</si>
  <si>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apprsr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APPRSR NOT IN ('N/A', 'MISS')
AND TYP_PRTCTN NOT IN ('8','9','10')
</t>
  </si>
  <si>
    <t>If "Date of last full appraisal" is populated other than default values then "Protection type" has to be set as '8 - Residential real estate collateral', '9 - Offices and commercial premises' or '10 - Commercial real estate collateral'</t>
  </si>
  <si>
    <t xml:space="preserve">SELECT * FROM
(
--- GARANTIAS IMÓVEIS
SELECT prtctn_id, typ_prtctn_vl, CASE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ELSE '99999999999'
END as TYP_PRTCTN
FROM
(SELECT prtctn_id, typ_prtctn_vl
FROM cd_loan_tapes_bce.lt004_protection
WHERE 1=1 
AND ambito = 'PM'
AND segmento = 'ESTR'
AND ref_date = '${date}'
AND nome_perimetro = 'Individual Corporativo'
AND prtctn_id LIKE 'I%') LT004
LEFT JOIN
(SELECT cgarant_bem, ckbalbem, ckctabem, ckrefbem
FROM cd_garantias.gt009_bens_imov
WHERE ref_date = '${date}') GT009
ON prtctn_id = concat('I_',GT009.ckbalbem,'_',GT009.ckctabem,'_',GT009.ckrefbem)
UNION ALL
---- GARANTIAS FINANCEIRAS
SELECT prtctn_id, typ_prtctn_vl, CASE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ELSE '99999999999'
END as TYP_PRTCTN
FROM
(SELECT prtctn_id, typ_prtctn_vl
FROM cd_loan_tapes_bce.lt004_protection
WHERE 1=1 
AND ambito = 'PM'
AND segmento = 'ESTR'
AND ref_date = '${date}'
AND nome_perimetro = 'Individual Corporativo'
AND prtctn_id LIKE 'F%') LT004
LEFT JOIN
(SELECT cgarant_bem, ckbalbem, ckctabem, ckrefbem
FROM cd_garantias.gt004_bens_fin
WHERE ref_date = '${date}') GT004
ON prtctn_id = concat('F_',GT004.ckbalbem,'_',GT004.ckctabem,'_',GT004.ckrefbem)
UNION ALL
--- GARANTIAS PESSOAIS
SELECT DISTINCT prtctn_id, typ_prtctn_vl, CASE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typ_prtctn_vl
FROM cd_loan_tapes_bce.lt004_protection
WHERE 1=1 
AND ambito = 'PM'
AND segmento = 'ESTR'
AND ref_date = '${date}'
AND nome_perimetro = 'Individual Corporativo'
AND prtctn_id LIKE 'P%') LT004
LEFT JOIN
(SELECT DISTINCT cgarant_rpt, ckbalbem, ckctabem, ckrefbem
FROM cd_garantias.gt007_trz_gt_pes
WHERE ref_date = '${date}') GT007
ON prtctn_id = concat('P_',GT007.ckbalbem,'_',GT007.ckctabem,'_',GT007.ckrefbem)
) A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apprsr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LEFT JOIN
(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 'A' AND CORAVGP = 'G39') 
OR CORAVGP='G26')
GROUP BY 2 
) GT011
ON LT004.prtctn_id = GT011.prtctn_id
) B
ON A.prtctn_id = B.prtctn_id
WHERE 1=1 
    AND valor_simulado &lt;&gt; '1111-11-11'
    AND TYP_PRTCTN NOT IN ('8','9','10')
</t>
  </si>
  <si>
    <t>If "Type protection value is a public guarantee scheme in response to the COVID19 situation" is equal to 'Y' then "Protection type" has to be set as '7 - Other protection'</t>
  </si>
  <si>
    <t xml:space="preserve">Foram eliminados os campos relacionados com Covid 19 </t>
  </si>
  <si>
    <t xml:space="preserve">If "Flag first home" is set as 'Y - Yes' then "Protection Type" must be '8 - Residential real estate collateral', '9- Offices and commercial premises' or '10 - Commercial real estate collateral' </t>
  </si>
  <si>
    <t>Campo novo, ainda não especificado (FLG_FRST_HM)</t>
  </si>
  <si>
    <t>If "Flag Acute Physical Risk at protection level" is set as 'Y - Yes' then "Protection Type" must be '8 - Residential real estate collateral', '9- Offices and commercial premises' or '10 - Commercial real estate collateral'</t>
  </si>
  <si>
    <t>FLG_ACT_PHYSCL_RSK campo todo a NULL</t>
  </si>
  <si>
    <t>If "Loans Collateralized Classification" is set as 'FMC2 - Real Estate. Residential' then at least one PROTECTION_ID linked to INSTRUMENT_ID "Protection Type" must be '8 - Residential real estate collateral'</t>
  </si>
  <si>
    <t>LNS_CLLTRLZD_CLSSFCTN campo todo a NULL</t>
  </si>
  <si>
    <t>If "Loans Collateralized Classification" is set as 'FMC1 - Real Estate. Commercial' then at least one PROTECTION_ID linked to INSTRUMENT_ID "Protection Type" must be '9 - Offices and commercial premises' or '10 - Commercial real estate collateral'</t>
  </si>
  <si>
    <t xml:space="preserve">If "Loans Collateralized Classification" is set as 'FMC3 - Other Real Collateral' then at least one PROTECTION_ID linked to INSTRUMENT_ID "Protection Type" must be populated with other than default values, '8 - Residential Real Estate Collateral', '9 - Offices and Commercial Premises', '10 - Commercial Real Estate Collateral' and cannot be a "personal guarantee" (We consider "personal guarantee" when "Protection ID" matches the "Protection Provider ID" (Guarantor) or "Tax ID" (Protection level) is populated other than default value and the "Protection type" equals '7 - Other protection')     </t>
  </si>
  <si>
    <t xml:space="preserve">Validar incidência </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</si>
  <si>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DT_PRTCTN_VL_SIMULADO = '0001-01-01'</t>
  </si>
  <si>
    <t>"Date of protection value" must have a Date format (yyyy-mm-dd)</t>
  </si>
  <si>
    <t>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substring(DT_PRTCTN_VL_SIMULADO,5,1) &lt;&gt; '-' or substring(DT_PRTCTN_VL_SIMULADO,8,1) &lt;&gt; '-'
    -- AND length(DT_PRTCTN_VL_SIMULADO) &lt;&gt; 10
    -- AND DT_PRTCTN_VL_SIMULADO = '9999-99-99'</t>
  </si>
  <si>
    <t>"Date of protection value" must be later than 01 January 1970</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</si>
  <si>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 &lt; '1970-01-01'
    AND dt_prtctn_vl NOT IN ('1111-11-11','0000-00-00')</t>
  </si>
  <si>
    <t>In the case of protection items which are valued at their notional amount, the date of protection value is the reporting reference date.</t>
  </si>
  <si>
    <t>Com a alteração da fonte, os 2416 Casos NOK ficam OK</t>
  </si>
  <si>
    <t>Select *
FROM
(SELECT prtctn_id, TYP_PRTCTN_VL,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1,2,3 
) A
WHERE 1=1 
    AND TYP_PRTCTN_VL = '4'
    AND DT_PRTCTN_VL_SIMULADO &lt;&gt; '2024-05-31'</t>
  </si>
  <si>
    <t>"Date of protection value" cannot be later than "Reference date"</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</si>
  <si>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DT_PRTCTN_VL_SIMULADO &gt; '2024-05-31'</t>
  </si>
  <si>
    <t>"Date of protection value" must be later or equal than "Date of last full appraisal"</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</si>
  <si>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lt4
Left join
(Select *
From cd_garantias.gt018_rateio_aval
Where ref_date='${date}') gt018
ON prtctn_id = concat(substr(TIPOLOGIA,1,1),'_',ckbalbem,'_',ckctabem,'_',ckrefbem)
GROUP BY 1,2 
) A
LEFT JOIN
------------- DT_LST_FLL_APPRSL
(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 'A' AND CORAVGP = 'G39') 
OR CORAVGP='G26')
GROUP BY 2 
) GT011
ON LT004.prtctn_id = GT011.prtctn_id
) B
ON A.prtctn_id = B.prtctn_id
WHERE A.DT_PRTCTN_VL_SIMULADO &lt; valor_simulado</t>
  </si>
  <si>
    <t>If "Previous appraisal date" is other than default values, then "Date of protection value" cannot be 'Not applicable'</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</si>
  <si>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lt4
Left join
(Select *
From cd_garantias.gt018_rateio_aval
Where ref_date='${date}') gt018
ON prtctn_id = concat(substr(TIPOLOGIA,1,1),'_',ckbalbem,'_',ckctabem,'_',ckrefbem)
GROUP BY 1,2 
) A
LEFT JOIN
-------------- DT_APPRSL_PRVS -----------------------
(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B
ON A.prtctn_id = B.prtctn_id
WHERE 1=1 
    AND valor_simulado &lt;&gt; '1111-11-11'
    AND DT_PRTCTN_VL_SIMULADO = '1111-11-11'</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</si>
  <si>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valor_simulado &lt;&gt; Prtctn_vl</t>
  </si>
  <si>
    <t>"Appraised market value" should have a Format numeric (2 decimal places)</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</si>
  <si>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cast(valor_simulado as VARCHAR) NOT LIKE '%.__'</t>
  </si>
  <si>
    <t>"Appraised market value" shall be larger or equal to 0; Negative values trigger attention</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</si>
  <si>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valor_simulado &lt; 0</t>
  </si>
  <si>
    <t>The amount of "Appraised market value" must be greater or equal than the amount of "Protection allocated value"</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</si>
  <si>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LEFT JOIN
(Select prtctn_id, prtctn_allctd_vl
From cd_loan_tapes_bce.lt006_instr_prot
WHERE segmento = 'ESTR'
AND nome_perimetro ='Individual Corporativo'
AND ref_date='${date}'
AND AMBITO = 'PM') lt006
ON A.prtctn_id=lt006.prtctn_id
Where valor_simulado &lt; prtctn_allctd_vl</t>
  </si>
  <si>
    <t>If "Date of protection value" is other than 'Not applicable', then "Appraised market value" cannot be 'Not applicable' or zero</t>
  </si>
  <si>
    <t>44 garantias em DT_PRTCTN_VL não é N/A e PRTCTN_VL é zero.</t>
  </si>
  <si>
    <t>Select *
FROM
(SELECT prtctn_id, sum(mavaliaa) as valor_simulado, prtctn_vl, DT_PRTCTN_VL, CASE
    WHEN prtctn_id LIKE 'P%' THEN '1111-11-11'
    ELSE soma_dtrcaval
    END AS DT_PRTCTN_VL_SIMULADO
FROM
(Select *
From cd_loan_tapes_bce.lt004_protection
WHERE segmento = 'ESTR'
AND nome_perimetro ='Individual Corporativo'
AND ref_date='${date}'
AND AMBITO = 'PM') lt004
Left join
(Select ckbalbem, ckctabem, ckrefbem, mavaliaa, tipologia, max(dtrcaval) as soma_dtrcaval
From cd_garantias.gt018_rateio_aval
Where ref_date='${date}'
GROUP BY 1,2,3,4,5 ) gt018
ON prtctn_id = concat(substr(TIPOLOGIA,1,1),'_',ckbalbem,'_',ckctabem,'_',ckrefbem)
GROUP BY prtctn_id, prtctn_vl, DT_PRTCTN_VL, DT_PRTCTN_VL_SIMULADO
) A
WHERE 1=1 
    AND DT_PRTCTN_VL_SIMULADO &lt;&gt; '1111-11-11'
    AND valor_simulado in (11111111111,0)</t>
  </si>
  <si>
    <t>The amount of "Appraised market value" must be greater or equal than the sum of amount of "Protection allocated value" of all the instruments that share the same protection</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</si>
  <si>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LEFT JOIN
(Select prtctn_id, sum(prtctn_allctd_vl) as prtctn_allctd_vl
From cd_loan_tapes_bce.lt006_instr_prot
WHERE segmento = 'ESTR'
AND nome_perimetro ='Individual Corporativo'
AND ref_date='${date}'
AND AMBITO = 'PM'
GROUP BY 1
) lt006
ON A.prtctn_id=lt006.prtctn_id
Where valor_simulado &lt; prtctn_allctd_vl</t>
  </si>
  <si>
    <t xml:space="preserve">If the protection is a "personal guarantee" then "Appraised market value" cannot be 'Not applicable' (We consider "personal guarantee" when "Protection ID" matches the "Protection Provider ID" (Guarantor) or "Tax ID" (Protection level) is populated other than default value and the "Protection type" equals '7 - Other protection')     </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</si>
  <si>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prtctn_id like 'P%'
And valor_simulado = 11111111111</t>
  </si>
  <si>
    <t>Incidência</t>
  </si>
  <si>
    <t>181 casos com aspas</t>
  </si>
  <si>
    <t>SELECT count(*)
FROM cd_loan_tapes_bce.lt004_protection  
WHERE 1=1 
AND ambito = 'PM' 
AND segmento = 'ESTR' 
AND ref_date = '2024-05-31'
AND nome_perimetro = 'Individual Corporativo'
AND ntnl_id LIKE '%"%'
-- AND ntnl_id LIKE '%F%'</t>
  </si>
  <si>
    <t>"Behavioural maturity" should have a Format numeric (0 decimal places)</t>
  </si>
  <si>
    <t>Select instrmnt_id,
Case when IFRS9.contract_id IS NULL Then 11111111111
Else cast(months_to_maturity as INT)
END as IFRS9_BHVRL_MTRTY_Simulado
From
(SELECT instrmnt_id
FROM cd_loan_tapes_bce.lt002_instrument
WHERE segmento = 'ESTR'
AND nome_perimetro ='Individual Corporativo'
AND ref_date='${date}'
AND AMBITO = 'PM') LT002
LEFT JOIN 
(select cempresa_fr, cbalcao_fr, cnumecta_fr, zdeposit_fr, cempresa, cbalcao, cnumecta, zdeposit 
From cd_captools.kt_chaves_finrep
Where ref_date='${date}') CHFIN
ON LT002.instrmnt_id = Concat(CHFIN.cempresa_fr, CHFIN.cbalcao_fr, CHFIN.cnumecta_fr, CHFIN.zdeposit_fr)
LEFT JOIN
(select contract_id, cempresa, cbalcao, cnumecta, zdeposit
From cd_captools.kt_chaves_ifrs9
Where ref_date='${date}') CHIFR
ON Concat(CHFIN.cempresa, CHFIN.cbalcao, CHFIN.cnumecta, CHFIN.zdeposit) = Concat(CHIFR.cempresa, CHIFR.cbalcao, CHIFR.cnumecta, CHIFR.zdeposit)
LEFT JOIN
(select contract_id, months_to_maturity
From bu_ifrs9.IFRS9_OUT_EXPECTED_LOSS_REPORTING
WHERE exec_id_part IN 
(SELECT exec_id_part FROM cd_captools.imcatf046_flag_fecho WHERE CMES = '${CMES}')
)IFRS9
ON CHIFR.contract_id=IFRS9.contract_id
Having cast(IFRS9_BHVRL_MTRTY_Simulado as VARCHAR) LIKE '%.'</t>
  </si>
  <si>
    <t>"Behavioural maturity" shall be larger or equal to 0 and less than 960; Negative values trigger attention</t>
  </si>
  <si>
    <t>Dois casos em que a Maturidade é superior a 960 meses (1000 e 2162)</t>
  </si>
  <si>
    <t>Select instrmnt_id,
Case when IFRS9.contract_id IS NULL Then 11111111111
Else cast(months_to_maturity as INT)
END as IFRS9_BHVRL_MTRTY_Simulado
From
(SELECT instrmnt_id
FROM cd_loan_tapes_bce.lt002_instrument
WHERE segmento = 'ESTR'
AND nome_perimetro ='Individual Corporativo'
AND ref_date='${date}'
AND AMBITO = 'PM') LT002
LEFT JOIN 
(select cempresa_fr, cbalcao_fr, cnumecta_fr, zdeposit_fr, cempresa, cbalcao, cnumecta, zdeposit 
From cd_captools.kt_chaves_finrep
Where ref_date='${date}') CHFIN
ON LT002.instrmnt_id = Concat(CHFIN.cempresa_fr, CHFIN.cbalcao_fr, CHFIN.cnumecta_fr, CHFIN.zdeposit_fr)
LEFT JOIN
(select contract_id, cempresa, cbalcao, cnumecta, zdeposit
From cd_captools.kt_chaves_ifrs9
Where ref_date='${date}') CHIFR
ON Concat(CHFIN.cempresa, CHFIN.cbalcao, CHFIN.cnumecta, CHFIN.zdeposit) = Concat(CHIFR.cempresa, CHIFR.cbalcao, CHIFR.cnumecta, CHIFR.zdeposit)
LEFT JOIN
(select contract_id, months_to_maturity
From bu_ifrs9.IFRS9_OUT_EXPECTED_LOSS_REPORTING
WHERE exec_id_part IN 
(SELECT exec_id_part FROM cd_captools.imcatf046_flag_fecho WHERE CMES = '${CMES}')
)IFRS9
ON CHIFR.contract_id=IFRS9.contract_id
Having (IFRS9_BHVRL_MTRTY_Simulado &gt; 960
OR IFRS9_BHVRL_MTRTY_Simulado &lt; 0)
AND IFRS9_BHVRL_MTRTY_Simulado &lt;&gt; 11111111111</t>
  </si>
  <si>
    <t>"National reference of the property" should be a Char not null</t>
  </si>
  <si>
    <t>Controlo feito em Hive</t>
  </si>
  <si>
    <t xml:space="preserve">Select*
From
(
SELECT 
Case when prtctn_id NOT LIKE 'I%' Then 'N/A'
When prtctn_id Like 'I%' Then ntnl_id_sim
Else 'MISS'
End ntnl_id_simulacao, prtctn_id, ckbalbem, ckctabem, ckrefbem, cdisconf, cartmatr, gficha, gidfracc, gfraccao, codconsv, gnum, glote, cpost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codconsv, gnum, glote, cpost
FROM cd_garantias.gt009_bens_imov
Where ref_date='${date}') GT009
ON prtctn_id= Concat('I_',ckbalbem,'_', ckctabem,'_', ckrefbem)
) A
) B
Where ntnl_id_simulacao Is NULL
</t>
  </si>
  <si>
    <t>Duplicates by "National reference of the property" in PROTECTION table</t>
  </si>
  <si>
    <t>Controlo feito em Hive: 2087 casos duplicados</t>
  </si>
  <si>
    <t>Select count(*)
From
(
Select ntnl_id_simulacao, count (*)
From
(
SELECT 
Case when prtctn_id NOT LIKE 'I%' Then 'N/A'
When prtctn_id Like 'I%' Then ntnl_id_sim
Else 'MISS'
End ntnl_id_simulacao, prtctn_id, ckbalbem, ckctabem, ckrefbem, cdisconf, cartmatr, gficha, gidfracc, gfraccao, codconsv, gnum, glote, cpost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codconsv, gnum, glote, cpost
FROM cd_garantias.gt009_bens_imov
Where ref_date='${date}') GT009
ON prtctn_id= Concat('I_',ckbalbem,'_', ckctabem,'_', ckrefbem)
) A
) B
Group by ntnl_id_simulacao
Having Count(*) &gt; 1 
) C</t>
  </si>
  <si>
    <t>"National reference of the property" should have Char format (variable length allowed between 1 and 255 characters)</t>
  </si>
  <si>
    <t>Select *
From
(
SELECT 
Case when prtctn_id NOT LIKE 'I%' Then 'N/A'
When prtctn_id Like 'I%' Then ntnl_id_sim
Else 'MISS'
End ntnl_id_simulacao, prtctn_id, ckbalbem, ckctabem, ckrefbem, cdisconf, cartmatr, gficha, gidfracc, gfraccao, cpost, codconsv, gnum, glote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cpost, codconsv, gnum, glote
FROM cd_garantias.gt009_bens_imov
Where ref_date='${date}') GT009
ON prtctn_id= Concat('I_',ckbalbem,'_', ckctabem,'_', ckrefbem)
) A
) B
Where length(ntnl_id_simulacao) &gt;=255</t>
  </si>
  <si>
    <t>If "Protection type" is equal to '8 - Residential real estate collateral', '9 - Offices and commercial premises' or '10 - Commercial real estate collateral', then "National reference of the property" must be populated other than default values.</t>
  </si>
  <si>
    <t>Select B.prtctn_id, TYP_PRTCTN, ntnl_id_simulacao
From
(
SELECT 
Case when prtctn_id NOT LIKE 'I%' Then 'N/A'
When prtctn_id Like 'I%' Then ntnl_id_sim
Else 'MISS'
End ntnl_id_simulacao, prtctn_id, ckbalbem, ckctabem, ckrefbem, cdisconf, cartmatr, gficha, gidfracc, gfraccao, cpost, codconsv, gnum, glote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cpost, codconsv, gnum, glote
FROM cd_garantias.gt009_bens_imov
Where ref_date='${date}') GT009
ON prtctn_id= Concat('I_',ckbalbem,'_', ckctabem,'_', ckrefbem)
) A
) B
LEFT JOIN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C
ON B.prtctn_id = C.prtctn_id
Where TYP_PRTCTN IN ('8','9','10')
AND ntnl_id_simulacao = 'N/A'</t>
  </si>
  <si>
    <t>If "Protection type" is not equal to '8 - Residential real estate collateral', '9 - Offices and commercial premises' or '10 - Commercial real estate collateral', then "National reference of the property" must be populated with default values.</t>
  </si>
  <si>
    <t xml:space="preserve">Select B.prtctn_id, TYP_PRTCTN, ntnl_id_simulacao
From
(
SELECT 
Case when prtctn_id NOT LIKE 'I%' Then 'N/A'
When prtctn_id Like 'I%' Then ntnl_id_sim
Else 'MISS'
End ntnl_id_simulacao, prtctn_id, ckbalbem, ckctabem, ckrefbem, cdisconf, cartmatr, gficha, gidfracc, gfraccao, codconsv, glote, gnum, cpost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codconsv, glote, gnum, cpost
FROM cd_garantias.gt009_bens_imov
Where ref_date='${date}') GT009
ON prtctn_id= Concat('I_',ckbalbem,'_', ckctabem,'_', ckrefbem)
) A
) B
LEFT JOIN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C
ON B.prtctn_id = C.prtctn_id
Where TYP_PRTCTN NOT IN ('8','9','10')
AND ntnl_id_simulacao &lt;&gt; 'N/A'
</t>
  </si>
  <si>
    <t>"Construction status" should match the information on the Codelist</t>
  </si>
  <si>
    <t>SELECT Count (*), CNSTRCTN_STTS_simulacao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Group by 2
;</t>
  </si>
  <si>
    <t>If "Protection type" is set as  '8 - Residential real estate collateral', '9 - Offices and commercial premises' or '10 - Commercial real estate collateral', then "Construction status" must be populated other than default values</t>
  </si>
  <si>
    <t>SELECT *
FROM
(
SELECT 
T.prtctn_id, T.TYP_PRTCTN,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LT004.prtctn_id = concat('I%','_',GT009.ckbalbem,'_',GT009.ckctabem,'_',GT009.ckrefbem)
) A
LEFT JOIN
(SELECT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LT004typ
LEFT JOIN
(SELECT ckbalbem, ckctabem, ckrefbem, cgarant_bem, cgarant_rpt, tipologia
FROM cd_garantias.gt018_rateio_aval
WHERE ref_date = '${date}') GT018typ
ON LT004typ.prtctn_id = CONCAT(SUBSTR(TIPOLOGIA,1,1),'_',CKBALBEM, '_', CKCTABEM, '_', CKREFBEM) 
) T
ON T.prtctn_id = A.prtctn_id
) B
Where TYP_PRTCTN IN ('8','9','10')
AND CNSTRCTN_STTS_simulacao = '11111111111'
;</t>
  </si>
  <si>
    <t>If "Development status" is '4 - Constructed and fully operational', then "Construction status" must equal '1 - Built'</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</si>
  <si>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 '4'
AND CNSTRCTN_STTS_simulacao &lt;&gt; '1'</t>
  </si>
  <si>
    <t>If "Development status" is '2 - In construction and not operational' or '3 - In construction and partially operational', then "Construction status" must equal '2 - In construction'</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</si>
  <si>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in('2', '3')
AND CNSTRCTN_STTS_simulacao &lt;&gt; '2'</t>
  </si>
  <si>
    <t>If "Development status" is '1 - Not in construction', then "Construction status" must equal '3 - Land bank without zoning permit' or '4 - Land bank building permit'</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</si>
  <si>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 '1'
AND CNSTRCTN_STTS_simulacao NOT IN('3', '4')</t>
  </si>
  <si>
    <t>If "Development status" is 'Not applicable', then "Construction status" must be a default value</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</si>
  <si>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 '11111111111'
AND CNSTRCTN_STTS_simulacao &lt;&gt; '11111111111'</t>
  </si>
  <si>
    <t>If "Date of first usage of the building" is later than "Reference date", then "Construction status" should be set as '2 - In construction' or '4 - Land bank building permit'</t>
  </si>
  <si>
    <t>Não existem date of first usage superiores a maio</t>
  </si>
  <si>
    <t>SELECT prtctn_id, CNSTRCTN_STTS_simulacao, dt_frst_usg, ref_date
FROM
(
SELECT 
prtctn_id, dt_frst_usg, ref_date,
CASE WHEN ref_date &lt; '2024-05-31' THEN CNSTRCTN_STTS_simulacao_pre
WHEN ref_date &gt;= '2024-05-31' THEN CNSTRTCN_STTS_simulacao_pos
Else '99999999999'
END AS CNSTRCTN_STTS_simulacao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dt_frst_usg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Where dt_frst_usg &gt; ref_date
AND dt_frst_usg &lt;&gt; '1111-11-11'
AND dt_frst_usg &lt;&gt; '0000-00-00'
AND CNSTRCTN_STTS_simulacao NOT IN ('2','4')</t>
  </si>
  <si>
    <t>If "Date of first usage of the building" is earlier than "Reference date", then "Construction status" should be set as '1 - Built'</t>
  </si>
  <si>
    <t>SELECT prtctn_id, CNSTRCTN_STTS_simulacao, dt_frst_usg, ref_date
FROM
(
SELECT 
prtctn_id, dt_frst_usg, ref_date,
CASE WHEN ref_date &lt; '2024-05-31' THEN CNSTRCTN_STTS_simulacao_pre
WHEN ref_date &gt;= '2024-05-31' THEN CNSTRTCN_STTS_simulacao_pos
Else '99999999999'
END AS CNSTRCTN_STTS_simulacao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dt_frst_usg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Where dt_frst_usg &lt; ref_date
AND dt_frst_usg not in('1111-11-11','0000-00-00')
AND CNSTRCTN_STTS_simulacao &lt;&gt; '1'</t>
  </si>
  <si>
    <t>If "Flag first home" is set as 'Y - Yes' then "Construction status" cannot be 'Not Applicable'</t>
  </si>
  <si>
    <t>Campo FLG_FRST_HM ainda não implementado na LT</t>
  </si>
  <si>
    <t>"Development status" should match the information on the Codelist</t>
  </si>
  <si>
    <t>SELECT Distinct
CASE WHEN prtctn_id NOT LIKE 'I%' THEN '11111111111'
WHEN CNSTRCTN_STTS_simulacao = '1' THEN '4'
WHEN CNSTRCTN_STTS_simulacao = '2' THEN '2'
WHEN CNSTRCTN_STTS_simulacao = '3' THEN '1'
WHEN CNSTRCTN_STTS_simulacao = '4' THEN '1'
ELSE '99999999999'
END AS DVLPMNT_STTS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t>
  </si>
  <si>
    <t>If "Protection type" equals '8 - Residential real estate collateral' or '9 - Offices and commercial premises' or '10 - Commercial real estate collateral' then, "Development status" cannot be 'Not applicable'</t>
  </si>
  <si>
    <t>SELECT *
FROM
(
SELECT B.prtctn_id, B.TYP_PRTCTN,
CASE WHEN prtctn_id NOT LIKE 'I%' THEN '11111111111'
WHEN CNSTRCTN_STTS_simulacao = '1' THEN '4'
WHEN CNSTRCTN_STTS_simulacao = '2' THEN '2'
WHEN CNSTRCTN_STTS_simulacao = '3' THEN '1'
WHEN CNSTRCTN_STTS_simulacao = '4' THEN '1'
ELSE '99999999999'
END AS DVLPMNT_STTS_simulacao
FROM
(
SELECT 
T.prtctn_id, T.TYP_PRTCTN,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LT004.prtctn_id = concat('I%','_',GT009.ckbalbem,'_',GT009.ckctabem,'_',GT009.ckrefbem)
) A
LEFT JOIN
(SELECT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LT004typ
LEFT JOIN
(SELECT ckbalbem, ckctabem, ckrefbem, cgarant_bem, cgarant_rpt, tipologia
FROM cd_garantias.gt018_rateio_aval
WHERE ref_date = '${date}') GT018typ
ON LT004typ.prtctn_id = CONCAT(SUBSTR(TIPOLOGIA,1,1),'_',CKBALBEM, '_', CKCTABEM, '_', CKREFBEM) 
) T
ON T.prtctn_id = A.prtctn_id
) B
) C
Where C.TYP_PRTCTN IN ('8','9','10')
AND DVLPMNT_STTS_simulacao = '11111111111'
;</t>
  </si>
  <si>
    <t>If "Protection type" is not  '8 - Residential real estate collateral' or '9 - Offices and commercial premises' or '10 - Commercial real estate collateral',  then "Development status" must be default value</t>
  </si>
  <si>
    <t>SELECT *
FROM
(
SELECT B.prtctn_id, B.TYP_PRTCTN,
CASE WHEN prtctn_id NOT LIKE 'I%' THEN '11111111111'
WHEN CNSTRCTN_STTS_simulacao = '1' THEN '4'
WHEN CNSTRCTN_STTS_simulacao = '2' THEN '2'
WHEN CNSTRCTN_STTS_simulacao = '3' THEN '1'
WHEN CNSTRCTN_STTS_simulacao = '4' THEN '1'
ELSE '99999999999'
END AS DVLPMNT_STTS_simulacao
FROM
(
SELECT 
T.prtctn_id, T.TYP_PRTCTN,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LT004.prtctn_id = concat('I%','_',GT009.ckbalbem,'_',GT009.ckctabem,'_',GT009.ckrefbem)
) A
LEFT JOIN
(SELECT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LT004typ
LEFT JOIN
(SELECT ckbalbem, ckctabem, ckrefbem, cgarant_bem, cgarant_rpt, tipologia
FROM cd_garantias.gt018_rateio_aval
WHERE ref_date = '${date}') GT018typ
ON LT004typ.prtctn_id = CONCAT(SUBSTR(TIPOLOGIA,1,1),'_',CKBALBEM, '_', CKCTABEM, '_', CKREFBEM) 
) T
ON T.prtctn_id = A.prtctn_id
) B
) C
Where C.TYP_PRTCTN NOT IN ('8','9','10')
AND DVLPMNT_STTS_simulacao &lt;&gt; '11111111111'
;</t>
  </si>
  <si>
    <t>"Date of original protection value" must have a Date format (yyyy-mm-dd)</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</si>
  <si>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substring(DT_ORGNL_PRTCTN_VL_SIMULADO,5,1) &lt;&gt; '-' or substring(DT_ORGNL_PRTCTN_VL_SIMULADO,8,1) &lt;&gt; '-'
-- AND DT_ORGNL_PRTCTN_VL_SIMULADO = '1111-11-11'
-- AND DT_ORGNL_PRTCTN_VL_SIMULADO = '0000-00-00'
-- AND length(DT_ORGNL_PRTCTN_VL_SIMULADO) &lt;&gt; 10"</t>
  </si>
  <si>
    <t>"Date of original protection value" must be later than 01 January 1970</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</si>
  <si>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DT_ORGNL_PRTCTN_VL_SIMULADO &lt; '1970-01-01'
AND DT_ORGNL_PRTCTN_VL_SIMULADO NOT IN ('1111-11-11','0000-00-00')</t>
  </si>
  <si>
    <t>"Date of original protection value" must be lower or equal to "Date of protection value"</t>
  </si>
  <si>
    <t>Controlo feito com simulação do DT_PRTCTN_VL</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</si>
  <si>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prtctn_id_lt004, 
        CASE
        WHEN prtctn_id_lt004 LIKE 'P%' THEN '1111-11-11'
        ELSE max(dtrcaval)
        END AS valor_simulado
        FROM
        (Select prtctn_id as prtctn_id_lt004
        From cd_loan_tapes_bce.lt004_protection
        WHERE segmento = 'ESTR'
        AND nome_perimetro ='Individual Corporativo'
        AND ref_date='${date}'
        AND AMBITO = 'PM') lt004
   LEFT JOIN
        (Select dtrcaval, tipologia, ckbalbem, ckctabem, ckrefbem
        From cd_garantias.gt018_rateio_aval
        Where ref_date='${date}') gt018
        ON prtctn_id_lt004 = concat(substr(TIPOLOGIA,1,1),'_',ckbalbem,'_',ckctabem,'_',ckrefbem)
        GROUP BY 1) SIM
ON D.prtctn_id = SIM.prtctn_id_lt004
Where 1=1
AND DT_ORGNL_PRTCTN_VL_SIMULADO &gt; valor_simulado</t>
  </si>
  <si>
    <t>"Date of original protection value" cannot be later than "Reference date"</t>
  </si>
  <si>
    <t>SELECT *
FROM 
(
SELECT prtctn_id,
instrmnt_id,
dini_rel_MAX,
dtvaliai_resp_bem, 
mavaliai_resp_bem,
ref_date,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ref_date,
RANK() OVER ( PARTITION BY A.ckbalbem, A.ckctabem, A.ckrefbem ORDER BY dini_rel_MAX ASC) AS RANKRELACAO
FROM
(
SELECT *
FROM
(
SELECT instrmnt_id, A.cempresp, A.ckbalres, A.ckctares, A.ckrefresp, A.ckbalbem, A.ckctabem, A.ckrefbem, A.dtvaliai_resp_bem, A.mavaliai_resp_bem, prtctn_id, ref_date,
RANK() OVER ( PARTITION BY A.ckbalbem, A.ckctabem, A.ckrefbem ORDER BY dtvaliai_resp_bem ASC) AS RANKAVALIA
FROM
    (   
    SELECT DISTINCT instrmnt_id, cempresp, ckbalres, ckctares, ckrefresp, ckbalbem, ckctabem, ckrefbem, prtctn_id, dtvaliai_resp_bem, mavaliai_resp_bem, ref_date
    FROM 
        (SELECT instrmnt_id, prtctn_id, ref_date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1,2,3,4,5,6
) D
Where 1=1
AND DT_ORGNL_PRTCTN_VL_SIMULADO &gt; ref_date</t>
  </si>
  <si>
    <t xml:space="preserve">If the protection is a "personal guarantee" then "Date of original protection value" should be 'Not Applicable' (We consider "personal guarantee" when "Protection ID" matches the "Protection Provider ID" (Guarantor) or "Tax ID" (Protection level) is populated other than default value and the "Protection type" equals '7 - Other protection')     </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</si>
  <si>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ref_date='2024-08-31')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ref_date='2024-08-31') GT001
LEFT JOIN
    (SELECT cempresa,ckbalcao, cknumcta, comp_id_gar, ckbalbem as ckbalbem_GT003, ckctabem as ckctabem_GT003, ckrefbem as ckrefbem_GT003, dini_rel as dini_rel_GT003
    FROM cd_garantias.gt003_trz_gt_fin
    Where ref_date='2024-08-31')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ref_date='2024-08-31')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prtctn_id like 'P%'
AND DT_ORGNL_PRTCTN_VL_SIMULADO &lt;&gt; '1111-11-11'</t>
  </si>
  <si>
    <t xml:space="preserve">If the protection is a "personal guarantee" then "Date of protection value" should be 'Not Applicable' (We consider "personal guarantee" when "Protection ID" matches the "Protection Provider ID" (Guarantor) or "Tax ID" (Protection level) is populated other than default value and the "Protection type" equals '7 - Other protection')     </t>
  </si>
  <si>
    <t>Select count(*)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prtctn_id like 'P%'  
AND DT_PRTCTN_VL_SIMULADO &lt;&gt; '1111-11-11'</t>
  </si>
  <si>
    <t>"Original protection value (at inception)" should have a Format numeric (2 decimal places)</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</si>
  <si>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cast(ORGNL_PRTCTN_VL_SIMULACAO as VARCHAR) NOT LIKE '%.__'</t>
  </si>
  <si>
    <t>"Original protection value (at inception)" shall be larger or equal to 0; Negative values trigger attention</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</si>
  <si>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ORGNL_PRTCTN_VL_SIMULACAO &lt; 0</t>
  </si>
  <si>
    <t>If "Date of original protection value" is other than default values, then "Original protection value (at inception)" cannot be 'Not applicable' or zero</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</si>
  <si>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DT_ORGNL_PRTCTN_VL_SIMULACAO &lt;&gt; '1111-11-11'
AND ORGNL_PRTCTN_VL_SIMULACAO in (11111111111,0)</t>
  </si>
  <si>
    <t>If "Date of original protection value" equals 'Not applicable', then "Original protection value (at inception)" must be a default value</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</si>
  <si>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DT_ORGNL_PRTCTN_VL_SIMULACAO = '1111-11-11'
AND ORGNL_PRTCTN_VL_SIMULACAO &lt;&gt; 11111111111</t>
  </si>
  <si>
    <t xml:space="preserve">If the protection is a "personal guarantee" then "Original protection value (at inception)" must be 'Not applicable'' (We consider "personal guarantee" when "Protection ID" matches the "Protection Provider ID" (Guarantor) or "Tax ID" (Protection level) is populated other than default value and the "Protection type" equals '7 - Other protection')   </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</si>
  <si>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prtctn_id LIKE 'P%'
AND ORGNL_PRTCTN_VL_SIMULACAO &lt;&gt; 11111111111</t>
  </si>
  <si>
    <t>Verificar se o campo está de acordo com a Especificação</t>
  </si>
  <si>
    <t>Select prtctn_id, typ_prtctn, TYP_PRTCTN_simulacao
FROM
(
SELECT prtctn_id,typ_prtctn,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 &lt;&gt; TYP_PRTCTN_simulacao</t>
  </si>
  <si>
    <t>Select DISTINCT typ_prtctn
FROM
(
SELECT prtctn_id,typ_prtctn,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 Where typ_prtctn &lt;&gt; TYP_PRTCTN_simulacao</t>
  </si>
  <si>
    <t>Select typ_prtctn, typ_prtctn_intrnl
FROM
(
SELECT prtctn_id,typ_prtctn, typ_prtctn_intrnl,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typ_prtctn_intrnl &lt;&gt; 'N/A'
AND typ_prtctn = '11111111111'</t>
  </si>
  <si>
    <t>Select typ_prtctn, typ_prtctn_intrnl
FROM
(
SELECT prtctn_id,typ_prtctn, typ_prtctn_intrnl,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typ_prtctn_intrnl = 'N/A'
AND typ_prtctn &lt;&gt; '11111111111'</t>
  </si>
  <si>
    <t>Casos em que o typ_prtctn é 5 ou 12 que estão justificados troca de emails com a corporação</t>
  </si>
  <si>
    <t>Select DISTINCT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typ_prtctn_vl ='1'
AND typ_prtctn not in ('3', '7', '13', '18')</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</si>
  <si>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IN ('2','3')
 AND TYP_PRTCTN NOT IN ('8','9','10')</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</si>
  <si>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 '4'
 AND TYP_PRTCTN NOT IN ('2','4','5','12','15','16','17','7')</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</si>
  <si>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 '5'
--  AND TYP_PRTCTN  ='11111111111'</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</si>
  <si>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 '11111111111'
 AND TYP_PRTCTN &lt;&gt; '7'</t>
  </si>
  <si>
    <t>Select prtctn_id, typ_prtctn, typ_prtctn_vl, DT_APPRSL_PRVS
FROM
(
SELECT prtctn_id,typ_prtctn, typ_prtctn_vl, DT_APPRSL_PRVS,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typ_prtctn,DT_APPRSL_PRVS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DT_APPRSL_PRVS &lt;&gt; '1111-11-11'
 AND TYP_PRTCTN NOT IN('8','9','10')</t>
  </si>
  <si>
    <t>Select prtctn_id, typ_prtctn, typ_prtctn_vl, CRE_INCM_CRRNCY
FROM
(
SELECT prtctn_id,typ_prtctn, typ_prtctn_vl, CRE_INCM_CRRNCY,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typ_prtctn,CRE_INCM_CRRNCY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CRE_INCM_CRRNCY NOT IN ('MISS', 'N/A')
 AND TYP_PRTCTN NOT IN('9','10')</t>
  </si>
  <si>
    <t>Justificado: 2 Garantias que aparecem na LT004 mas não na GT018 - IT vai alterar o Universo da LT para a GT018 em vez das tabelas do modelo base</t>
  </si>
  <si>
    <t>Select prtctn_id, typ_prtctn, typ_prtctn_vl, APPRSR
FROM
(
SELECT prtctn_id,typ_prtctn, typ_prtctn_vl, APPRSR,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APPRSR NOT IN ('N/A', 'MISS')
AND TYP_PRTCTN NOT IN ('8','9','10')</t>
  </si>
  <si>
    <t>Justificado: 1 Garantia que aparecem na LT004 mas não na GT018 - IT vai alterar o Universo da LT para a GT018 em vez das tabelas do modelo base</t>
  </si>
  <si>
    <t>Select prtctn_id, typ_prtctn, typ_prtctn_vl, APPRSR, DT_LST_FLL_APPRSL
FROM
(
SELECT prtctn_id,typ_prtctn, typ_prtctn_vl, APPRSR, DT_LST_FLL_APPRSL,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typ_prtctn,DT_LST_FLL_APPRSL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DT_LST_FLL_APPRSL &lt;&gt;'1111-11-11'
AND TYP_PRTCTN NOT IN ('8','9','10')</t>
  </si>
  <si>
    <t>If "Forced sale value" is populated other than default values, then "Protection type" has to be set as '8 - Residential real estate collateral', '9 - Offices and commercial premises', '3 - Other physical collaterals' or '10 - Commercial real estate collateral'</t>
  </si>
  <si>
    <t>Justificado: 3 Garantias que aparecem na LT004 mas não na GT018 - IT vai alterar o Universo da LT para a GT018 em vez das tabelas do modelo base</t>
  </si>
  <si>
    <t>Select prtctn_id, typ_prtctn, typ_prtctn_vl, PRTCTN_FRCD_SL_VL
FROM
(
SELECT prtctn_id,typ_prtctn, typ_prtctn_vl, APPRSR, PRTCTN_FRCD_SL_VL,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typ_prtctn,PRTCTN_FRCD_SL_VL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PRTCTN_FRCD_SL_VL &lt;&gt; 11111111111
AND TYP_PRTCTN NOT IN ('8','9', '3','10')</t>
  </si>
  <si>
    <t>LNS_CLLTRLZD_CLSSFCTN não está especificado</t>
  </si>
  <si>
    <t>Select prtctn_id, ntnl_id_simulacao, ntnl_id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ntnl_id &lt;&gt; ntnl_id_simulacao</t>
  </si>
  <si>
    <t>0 casos com aspas</t>
  </si>
  <si>
    <t>SELECT count(*)
FROM bu_loantape_work.lt004_protection  
WHERE 1=1 
AND ambito = 'PM' 
AND segmento = 'ESTR' 
AND ref_date = '2024-09-30'
AND nome_perimetro = 'Individual Corporativo'
AND ntnl_id LIKE '%"%'
-- AND ntnl_id LIKE '%F%'</t>
  </si>
  <si>
    <t>Select prtctn_id, ntnl_id_simulacao, ntnl_id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ntnl_id Is NULL</t>
  </si>
  <si>
    <t>795 casos duplicados que são justificados pela falta de informação dos campos que forma a concatenação</t>
  </si>
  <si>
    <t>SELECT COUNT (*)
FROM
(
Select ntnl_id, count(*)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Group by ntnl_id
Having Count(*) &gt; 1 
) C</t>
  </si>
  <si>
    <t>Select prtctn_id, ntnl_id_simulacao, ntnl_id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length(ntnl_id_simulacao) &gt;=255</t>
  </si>
  <si>
    <t>Select prtctn_id, ntnl_id_simulacao, ntnl_id, typ_prtctn
From
(
SELECT 
CASE WHEN PRTCTN_ID NOT LIKE 'I%' THEN 'N/A'
	WHEN PRTCTN_ID LIKE 'I%' AND NTNL_ID_SIM = '' THEN 'MISS'
	ELSE ntnl_id_sim
End ntnl_id_simulacao, prtctn_id, ckbalbem, ckctabem, ckrefbem, cdisconf, codconsv, cartmatr, gficha, gidfracc, gfraccao, gnum, glote, cpost, ntnl_id, typ_prtctn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typ_prtctn,
gt009.*
FROM
(SELECT ntnl_id, prtctn_id, typ_prtctn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TYP_PRTCTN IN ('8','9','10')
AND ntnl_id_simulacao = 'N/A'</t>
  </si>
  <si>
    <t>Justificado 3 Garantias que aparecem na LT004 mas não na GT018 - IT vai alterar o Universo da LT para a GT018 em vez das tabelas do modelo base</t>
  </si>
  <si>
    <t>Select prtctn_id, ntnl_id_simulacao, ntnl_id, typ_prtctn
From
(
SELECT 
Case when prtctn_id NOT LIKE 'I%' Then 'N/A'
When prtctn_id Like 'I%' Then ntnl_id_sim
Else 'MISS'
End ntnl_id_simulacao, prtctn_id, ckbalbem, ckctabem, ckrefbem, cdisconf, codconsv, cartmatr, gficha, gidfracc, gfraccao, gnum, glote, cpost, ntnl_id, typ_prtctn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typ_prtctn,
gt009.*
FROM
(SELECT ntnl_id, prtctn_id, typ_prtctn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TYP_PRTCTN NOT IN ('8','9','10')
AND ntnl_id_simulacao &lt;&gt; 'N/A'</t>
  </si>
  <si>
    <t>SELECT prtctn_id, DT_ORGNL_PRTCTN_VL, DT_ORGNL_PRTCTN_VL_SIMULADO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From bu_loantape_work.lt004_protection
        WHERE segmento = 'ESTR'
        AND nome_perimetro ='Individual Corporativo'
        AND ref_date='${date}'
        AND AMBITO = 'PM') lt004
ON D.prtctn_id = prtctn_id_lt004
Where DT_ORGNL_PRTCTN_VL &lt;&gt; DT_ORGNL_PRTCTN_VL_SIMULADO</t>
  </si>
  <si>
    <t>SELECT prtctn_id, DT_ORGNL_PRTCTN_VL, DT_ORGNL_PRTCTN_VL_SIMULADO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From bu_loantape_work.lt004_protection
        WHERE segmento = 'ESTR'
        AND nome_perimetro ='Individual Corporativo'
        AND ref_date='${date}'
        AND AMBITO = 'PM') lt004
ON D.prtctn_id = prtctn_id_lt004
WHERE 1=1
AND substring(DT_ORGNL_PRTCTN_VL_SIMULADO,5,1) &lt;&gt; '-' or substring(DT_ORGNL_PRTCTN_VL_SIMULADO,8,1) &lt;&gt; '-'</t>
  </si>
  <si>
    <t>Justificado: 43 garantias com datas '0001-01-01' - Erro de Data Quality de Leasings que está a ser endereçado pelo Alexandre Esteves e estará resolvido em Janeiro de 2025</t>
  </si>
  <si>
    <t>SELECT prtctn_id, DT_ORGNL_PRTCTN_VL, DT_ORGNL_PRTCTN_VL_SIMULADO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From bu_loantape_work.lt004_protection
        WHERE segmento = 'ESTR'
        AND nome_perimetro ='Individual Corporativo'
        AND ref_date='${date}'
        AND AMBITO = 'PM') lt004
ON D.prtctn_id = prtctn_id_lt004
WHERE 1=1
AND DT_ORGNL_PRTCTN_VL_SIMULADO &lt; '1970-01-01'
AND DT_ORGNL_PRTCTN_VL_SIMULADO NOT IN ('1111-11-11','0000-00-00')</t>
  </si>
  <si>
    <t>Justificado: 3 Garantias que o DT_PRTCTN_VL é '0001-01-01'  - Erro de Data Quality de Leasings que está a ser endereçado pelo Alexandre Esteves e estará resolvido em Janeiro de 2025</t>
  </si>
  <si>
    <t>SELECT prtctn_id, DT_ORGNL_PRTCTN_VL, DT_ORGNL_PRTCTN_VL_SIMULADO, dt_prtctn_vl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dt_prtctn_vl
        From bu_loantape_work.lt004_protection
        WHERE segmento = 'ESTR'
        AND nome_perimetro ='Individual Corporativo'
        AND ref_date='${date}'
        AND AMBITO = 'PM') lt004
ON D.prtctn_id = prtctn_id_lt004
WHERE 1=1
AND DT_ORGNL_PRTCTN_VL &gt; dt_prtctn_vl</t>
  </si>
  <si>
    <t>SELECT prtctn_id, DT_ORGNL_PRTCTN_VL, DT_ORGNL_PRTCTN_VL_SIMULADO, ref_date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ref_date
        From bu_loantape_work.lt004_protection
        WHERE segmento = 'ESTR'
        AND nome_perimetro ='Individual Corporativo'
        AND ref_date='${date}'
        AND AMBITO = 'PM') lt004
ON D.prtctn_id = prtctn_id_lt004
WHERE 1=1
AND DT_ORGNL_PRTCTN_VL &gt; ref_date</t>
  </si>
  <si>
    <t>SELECT prtctn_id, DT_ORGNL_PRTCTN_VL, DT_ORGNL_PRTCTN_VL_SIMULADO, ref_date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ref_date
        From bu_loantape_work.lt004_protection
        WHERE segmento = 'ESTR'
        AND nome_perimetro ='Individual Corporativo'
        AND ref_date='${date}'
        AND AMBITO = 'PM') lt004
ON D.prtctn_id = prtctn_id_lt004
Where 1=1
AND prtctn_id like 'P%'
AND DT_ORGNL_PRTCTN_VL_SIMULADO &lt;&gt; '1111-11-11'</t>
  </si>
  <si>
    <t>SELECT prtctn_id, DT_ORGNL_PRTCTN_VL, DT_ORGNL_PRTCTN_VL_SIMULADO, dt_prtctn_vl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dt_prtctn_vl
        From bu_loantape_work.lt004_protection
        WHERE segmento = 'ESTR'
        AND nome_perimetro ='Individual Corporativo'
        AND ref_date='${date}'
        AND AMBITO = 'PM') lt004
ON D.prtctn_id = prtctn_id_lt004
Where 1=1
AND prtctn_id like 'P%'
AND dt_prtctn_vl &lt;&gt; '1111-11-11'</t>
  </si>
  <si>
    <t>Select *
FROM
(SELECT prtctn_id, DT_PRTCTN_VL, CASE
    WHEN prtctn_id LIKE 'P%' THEN '1111-11-11'
    ELSE NVL(max(dtrcaval),'0000-00-00')
    END AS DT_PRTCTN_VL_SIMULADO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 AND prtctn_id NOT LIKE 'P%'
    AND DT_PRTCTN_VL &lt;&gt; DT_PRTCTN_VL_SIMULADO</t>
  </si>
  <si>
    <t>Select *
FROM
(SELECT prtctn_id, DT_PRTCTN_VL, CASE
    WHEN prtctn_id LIKE 'P%' THEN '1111-11-11'
    ELSE NVL(max(dtrcaval),'0000-00-00')
    END AS DT_PRTCTN_VL_SIMULADO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 AND substring(DT_PRTCTN_VL_SIMULADO,5,1) &lt;&gt; '-' or substring(DT_PRTCTN_VL_SIMULADO,8,1) &lt;&gt; '-'
-- AND length(DT_PRTCTN_VL_SIMULADO) &lt;&gt; 10
-- AND DT_PRTCTN_VL_SIMULADO = '9999-99-99'</t>
  </si>
  <si>
    <t>Justificado: 47 casos 
4 relacionados com universos diferentes -  IT vai alterar o Universo da LT para a GT018 em vez das tabelas do modelo base
Restantes são os temas dos leasings com '0001-01-01' - Erro de Data Quality de Leasings que está a ser endereçado pelo Alexandre Esteves e estará resolvido em Janeiro de 2025</t>
  </si>
  <si>
    <t>Select *
FROM
(SELECT prtctn_id, DT_PRTCTN_VL, CASE
    WHEN prtctn_id LIKE 'P%' THEN '1111-11-11'
    ELSE NVL(max(dtrcaval),'0000-00-00')
    END AS DT_PRTCTN_VL_SIMULADO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 &lt; '1970-01-01'
AND DT_PRTCTN_VL &lt;&gt; '1111-11-11'
Order by DT_PRTCTN_VL asc</t>
  </si>
  <si>
    <t>Select *
FROM
(SELECT prtctn_id, DT_PRTCTN_VL, CASE
    WHEN prtctn_id LIKE 'P%' THEN '1111-11-11'
    ELSE NVL(max(dtrcaval),'0000-00-00')
    END AS DT_PRTCTN_VL_SIMULADO, typ_prtctn_vl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TYP_PRTCTN_VL = '4'
AND DT_PRTCTN_VL &lt;&gt; '2024-09-30'</t>
  </si>
  <si>
    <t>Select *
FROM
(SELECT prtctn_id, DT_PRTCTN_VL, CASE
    WHEN prtctn_id LIKE 'P%' THEN '1111-11-11'
    ELSE NVL(max(dtrcaval),'0000-00-00')
    END AS DT_PRTCTN_VL_SIMULADO, typ_prtctn_vl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DT_PRTCTN_VL &gt; '2024-09-30'</t>
  </si>
  <si>
    <t>Select *
FROM
(SELECT prtctn_id, DT_PRTCTN_VL, CASE
    WHEN prtctn_id LIKE 'P%' THEN '1111-11-11'
    ELSE NVL(max(dtrcaval),'0000-00-00')
    END AS DT_PRTCTN_VL_SIMULADO, dt_lst_fll_apprsl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DT_PRTCTN_VL &gt; dt_lst_fll_apprsl
        AND dt_lst_fll_apprsl &lt;&gt; '1111-11-11'</t>
  </si>
  <si>
    <t>Select *
FROM
(SELECT prtctn_id, DT_PRTCTN_VL, CASE
    WHEN prtctn_id LIKE 'P%' THEN '1111-11-11'
    ELSE NVL(max(dtrcaval),'0000-00-00')
    END AS DT_PRTCTN_VL_SIMULADO, DT_APPRSL_PRVS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DT_APPRSL_PRVS &lt;&gt; '1111-11-11'
        AND DT_PRTCTN_VL = '1111-11-11'</t>
  </si>
  <si>
    <t>SELECT prtctn_id, CNSTRCTN_STTS_simulacao, cnstrctn_stts, cgarant_bem
FROM
(
SELECT 
prtctn_id, ref_date, cnstrctn_stts,
CASE WHEN ref_date &lt; '2024-05-31' THEN CNSTRCTN_STTS_simulacao_pre
WHEN ref_date &gt;= '2024-05-31' THEN CNSTRTCN_STTS_simulacao_pos
Else '99999999999'
END AS CNSTRCTN_STTS_simulacao, cgarant_bem
FROM
(
SELECT prtctn_id, ref_date, cnstrctn_stts,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FROM
(SELECT prtctn_id, ref_date, cnstrctn_stts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WHERE CNSTRCTN_STTS_simulacao &lt;&gt; cnstrctn_stts;</t>
  </si>
  <si>
    <t>SELECT COUNT(*), CNSTRCTN_STTS
FROM 
(
SELECT prtctn_id, CNSTRCTN_STTS_simulacao, cnstrctn_stts, cgarant_bem
FROM
(
SELECT 
prtctn_id, ref_date, cnstrctn_stts,
CASE WHEN ref_date &lt; '2024-05-31' THEN CNSTRCTN_STTS_simulacao_pre
WHEN ref_date &gt;= '2024-05-31' THEN CNSTRTCN_STTS_simulacao_pos
Else '99999999999'
END AS CNSTRCTN_STTS_simulacao, cgarant_bem
FROM
(
SELECT prtctn_id, ref_date, cnstrctn_stts,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FROM
(SELECT prtctn_id, ref_date, cnstrctn_stts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Group by 2</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</si>
  <si>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 '4'
AND CNSTRCTN_STTS &lt;&gt; '1'</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</si>
  <si>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in('2', '3')
AND CNSTRCTN_STTS &lt;&gt; '2'</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</si>
  <si>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 '1'
AND CNSTRCTN_STTS NOT IN('3', '4')</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</si>
  <si>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 '11111111111'
AND CNSTRCTN_STTS &lt;&gt; '11111111111'</t>
  </si>
  <si>
    <t>SELECT prtctn_id, cnstrctn_stts, dvlpmnt_stts, ref_date, dt_frst_usg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ref_date, dt_frst_usg
FROM
(
SELECT 
prtctn_id,
CASE WHEN ref_date &lt; '2024-05-31' THEN CNSTRCTN_STTS_simulacao_pre
WHEN ref_date &gt;= '2024-05-31' THEN CNSTRTCN_STTS_simulacao_pos
Else '99999999999'
END AS CNSTRCTN_STTS_simulacao, cnstrctn_stts, dvlpmnt_stts, ref_date, dt_frst_usg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dt_frst_usg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dt_frst_usg &gt; ref_date
AND dt_frst_usg &lt;&gt; '1111-11-11'
AND dt_frst_usg &lt;&gt; '0000-00-00'
AND CNSTRCTN_STTS NOT IN ('2','4')</t>
  </si>
  <si>
    <t>SELECT prtctn_id, cnstrctn_stts, dvlpmnt_stts, ref_date, dt_frst_usg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ref_date, dt_frst_usg
FROM
(
SELECT 
prtctn_id,
CASE WHEN ref_date &lt; '2024-05-31' THEN CNSTRCTN_STTS_simulacao_pre
WHEN ref_date &gt;= '2024-05-31' THEN CNSTRTCN_STTS_simulacao_pos
Else '99999999999'
END AS CNSTRCTN_STTS_simulacao, cnstrctn_stts, dvlpmnt_stts, ref_date, dt_frst_usg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dt_frst_usg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dt_frst_usg &lt; ref_date
AND dt_frst_usg not in('1111-11-11','0000-00-00')
AND CNSTRCTN_STTS &lt;&gt; '1'</t>
  </si>
  <si>
    <t>SELECT prtctn_id, dvlpmnt_stts, DVLPMNT_STTS_simulacao, cgarant_bem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FROM
(
SELECT 
prtctn_id, dvlpmnt_stts,
CASE WHEN ref_date &lt; '2024-05-31' THEN CNSTRCTN_STTS_simulacao_pre
WHEN ref_date &gt;= '2024-05-31' THEN CNSTRTCN_STTS_simulacao_pos
Else '99999999999'
END AS CNSTRCTN_STTS_simulacao, cgarant_bem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FROM
(SELECT prtctn_id, ref_date,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&lt;&gt; dvlpmnt_stts</t>
  </si>
  <si>
    <t>SELECT count (*), dvlpmnt_stts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typ_prtctn
FROM
(
SELECT 
prtctn_id, dvlpmnt_stts,
CASE WHEN ref_date &lt; '2024-05-31' THEN CNSTRCTN_STTS_simulacao_pre
WHEN ref_date &gt;= '2024-05-31' THEN CNSTRTCN_STTS_simulacao_pos
Else '99999999999'
END AS CNSTRCTN_STTS_simulacao, cgarant_bem, typ_prtctn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typ_prtctn
FROM
(SELECT prtctn_id, ref_date, dvlpmnt_stts, typ_prtctn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group by 2</t>
  </si>
  <si>
    <t>SELECT prtctn_id, dvlpmnt_stts, DVLPMNT_STTS_simulacao, cgarant_bem, typ_prtctn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typ_prtctn
FROM
(
SELECT 
prtctn_id, dvlpmnt_stts,
CASE WHEN ref_date &lt; '2024-05-31' THEN CNSTRCTN_STTS_simulacao_pre
WHEN ref_date &gt;= '2024-05-31' THEN CNSTRTCN_STTS_simulacao_pos
Else '99999999999'
END AS CNSTRCTN_STTS_simulacao, cgarant_bem, typ_prtctn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typ_prtctn
FROM
(SELECT prtctn_id, ref_date, dvlpmnt_stts, typ_prtctn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TYP_PRTCTN IN ('8','9','10')
AND DVLPMNT_STTS_simulacao = '11111111111'
;</t>
  </si>
  <si>
    <t>SELECT prtctn_id, dvlpmnt_stts, DVLPMNT_STTS_simulacao, cgarant_bem, typ_prtctn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typ_prtctn
FROM
(
SELECT 
prtctn_id, dvlpmnt_stts,
CASE WHEN ref_date &lt; '2024-05-31' THEN CNSTRCTN_STTS_simulacao_pre
WHEN ref_date &gt;= '2024-05-31' THEN CNSTRTCN_STTS_simulacao_pos
Else '99999999999'
END AS CNSTRCTN_STTS_simulacao, cgarant_bem, typ_prtctn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typ_prtctn
FROM
(SELECT prtctn_id, ref_date, dvlpmnt_stts, typ_prtctn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TYP_PRTCTN NOT IN ('8','9','10')
AND DVLPMNT_STTS_simulacao &lt;&gt; '11111111111'
;</t>
  </si>
  <si>
    <t>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FROM 
(SELECT prtctn_id,
        prm_lctn as valor_it
FROM bu_loantape_work.lt004_protection
WHERE ref_date='${ref_date}'
    AND nome_perimetro='Individual Corporativo'
    AND segmento='ESTR'
    AND ambito='PM') AS LT004
LEFT JOIN
(SELECT ckbalbem,
        ckctabem,
        ckrefbem,
        trim (cfinbem) as cfinbem,
        cdisconf
FROM cd_garantias.gt009_bens_imov
WHERE ref_date='${ref_date}') AS gt009
on prtctn_id=concat('I_', CKBALBEM, '_', CKCTABEM, '_', CKREFBEM)
LEFT JOIN
(SELECT TAYD91C0_CELEMTAB,
			TAYD91C0_NELEMC10 AS CD_REPARTICAO_FIN
	FROM CD_ESTRUTURAIS.TAT91_TABELAS 
	WHERE TAYD91C0_CTABELA='J48'
		AND DATA_DATE_PART IN ( SELECT MAX(DATA_DATE_PART) FROM  CD_ESTRUTURAIS.TAT91_TABELAS  WHERE TAYD91C0_CTABELA='J48' AND DATA_DATE_PART &lt;='${ref_date}') -- PERMITE DEVOLVER REGISTOS PARA A ULTIMA DATA UTIL ANTERIOR À DATA DE REFERENCIA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 SELECT MAX(DATA_DATE_PART) FROM  CD_ESTRUTURAIS.tat91_tabelas  WHERE TAYD91C0_CTABELA='162' AND DATA_DATE_PART &lt;='${ref_date}')
	) AS TAT_162
	ON TAT_J48.CD_REPARTICAO_FIN=TAT_162.TAYD91C0_CELEMTAB
) as base
WHERE 1=1 
    AND valor_it &lt;&gt; valor_simulado 
    ;</t>
  </si>
  <si>
    <t>SELECT substr(prtctn_id,1,1), valor_it, count(*)
FROM 
(SELECT prtctn_id,
    valor_it,
    CASE WHEN substr(prtctn_id,1,1)&lt;&gt;'I'
         THEN 'N/A'
         WHEN cfinbem IN ('01','06','07','08') AND CL_HAB&gt;='3.40'
         THEN 'Y'
         WHEN cfinbem IN ('01','06','07','08') AND CL_HAB&lt;'3.40'
         THEN 'N'
         WHEN cfinbem='02' AND CL_COM&gt;='3.40'
         THEN 'Y' 
         WHEN cfinbem='02' AND CL_COM&lt;'3.40'
         THEN 'N' 
          WHEN cfinbem='03' AND CL_SERV&gt;='3.40'
         THEN 'Y' 
         WHEN cfinbem='03' AND CL_SERV&lt;'3.40'
         THEN 'N'
          WHEN cfinbem IN ('04','05') AND CL_IND&gt;='3.40'
         THEN 'Y'
         WHEN cfinbem IN ('04','05') AND CL_IND&lt;'3.40'
         THEN 'N'
         else 'MISS'
         END AS valor_simulado,
    cdisconf,
    cfinbem,
    CD_REPARTICAO_FIN,
    CL_COM,
    CL_HAB,
    CL_IND,
    CL_SERV
FROM 
(SELECT prtctn_id,
        prm_lctn as valor_it
FROM bu_loantape_work.lt004_protection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 IN (SELECT MAX(data_date_part)
    from cd_estruturais.tat91_tabelas where data_date_part &lt;= '${date}' and tayd91c0_ctabela= 'J48'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(SELECT MAX(data_date_part)
    from cd_estruturais.tat91_tabelas where data_date_part &lt;= '${date}' and tayd91c0_ctabela= '162'
)) AS TAT_162
ON TAT_J48.CD_REPARTICAO_FIN=TAT_162.tayd91c0_celemtab
) as base
GROUP BY 1,2</t>
  </si>
  <si>
    <t>"Prime location according to bank-internal definition  (Y/N)" should match the information on the Codelist</t>
  </si>
  <si>
    <t>SELECT prm_lctn,
    COUNT(*)
FROM bu_loantape_work.lt004_protection
WHERE ref_date='${date}'
    AND nome_perimetro='Individual Corporativo'
    AND segmento='ESTR'
    AND ambito='PM'
GROUP BY prm_lctn</t>
  </si>
  <si>
    <t>3 casos que não cruzam com GT018 - IT vai alterar o Universo da LT para a GT018 em vez das tabelas do modelo base</t>
  </si>
  <si>
    <t>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typ_prtctn
FROM 
(SELECT prtctn_id,
        prm_lctn as valor_it, typ_prtctn
FROM bu_loantape_work.lt004_protection
WHERE ref_date='${ref_date}'
    AND nome_perimetro='Individual Corporativo'
    AND segmento='ESTR'
    AND ambito='PM') AS LT004
LEFT JOIN
(SELECT ckbalbem,
        ckctabem,
        ckrefbem,
        trim (cfinbem) as cfinbem,
        cdisconf
FROM cd_garantias.gt009_bens_imov
WHERE ref_date='${ref_date}') AS gt009
on prtctn_id=concat('I_', CKBALBEM, '_', CKCTABEM, '_', CKREFBEM)
LEFT JOIN
(SELECT TAYD91C0_CELEMTAB,
			TAYD91C0_NELEMC10 AS CD_REPARTICAO_FIN
	FROM CD_ESTRUTURAIS.TAT91_TABELAS 
	WHERE TAYD91C0_CTABELA='J48'
		AND DATA_DATE_PART IN ( SELECT MAX(DATA_DATE_PART) FROM  CD_ESTRUTURAIS.TAT91_TABELAS  WHERE TAYD91C0_CTABELA='J48' AND DATA_DATE_PART &lt;='${ref_date}') -- PERMITE DEVOLVER REGISTOS PARA A ULTIMA DATA UTIL ANTERIOR À DATA DE REFERENCIA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 SELECT MAX(DATA_DATE_PART) FROM  CD_ESTRUTURAIS.tat91_tabelas  WHERE TAYD91C0_CTABELA='162' AND DATA_DATE_PART &lt;='${ref_date}')
	) AS TAT_162
	ON TAT_J48.CD_REPARTICAO_FIN=TAT_162.TAYD91C0_CELEMTAB
) as base
WHERE 1=1 
       AND typ_prtctn NOT IN ('8','9','10')
    AND VALOR_SIMULADO &lt;&gt; 'N/A'</t>
  </si>
  <si>
    <t>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typ_prtctn
FROM 
(SELECT prtctn_id,
        prm_lctn as valor_it, typ_prtctn
FROM bu_loantape_work.lt004_protection
WHERE ref_date='${ref_date}'
    AND nome_perimetro='Individual Corporativo'
    AND segmento='ESTR'
    AND ambito='PM') AS LT004
LEFT JOIN
(SELECT ckbalbem,
        ckctabem,
        ckrefbem,
        trim (cfinbem) as cfinbem,
        cdisconf
FROM cd_garantias.gt009_bens_imov
WHERE ref_date='${ref_date}') AS gt009
on prtctn_id=concat('I_', CKBALBEM, '_', CKCTABEM, '_', CKREFBEM)
LEFT JOIN
(SELECT TAYD91C0_CELEMTAB,
			TAYD91C0_NELEMC10 AS CD_REPARTICAO_FIN
	FROM CD_ESTRUTURAIS.TAT91_TABELAS 
	WHERE TAYD91C0_CTABELA='J48'
		AND DATA_DATE_PART IN ( SELECT MAX(DATA_DATE_PART) FROM  CD_ESTRUTURAIS.TAT91_TABELAS  WHERE TAYD91C0_CTABELA='J48' AND DATA_DATE_PART &lt;='${ref_date}') -- PERMITE DEVOLVER REGISTOS PARA A ULTIMA DATA UTIL ANTERIOR À DATA DE REFERENCIA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 SELECT MAX(DATA_DATE_PART) FROM  CD_ESTRUTURAIS.tat91_tabelas  WHERE TAYD91C0_CTABELA='162' AND DATA_DATE_PART &lt;='${ref_date}')
	) AS TAT_162
	ON TAT_J48.CD_REPARTICAO_FIN=TAT_162.TAYD91C0_CELEMTAB
) as base
WHERE 1=1 
       AND typ_prtctn IN ('8','9','10')
    AND VALOR_SIMULADO = 'N/A'</t>
  </si>
  <si>
    <t>Select prtctn_id, dt_lst_fll_apprsl, dt_lst_fll_apprsl_simulado, dt_orgnl_prtctn_vl
FROM
(
SELECT LT004.prtctn_id, 
        LT004.dt_lst_fll_apprsl, 
        CASE WHEN LT004.prtctn_id LIKE 'F%' OR LT004.prtctn_id LIKE 'P%' THEN '1111-11-11'
            WHEN LT004.prtctn_id LIKE 'I%'THEN dt_lst_fll_apprsl_simulado
            ELSE '0000-00-00'
            END as dt_lst_fll_apprsl_simulado,
        dt_orgnl_prtctn_vl
FROM
(SELECT prtctn_id, dt_lst_fll_apprsl, dt_prtctn_vl, dt_orgnl_prtctn_vl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dt_lst_fll_apprsl_simulado &gt;= dt_orgnl_prtctn_vl
AND dt_lst_fll_apprsl &lt;&gt; dt_lst_fll_apprsl_simulado</t>
  </si>
  <si>
    <t>"Date of last full appraisal" must have a Date format (yyyy-mm-dd)</t>
  </si>
  <si>
    <t xml:space="preserve">Select prtctn_id, dt_lst_fll_apprsl, dt_lst_fll_apprsl_simulado, dt_orgnl_prtctn_vl
FROM
(
SELECT LT004.prtctn_id, 
        LT004.dt_lst_fll_apprsl, 
        CASE WHEN LT004.prtctn_id LIKE 'F%' OR LT004.prtctn_id LIKE 'P%' THEN '1111-11-11'
            WHEN LT004.prtctn_id LIKE 'I%'THEN dt_lst_fll_apprsl_simulado
            ELSE '0000-00-00'
            END as dt_lst_fll_apprsl_simulado,
        dt_orgnl_prtctn_vl
FROM
(SELECT prtctn_id, dt_lst_fll_apprsl, dt_prtctn_vl, dt_orgnl_prtctn_vl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substring(dt_lst_fll_apprsl,5,1) &lt;&gt; '-' or substring(dt_lst_fll_apprsl,8,1) &lt;&gt; '-'
AND length(dt_lst_fll_apprsl) &lt;&gt; 10
;
</t>
  </si>
  <si>
    <t>"Date of last full appraisal" must be later than 01 January 1970</t>
  </si>
  <si>
    <t>41 casos em que  a dt aparece 0001-01-01  - Erro de Data Quality de Leasings que está a ser endereçado pelo Alexandre Esteves e estará resolvido em Janeiro de 2025</t>
  </si>
  <si>
    <t xml:space="preserve">Select prtctn_id, dt_lst_fll_apprsl, dt_lst_fll_apprsl_simulado, dt_orgnl_prtctn_vl
FROM
(
SELECT LT004.prtctn_id, 
        LT004.dt_lst_fll_apprsl, 
        CASE WHEN LT004.prtctn_id LIKE 'F%' OR LT004.prtctn_id LIKE 'P%' THEN '1111-11-11'
            WHEN LT004.prtctn_id LIKE 'I%'THEN dt_lst_fll_apprsl_simulado
            ELSE '0000-00-00'
            END as dt_lst_fll_apprsl_simulado,
        dt_orgnl_prtctn_vl
FROM
(SELECT prtctn_id, dt_lst_fll_apprsl, dt_prtctn_vl, dt_orgnl_prtctn_vl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dt_lst_fll_apprsl &lt; '1970-01-01'
AND dt_lst_fll_apprsl &lt;&gt;'1111-11-11'
;
</t>
  </si>
  <si>
    <t>"Date of last full appraisal" must be greater or equal to the "Date of the appraisal previous to the most recent one available, i.e. previous to the last full appraisal (field DT_LST_FLL_APPRSL)."</t>
  </si>
  <si>
    <t xml:space="preserve">Select prtctn_id, dt_lst_fll_apprsl, dt_lst_fll_apprsl_simulado, dt_orgnl_prtctn_vl, DT_APPRSL_PRVS
FROM
(
SELECT LT004.prtctn_id, 
        LT004.dt_lst_fll_apprsl, 
        CASE WHEN LT004.prtctn_id LIKE 'F%' OR LT004.prtctn_id LIKE 'P%' THEN '1111-11-11'
            WHEN LT004.prtctn_id LIKE 'I%'THEN dt_lst_fll_apprsl_simulado
            ELSE '0000-00-00'
            END as dt_lst_fll_apprsl_simulado, 
        dt_orgnl_prtctn_vl, DT_APPRSL_PRVS
FROM
(SELECT prtctn_id, dt_lst_fll_apprsl, dt_prtctn_vl, dt_orgnl_prtctn_vl, DT_APPRSL_PRVS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dt_lst_fll_apprsl &lt; DT_APPRSL_PRVS
;
</t>
  </si>
  <si>
    <t>Select prtctn_id, dt_lst_fll_apprsl, dt_lst_fll_apprsl_simulado, dt_orgnl_prtctn_vl, REF_DATE
FROM
(
SELECT LT004.prtctn_id, 
        LT004.dt_lst_fll_apprsl, 
        CASE WHEN LT004.prtctn_id LIKE 'F%' OR LT004.prtctn_id LIKE 'P%' THEN '1111-11-11'
            WHEN LT004.prtctn_id LIKE 'I%'THEN dt_lst_fll_apprsl_simulado
            ELSE '0000-00-00'
            END as dt_lst_fll_apprsl_simulado, 
        dt_orgnl_prtctn_vl, REF_DATE
FROM
(SELECT prtctn_id, dt_lst_fll_apprsl, dt_prtctn_vl, dt_orgnl_prtctn_vl, REF_DATE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dt_lst_fll_apprsl &gt; REF_DATE
;</t>
  </si>
  <si>
    <t>SELECT prtctn_id, dt_apprsl_prvs, dt_apprsl_prvs_simulacao, dt_orgnl_prtctn_vl, davalia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
FROM
        (SELECT prtctn_id, dt_apprsl_prvs, typ_prtctn, dt_orgnl_prtctn_vl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&lt;&gt; dt_apprsl_prvs_simulacao</t>
  </si>
  <si>
    <t>SELECT prtctn_id, dt_apprsl_prvs, dt_apprsl_prvs_simulacao, dt_orgnl_prtctn_vl, davalia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
FROM
        (SELECT prtctn_id, dt_apprsl_prvs, typ_prtctn, dt_orgnl_prtctn_vl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substring(dt_apprsl_prvs,5,1) &lt;&gt; '-' or substring(dt_apprsl_prvs,8,1) &lt;&gt; '-'
  AND length(dt_apprsl_prvs) &lt;&gt; 10</t>
  </si>
  <si>
    <t>SELECT prtctn_id, dt_apprsl_prvs, dt_apprsl_prvs_simulacao, dt_orgnl_prtctn_vl, davalia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
FROM
        (SELECT prtctn_id, dt_apprsl_prvs, typ_prtctn, dt_orgnl_prtctn_vl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&lt; '1970-01-01'</t>
  </si>
  <si>
    <t>SELECT prtctn_id, dt_apprsl_prvs, dt_apprsl_prvs_simulacao, dt_orgnl_prtctn_vl, davalia,REF_DATE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FROM
        (SELECT prtctn_id, dt_apprsl_prvs, typ_prtctn, dt_orgnl_prtctn_vl,REF_DATE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&gt; REF_DATE</t>
  </si>
  <si>
    <t>SELECT prtctn_id, dt_apprsl_prvs, dt_apprsl_prvs_simulacao, dt_orgnl_prtctn_vl, davalia,REF_DATE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FROM
        (SELECT prtctn_id, dt_apprsl_prvs, typ_prtctn, dt_orgnl_prtctn_vl,REF_DATE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&lt; dt_orgnl_prtctn_vl</t>
  </si>
  <si>
    <t>SELECT prtctn_id, dt_apprsl_prvs, dt_apprsl_prvs_simulacao, dt_orgnl_prtctn_vl, davalia, REF_DATE, dt_prtctn_vl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dt_prtctn_vl
FROM
        (SELECT prtctn_id, dt_apprsl_prvs, typ_prtctn, dt_orgnl_prtctn_vl,REF_DATE, dt_prtctn_vl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&gt; dt_prtctn_vl</t>
  </si>
  <si>
    <t xml:space="preserve">SELECT prtctn_id, dt_apprsl_prvs, dt_apprsl_prvs_simulacao, dt_orgnl_prtctn_vl, davalia, REF_DATE, dt_prtctn_vl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dt_prtctn_vl
FROM
        (SELECT prtctn_id, dt_apprsl_prvs, typ_prtctn, dt_orgnl_prtctn_vl,REF_DATE, dt_prtctn_vl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prtctn_id LIKE 'P%'
     AND dt_apprsl_prvs &lt;&gt; '1111-11-11' </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</si>
  <si>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ORGNL_PRTCTN_VL &lt;&gt; ORGNL_PRTCTN_VL_SIMULADO</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</si>
  <si>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cast(ORGNL_PRTCTN_VL as VARCHAR) NOT LIKE '%.__'</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</si>
  <si>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ORGNL_PRTCTN_VL &lt; 0</t>
  </si>
  <si>
    <t>15 casos com valor original da proteção a zero</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</si>
  <si>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DT_ORGNL_PRTCTN_VL &lt;&gt; '1111-11-11'
AND ORGNL_PRTCTN_VL in (11111111111,0)</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</si>
  <si>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DT_ORGNL_PRTCTN_VL = '1111-11-11'
AND ORGNL_PRTCTN_VL &lt;&gt; 11111111111</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</si>
  <si>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prtctn_id LIKE 'P%'
AND ORGNL_PRTCTN_VL &lt;&gt; 11111111111</t>
  </si>
  <si>
    <t>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round(off_blnc_sht_amnt_instrmnt_prvs,2) &lt;&gt; round(off_blnc_sht_amnt_instrmnt_prvs_simulacao,2) ;</t>
  </si>
  <si>
    <t>"Previous off-balance amount" should have a Format numeric (2 decimal places)</t>
  </si>
  <si>
    <t>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1=1 
AND cast(off_blnc_sht_amnt_instrmnt_prvs as VARCHAR) LIKE '%.__'</t>
  </si>
  <si>
    <t>"Previous off-balance amount" shall be larger or equal to 0; Negative values trigger attention</t>
  </si>
  <si>
    <t>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1=1 
AND off_blnc_sht_amnt_instrmnt_prvs &lt; 0</t>
  </si>
  <si>
    <t>If "Date of inception" is less than one year in the past (compared to "Reference date") and product type is other than uncommited overdraft, then "Previous off-balance amount" should be populated with default values.</t>
  </si>
  <si>
    <t xml:space="preserve">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1=1 
AND SUBSTR(cast(add_months(ref_date, -12) AS string), 1, 10) &lt; DT_INCPTN
AND off_blnc_sht_amnt_instrmnt_prvs &lt;&gt; 11111111111
;
SELECT distinct prdct
      FROM bu_loantape_work.lt002_instrument
      WHERE segmento = 'ESTR'
        AND nome_perimetro ='Individual Corporativo'
        AND ref_date='${date}'
        AND AMBITO = 'PM'
        AND prdct like '%Descoberto%'
        </t>
  </si>
  <si>
    <t>If "Date of inception" is more than one year in the past (compared to "Reference date") and "Off-balance sheet amount" is populated other than default values, then "Previous off-balance amount" should be populated with values other than default.</t>
  </si>
  <si>
    <t>Justificado. São ajustes que não vão ser executados nos controlos da corporação. O Campo OFF_BLNC_SHT_INSTRMNT_PRVS será sempre N/A para ajustes, segundo o Guia da Corporação - Capítulo 11</t>
  </si>
  <si>
    <t xml:space="preserve">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off_blnc_sht_amnt_instrmnt
   FROM
     (SELECT instrmnt_id,
             off_blnc_sht_amnt_instrmnt_prvs,
             dt_incptn,
             ref_date, off_blnc_sht_amnt_instrmnt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off_blnc_sht_amnt_instrmnt) X
Where 1=1 
AND SUBSTR(cast(add_months(ref_date, -12) AS string), 1, 10) &gt; DT_INCPTN
AND off_blnc_sht_amnt_instrmnt &lt;&gt; 11111111111
AND off_blnc_sht_amnt_instrmnt_prvs = 11111111111
;
       </t>
  </si>
  <si>
    <t>SELECT *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 AND contract_id IS NOT NULL
-- and instrmnt_id = '31000344213809020000000000000000'
AND ifrs9_bhvrl_mtrty &lt;&gt; IFRS9_BHVRL_MTRTY_Simulado</t>
  </si>
  <si>
    <t>SELECT *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Having cast(IFRS9_BHVRL_MTRTY as VARCHAR) LIKE '%.'</t>
  </si>
  <si>
    <t>SELECT *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Having (IFRS9_BHVRL_MTRTY &gt; 960
OR IFRS9_BHVRL_MTRTY &lt; 0)
AND IFRS9_BHVRL_MTRTY &lt;&gt; 11111111111</t>
  </si>
  <si>
    <t xml:space="preserve">SELECT *
FROM
(
SELECT instrmnt_id, mn_entty_id, entty_id, zcliente,
CASE WHEN ENTTY_ID=ZCLIENTE THEN 'Y' ELSE 'N' END as mn_entty_id_simulado
FROM
(SELECT instrmnt_id, mn_entty_id, entty_id
FROM bu_loantape_work.lt005_instr_ent_srb
WHERE 1=1 
AND ambito = 'PM'
AND segmento = 'ESTR'
AND ref_date = '${date}'
AND nome_perimetro = 'Individual Corporativo'
AND instrmnt_id not like 'SNCN%'
AND instrmnt_id not like 'SS%') LT005
LEFT JOIN 
(SELECT cempresa, cbalcao, cnumecta, zdeposit, zcliente
FROM bu_loantape_work.lt001_univ_oper
WHERE 1=1 
AND ambito = 'PM'
AND segmento = 'ESTR'
AND ref_date = '${date}'
AND nome_perimetro = 'Individual Corporativo') LT001
ON LT005.INSTRMNT_ID=CONCAT(LT001.CEMPRESA,LT001.CBALCAO,LT001.CNUMECTA,LT001.ZDEPOSIT)
) A
WHERE mn_entty_id &lt;&gt; mn_entty_id_simulado
</t>
  </si>
  <si>
    <t>Incidência onde os registos estão como 0.00 e  99999999999</t>
  </si>
  <si>
    <t>SELECT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instrmnt_id LIKE 'SS%'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bu_loantape_work.lt002_instrument_srb
      WHERE segmento = 'ESTR'
        AND nome_perimetro ='Individual Corporativo'
        AND ref_date='${date}'
        AND AMBITO = 'PM'
        -- and instrmnt_id =   '82000020210000346001520240463187'
        ) LT002
   LEFT JOIN
     (SELECT CEMPRESA,
             CBALCAO,
             CNUMECTA,
             ZDEPOSIT,
             sum(valor_bruto_off_prvs) as valor_bruto_off_prvs
      FROM bu_loantape_work.lt001_univ_oper
      WHERE segmento = 'ESTR'
        AND nome_perimetro ='Individual Corporativo'
        AND ref_date='${date}'
        AND AMBITO = 'PM'
        -- and CONCAT(CEMPRESA, CBALCAO, CNUMECTA, ZDEPOSIT) = '82000020110004228001520240649446'
      GROUP BY CEMPRESA,
               CBALCAO,
               CNUMECTA,
               ZDEPOSIT) LT001 ON INSTRMNT_ID = CONCAT(CEMPRESA, CBALCAO, CNUMECTA, ZDEPOSIT)
   GROUP BY dt_incptn,
            ref_date,
            DT_INCPTN &lt;= SUBSTR(cast(add_months(ref_date, -12) AS string), 1, 10),
            instrmnt_id,
            off_blnc_sht_amnt_instrmnt_prvs) X
WHERE round(off_blnc_sht_amnt_instrmnt_prvs,2) &lt;&gt; round(off_blnc_sht_amnt_instrmnt_prvs_simulacao,2) 
;</t>
  </si>
  <si>
    <t>SELECT instrmnt_id, ifrs9_bhvrl_mtrty, IFRS9_BHVRL_MTRTY_Simulado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bu_loantape_work.lt002_instrument_srb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 AND contract_id IS NOT NULL
-- and instrmnt_id = '31000344213809020000000000000000'
AND ifrs9_bhvrl_mtrty &lt;&gt; IFRS9_BHVRL_MTRTY_Simulado</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</si>
  <si>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DT_ORGNL_PRTCTN_VL,ORGNL_PRTCTN_VL
        From bu_loantape_work.lt004_protection_srb
        WHERE segmento = 'ESTR'
        AND nome_perimetro ='Individual Corporativo'
        AND ref_date='${date}'
        AND AMBITO = 'PM'
        ) lt004
ON D.prtctn_id = prtctn_id_lt004
Where 1=1 
AND ORGNL_PRTCTN_VL &lt;&gt; ORGNL_PRTCTN_VL_SIMULADO</t>
  </si>
  <si>
    <t>SELECT *
FROM
(
SELECT instrmnt_id, mn_entty_id, entty_id, zcliente,
CASE WHEN ENTTY_ID=ZCLIENTE THEN 'Y' ELSE 'N' END as mn_entty_id_simulado
FROM
(SELECT instrmnt_id, mn_entty_id, entty_id
FROM cd_loan_tapes_bce.lt005_instr_ent
WHERE 1=1 
AND ambito = 'PM'
AND segmento = 'ESTR'
AND ref_date = '${date}'
AND nome_perimetro = 'Individual Corporativo'
AND instrmnt_id not like 'SNCN%'
AND instrmnt_id not like 'SS%') LT005
LEFT JOIN 
(SELECT cempresa, cbalcao, cnumecta, zdeposit, zcliente
FROM cd_loan_tapes_bce.lt001_univ_oper
WHERE 1=1 
AND ambito = 'PM'
AND segmento = 'ESTR'
AND ref_date = '${date}'
AND nome_perimetro = 'Individual Corporativo') LT001
ON LT005.INSTRMNT_ID=CONCAT(LT001.CEMPRESA,LT001.CBALCAO,LT001.CNUMECTA,LT001.ZDEPOSIT)
) A
WHERE mn_entty_id &lt;&gt; mn_entty_id_simulado</t>
  </si>
  <si>
    <t>"Main Entity ID" should be a Char not null (default values not allowed)</t>
  </si>
  <si>
    <t>SELECT DISTINCT mn_entty_id
FROM cd_loan_tapes_bce.lt005_instr_ent
WHERE 1=1 
AND ambito = 'PM'
AND segmento = 'ESTR'
AND ref_date = '${date}'
AND nome_perimetro = 'Individual Corporativo'</t>
  </si>
  <si>
    <t>"Main Entity ID" should match the information on the Codelist</t>
  </si>
  <si>
    <t>SELECT *
FROM
    (
    Select instrmnt_id, 
    IFRS9.contract_id, 
    months_to_maturity,
    ifrs9_bhvrl_mtrty,
    Case when IFRS9.contract_id IS NULL Then 11111111111
    Else cast(months_to_maturity as INT)
    END as IFRS9_BHVRL_MTRTY_Simulado
    From
        (SELECT instrmnt_id, ifrs9_bhvrl_mtrty
        FROM cd_loan_tapes_bce.lt002_instrument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AND ifrs9_bhvrl_mtrty &lt;&gt; IFRS9_BHVRL_MTRTY_Simulado</t>
  </si>
  <si>
    <t xml:space="preserve">SELECT instrmnt_id, ifrs9_bhvrl_mtrty
        FROM cd_loan_tapes_bce.lt002_instrument
        WHERE segmento = 'ESTR'
        AND nome_perimetro ='Individual Corporativo'
        AND ref_date='${date}'
        AND AMBITO = 'PM'
        AND cast(IFRS9_BHVRL_MTRTY as VARCHAR) LIKE '%.'
   </t>
  </si>
  <si>
    <t xml:space="preserve">SELECT instrmnt_id, ifrs9_bhvrl_mtrty
        FROM cd_loan_tapes_bce.lt002_instrument
        WHERE segmento = 'ESTR'
        AND nome_perimetro ='Individual Corporativo'
        AND ref_date='${date}'
        AND AMBITO = 'PM'
        AND (IFRS9_BHVRL_MTRTY &gt; 960 OR IFRS9_BHVRL_MTRTY &lt; 0)
        AND IFRS9_BHVRL_MTRTY &lt;&gt; 11111111111
   </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</si>
  <si>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DT_ORGNL_PRTCTN_VL,ORGNL_PRTCTN_VL
        From cd_loan_tapes_bce.lt004_protection
        WHERE segmento = 'ESTR'
        AND nome_perimetro ='Individual Corporativo'
        AND ref_date='${date}'
        AND AMBITO = 'PM'
        ) lt004
ON D.prtctn_id = prtctn_id_lt004
Where 1=1 
AND ORGNL_PRTCTN_VL &lt;&gt; ORGNL_PRTCTN_VL_SIMULADO
;</t>
  </si>
  <si>
    <t>Campo aparece com 6 casas decimais em vez de duas</t>
  </si>
  <si>
    <t>Select prtctn_id as prtctn_id_lt004, DT_ORGNL_PRTCTN_VL,ORGNL_PRTCTN_VL
        From cd_loan_tapes_bce.lt004_protection
        WHERE segmento = 'ESTR'
        AND nome_perimetro ='Individual Corporativo'
        AND ref_date='${date}'
        AND AMBITO = 'PM'
        AND cast(ORGNL_PRTCTN_VL as VARCHAR) NOT LIKE '%.__'</t>
  </si>
  <si>
    <t>Select prtctn_id, DT_ORGNL_PRTCTN_VL,ORGNL_PRTCTN_VL
        From cd_loan_tapes_bce.lt004_protection
        WHERE segmento = 'ESTR'
        AND nome_perimetro ='Individual Corporativo'
        AND ref_date='${date}'
        AND AMBITO = 'PM'
        AND orgnl_prtctn_vl &lt; 0</t>
  </si>
  <si>
    <t>133 casos com valor original da proteção a zero</t>
  </si>
  <si>
    <t>Select prtctn_id, DT_ORGNL_PRTCTN_VL, ORGNL_PRTCTN_VL
        From cd_loan_tapes_bce.lt004_protection
        WHERE segmento = 'ESTR'
        AND nome_perimetro ='Individual Corporativo'
        AND ref_date='${date}'
        AND AMBITO = 'PM'
        AND DT_ORGNL_PRTCTN_VL &lt;&gt; '1111-11-11'
        AND ORGNL_PRTCTN_VL in (11111111111,0)</t>
  </si>
  <si>
    <t>Select prtctn_id, DT_ORGNL_PRTCTN_VL, ORGNL_PRTCTN_VL
        From cd_loan_tapes_bce.lt004_protection
        WHERE segmento = 'ESTR'
        AND nome_perimetro ='Individual Corporativo'
        AND ref_date='${date}'
        AND AMBITO = 'PM'
        AND DT_ORGNL_PRTCTN_VL = '1111-11-11'
        AND ORGNL_PRTCTN_VL &lt;&gt; 11111111111</t>
  </si>
  <si>
    <t>Select prtctn_id, DT_ORGNL_PRTCTN_VL, ORGNL_PRTCTN_VL
        From cd_loan_tapes_bce.lt004_protection
        WHERE segmento = 'ESTR'
        AND nome_perimetro ='Individual Corporativo'
        AND ref_date='${date}'
        AND AMBITO = 'PM'
        AND prtctn_id LIKE 'P%'
        AND ORGNL_PRTCTN_VL &lt;&gt; 11111111111</t>
  </si>
  <si>
    <t>SELECT *
FROM
  (SELECT instrmnt_id,
          off_blnc_sht_amnt_instrmnt_prvs,
          DT_INCPTN &lt;= SUBSTR(cast(add_months(ref_date, -12) AS string), 1, 10) AS val,
          SUM(-1*VALOR_BRUTO_OFF_PRVS) AS cal,
          ROUND(nvl(CASE
                        WHEN instrmnt_id LIKE 'SNC%' THEN 11111111111
                        WHEN instrmnt_id LIKE 'SS%' THEN 11111111111
                        WHEN DT_INCPTN &gt; SUBSTR(cast(add_months(ref_date, -12) AS string), 1, 10) THEN 11111111111
                        WHEN DT_INCPTN &lt;= SUBSTR(cast(add_months(ref_date, -12) AS string), 1, 10) THEN SUM(-1*VALOR_BRUTO_OFF_PRVS)
                    END, 0.00),2) AS off_blnc_sht_amnt_instrmnt_prvs_simulacao,
          dt_incptn,
          ref_date
   FROM
     (SELECT instrmnt_id,
             off_blnc_sht_amnt_instrmnt_prvs,
             dt_incptn,
             ref_date
      FROM cd_loan_tapes_bce.lt002_instrument
      WHERE segmento = 'ESTR'
        AND nome_perimetro ='Individual Corporativo'
        AND ref_date='${date}'
        AND AMBITO = 'PM' ) LT002
   LEFT JOIN
     (SELECT CEMPRESA,
             CBALCAO,
             CNUMECTA,
             ZDEPOSIT,
             sum(valor_bruto_off_prvs) valor_bruto_off_prvs
      FROM cd_loan_tapes_bce.lt001_univ_oper
      WHERE segmento = 'ESTR'
        AND nome_perimetro ='Individual Corporativo'
        AND ref_date='${date}'
        AND AMBITO = 'PM' -- and CONCAT(CEMPRESA, CBALCAO, CNUMECTA, ZDEPOSIT) = '31000805765200020000000000000000'
      GROUP BY CEMPRESA,
               CBALCAO,
               CNUMECTA,
               ZDEPOSIT) LT001 ON INSTRMNT_ID = CONCAT(CEMPRESA, CBALCAO, CNUMECTA, ZDEPOSIT)
   GROUP BY dt_incptn,
            ref_date,
            DT_INCPTN &lt;= SUBSTR(cast(add_months(ref_date, -12) AS string), 1, 10),
            instrmnt_id,
            off_blnc_sht_amnt_instrmnt_prvs) X
WHERE round(off_blnc_sht_amnt_instrmnt_prvs,2) &lt;&gt; round(off_blnc_sht_amnt_instrmnt_prvs_simulacao,2) ;</t>
  </si>
  <si>
    <t>SELECT instrmnt_id,
             off_blnc_sht_amnt_instrmnt_prvs
      FROM cd_loan_tapes_bce.lt002_instrument
      WHERE segmento = 'ESTR'
        AND nome_perimetro ='Individual Corporativo'
        AND ref_date='${date}'
        AND AMBITO = 'PM'
        AND cast(off_blnc_sht_amnt_instrmnt_prvs as VARCHAR) NOT LIKE '%.__'</t>
  </si>
  <si>
    <t>SELECT instrmnt_id,
             off_blnc_sht_amnt_instrmnt_prvs
      FROM cd_loan_tapes_bce.lt002_instrument
      WHERE segmento = 'ESTR'
        AND nome_perimetro ='Individual Corporativo'
        AND ref_date='${date}'
        AND AMBITO = 'PM'
        AND off_blnc_sht_amnt_instrmnt_prvs &lt; 0</t>
  </si>
  <si>
    <t xml:space="preserve">SELECT instrmnt_id,
             off_blnc_sht_amnt_instrmnt_prvs,
             dt_incptn,
             ref_date
      FROM cd_loan_tapes_bce.lt002_instrument
      WHERE segmento = 'ESTR'
        AND nome_perimetro ='Individual Corporativo'
        AND ref_date='${date}'
        AND AMBITO = 'PM'
        AND SUBSTR(cast(add_months(ref_date, -12) AS string), 1, 10) &lt; DT_INCPTN
        AND off_blnc_sht_amnt_instrmnt_prvs &lt;&gt; 11111111111
</t>
  </si>
  <si>
    <t xml:space="preserve">SELECT instrmnt_id,
             off_blnc_sht_amnt_instrmnt_prvs,
             dt_incptn,
             ref_date
      FROM cd_loan_tapes_bce.lt002_instrument
      WHERE segmento = 'ESTR'
        AND nome_perimetro ='Individual Corporativo'
        AND ref_date='${date}'
        AND AMBITO = 'PM'
        AND SUBSTR(cast(add_months(ref_date, -12) AS string), 1, 10) &gt; DT_INCPTN
        AND off_blnc_sht_amnt_instrmnt &lt;&gt; 11111111111
        AND off_blnc_sht_amnt_instrmnt_prvs = 11111111111
</t>
  </si>
  <si>
    <t>ENTTY</t>
  </si>
  <si>
    <t>BLOCO 2</t>
  </si>
  <si>
    <t>Data Inicio</t>
  </si>
  <si>
    <t>Data Fim</t>
  </si>
  <si>
    <t>Versão</t>
  </si>
  <si>
    <t>Trabalho</t>
  </si>
  <si>
    <t>Pilar 3</t>
  </si>
  <si>
    <t>VDS</t>
  </si>
  <si>
    <t>GD</t>
  </si>
  <si>
    <t>BLOCO 1</t>
  </si>
  <si>
    <t>Produção</t>
  </si>
  <si>
    <t>Tipo de Alteração</t>
  </si>
  <si>
    <t>Teste de Consistência</t>
  </si>
  <si>
    <t xml:space="preserve">Controlos Corporativos </t>
  </si>
  <si>
    <t>Nova Especificação</t>
  </si>
  <si>
    <t>FLD_SYNDCTN, RTNTN_SHR, STTS_UNDRWRTTN_TRNSCTN, SYNDCT_RL, SYNDCTD_AGNT, SYNDCTD_CNTRCT_ID, SYNDCTD_LNDRS, SYNDCTD_SHR, SYNDCTN_TYP e TRNCH</t>
  </si>
  <si>
    <t>COUNTERPARTY_COUNTRY, ADDRESS_STREET, ADDRESS_CITY_TOWN_VILLAGE e ADDRESS_COUNTY_ADM_DIV</t>
  </si>
  <si>
    <t>typ_ep_scr, sstnbl_ctgry, rsk_mtgtd_ccp, nace_esg, mthd_usd_instrmnt_scp_3, mthd_usd_instrmnt_scp_2, mthd_usd_instrmnt_scp_1, PRMRY_ENRGY_DMND_NN_RNWBL, DT_RGSTRTN, RL_ESTT_CRTFCTN, FLG_FRST_HM, DT_MTRTY_INSRNC, AMNT_CVRD_INSRNC, TYP_HZRDS_INSRD, INSRNC_ID, VHCL_EMSSNS_SCR, flg_chrnc_physcl_rsk, VHCL_EMSSNS_LBL, flg_act_physcl_rsk, TYP_EMSSNS_LBL, esg_sbsctr, prtctn_allctd_vl, enblng_trnvr_ce, enblng_capex_ce, enblng_trnvr_w, enblng_capex_w, pure_trnvr_ce, pure_capex_ce, pure_trnvr_w, pure_capex_w, pure_trnvr_b, pure_capex_b, pure_trnvr_p, pure_capex_p, txnmy_elgbl_trnvr_ce, txnmy_elgbl_capex_ce, txnmy_elgbl_trnvr_b, txnmy_elgbl_capex_b, txnmy_elgbl_trnvr_p, txnmy_elgbl_capex_p, txnmy_elgbl_trnvr_w, txnmy_elgbl_capex_w, entty_nm, FLG_MNMM_SFGRDS, INTRNL_SGMNT_CATGSUB, INTRNL_SGMNT_CAT_MSTA, EIR_INCPTN, EIR, LTV_INCPTN, LTV, RWA, EAD, DT_ORGNL_MTRTY, INTRNL_SGMNT, FRBRNC_STTS_INSTRMNT, DNSH_DTL, FLG_DNSH_CMPLNC, ep_scr, INSTRMNT_ID, DT_RFRNC, COD_SOC</t>
  </si>
  <si>
    <t>dt_prfrmng_stts_prvs, dt_prfrmng_stts, dpd_12m_prfrmng_stts, dt_imprmnt_stts_prvs, dt_imprmnt_stts, off_blnc_sht_amnt_instrmnt_prvs, prfrmng_stts_prvs, dpd_prfrmng_stts, dpd_24m_prfrmng_stts, prfrmng_stts, orgnl_prtctn_vl, imprmnt_stts, ifrs9_bhvrl_mtrty, mn_entty_id, imprmnt_stts_prvs</t>
  </si>
  <si>
    <t xml:space="preserve">DROP TABLE BU_CAPTOOLS_WORK.TESTE_ISSR_ID ;
CREATE TABLE BU_CAPTOOLS_WORK.TESTE_ISSR_ID AS 
SELECT 
instrmnt_id,
CASE WHEN flag_inst_div = '0' THEN 'N/A' ELSE 
CASE WHEN TRIM(CLEI) NOT IN ('', '#') THEN CLEI
          WHEN TRIM(CLEI) IN ('','#') AND TRIM(CCLI_GRUPO) &lt;&gt; '' AND MAX_CLEI IS NOT NULL THEN MAX_CLEI 
          WHEN TRIM(CLEI) IN ('','#') AND TRIM(CCLI_GRUPO) &lt;&gt; '' AND MAX_CLEI IS NULL AND TAX_ID  &lt;&gt; 'MISS' THEN TAX_ID 
          ELSE ZCLIENTE END END AS ISSR_ID
FROM
(
SELECT 
LT002.instrmnt_id,
CASE WHEN LENGTH(CAST(CAST(CT003.CNUM_DOC_IDENTIF2 AS INT) AS STRING)) = 9 AND TAT91.TAYD91C0_CELEMTAB IS NOT NULL THEN CAST (CAST(CT003.CNUM_DOC_IDENTIF2 AS INT) AS STRING) ELSE 'MISS' END AS TAX_ID,
MAX(CT003.CLEI) as MAX_CLEI,
CCLI_GRUPO,
ZCLIENTE,
CLEI,
flag_inst_div
FROM
(SELECT instrmnt_id
FROM bu_loantape_work.lt002_instrument
WHERE 1=1 
AND ambito = 'PM'
AND segmento = 'ESTR'
AND ref_date = '${date}'
AND nome_perimetro = 'Individual Corporativo') LT002
LEFT JOIN
(SELECT instrmnt_id, entty_id
FROM bu_loantape_work.lt005_instr_ent
WHERE 1=1 
AND ambito = 'PM'
AND segmento = 'ESTR'
AND ref_date = '${date}'
AND nome_perimetro = 'Individual Corporativo') LT005
ON LT005.INSTRMNT_ID = LT002.INSTRMNT_ID
LEFT JOIN
(SELECT zcliente, clei, ccli_grupo, cnum_doc_identif2, CTIPO_DOC_IDENTIF2
FROM cd_captools.ct003_univ_cli
Where ref_date = '${date}'
AND CLEI &lt;&gt; '#') CT003
ON CT003.zcliente = LT005.entty_id
LEFT JOIN
(SELECT TAYD91C0_CELEMTAB
FROM cd_estruturais.tat91_tabelas
WHERE data_date_part = '${date}'
AND TAT91_TABELAS.TAYD91C0_CTABELA = '151' 
AND (TAT91_TABELAS.TAYD91C0_GELEMTAB LIKE 'CONTRIBUINTE%' OR TAT91_TABELAS.TAYD91C0_GELEMTAB LIKE 'NUMERO DE CONTRIBUINTE%' OR TAT91_TABELAS.TAYD91C0_GELEMTAB LIKE 'ESTADO E EQUIPARADOS') ) TAT91
ON TAT91.TAYD91C0_CELEMTAB = CT003.CTIPO_DOC_IDENTIF2
LEFT JOIN
(SELECT *
FROM cd_loan_tapes_bce.kt_chaves_lt
Where ambito = 'PM'
AND segmento = 'ESTR'
AND ref_date = '${date}'
AND nome_perimetro = 'Individual Corporativo') KT_CHAVES
ON LT002.instrmnt_id = KT_CHAVES.instrmnt_id
LEFT JOIN 
(SELECT cempresa, cbalcao, cnumecta, zdeposit, flag_inst_div
FROM bu_loantape_work.lt001_univ_oper
WHERE 1=1 
AND ambito = 'PM'
AND segmento = 'ESTR'
AND ref_date = '${date}'
AND nome_perimetro = 'Individual Corporativo') LT001
ON CONCAT(KT_CHAVES.CEMPRESA,KT_CHAVES.CBALCAO, KT_CHAVES.CNUMECTA, KT_CHAVES.ZDEPOSIT) = CONCAT(LT001.CEMPRESA,LT001.CBALCAO, LT001.CNUMECTA, LT001.ZDEPOSIT) 
GROUP BY 
LT002.instrmnt_id,
CASE WHEN LENGTH(CAST(CAST(CT003.CNUM_DOC_IDENTIF2 AS INT) AS STRING)) = 9 AND TAT91.TAYD91C0_CELEMTAB IS NOT NULL THEN CAST (CAST(CT003.CNUM_DOC_IDENTIF2 AS INT) AS STRING) ELSE 'MISS' END,
CCLI_GRUPO,
ZCLIENTE,
CLEI,
flag_inst_div
) X
;
SELECT LT002.instrmnt_id, LT002.issr_id, ISSR_ID.ISSR_ID as ISSR_ID_SIM
FROM
(SELECT instrmnt_id, issr_id
FROM bu_loantape_work.lt002_instrument
WHERE 1=1 
AND ambito = 'PM'
AND segmento = 'ESTR'
AND ref_date = '${date}'
AND nome_perimetro = 'Individual Corporativo') LT002
LEFT JOIN
(SELECT *
FROM BU_CAPTOOLS_WORK.TESTE_ISSR_ID) ISSR_ID
ON LT002.instrmnt_id = ISSR_ID.instrmnt_id
Where ISSR_ID.issr_id &lt;&gt; LT002.issr_id
;
</t>
  </si>
  <si>
    <t>DROP TABLE BU_CAPTOOLS_WORK.TESTE_ISSR_ID ;
CREATE TABLE BU_CAPTOOLS_WORK.TESTE_ISSR_ID AS 
SELECT 
instrmnt_id,
CASE WHEN flag_inst_div = '0' THEN 'N/A' ELSE 
CASE WHEN TRIM(CLEI) NOT IN ('', '#') THEN CLEI
          WHEN TRIM(CLEI) IN ('','#') AND TRIM(CCLI_GRUPO) &lt;&gt; '' AND MAX_CLEI IS NOT NULL THEN MAX_CLEI 
          WHEN TRIM(CLEI) IN ('','#') AND TRIM(CCLI_GRUPO) &lt;&gt; '' AND MAX_CLEI IS NULL AND TAX_ID  &lt;&gt; 'MISS' THEN TAX_ID 
          ELSE ZCLIENTE END END AS ISSR_ID
FROM
(
SELECT 
LT002.instrmnt_id,
CASE WHEN LENGTH(CAST(CAST(CT003.CNUM_DOC_IDENTIF2 AS INT) AS STRING)) = 9 AND TAT91.TAYD91C0_CELEMTAB IS NOT NULL THEN CAST (CAST(CT003.CNUM_DOC_IDENTIF2 AS INT) AS STRING) ELSE 'MISS' END AS TAX_ID,
MAX(CT003.CLEI) as MAX_CLEI,
CCLI_GRUPO,
ZCLIENTE,
CLEI,
flag_inst_div
FROM
(SELECT instrmnt_id
FROM bu_loantape_work.lt002_instrument
WHERE 1=1 
AND ambito = 'PM'
AND segmento = 'ESTR'
AND ref_date = '${date}'
AND nome_perimetro = 'Individual Corporativo') LT002
LEFT JOIN
(SELECT instrmnt_id, entty_id
FROM bu_loantape_work.lt005_instr_ent
WHERE 1=1 
AND ambito = 'PM'
AND segmento = 'ESTR'
AND ref_date = '${date}'
AND nome_perimetro = 'Individual Corporativo') LT005
ON LT005.INSTRMNT_ID = LT002.INSTRMNT_ID
LEFT JOIN
(SELECT zcliente, clei, ccli_grupo, cnum_doc_identif2, CTIPO_DOC_IDENTIF2
FROM cd_captools.ct003_univ_cli
Where ref_date = '${date}'
AND CLEI &lt;&gt; '#') CT003
ON CT003.zcliente = LT005.entty_id
LEFT JOIN
(SELECT TAYD91C0_CELEMTAB
FROM cd_estruturais.tat91_tabelas
WHERE data_date_part = '${date}'
AND TAT91_TABELAS.TAYD91C0_CTABELA = '151' 
AND (TAT91_TABELAS.TAYD91C0_GELEMTAB LIKE 'CONTRIBUINTE%' OR TAT91_TABELAS.TAYD91C0_GELEMTAB LIKE 'NUMERO DE CONTRIBUINTE%' OR TAT91_TABELAS.TAYD91C0_GELEMTAB LIKE 'ESTADO E EQUIPARADOS') ) TAT91
ON TAT91.TAYD91C0_CELEMTAB = CT003.CTIPO_DOC_IDENTIF2
LEFT JOIN
(SELECT *
FROM cd_loan_tapes_bce.kt_chaves_lt
Where ambito = 'PM'
AND segmento = 'ESTR'
AND ref_date = '${date}'
AND nome_perimetro = 'Individual Corporativo') KT_CHAVES
ON LT002.instrmnt_id = KT_CHAVES.instrmnt_id
LEFT JOIN 
(SELECT cempresa, cbalcao, cnumecta, zdeposit, flag_inst_div
FROM bu_loantape_work.lt001_univ_oper
WHERE 1=1 
AND ambito = 'PM'
AND segmento = 'ESTR'
AND ref_date = '${date}'
AND nome_perimetro = 'Individual Corporativo') LT001
ON CONCAT(KT_CHAVES.CEMPRESA,KT_CHAVES.CBALCAO, KT_CHAVES.CNUMECTA, KT_CHAVES.ZDEPOSIT) = CONCAT(LT001.CEMPRESA,LT001.CBALCAO, LT001.CNUMECTA, LT001.ZDEPOSIT) 
GROUP BY 
LT002.instrmnt_id,
CASE WHEN LENGTH(CAST(CAST(CT003.CNUM_DOC_IDENTIF2 AS INT) AS STRING)) = 9 AND TAT91.TAYD91C0_CELEMTAB IS NOT NULL THEN CAST (CAST(CT003.CNUM_DOC_IDENTIF2 AS INT) AS STRING) ELSE 'MISS' END,
CCLI_GRUPO,
ZCLIENTE,
CLEI,
flag_inst_div
) X
;
SELECT LT002.instrmnt_id, LT002.issr_id, ISSR_ID.ISSR_ID as ISSR_ID_SIM
FROM
(SELECT instrmnt_id, issr_id
FROM bu_loantape_work.lt002_instrument
WHERE 1=1 
AND ambito = 'PM'
AND segmento = 'ESTR'
AND ref_date = '${date}'
AND nome_perimetro = 'Individual Corporativo') LT002
LEFT JOIN
(SELECT *
FROM BU_CAPTOOLS_WORK.TESTE_ISSR_ID) ISSR_ID
ON LT002.instrmnt_id = ISSR_ID.instrmnt_id
Where length(LT002.ISSR_ID) &gt;=255</t>
  </si>
  <si>
    <t>ID of the issuer should have Char format (variable length allowed between 1 and 255 characters)</t>
  </si>
  <si>
    <t xml:space="preserve">DROP TABLE BU_CAPTOOLS_WORK.TESTE_ISSR_ID ;
CREATE TABLE BU_CAPTOOLS_WORK.TESTE_ISSR_ID AS 
SELECT instrmnt_id, ISSR_ID, 
CASE WHEN flag_inst_div = '0' THEN 'N/A' ELSE 
CASE WHEN ISSR_ID = CLEI OR ISSR_ID = MAX_CLEI THEN 'LEI'
WHEN ISSR_ID = TAX_ID THEN 'TAX'
WHEN ISSR_ID = ZCLIENTE THEN 'OTHER' END END AS ISSR_ID_TYP
FROM
( 
SELECT 
instrmnt_id,
CASE WHEN flag_inst_div = '0' THEN 'N/A' ELSE 
CASE WHEN TRIM(CLEI) NOT IN ('', '#') THEN CLEI
          WHEN TRIM(CLEI) IN ('','#') AND TRIM(CCLI_GRUPO) &lt;&gt; '' AND MAX_CLEI IS NOT NULL THEN MAX_CLEI 
          WHEN TRIM(CLEI) IN ('','#') AND TRIM(CCLI_GRUPO) &lt;&gt; '' AND MAX_CLEI IS NULL AND TAX_ID  &lt;&gt; 'MISS' THEN TAX_ID 
          ELSE ZCLIENTE END END AS ISSR_ID, CLEI, MAX_CLEI, ZCLIENTE, TAX_ID, flag_inst_div
FROM
(
SELECT 
LT002.instrmnt_id,
CASE WHEN LENGTH(CAST(CAST(CT003.CNUM_DOC_IDENTIF2 AS INT) AS STRING)) = 9 AND TAT91.TAYD91C0_CELEMTAB IS NOT NULL THEN CAST (CAST(CT003.CNUM_DOC_IDENTIF2 AS INT) AS STRING) ELSE 'MISS' END AS TAX_ID,
MAX(CT003.CLEI) as MAX_CLEI,
CCLI_GRUPO,
ZCLIENTE,
CLEI,
flag_inst_div
FROM
(SELECT instrmnt_id
FROM bu_loantape_work.lt002_instrument
WHERE 1=1 
AND ambito = 'PM'
AND segmento = 'ESTR'
AND ref_date = '${date}'
AND nome_perimetro = 'Individual Corporativo') LT002
LEFT JOIN
(SELECT instrmnt_id, entty_id
FROM bu_loantape_work.lt005_instr_ent
WHERE 1=1 
AND ambito = 'PM'
AND segmento = 'ESTR'
AND ref_date = '${date}'
AND nome_perimetro = 'Individual Corporativo') LT005
ON LT005.INSTRMNT_ID = LT002.INSTRMNT_ID
LEFT JOIN
(SELECT zcliente, clei, ccli_grupo, cnum_doc_identif2, CTIPO_DOC_IDENTIF2
FROM cd_captools.ct003_univ_cli
Where ref_date = '${date}'
AND CLEI &lt;&gt; '#') CT003
ON CT003.zcliente = LT005.entty_id
LEFT JOIN
(SELECT TAYD91C0_CELEMTAB
FROM cd_estruturais.tat91_tabelas
WHERE data_date_part = '${date}'
AND TAT91_TABELAS.TAYD91C0_CTABELA = '151' 
AND (TAT91_TABELAS.TAYD91C0_GELEMTAB LIKE 'CONTRIBUINTE%' OR TAT91_TABELAS.TAYD91C0_GELEMTAB LIKE 'NUMERO DE CONTRIBUINTE%' OR TAT91_TABELAS.TAYD91C0_GELEMTAB LIKE 'ESTADO E EQUIPARADOS') ) TAT91
ON TAT91.TAYD91C0_CELEMTAB = CT003.CTIPO_DOC_IDENTIF2
LEFT JOIN
(SELECT *
FROM cd_loan_tapes_bce.kt_chaves_lt
Where ambito = 'PM'
AND segmento = 'ESTR'
AND ref_date = '${date}'
AND nome_perimetro = 'Individual Corporativo') KT_CHAVES
ON LT002.instrmnt_id = KT_CHAVES.instrmnt_id
LEFT JOIN 
(SELECT cempresa, cbalcao, cnumecta, zdeposit, flag_inst_div
FROM bu_loantape_work.lt001_univ_oper
WHERE 1=1 
AND ambito = 'PM'
AND segmento = 'ESTR'
AND ref_date = '${date}'
AND nome_perimetro = 'Individual Corporativo') LT001
ON CONCAT(KT_CHAVES.CEMPRESA,KT_CHAVES.CBALCAO, KT_CHAVES.CNUMECTA, KT_CHAVES.ZDEPOSIT) = CONCAT(LT001.CEMPRESA,LT001.CBALCAO, LT001.CNUMECTA, LT001.ZDEPOSIT) 
GROUP BY 
LT002.instrmnt_id,
CASE WHEN LENGTH(CAST(CAST(CT003.CNUM_DOC_IDENTIF2 AS INT) AS STRING)) = 9 AND TAT91.TAYD91C0_CELEMTAB IS NOT NULL THEN CAST (CAST(CT003.CNUM_DOC_IDENTIF2 AS INT) AS STRING) ELSE 'MISS' END,
CCLI_GRUPO,
ZCLIENTE,
CLEI,
flag_inst_div
) X
) Y
;
SELECT LT002.instrmnt_id, LT002.issr_id, ISSR_ID.ISSR_ID as ISSR_ID_SIM, LT002.ISSR_ID_TYP, ISSR_ID.ISSR_ID_TYP as ISSR_ID_TYP_SIM
FROM
(SELECT instrmnt_id, issr_id, issr_id_typ
FROM bu_loantape_work.lt002_instrument
WHERE 1=1 
AND ambito = 'PM'
AND segmento = 'ESTR'
AND ref_date = '${date}'
AND nome_perimetro = 'Individual Corporativo') LT002
LEFT JOIN
(SELECT *
FROM BU_CAPTOOLS_WORK.TESTE_ISSR_ID) ISSR_ID
ON LT002.instrmnt_id = ISSR_ID.instrmnt_id
Where LT002.issr_id_typ &lt;&gt; ISSR_ID.ISSR_ID_TYP
</t>
  </si>
  <si>
    <t>"Type of ID of the issuer" should match the information on the Codelist</t>
  </si>
  <si>
    <t>DROP TABLE BU_CAPTOOLS_WORK.TESTE_ISSR_ID ;
CREATE TABLE BU_CAPTOOLS_WORK.TESTE_ISSR_ID AS 
SELECT instrmnt_id, ISSR_ID, 
CASE WHEN flag_inst_div = '0' THEN 'N/A' ELSE 
CASE WHEN ISSR_ID = CLEI OR ISSR_ID = MAX_CLEI THEN 'LEI'
WHEN ISSR_ID = TAX_ID THEN 'TAX'
WHEN ISSR_ID = ZCLIENTE THEN 'OTHER' END END AS ISSR_ID_TYP
FROM
( 
SELECT 
instrmnt_id,
CASE WHEN flag_inst_div = '0' THEN 'N/A' ELSE 
CASE WHEN TRIM(CLEI) NOT IN ('', '#') THEN CLEI
          WHEN TRIM(CLEI) IN ('','#') AND TRIM(CCLI_GRUPO) &lt;&gt; '' AND MAX_CLEI IS NOT NULL THEN MAX_CLEI 
          WHEN TRIM(CLEI) IN ('','#') AND TRIM(CCLI_GRUPO) &lt;&gt; '' AND MAX_CLEI IS NULL AND TAX_ID  &lt;&gt; 'MISS' THEN TAX_ID 
          ELSE ZCLIENTE END END AS ISSR_ID, CLEI, MAX_CLEI, ZCLIENTE, TAX_ID, flag_inst_div
FROM
(
SELECT 
LT002.instrmnt_id,
CASE WHEN LENGTH(CAST(CAST(CT003.CNUM_DOC_IDENTIF2 AS INT) AS STRING)) = 9 AND TAT91.TAYD91C0_CELEMTAB IS NOT NULL THEN CAST (CAST(CT003.CNUM_DOC_IDENTIF2 AS INT) AS STRING) ELSE 'MISS' END AS TAX_ID,
MAX(CT003.CLEI) as MAX_CLEI,
CCLI_GRUPO,
ZCLIENTE,
CLEI,
flag_inst_div
FROM
(SELECT instrmnt_id
FROM bu_loantape_work.lt002_instrument
WHERE 1=1 
AND ambito = 'PM'
AND segmento = 'ESTR'
AND ref_date = '${date}'
AND nome_perimetro = 'Individual Corporativo') LT002
LEFT JOIN
(SELECT instrmnt_id, entty_id
FROM bu_loantape_work.lt005_instr_ent
WHERE 1=1 
AND ambito = 'PM'
AND segmento = 'ESTR'
AND ref_date = '${date}'
AND nome_perimetro = 'Individual Corporativo') LT005
ON LT005.INSTRMNT_ID = LT002.INSTRMNT_ID
LEFT JOIN
(SELECT zcliente, clei, ccli_grupo, cnum_doc_identif2, CTIPO_DOC_IDENTIF2
FROM cd_captools.ct003_univ_cli
Where ref_date = '${date}'
AND CLEI &lt;&gt; '#') CT003
ON CT003.zcliente = LT005.entty_id
LEFT JOIN
(SELECT TAYD91C0_CELEMTAB
FROM cd_estruturais.tat91_tabelas
WHERE data_date_part = '${date}'
AND TAT91_TABELAS.TAYD91C0_CTABELA = '151' 
AND (TAT91_TABELAS.TAYD91C0_GELEMTAB LIKE 'CONTRIBUINTE%' OR TAT91_TABELAS.TAYD91C0_GELEMTAB LIKE 'NUMERO DE CONTRIBUINTE%' OR TAT91_TABELAS.TAYD91C0_GELEMTAB LIKE 'ESTADO E EQUIPARADOS') ) TAT91
ON TAT91.TAYD91C0_CELEMTAB = CT003.CTIPO_DOC_IDENTIF2
LEFT JOIN
(SELECT *
FROM cd_loan_tapes_bce.kt_chaves_lt
Where ambito = 'PM'
AND segmento = 'ESTR'
AND ref_date = '${date}'
AND nome_perimetro = 'Individual Corporativo') KT_CHAVES
ON LT002.instrmnt_id = KT_CHAVES.instrmnt_id
LEFT JOIN 
(SELECT cempresa, cbalcao, cnumecta, zdeposit, flag_inst_div
FROM bu_loantape_work.lt001_univ_oper
WHERE 1=1 
AND ambito = 'PM'
AND segmento = 'ESTR'
AND ref_date = '${date}'
AND nome_perimetro = 'Individual Corporativo') LT001
ON CONCAT(KT_CHAVES.CEMPRESA,KT_CHAVES.CBALCAO, KT_CHAVES.CNUMECTA, KT_CHAVES.ZDEPOSIT) = CONCAT(LT001.CEMPRESA,LT001.CBALCAO, LT001.CNUMECTA, LT001.ZDEPOSIT) 
GROUP BY 
LT002.instrmnt_id,
CASE WHEN LENGTH(CAST(CAST(CT003.CNUM_DOC_IDENTIF2 AS INT) AS STRING)) = 9 AND TAT91.TAYD91C0_CELEMTAB IS NOT NULL THEN CAST (CAST(CT003.CNUM_DOC_IDENTIF2 AS INT) AS STRING) ELSE 'MISS' END,
CCLI_GRUPO,
ZCLIENTE,
CLEI,
flag_inst_div
) X
) Y
;
SELECT DISTINCT LT002.ISSR_ID_TYP, ISSR_ID.ISSR_ID_TYP as ISSR_ID_TYP_SIM
FROM
(SELECT instrmnt_id, issr_id, issr_id_typ
FROM bu_loantape_work.lt002_instrument
WHERE 1=1 
AND ambito = 'PM'
AND segmento = 'ESTR'
AND ref_date = '${date}'
AND nome_perimetro = 'Individual Corporativo') LT002
LEFT JOIN
(SELECT *
FROM BU_CAPTOOLS_WORK.TESTE_ISSR_ID) ISSR_ID
ON LT002.instrmnt_id = ISSR_ID.instrmnt_id</t>
  </si>
  <si>
    <t xml:space="preserve">SELECT instrmnt_id, accmltd_chngs_fv_cr_instrmnt, accmltd_chngs_fv_cr_instrmnt_sim ,prfrmng_stts, accntng_clssfctn
FROM
(SELECT instrmnt_id, accmltd_chngs_fv_cr_instrmnt, prfrmng_stts, accntng_clssfctn,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accmltd_chngs_fv_cr_instrmnt &lt;&gt; accmltd_chngs_fv_cr_instrmnt_sim
 </t>
  </si>
  <si>
    <t>"Accumulated changes in fair value due to credit risk" should have a Format numeric (2 decimal places)</t>
  </si>
  <si>
    <t>"Accumulated changes in fair value due to credit risk" shall be larger or equal to 0; Negative values trigger attention</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</si>
  <si>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</si>
  <si>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If "Subportfolio ID" is classified as 'VRPL - Fair value through profit and loss' and 'P - Performing', then "Accumulated changes in fair value due to credit risk" should be 'Not Applicable' or zero</t>
  </si>
  <si>
    <t>If "Balance sheet recognition" is set as 'REC01 - Entirely recognised' or 'REC02 - Recognised to the extent of the institution's continuing involvement' and Subportfolio ID is classified as 'VRPL - FV with changes in PL' then "Accumulated changes in fair value due to credit risk" cannot be 'Not Applicable'</t>
  </si>
  <si>
    <t>If "Performing status" is set as '11 - Performing' and "Forbearance status" is populated as '3 - Forborne: Refinanced debt', '4 - Forborne: instruments with other modified terms and conditions' or '5 - Forborne: instruments with modified interest rate below market conditions', then "Accumulated changes in fair value due to credit risk" should be 'Not Applicable'</t>
  </si>
  <si>
    <t xml:space="preserve">SELECT instrmnt_id, accmltd_chngs_fv_cr_instrmnt, accmltd_chngs_fv_cr_instrmnt_sim ,prfrmng_stts, accntng_clssfctn
FROM
(SELECT instrmnt_id, accmltd_chngs_fv_cr_instrmnt, prfrmng_stts, accntng_clssfctn,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cast(accmltd_chngs_fv_cr_instrmnt as VARCHAR) NOT LIKE '%.__'
 </t>
  </si>
  <si>
    <t xml:space="preserve">SELECT instrmnt_id, accmltd_chngs_fv_cr_instrmnt, accmltd_chngs_fv_cr_instrmnt_sim ,prfrmng_stts, accntng_clssfctn
FROM
(SELECT instrmnt_id, accmltd_chngs_fv_cr_instrmnt, prfrmng_stts, accntng_clssfctn,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accmltd_chngs_fv_cr_instrmnt &lt; 0 
 </t>
  </si>
  <si>
    <t xml:space="preserve">SELECT instrmnt_id, accmltd_chngs_fv_cr_instrmnt, accmltd_chngs_fv_cr_instrmnt_sim ,prfrmng_stts, accntng_clssfctn
FROM
(SELECT instrmnt_id, accmltd_chngs_fv_cr_instrmnt, prfrmng_stts, accntng_clssfctn,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accntng_clssfctn IN ('6','14','8')
AND accmltd_chngs_fv_cr_instrmnt &lt;&gt; 11111111111
 </t>
  </si>
  <si>
    <t>Campo não existe</t>
  </si>
  <si>
    <t xml:space="preserve">SELECT instrmnt_id, accmltd_chngs_fv_cr_instrmnt, accmltd_chngs_fv_cr_instrmnt_sim ,prfrmng_stts, accntng_clssfctn
FROM
(SELECT
instrmnt_id, accmltd_chngs_fv_cr_instrmnt, prfrmng_stts, accntng_clssfctn, frbrnc_stts_instrmnt,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prfrmng_stts IN ('11')
AND frbrnc_stts_instrmnt IN ('3','4','5')
AND accmltd_chngs_fv_cr_instrmnt &lt;&gt; 11111111111
 </t>
  </si>
  <si>
    <t>Re-especificar o campo utilizando o código da OSI (código é uma proxy com base no tipo de amortização e na frequência de pagamentos)</t>
  </si>
  <si>
    <t>Observações</t>
  </si>
  <si>
    <t>Data</t>
  </si>
  <si>
    <t>Total de Campos da Wallet</t>
  </si>
  <si>
    <t>Estado Campos em Produção</t>
  </si>
  <si>
    <t>REF_DATE</t>
  </si>
  <si>
    <t>1 Controlo NOK - Proteções a zero</t>
  </si>
  <si>
    <t>BLOCO 3</t>
  </si>
  <si>
    <t>Next Steps</t>
  </si>
  <si>
    <t>Estado do campo</t>
  </si>
  <si>
    <t>LT_VALIDATION_LABEL</t>
  </si>
  <si>
    <t>LT_VALIDATION_DESCRIPTION</t>
  </si>
  <si>
    <t>LT_VALIDAT_TABLE</t>
  </si>
  <si>
    <t>LT_VALIDAT_FIELD</t>
  </si>
  <si>
    <t>LT_VALIDATION_TYPE</t>
  </si>
  <si>
    <t>LT_PROC_STEP_ID</t>
  </si>
  <si>
    <t>LT_PROC_VAL_NEW_STATUS</t>
  </si>
  <si>
    <t>LT_VAL_EXECUTED</t>
  </si>
  <si>
    <t>LT_VAL_INCIDENTS</t>
  </si>
  <si>
    <t>VL_PERCENT</t>
  </si>
  <si>
    <t>RELACION_NUM_DF</t>
  </si>
  <si>
    <t>LT_O_IN</t>
  </si>
  <si>
    <t>LT_R_IN_097_01</t>
  </si>
  <si>
    <t>If "Date of performing status" is not equal to "Date of Inception" and "Date of performing status" occured during a period of 24 month preceding the reference date, then "Highest number of days past due in the 12 months prior to the most recent change of performing status" cannot be 'Not applicable'</t>
  </si>
  <si>
    <t>INTRA_REL_P_IN</t>
  </si>
  <si>
    <t>REL_CAMPOS</t>
  </si>
  <si>
    <t>LT_R_IN</t>
  </si>
  <si>
    <t>KO</t>
  </si>
  <si>
    <t>LT_O_IN_102_01</t>
  </si>
  <si>
    <t>"Date of impairment status" must be later than 01 January 1970</t>
  </si>
  <si>
    <t>RELACION_FECHA</t>
  </si>
  <si>
    <t>LT_O_IN_103_01</t>
  </si>
  <si>
    <t>"Date of previous impairment status" must be later than 01 January 1970</t>
  </si>
  <si>
    <t>LT_O_IN_027_01</t>
  </si>
  <si>
    <t>"Date of performing status" must be later than 01 January 1970</t>
  </si>
  <si>
    <t>INTER_REL_P_X2</t>
  </si>
  <si>
    <t>LT_O_IN_028_01</t>
  </si>
  <si>
    <t>"Date of previous performing status" must be later than 01 January 1970</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</si>
  <si>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</si>
  <si>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</si>
  <si>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</si>
  <si>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</si>
  <si>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LT_R_IN_034_09</t>
  </si>
  <si>
    <t>If "Debtor on watch-list (Y/N)" (Main Entity level) is set as 'Y' and "Subportfolio ID" is not classified as 'VRPL - FV with changes in PL' then "Impairment status" has to be set as '24 - Stage 2 (IFRS)' or '25 - Stage 3 (IFRS)'</t>
  </si>
  <si>
    <t>INTER_REL_P_X1</t>
  </si>
  <si>
    <t>LT_R_IN_034_12</t>
  </si>
  <si>
    <t>If "Subportfolio ID" is classified as 'S1 - Stage 1', then "Impairment status" must equal '23 - Stage 1 (IFRS)'</t>
  </si>
  <si>
    <t>LT_R_IN_035_01</t>
  </si>
  <si>
    <t>If "Accounting portfolio" equals '2 - IFRS: Financial assets held for trading', '4 - IFRS: Financial assets designated at fair value through profit or loss' or '41 - IFRS: Non-trading financial assets mandatorily at fair value through profit or loss', then "Previous impairment status" must equal default values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</si>
  <si>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</si>
  <si>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</si>
  <si>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LT_R_IN_044_07</t>
  </si>
  <si>
    <t>If "Protection called" is set as 'Y' then "Performing status" (instrument level) has to be set as '1 - Non-performing'</t>
  </si>
  <si>
    <t>INTER_REL_P_X3</t>
  </si>
  <si>
    <t>LT_R_IN_044_12</t>
  </si>
  <si>
    <t>If "Performing status" (Main Entity level) is set as '1 - Non Performing' then "Performing status" at instrument level should be '1 - Non Performing'</t>
  </si>
  <si>
    <t>LT_R_IN_044_08</t>
  </si>
  <si>
    <t>If "Subportfolio ID" is classified as 'P - Performing', then "Performing status" (instrument level) has to be set as '11 - Performing'</t>
  </si>
  <si>
    <t>Campo com alteração de especificação devido a atualização do Guia Corporativo (Relacionado com o PRFRMNG_STTS_PRVS)</t>
  </si>
  <si>
    <t>1 Controlo NOK - Inconsistências entre conceitos DFLT e STAGE 
1 Controlo ligado a um campo com Incidências (PRTCTN_CLLD)
1 Controlo enviado pela Luísa à corporação (será retirado)</t>
  </si>
  <si>
    <t xml:space="preserve">- Alteração do Universo da LT004 para a GT018 (15/01/2025)
- Alteração de especificação de campos dependentes da tabela CT063 para a tabela Business (02/04/2025)
- Retirar traçabilidade dos ajustes com as demais tabelas (04/04/2025)
- Alteração de especificação dos campo do Universo PRVS (04/04/2025)
</t>
  </si>
  <si>
    <t>Alterar Especificação</t>
  </si>
  <si>
    <t>dstntn_fnds, excldd_lf, flln_angl_extndd_dfntn, flln_angl_nrrw_dfntn, grp_rorac, rorac, rorac, rwa_mtgtn, rwa_prmtgtn, scan, ttl_lvrg_rt_incptn, ttl_prmssbl_dbt_blnc, typ_cl, typ_dl, typ_fclty, typ_off_blnc_prdct, us_prcds, pd_ec_incptn, pd_ec_rd, ttl_lvrg_rt_incptn_hlt, dt_mdfctn, grp_spprt, fld_syndctn, rtntn_shr, stts_undrwrttn_trnsctn, syndct_rl, syndctd_agnt, syndctd_cntrct_id, syndctd_lndrs, syndctd_shr, syndctn_typ, trnch, dt_extrnl_rtng, dt_frbrnc_stts, ec_grp_id, ec_grp_nm, extrnl_rtng, extrnl_rtng_nm, extrnl_rtng_prvs, frbrnc_stts_instrmnt, cntry, ecnmc_actvty, rtng_scl, typ_instrmnt, prfrmng_stts_prvs, flg_lbo,mn_entty_id</t>
  </si>
  <si>
    <t>Campos entregues por IT para testagem do GD, as entregas referentes aos campos listados foram efetuadas em 4 fases:
AVRG_BLNC ,NW_BSNSS ,GRSS_INTRST_INCM ,GRSS_CMMSSN_INCM ,INTRNL_TRNSFR_RT ,NT_LN_LSS_PRVSN ,BSNSS_AREA ,MNGMNT_PRDCT ,GRSS_CMMSSN_EXPNS ,GNS_FNNCL_TRNSCTN_EXCHNG_DFFRNCS ,FLG_INTRBSNSS ,INTRBSNSS_ADJ_COD ,COD_SOC_DSTNTN ,BSNSS_AREA_DSTNTN ,AVRG_BLNC_OFF_BLNC ,INTRNL_TRNSFR_RT_OFF_BLNC ,GRSS_CMMSSN_INCM_OFF_BLNC ,GRSS_CMMSSN_EXPNS_OFF_BLNC ,RWA_OFF_BLNC ,GRSS_INTRST_EXPNS ,NT_LN_LSS_PRVSN_OFF_BLNC ,GRSS_INTRST_INCM_CCRR ,GRSS_INTRST_EXPNS_CCRR ,GRSS_CMMSSN_INCM_CCRR ,GRSS_CMMSSN_EXPNS_CCRR ,GNS_FNNCL_TRNSCTN_EXCHNG_CCRR ,BSNSS_AREA_CCRR ,GRSS_CMMSSN_INCM_OFF_BLNC_CCRR ,GRSS_CMMSSN_EXPNS_OFF_BLNC_CCRR ,CCF ,COD_SOC ,SUBPORTFOLIO_ID ,DT_RFRNC ,DFLT_STTS_INSTRMNT ,IMPRMNT_STTS ,PRFRMNG_STTS ,TYP_INSTRMNT ,GRSS_CRRYNG_AMNT_INSTRMNT ,PRVSNS_OFF_BLNC_SHT ,COD_SOC_INTRGRP ,LCL_INSTMRNT_ID ,CNCLLD_INSTRMNT_STTS ,INSTRMNT_ID ,COD_SOC ,DT_RFRNC ,PRTCTN_ID ,TYP_PRTCTN ,PRTCTN_VL ,TYP_VHCL ,COD_SOC ,DT_RFRNC ,INSTRMNT_ID ,PRTCTN_ID ,TYP_RLTN ,PRCNTG_ACTVTY ,SSTNBL_INDCTR ,SSTNBL_CTGRY ,COD_SOC ,DT_RFRNC ,INSTRMNT_ID</t>
  </si>
  <si>
    <t>BLOCO 4</t>
  </si>
  <si>
    <t>Passagem a Produção</t>
  </si>
  <si>
    <t>SELECT *
FROM
  (SELECT instrmnt_id,
          off_blnc_sht_amnt_instrmnt_prvs,
          DT_INCPTN &lt;= SUBSTR(cast(add_months(ref_date, -12) AS string), 1, 10) AS val,
          SUM(-1*VALOR_BRUTO_OFF_PRVS) AS cal,
          ROUND(nvl(CASE
                        WHEN instrmnt_id LIKE 'SNC%' THEN 11111111111
                        WHEN instrmnt_id LIKE 'SS%' THEN 11111111111
                        WHEN DT_INCPTN &gt; SUBSTR(cast(add_months(ref_date, -12) AS string), 1, 10) THEN 11111111111
                        WHEN DT_INCPTN &lt;= SUBSTR(cast(add_months(ref_date, -12) AS string), 1, 10) THEN SUM(-1*VALOR_BRUTO_OFF_PRVS)
                    END, 0.00),2) AS off_blnc_sht_amnt_instrmnt_prvs_simulacao,
          dt_incptn,
          ref_date
   FROM
     (SELECT instrmnt_id,
             off_blnc_sht_amnt_instrmnt_prvs,
             dt_incptn,
             ref_date
      FROM bu_loantape_work.lt002_instrument
      WHERE segmento = 'ESTR'
        AND nome_perimetro ='Individual Corporativo'
        AND ref_date='${date}'
        AND AMBITO = 'PM' 
        AND cod_visao = 1) LT002
   LEFT JOIN
     (SELECT CEMPRESA,
             CBALCAO,
             CNUMECTA,
             ZDEPOSIT,
             valor_bruto_off_prvs
      FROM bu_loantape_work.lt001_univ_oper
      WHERE segmento = 'ESTR'
        AND nome_perimetro ='Individual Corporativo'
        AND ref_date='${date}'
        AND AMBITO = 'PM'
        AND cod_visao = 1) LT001 ON INSTRMNT_ID = CONCAT(CEMPRESA, CBALCAO, CNUMECTA, ZDEPOSIT)
   GROUP BY dt_incptn,
            ref_date,
            DT_INCPTN &lt;= SUBSTR(cast(add_months(ref_date, -12) AS string), 1, 10),
            instrmnt_id,
            off_blnc_sht_amnt_instrmnt_prvs) X
WHERE round(off_blnc_sht_amnt_instrmnt_prvs,2) &lt;&gt; round(off_blnc_sht_amnt_instrmnt_prvs_simulacao,2) ;</t>
  </si>
  <si>
    <t>SELECT *
FROM
  (SELECT instrmnt_id,
          off_blnc_sht_amnt_instrmnt_prvs,
          dt_incptn,
          ref_date
   FROM bu_loantape_work.lt002_instrument
   WHERE segmento = 'ESTR'
     AND nome_perimetro ='Individual Corporativo'
     AND ref_date='${date}'
     AND AMBITO = 'PM'
     AND cod_visao = 1) LT002
WHERE cast(off_blnc_sht_amnt_instrmnt_prvs AS VARCHAR) NOT LIKE '%.__'</t>
  </si>
  <si>
    <t>SELECT *
FROM
  (SELECT instrmnt_id,
          off_blnc_sht_amnt_instrmnt_prvs,
          dt_incptn,
          ref_date
   FROM bu_loantape_work.lt002_instrument
   WHERE segmento = 'ESTR'
     AND nome_perimetro ='Individual Corporativo'
     AND ref_date='${date}'
     AND AMBITO = 'PM'
     AND cod_visao = 1) LT002
WHERE off_blnc_sht_amnt_instrmnt_prvs &lt; 0</t>
  </si>
  <si>
    <t xml:space="preserve">SELECT *
FROM
  (SELECT instrmnt_id,
          off_blnc_sht_amnt_instrmnt_prvs,
          dt_incptn,
          ref_date
   FROM bu_loantape_work.lt002_instrument
   WHERE segmento = 'ESTR'
     AND nome_perimetro ='Individual Corporativo'
     AND ref_date='${date}'
     AND AMBITO = 'PM'
     AND cod_visao = 1) LT002
WHERE SUBSTR(cast(add_months(ref_date, -12) AS string), 1, 10) &lt; DT_INCPTN
        AND off_blnc_sht_amnt_instrmnt_prvs &lt;&gt; 11111111111
</t>
  </si>
  <si>
    <t>SELECT *
FROM
  (SELECT instrmnt_id,
          off_blnc_sht_amnt_instrmnt_prvs,
          off_blnc_sht_amnt_instrmnt,
          dt_incptn,
          ref_date
   FROM bu_loantape_work.lt002_instrument
   WHERE segmento = 'ESTR'
     AND nome_perimetro ='Individual Corporativo'
     AND ref_date='2025-03-31'
     AND AMBITO = 'PM'
     AND cod_visao = 1
     AND instrmnt_id NOT LIKE 'SS%'
     AND instrmnt_id NOT LIKE 'SNCN%') LT002
WHERE SUBSTR(cast(add_months(ref_date, -12) AS string), 1, 10) &gt; DT_INCPTN
  AND off_blnc_sht_amnt_instrmnt &lt;&gt; 11111111111
  AND off_blnc_sht_amnt_instrmnt_prvs = 11111111111</t>
  </si>
  <si>
    <t>Alteração tabela fonte CT063 para a tabela Business</t>
  </si>
  <si>
    <t>Campo pode sofrer alterações com o tratamento dos NULL já entregue para testagem</t>
  </si>
  <si>
    <t>UNVERSO</t>
  </si>
  <si>
    <t>FLAG_PME</t>
  </si>
  <si>
    <t>COD_EMPR_PME</t>
  </si>
  <si>
    <t>SELECT LT001.zcliente,cod_empr_pme, cod_empr_pme_sim, flag_pme,FLAG_PME_SIM
FROM
(SELECT zcliente, cod_empr_pme, flag_pme
FROM bu_loantape_work.lt001_univ_oper
WHERE ref_date = '2025-06-30'
  AND ambito = 'PM'
  AND segmento = 'ESTR'
  AND nome_perimetro = 'Individual IDComb') LT001
LEFT JOIN
(SELECT zcliente, cast(cod_empr_pme as STRING) as cod_empr_pme_sim,
Case when cast(cod_empr_pme as STRING) in ('1','2','3') THEN '1' ELSE '0' END as FLAG_PME_SIM
FROM business_sme2003361.out_sme_2003_361
Where 1=1 
AND ref_date = '${date}') BUSSME
ON LT001.zcliente = BUSSME.zcliente
WHERE 1=1 
AND cod_empr_pme &lt;&gt; cod_empr_pme_sim
-- AND flag_pme &lt;&gt; FLAG_PME_SIM</t>
  </si>
  <si>
    <t>SELECT LT001.zcliente,cod_empr_pme, cod_empr_pme_sim, flag_pme,FLAG_PME_SIM
FROM
(SELECT zcliente, cod_empr_pme, flag_pme
FROM bu_loantape_work.lt001_univ_oper
WHERE ref_date = '2025-06-30'
  AND ambito = 'PM'
  AND segmento = 'ESTR'
  AND nome_perimetro = 'Individual IDComb') LT001
LEFT JOIN
(SELECT zcliente, cast(cod_empr_pme as STRING) as cod_empr_pme_sim,
Case when cast(cod_empr_pme as STRING) in ('1','2','3') THEN '1' ELSE '0' END as FLAG_PME_SIM
FROM business_sme2003361.out_sme_2003_361
Where 1=1 
AND ref_date = '${date}') BUSSME
ON LT001.zcliente = BUSSME.zcliente
WHERE 1=1 
-- AND cod_empr_pme &lt;&gt;cod_empr_pme_sim
AND flag_pme &lt;&gt; FLAG_PME_SIM</t>
  </si>
  <si>
    <t>ENTRPRZ_SZ_LE</t>
  </si>
  <si>
    <t>SELECT 
entty_id, contraparte,
entrprs_sz_le, entrprs_sz_le_simulado
FROM
(
SELECT entty_id,entrprs_sz_le, contraparte,
CASE WHEN contraparte in ('outras empresas nao financeiras') THEN entrprs_sz_le_simulado ELSE '11111111111' END AS entrprs_sz_le_simulado
FROM
(
SELECT entty_id, entrprs_sz_le, contraparte,
CASE WHEN cod_empr_pme = 0 THEN '1'
WHEN cod_empr_pme = 3 THEN '2'
WHEN cod_empr_pme = 2 THEN '3'
WHEN cod_empr_pme = 1 THEN '4'
ELSE '99999999999' END AS entrprs_sz_le_simulado
FROM 
(SELECT entty_id, entrprs_sz_le
FROM bu_loantape_work.lt003_entity
WHERE 1=1 
AND ambito = 'PM'
AND segmento = 'ESTR'
AND ref_date = '${date}'
AND nome_perimetro = 'Individual IDComb'
AND cod_visao = 1) LT003
LEFT JOIN
(SELECT zcliente, contraparte
FROM cd_captools.ct003_univ_cli
WHERE 1=1 
AND ref_date = '${date}') CT003
ON CT003.zcliente = LT003.entty_id
LEFT JOIN
(SELECT zcliente, cod_empr_pme
FROM business_sme2003361.out_sme_2003_361
Where 1=1 
AND ref_date = '${date}') BUSSME
ON LT003.entty_id = BUSSME.zcliente
) A
) B
Where 1=1
AND entrprs_sz_le &lt;&gt; entrprs_sz_le_simulado</t>
  </si>
  <si>
    <t>SELECT LT002.instrmnt_id, cre_fnrp18, CRE_FNRP18_sim
FROM 
(SELECT instrmnt_id, cre_fnrp18
FROM bu_loantape_work.lt002_instrument
WHERE 1=1 
AND ambito = 'PM'
AND segmento = 'ESTR'
AND ref_date = '${date}'
AND nome_perimetro = 'Individual IDComb'
AND cod_visao = 1) LT002
LEFT JOIN
(SELECT *
FROM cd_loan_tapes_bce.kt_chaves_lt
Where ref_date ='${date}') kt_chaves
ON LT002.instrmnt_id = kt_chaves.instrmnt_id
LEFT JOIN 
(SELECT *, CASE
    WHEN CASE
             WHEN LOWER(REGEXP_REPLACE(carteira_contabilistica, ' ','')) IN ('garantiasecompromissosconcedidos')
                  AND LOWER(REGEXP_REPLACE(contraparte, ' ','')) IN ('outrasempresasnaofinanceiras')
                  AND LOWER(REGEXP_REPLACE(tipo_conta, ' ','')) IN ('ea')
                  AND LOWER(REGEXP_REPLACE(colateral, ' ','')) IN ('garhipcomercial') THEN 'CRE_FNRP18'
             WHEN LOWER(REGEXP_REPLACE(carteira_contabilistica, ' ','')) IN ('provisoesparacompromissosegarantiasconcedidas')
                  AND LOWER(REGEXP_REPLACE(contraparte, ' ','')) IN ('outrasempresasnaofinanceiras')
                  AND LOWER(REGEXP_REPLACE(colateral, ' ','')) IN ('garhipcomercial') THEN 'CRE_FNRP18'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('outrasempresasnaofinanceiras')
                  AND LOWER(REGEXP_REPLACE(tipo_conta, ' ','')) IN ('a')
                  AND LOWER(REGEXP_REPLACE(bruto_imparidade, ' ','')) IN ('imparidade')
                  AND LOWER(REGEXP_REPLACE(colateral, ' ','')) IN ('garhipcomercial') THEN 'CRE_FNRP18'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('outrasempresasnaofinanceiras')
                  AND LOWER(REGEXP_REPLACE(tipo_conta, ' ','')) IN ('a')
                  AND LOWER(REGEXP_REPLACE(bruto_imparidade, ' ','')) NOT IN ('imparidade')
                  AND LOWER(REGEXP_REPLACE(colateral, ' ','')) IN ('garhipcomercial') THEN 'CRE_FNRP18'
             WHEN LOWER(REGEXP_REPLACE(carteira_contabilistica, ' ','')) IN ('garantiasecompromissosconcedidos')
                  AND LOWER(REGEXP_REPLACE(contraparte, ' ','')) IN ('')
                  AND LOWER(REGEXP_REPLACE(contraparte_i, ' ','')) IN ('outrasempresasnaofinanceiras')
                  AND LOWER(REGEXP_REPLACE(tipo_conta, ' ','')) IN ('ea')
                  AND LOWER(REGEXP_REPLACE(colateral, ' ','')) IN ('garhipcomercial') THEN 'CRE_FNRP18'
             WHEN LOWER(REGEXP_REPLACE(carteira_contabilistica, ' ','')) IN ('provisoesparacompromissosegarantiasconcedidas')
                  AND LOWER(REGEXP_REPLACE(contraparte, ' ','')) IN ('')
                  AND LOWER(REGEXP_REPLACE(contraparte_i, ' ','')) IN ('outrasempresasnaofinanceiras')
                  AND LOWER(REGEXP_REPLACE(colateral, ' ','')) IN ('garhipcomercial') THEN 'CRE_FNRP18'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('outrasempresasnaofinanceiras')
                  AND LOWER(REGEXP_REPLACE(tipo_conta, ' ','')) IN ('a')
                  AND LOWER(REGEXP_REPLACE(bruto_imparidade, ' ','')) IN ('imparidade')
                  AND LOWER(REGEXP_REPLACE(colateral, ' ','')) IN ('garhipcomercial') THEN 'CRE_FNRP18'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('outrasempresasnaofinanceiras')
                  AND LOWER(REGEXP_REPLACE(tipo_conta, ' ','')) IN ('a')
                  AND LOWER(REGEXP_REPLACE(bruto_imparidade, ' ','')) NOT IN ('imparidade')
                  AND LOWER(REGEXP_REPLACE(colateral, ' ','')) IN ('garhipcomercial') THEN 'CRE_FNRP18'
         END = 'CRE_FNRP18' THEN 'Y'
    ELSE 'N'
END AS CRE_FNRP18_sim
FROM bu_loantape_work.lt001_univ_oper
WHERE 1=1 
AND ambito = 'PM'
AND segmento = 'ESTR'
AND ref_date = '${date}'
AND nome_perimetro = 'Individual IDComb'
AND cod_visao = 1) LT001
ON CONCAT(kt_chaves.cempresa,kt_chaves.cbalcao, kt_chaves.cnumecta, kt_chaves.zdeposit) = CONCAT(LT001.cempresa,LT001.cbalcao, LT001.cnumecta, LT001.zdeposit)
Where cre_fnrp18 &lt;&gt; CRE_FNRP18_sim</t>
  </si>
  <si>
    <t>SELECT LT002.instrmnt_id,
       rre_fnrp18,
       RRE_FNRP18_sim
FROM
  (SELECT instrmnt_id,
          rre_fnrp18
   FROM bu_loantape_work.lt002_instrument
   WHERE 1=1
     AND ambito = 'PM'
     AND segmento = 'ESTR'
     AND ref_date = '${date}'
     AND nome_perimetro = 'Individual IDComb'
     AND cod_visao = 1) LT002
LEFT JOIN
  (SELECT *
   FROM cd_loan_tapes_bce.kt_chaves_lt
   WHERE ref_date ='${date}') kt_chaves ON LT002.instrmnt_id = kt_chaves.instrmnt_id
LEFT JOIN
  (SELECT *,
          CASE
              WHEN CASE
                       WHEN LOWER(REGEXP_REPLACE(carteira_contabilistica, ' ','')) IN ('garantiasecompromissosconcedidos')
                            AND LOWER(REGEXP_REPLACE(contraparte, ' ','')) IN ('particulares')
                            AND LOWER(REGEXP_REPLACE(tipo_conta, ' ','')) IN ('ea')
                            AND LOWER(REGEXP_REPLACE(colateral, ' ','')) IN ('garhipresidencial') THEN 'RRE_FNRP18'
                       WHEN LOWER(REGEXP_REPLACE(carteira_contabilistica, ' ','')) IN ('provisoesparacompromissosegarantiasconcedidas')
                            AND LOWER(REGEXP_REPLACE(contraparte, ' ','')) IN ('particulares')
                            AND LOWER(REGEXP_REPLACE(colateral, ' ','')) IN ('garhipresidencial') THEN 'RRE_FNRP18'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('particulares')
                            AND LOWER(REGEXP_REPLACE(tipo_conta, ' ','')) IN ('a')
                            AND LOWER(REGEXP_REPLACE(bruto_imparidade, ' ','')) IN ('imparidade')
                            AND LOWER(REGEXP_REPLACE(colateral, ' ','')) IN ('garhipresidencial') THEN 'RRE_FNRP18'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('particulares')
                            AND LOWER(REGEXP_REPLACE(tipo_conta, ' ','')) IN ('a')
                            AND LOWER(REGEXP_REPLACE(bruto_imparidade, ' ','')) NOT IN ('imparidade')
                            AND LOWER(REGEXP_REPLACE(colateral, ' ','')) IN ('garhipresidencial') THEN 'RRE_FNRP18'
                       WHEN LOWER(REGEXP_REPLACE(carteira_contabilistica, ' ','')) IN ('garantiasecompromissosconcedidos')
                            AND LOWER(REGEXP_REPLACE(contraparte, ' ','')) IN ('')
                            AND LOWER(REGEXP_REPLACE(contraparte_i, ' ','')) IN ('particulares')
                            AND LOWER(REGEXP_REPLACE(tipo_conta, ' ','')) IN ('ea')
                            AND LOWER(REGEXP_REPLACE(colateral, ' ','')) IN ('garhipresidencial') THEN 'RRE_FNRP18'
                       WHEN LOWER(REGEXP_REPLACE(carteira_contabilistica, ' ','')) IN ('provisoesparacompromissosegarantiasconcedidas')
                            AND LOWER(REGEXP_REPLACE(contraparte, ' ','')) IN ('')
                            AND LOWER(REGEXP_REPLACE(contraparte_i, ' ','')) IN ('particulares')
                            AND LOWER(REGEXP_REPLACE(colateral, ' ','')) IN ('garhipresidencial') THEN 'RRE_FNRP18'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('particulares')
                            AND LOWER(REGEXP_REPLACE(tipo_conta, ' ','')) IN ('a')
                            AND LOWER(REGEXP_REPLACE(bruto_imparidade, ' ','')) IN ('imparidade')
                            AND LOWER(REGEXP_REPLACE(colateral, ' ','')) IN ('garhipresidencial') THEN 'RRE_FNRP18'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('particulares')
                            AND LOWER(REGEXP_REPLACE(tipo_conta, ' ','')) IN ('a')
                            AND LOWER(REGEXP_REPLACE(bruto_imparidade, ' ','')) NOT IN ('imparidade')
                            AND LOWER(REGEXP_REPLACE(colateral, ' ','')) IN ('garhipresidencial') THEN 'RRE_FNRP18'
                   END = 'RRE_FNRP18' THEN 'Y'
              ELSE 'N'
          END AS RRE_FNRP18_sim
   FROM bu_loantape_work.lt001_univ_oper
   WHERE 1=1
     AND ambito = 'PM'
     AND segmento = 'ESTR'
     AND ref_date = '${date}'
     AND nome_perimetro = 'Individual IDComb'
     AND cod_visao = 1) LT001 ON CONCAT(kt_chaves.cempresa,kt_chaves.cbalcao, kt_chaves.cnumecta, kt_chaves.zdeposit) = CONCAT(LT001.cempresa,LT001.cbalcao, LT001.cnumecta, LT001.zdeposit)
WHERE RRE_fnrp18 &lt;&gt; RRE_FNRP18_sim</t>
  </si>
  <si>
    <t>"Flag of CREs" should be a Char not null (default values for not applicable fields not allowed)</t>
  </si>
  <si>
    <t>"Flag of CREs" should match the information on the Codelist</t>
  </si>
  <si>
    <t>If "Flag of CREs" is set to 'N', then "Debt yield" must be defaulted</t>
  </si>
  <si>
    <t>If "Flag of CREs" is set as 'Y - Yes' then "Loans collateralized classification" should be 'FMC1 - Real Estate. Commercial'</t>
  </si>
  <si>
    <t>If "Flag of CREs" is set to 'Y' in INSTRUMENT table then at least one record in PROTECTION table must have informed "Protection type" as '9 - Offices and commercial premises' or '10 - Commercial real estate collateral'</t>
  </si>
  <si>
    <t xml:space="preserve">1 contrato </t>
  </si>
  <si>
    <t>SELECT *
FROM
(
SELECT instrmnt_id, cre_fnrp18, max(VALIDACAO) as validacao
FROM
(
SELECT LT002.instrmnt_id, cre_fnrp18
, CASE WHEN typ_PRTCTN = '9' OR typ_PRTCTN = '10' Then 'SIM' ELSE 'NAO' END AS VALIDACAO
FROM
     (SELECT instrmnt_id,
             cre_fnrp18
      FROM bu_loantape_work.lt002_instrument
      WHERE 1=1
        AND ambito = 'PM'
        AND segmento = 'ESTR'
        AND ref_date = '${date}'
        AND nome_perimetro = 'Individual IDComb'
        AND cod_visao = 1
        AND instrmnt_id NOT LIKE 'SNCN%'
        AND instrmnt_id NOT LIKE 'SS%') LT002
LEFT JOIN
(SELECT *
      FROM bu_loantape_work.lt006_instr_prot
      WHERE 1=1
        AND ambito = 'PM'
        AND segmento = 'ESTR'
        AND ref_date = '${date}'
        AND nome_perimetro = 'Individual IDComb'
        AND cod_visao = 1) LT006
ON LT002.instrmnt_id = LT006.instrmnt_id  
LEFT JOIN 
(SELECT *
      FROM bu_loantape_work.lt004_protection
      WHERE 1=1
        AND ambito = 'PM'
        AND segmento = 'ESTR'
        AND ref_date = '${date}'
        AND nome_perimetro = 'Individual IDComb'
        AND cod_visao = 1) LT004
ON LT004.prtctn_id = LT006.prtctn_id  
) X 
Group by instrmnt_id, cre_fnrp18
) Y
Where validacao = 'NAO'
AND CRE_FNRP18 = 'Y'</t>
  </si>
  <si>
    <t>SELECT DISTINCT cre_fnrp18
      FROM bu_loantape_work.lt002_instrument
      WHERE 1=1
        AND ambito = 'PM'
        AND segmento = 'ESTR'
        AND ref_date = '${date}'
        AND nome_perimetro = 'Individual IDComb'
        AND cod_visao = 1
        AND instrmnt_id NOT LIKE 'SNCN%'
        AND instrmnt_id NOT LIKE 'SS%'</t>
  </si>
  <si>
    <t xml:space="preserve">SELECT instrmnt_id, cre_fnrp18, dbt_yld
      FROM bu_loantape_work.lt002_instrument
      WHERE 1=1
        AND ambito = 'PM'
        AND segmento = 'ESTR'
        AND ref_date = '${date}'
        AND nome_perimetro = 'Individual IDComb'
        AND cod_visao = 1
        AND instrmnt_id NOT LIKE 'SNCN%'
        AND instrmnt_id NOT LIKE 'SS%'
        AND cre_fnrp18 = 'N' 
        AND dbt_yld not in (11111111111,99999999999)
 </t>
  </si>
  <si>
    <t xml:space="preserve">SELECT DISTINCT lns_clltrlzd_clssfctn
      FROM bu_loantape_work.lt002_instrument
      WHERE 1=1
        AND ambito = 'PM'
        AND segmento = 'ESTR'
        AND ref_date = '${date}'
        AND nome_perimetro = 'Individual IDComb'
        AND cod_visao = 1
        AND instrmnt_id NOT LIKE 'SNCN%'
        AND instrmnt_id NOT LIKE 'SS%'
        AND cre_fnrp18 = 'Y' 
        AND lns_clltrlzd_clssfctn </t>
  </si>
  <si>
    <t>Na Especificação falta condição de N/A?!</t>
  </si>
  <si>
    <t>"Enterprise size Counterparty (LE)" should match the information on the Codelist</t>
  </si>
  <si>
    <t>If "Flag of SMEs" equals 'N', then "Enterprise size Counterparty (LE)" (Main Entity level) cannot equal '2 - Medium enterprise' nor '3 - Small enterprise' nor '4 - Micro enterprise'</t>
  </si>
  <si>
    <t>If "Flag of SMEs" equals 'Y', then "Enterprise size Counterparty (LE)" (Main Entity level) cannot equal '1 - Large enterprise'</t>
  </si>
  <si>
    <t>If "Type of person" is 'N - Natural person' then "Enterprise size Counterparty (LE)" must be a default value</t>
  </si>
  <si>
    <t>If "Date of enterprise size" is populated with other than default values then "Enterprise size" cannot be 'Not applicable'</t>
  </si>
  <si>
    <t>FLAG_PME (LT001)</t>
  </si>
  <si>
    <t>COD_EMPR_PME (LT001)</t>
  </si>
  <si>
    <t>Alteração do nome do campo SUBTIPO_GARANTIA da LT001 para COLATERAL cuja fonte é o COLATERAL da FR011</t>
  </si>
  <si>
    <t xml:space="preserve">SELECT DISTINCT entrprs_sz_le
FROM bu_loantape_work.lt003_entity
WHERE 1=1 
AND ambito = 'PM'
AND segmento = 'ESTR'
AND ref_date = '${date}'
AND nome_perimetro = 'Individual IDComb'
AND cod_visao = 1
</t>
  </si>
  <si>
    <t>SELECT Lt003.entty_id, entrprs_sz_le, Lt002.instrmnt_id, sme_fnrp18
FROM
(SELECT entty_id, entrprs_sz_le
FROM bu_loantape_work.lt003_entity
WHERE 1=1 
AND ambito = 'PM'
AND segmento = 'ESTR'
AND ref_date = '${date}'
AND nome_perimetro = 'Individual IDComb'
AND cod_visao = 1) LT003
LEFT JOIN 
     (SELECT *
      FROM bu_loantape_work.lt005_instr_ent
      WHERE 1=1
        AND ambito = 'PM'
        AND segmento = 'ESTR'
        AND ref_date = '${date}'
        AND nome_perimetro = 'Individual IDComb'
        AND cod_visao = 1) LT005
ON LT003.entty_id = LT005.entty_id
LEFT JOIN 
     (SELECT instrmnt_id,
             sme_fnrp18
      FROM bu_loantape_work.lt002_instrument
      WHERE 1=1
        AND ambito = 'PM'
        AND segmento = 'ESTR'
        AND ref_date = '${date}'
        AND nome_perimetro = 'Individual IDComb'
        AND cod_visao = 1) LT002
ON LT002.instrmnt_id = LT005.instrmnt_id
Where sme_fnrp18 ='Y' 
AND entrprs_sz_le in ('1')</t>
  </si>
  <si>
    <t>SELECT entty_id, entrprs_sz_le, prsn_typ
FROM bu_loantape_work.lt003_entity
WHERE 1=1 
AND ambito = 'PM'
AND segmento = 'ESTR'
AND ref_date = '${date}'
AND nome_perimetro = 'Individual IDComb'
AND cod_visao = 1
AND prsn_typ = 'N'
AND entrprs_sz_le &lt;&gt; '11111111111'</t>
  </si>
  <si>
    <t>Este campo não está especificado</t>
  </si>
  <si>
    <t>"Flag of RREs" should be a Char not null (default values for not applicable fields not allowed)</t>
  </si>
  <si>
    <t>"Flag of RREs" should match the information on the Codelist</t>
  </si>
  <si>
    <t>If "Flag of RREs" is set as 'Y - Yes' then "Loans collateralized classification" should be 'FMC2 - Real Estate. Residential'</t>
  </si>
  <si>
    <t>If "Flag of RREs" is set to 'Y' in INSTRUMENT table then at least one record in PROTECTION table must have informed "Protection type" as '8 - Residential real estate collateral'</t>
  </si>
  <si>
    <t>SELECT DISTINCT rre_fnrp18
   FROM bu_loantape_work.lt002_instrument
   WHERE 1=1
     AND ambito = 'PM'
     AND segmento = 'ESTR'
     AND ref_date = '${date}'
     AND nome_perimetro = 'Individual IDComb'
     AND cod_visao = 1</t>
  </si>
  <si>
    <t>SELECT LT004.prtctn_id, typ_prtctn, lt002.instrmnt_id, rre_fnrp18
FROM
     (SELECT instrmnt_id,
             rre_fnrp18
      FROM bu_loantape_work.lt002_instrument
      WHERE 1=1
        AND ambito = 'PM'
        AND segmento = 'ESTR'
        AND ref_date = '${date}'
        AND nome_perimetro = 'Individual IDComb'
        AND cod_visao = 1) LT002
LEFT JOIN
(SELECT *
      FROM bu_loantape_work.lt006_instr_prot
      WHERE 1=1
        AND ambito = 'PM'
        AND segmento = 'ESTR'
        AND ref_date = '${date}'
        AND nome_perimetro = 'Individual IDComb'
        AND cod_visao = 1) LT006
ON LT002.instrmnt_id = LT006.instrmnt_id  
LEFT JOIN 
(SELECT *
      FROM bu_loantape_work.lt004_protection
      WHERE 1=1
        AND ambito = 'PM'
        AND segmento = 'ESTR'
        AND ref_date = '${date}'
        AND nome_perimetro = 'Individual IDComb'
        AND cod_visao = 1) LT004
ON LT004.prtctn_id = LT006.prtctn_id  
Where LT002.instrmnt_id in (SELECT instrmnt_id
FROM
(
SELECT instrmnt_id, rre_fnrp18, max(VALIDACAO) as validacao
FROM
(
SELECT LT002.instrmnt_id, rre_fnrp18
, CASE WHEN typ_PRTCTN = '8' Then 'SIM' ELSE 'NAO' END AS VALIDACAO
FROM
     (SELECT instrmnt_id,
             rre_fnrp18
      FROM bu_loantape_work.lt002_instrument
      WHERE 1=1
        AND ambito = 'PM'
        AND segmento = 'ESTR'
        AND ref_date = '${date}'
        AND nome_perimetro = 'Individual IDComb'
        AND cod_visao = 1
        AND instrmnt_id NOT LIKE 'SNCN%'
        AND instrmnt_id NOT LIKE 'SS%') LT002
LEFT JOIN
(SELECT *
      FROM bu_loantape_work.lt006_instr_prot
      WHERE 1=1
        AND ambito = 'PM'
        AND segmento = 'ESTR'
        AND ref_date = '${date}'
        AND nome_perimetro = 'Individual IDComb'
        AND cod_visao = 1) LT006
ON LT002.instrmnt_id = LT006.instrmnt_id  
LEFT JOIN 
(SELECT *
      FROM bu_loantape_work.lt004_protection
      WHERE 1=1
        AND ambito = 'PM'
        AND segmento = 'ESTR'
        AND ref_date = '${date}'
        AND nome_perimetro = 'Individual IDComb'
        AND cod_visao = 1) LT004
ON LT004.prtctn_id = LT006.prtctn_id  
) X 
Group by instrmnt_id, rre_fnrp18
) Y
WHERE rre_fnrp18 = 'Y'
AND validacao = 'NAO')
;
SELECT *
FROM
(
SELECT instrmnt_id, rre_fnrp18, max(VALIDACAO) as validacao
FROM
(
SELECT LT002.instrmnt_id, rre_fnrp18
, CASE WHEN typ_PRTCTN = '8' Then 'SIM' ELSE 'NAO' END AS VALIDACAO
FROM
     (SELECT instrmnt_id,
             rre_fnrp18
      FROM bu_loantape_work.lt002_instrument
      WHERE 1=1
        AND ambito = 'PM'
        AND segmento = 'ESTR'
        AND ref_date = '${date}'
        AND nome_perimetro = 'Individual IDComb'
        AND cod_visao = 1
        AND instrmnt_id NOT LIKE 'SNCN%'
        AND instrmnt_id NOT LIKE 'SS%') LT002
LEFT JOIN
(SELECT *
      FROM bu_loantape_work.lt006_instr_prot
      WHERE 1=1
        AND ambito = 'PM'
        AND segmento = 'ESTR'
        AND ref_date = '${date}'
        AND nome_perimetro = 'Individual IDComb'
        AND cod_visao = 1) LT006
ON LT002.instrmnt_id = LT006.instrmnt_id  
LEFT JOIN 
(SELECT *
      FROM bu_loantape_work.lt004_protection
      WHERE 1=1
        AND ambito = 'PM'
        AND segmento = 'ESTR'
        AND ref_date = '${date}'
        AND nome_perimetro = 'Individual IDComb'
        AND cod_visao = 1) LT004
ON LT004.prtctn_id = LT006.prtctn_id  
) X 
Group by instrmnt_id, rre_fnrp18
) Y
WHERE rre_fnrp18 = 'Y'
AND validacao = 'NAO'</t>
  </si>
  <si>
    <t>Reapontamento para campos PRVS do Universo</t>
  </si>
  <si>
    <t>Reapontar para o MN_ENTTY_ID</t>
  </si>
  <si>
    <t>Justificado: Um contrato que tem uma garantias leasing imobiliario na FR003, mas que não está na LT 
Atualmente ainda existe um processo supletivo ao MUG para acautelar leasings imobiliarios e mobiliarios. Como a LT apenas reporta o que está no MUG esta garantias não existe no LT.Existe um projeto em curso onde até final de outubro este processo deixa de existir e toda a informação venha exclusivamente do MUG</t>
  </si>
  <si>
    <t>JUSTIFICADO CONTROLO NOK: Existem um contrato que está marcado como CRE = Y, mas no LT apenas estão duas garantias pessoais associadas
Este contrato que tem uma garantias leasing imobiliario na FR003. Atualmente ainda existe um processo supletivo ao MUG para acautelar leasings imobiliarios e mobiliarios. Como a LT apenas reporta o que está no MUG esta garantias não existe no LT.Existe um projeto em curso onde até final de outubro este processo deixa de existir e toda a informação vem exclusivamente do MUG</t>
  </si>
  <si>
    <t>Análise de controlos</t>
  </si>
  <si>
    <t>Análise de consistência</t>
  </si>
  <si>
    <t>Em desenvolvimento com Nuno Alves e equipa do HA</t>
  </si>
  <si>
    <t>ID</t>
  </si>
  <si>
    <t>1.Email enviado ao Nuno e Rafael para proceder alteração do campo de forma a corrigir controlo If "Flag of SMEs" equals 'N', then "Enterprise size Counterparty (LE)" (Main Entity level) cannot equal '2 - Medium enterprise' nor '3 - Small enterprise' nor '4 - Micro enterprise'
2. Rever controlo com Luísa que relaciona a FLAG com o ENTTY</t>
  </si>
  <si>
    <t>Rever sinal dos campo juros_corridos e juros_corridos_prvs</t>
  </si>
  <si>
    <t>OK - Justificado</t>
  </si>
  <si>
    <t>Estado dos Campos</t>
  </si>
  <si>
    <t>Especificar campo</t>
  </si>
  <si>
    <t>Individual IDComb</t>
  </si>
  <si>
    <t>NOME_PERIMETRO</t>
  </si>
  <si>
    <t>Enviar email para riscos ou Nuno Pinheiro</t>
  </si>
  <si>
    <t xml:space="preserve">SELECT *
FROM
  (SELECT LT002.instrmnt_id,
          sme_fnrp18,
MAX(CASE
    WHEN CASE
             WHEN LOWER(REGEXP_REPLACE(carteira_contabilistica, ' ','')) IN ('provisoesparacompromissosegarantiasconcedidas')
                  AND LOWER(REGEXP_REPLACE(contraparte, ' ','')) IN ('')
                  AND LOWER(REGEXP_REPLACE(contraparte_i, ' ','')) IN ('outrasempresasnaofinanceiras')
                  AND LOWER(REGEXP_REPLACE(cod_empr_pme, ' ','')) IN ('1',
                                                                      '2',
                                                                      '3') THEN 'SME_FNRP18'
             WHEN LOWER(REGEXP_REPLACE(carteira_contabilistica, ' ','')) IN ('garantiasecompromissosconcedidos')
                  AND LOWER(REGEXP_REPLACE(contraparte, ' ','')) IN ('')
                  AND LOWER(REGEXP_REPLACE(contraparte_i, ' ','')) IN ('outrasempresasnaofinanceiras')
                  AND LOWER(REGEXP_REPLACE(tipo_conta, ' ','')) IN ('ea')
                  AND LOWER(REGEXP_REPLACE(cod_empr_pme, ' ','')) IN ('1',
                                                                      '2',
                                                                      '3') THEN 'SME_FNRP18'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('outrasempresasnaofinanceiras')
                  AND LOWER(REGEXP_REPLACE(tipo_conta, ' ','')) IN ('a')
                  AND LOWER(REGEXP_REPLACE(bruto_imparidade, ' ','')) NOT IN ('imparidade')
                  AND LOWER(REGEXP_REPLACE(cod_empr_pme, ' ','')) IN ('1',
                                                                      '2',
                                                                      '3') THEN 'SME_FNRP18'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('outrasempresasnaofinanceiras')
                  AND LOWER(REGEXP_REPLACE(tipo_conta, ' ','')) IN ('a')
                  AND LOWER(REGEXP_REPLACE(bruto_imparidade, ' ','')) IN ('imparidade')
                  AND LOWER(REGEXP_REPLACE(cod_empr_pme, ' ','')) IN ('1',
                                                                      '2',
                                                                      '3') THEN 'SME_FNRP18'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('outrasempresasnaofinanceiras')
                  AND LOWER(REGEXP_REPLACE(tipo_conta, ' ','')) IN ('a')
                  AND LOWER(REGEXP_REPLACE(bruto_imparidade, ' ','')) NOT IN ('imparidade')
                  AND LOWER(REGEXP_REPLACE(cod_empr_pme, ' ','')) IN ('1',
                                                                      '2',
                                                                      '3') THEN 'SME_FNRP18'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('outrasempresasnaofinanceiras')
                  AND LOWER(REGEXP_REPLACE(tipo_conta, ' ','')) IN ('a')
                  AND LOWER(REGEXP_REPLACE(bruto_imparidade, ' ','')) IN ('imparidade')
                  AND LOWER(REGEXP_REPLACE(cod_empr_pme, ' ','')) IN ('1',
                                                                      '2',
                                                                      '3') THEN 'SME_FNRP18'
             WHEN LOWER(REGEXP_REPLACE(carteira_contabilistica, ' ','')) IN ('provisoesparacompromissosegarantiasconcedidas')
                  AND LOWER(REGEXP_REPLACE(contraparte, ' ','')) IN ('outrasempresasnaofinanceiras')
                  AND LOWER(REGEXP_REPLACE(cod_empr_pme, ' ','')) IN ('1',
                                                                      '2',
                                                                      '3') THEN 'SME_FNRP18'
             WHEN LOWER(REGEXP_REPLACE(carteira_contabilistica, ' ','')) IN ('garantiasecompromissosconcedidos')
                  AND LOWER(REGEXP_REPLACE(contraparte, ' ','')) IN ('outrasempresasnaofinanceiras')
                  AND LOWER(REGEXP_REPLACE(tipo_conta, ' ','')) IN ('ea')
                  AND LOWER(REGEXP_REPLACE(cod_empr_pme, ' ','')) IN ('1',
                                                                      '2',
                                                                      '3') THEN 'SME_FNRP18'
         END = 'SME_FNRP18' THEN 'Y'
    ELSE 'N'
END) AS SME_FNRP18_SIM
   FROM
     (SELECT instrmnt_id,
             sme_fnrp18
      FROM bu_loantape_work.lt002_instrument
      WHERE 1=1
        AND ambito = 'PM'
        AND segmento = 'ESTR'
        AND ref_date = '${date}'
        AND nome_perimetro = 'Individual IDComb'
        AND cod_visao = 1
        AND cnclld_instrmnt_stts = 'N') LT002
   LEFT JOIN
     (SELECT *
      FROM cd_loan_tapes_bce.kt_chaves_lt
      WHERE ref_date ='${date}') kt_chaves ON LT002.instrmnt_id = kt_chaves.instrmnt_id
   LEFT JOIN
     (SELECT *
      FROM bu_loantape_work.lt001_univ_oper
      WHERE 1=1
        AND ambito = 'PM'
        AND segmento = 'ESTR'
        AND ref_date = '${date}'
        AND nome_perimetro = 'Individual IDComb'
        AND cod_visao = 1) LT001 ON CONCAT(kt_chaves.cempresa,kt_chaves.cbalcao, kt_chaves.cnumecta, kt_chaves.zdeposit) = CONCAT(LT001.cempresa,LT001.cbalcao, LT001.cnumecta, LT001.zdeposit)
Group by instrmnt_id, sme_fnrp18
) X
WHERE sme_fnrp18 &lt;&gt; SME_FNRP18_sim </t>
  </si>
  <si>
    <t>SELECT Lt003.entty_id, entrprs_sz_le, Lt002.instrmnt_id, sme_fnrp18
FROM
(SELECT entty_id, entrprs_sz_le
FROM bu_loantape_work.lt003_entity
WHERE 1=1 
AND ambito = 'PM'
AND segmento = 'ESTR'
AND ref_date = '${date}'
AND nome_perimetro = 'Individual IDComb'
AND cod_visao = 1) LT003
LEFT JOIN 
     (SELECT *
      FROM bu_loantape_work.lt005_instr_ent
      WHERE 1=1
        AND ambito = 'PM'
        AND segmento = 'ESTR'
        AND ref_date = '${date}'
        AND nome_perimetro = 'Individual IDComb'
        AND cod_visao = 1) LT005
ON LT003.entty_id = LT005.entty_id
LEFT JOIN 
     (SELECT instrmnt_id,
             sme_fnrp18
      FROM bu_loantape_work.lt002_instrument
      WHERE 1=1
        AND ambito = 'PM'
        AND segmento = 'ESTR'
        AND ref_date = '${date}'
        AND nome_perimetro = 'Individual IDComb'
        AND cod_visao = 1
        AND cnclld_instrmnt_stts = 'N') LT002
ON LT002.instrmnt_id = LT005.instrmnt_id
Where sme_fnrp18 ='N' 
AND entrprs_sz_le in ('2','3','4')</t>
  </si>
  <si>
    <t>Controlo: "Date of impairment status" must be later than 01 January 1970 Justificado</t>
  </si>
  <si>
    <t>Controlo: "Date of impairment status previous" must be later than 01 January 1970 Justificado</t>
  </si>
  <si>
    <t>"Date of performing status" must be later than 01 January 1970 Justificado</t>
  </si>
  <si>
    <t>"Date of previous performing status" must be later than 01 January 1970 Justificado</t>
  </si>
  <si>
    <t>LT_R_EN_027_01</t>
  </si>
  <si>
    <t>LT_R_EN</t>
  </si>
  <si>
    <t>LT_R_EN_027_03</t>
  </si>
  <si>
    <t>INTRA_REL_P_EN</t>
  </si>
  <si>
    <t>LT_R_IN_089_01</t>
  </si>
  <si>
    <t>If "Accounting portfolio" equals '2 - IFRS: Financial assets held for trading', '4 - IFRS: Financial assets designated at fair value through profit or loss' or '41 - IFRS: Non-trading financial assets mandatorily at fair value through profit or loss', then "Previous sum of LLPs and other allowances" must equal default values</t>
  </si>
  <si>
    <t>LT_R_IN_080_03</t>
  </si>
  <si>
    <t>If "Off-balance sheet amount" is populated as 'Not applicable' or zero amount, then "Outstanding gross nominal amount" cannot be 'Not applicable' nor zero amount</t>
  </si>
  <si>
    <t>LT_O_IN_080_01</t>
  </si>
  <si>
    <t>"Outstanding gross nominal amount" shall be larger or equal to 0; Negative values trigger attention</t>
  </si>
  <si>
    <t>1 Controlo NOK comparação com o Accounting portfolio</t>
  </si>
  <si>
    <t>3 Controlos NOK - Inconsistências entre conceitos de DFLT, STAGE e WATCH LIST
1 Controlo NOK - If "Subportfolio ID" is classified as 'S1 - Stage 1', then "Impairment status" must equal '23 - Stage 1 (IFRS)'</t>
  </si>
  <si>
    <t>Alteração de Especificação 11/08/2025</t>
  </si>
  <si>
    <t>EXCLDD_LF</t>
  </si>
  <si>
    <t>PD_EC_RD</t>
  </si>
  <si>
    <t>PD_EC_INCPTN</t>
  </si>
  <si>
    <t>COMPANY_EXPOSURE</t>
  </si>
  <si>
    <t>Alterações no ambito de LF</t>
  </si>
  <si>
    <t>N/A</t>
  </si>
  <si>
    <t>Necessário alterar especificação onde se incluí a condição de N/A  quando o prsn_typ = L</t>
  </si>
  <si>
    <t>SELECT *
FROM
  (SELECT LT002.instrmnt_id,
          ACCMLTD_IMPRMNT_INSTRMNT_PRVS,
          DT_INCPTN &lt;= SUBSTR(cast(add_months(LT002.ref_date, -12) AS string), 1, 10) AS val,
          SUM(-1*provisao_on_prvs) AS cal,
          ROUND(nvl(CASE
                        WHEN LT002.instrmnt_id LIKE 'SNC%' THEN 11111111111
                        WHEN LT002.instrmnt_id LIKE 'SS%' THEN 11111111111
                        WHEN DT_INCPTN &gt; SUBSTR(cast(add_months(LT002.ref_date, -12) AS string), 1, 10) THEN 11111111111
                        WHEN DT_INCPTN &lt;= SUBSTR(cast(add_months(LT002.ref_date, -12) AS string), 1, 10) THEN SUM(-1*provisao_on_prvs)
                    END, 0.00),2) AS ACCMLTD_IMPRMNT_INSTRMNT_PRVS_simulacao,
          dt_incptn,
          LT002.ref_date
   FROM
     (SELECT instrmnt_id,
             ACCMLTD_IMPRMNT_INSTRMNT_PRVS,
             dt_incptn,
             ref_date
      FROM bu_loantape_work.lt002_instrument
      WHERE segmento = 'ESTR'
        AND nome_perimetro ='Individual IDComb'
        AND ref_date='${date}'
        AND AMBITO = 'PM' 
        AND cod_visao = 1) LT002
INNER JOIN 
    (SELECT *
    FROM cd_loan_tapes_bce.kt_chaves_lt
    WHERE ref_date = '${date}') KT
ON LT002.INSTRMNT_ID = KT.INSTRMNT_ID
LEFT JOIN
     (SELECT CEMPRESA,
             CBALCAO,
             CNUMECTA,
             ZDEPOSIT,
             provisao_on_prvs
      FROM bu_loantape_work.lt001_univ_oper
      WHERE segmento = 'ESTR'
        AND nome_perimetro ='Individual IDComb'
        AND ref_date='${date}'
        AND AMBITO = 'PM'
        AND cod_visao = 1) LT001 
ON CONCAT(KT.CEMPRESA, KT.CBALCAO, KT.CNUMECTA, KT.ZDEPOSIT) = CONCAT(LT001.CEMPRESA, LT001.CBALCAO, LT001.CNUMECTA, LT001.ZDEPOSIT)
GROUP BY dt_incptn,
        LT002.ref_date,
        DT_INCPTN &lt;= SUBSTR(cast(add_months(ref_date, -12) AS string), 1, 10),
        LT002.instrmnt_id,
        ACCMLTD_IMPRMNT_INSTRMNT_PRVS) X
WHERE round(ACCMLTD_IMPRMNT_INSTRMNT_PRVS,2) &lt;&gt; round(ACCMLTD_IMPRMNT_INSTRMNT_PRVS_simulacao,2)</t>
  </si>
  <si>
    <t xml:space="preserve">SELECT *
FROM
  (SELECT LT002.instrmnt_id,
          OTSTNDNG_NMNL_AMNT_INSTRMNT,
          DT_INCPTN &lt;= SUBSTR(cast(add_months(LT002.ref_date, -12) AS string), 1, 10) AS val,
          NVL(SUM(-1*valor_bruto_on),0) - NVL(SUM(-1*juros_corridos),0) AS cal,
          ROUND(CASE
                        WHEN LT002.instrmnt_id LIKE 'SNC%' THEN 11111111111
                        WHEN LT002.instrmnt_id LIKE 'SS%' THEN 11111111111  
                        WHEN DT_INCPTN &lt;= SUBSTR(cast(add_months(LT002.ref_date, -12) AS string), 1, 10) THEN NVL(SUM(-1*VALOR_BRUTO_ON),0) - NVL(SUM(-1*JUROS_CORRIDOS),0)
                    END,2) AS OTSTNDNG_NMNL_AMNT_INSTRMNT_simulacao,
          dt_incptn,
          LT002.ref_date
   FROM
     (SELECT instrmnt_id,
             OTSTNDNG_NMNL_AMNT_INSTRMNT,
             dt_incptn,
             ref_date
      FROM bu_loantape_work.lt002_instrument
     WHERE segmento = 'ESTR'
        AND nome_perimetro ='${nome_perimetro}'
        AND ref_date='${date}'
        AND AMBITO = 'PM'
        AND entidade ='00100'
        AND cod_visao = 1) LT002
INNER JOIN 
    (SELECT *
    FROM cd_loan_tapes_bce.kt_chaves_lt
    WHERE ref_date = '${date}') KT
ON LT002.INSTRMNT_ID = KT.INSTRMNT_ID
LEFT JOIN
     (SELECT CEMPRESA,
             CBALCAO,
             CNUMECTA,
             ZDEPOSIT, 
             valor_bruto_on, 
             juros_corridos
      FROM bu_loantape_work.lt001_univ_oper
      WHERE segmento = 'ESTR'
        AND nome_perimetro ='${nome_perimetro}'
        AND ref_date='${date}'
        AND AMBITO = 'PM'
        AND entidade ='00100'
        AND cod_visao = 1)LT001 
ON CONCAT(KT.CEMPRESA, KT.CBALCAO, KT.CNUMECTA, KT.ZDEPOSIT) = CONCAT(LT001.CEMPRESA, LT001.CBALCAO, LT001.CNUMECTA, LT001.ZDEPOSIT)
GROUP BY dt_incptn,
        LT002.ref_date,
        DT_INCPTN &lt;= SUBSTR(cast(add_months(ref_date, -12) AS string), 1, 10),
        LT002.instrmnt_id,
        OTSTNDNG_NMNL_AMNT_INSTRMNT) X
WHERE round(OTSTNDNG_NMNL_AMNT_INSTRMNT,2) &lt;&gt; round(OTSTNDNG_NMNL_AMNT_INSTRMNT_simulacao,2);
</t>
  </si>
  <si>
    <t xml:space="preserve"> 
SELECT *
FROM
  (SELECT LT002.instrmnt_id,
          OTSTNDNG_NMNL_AMNT_INSTRMNT_PRVS,
          ROUND(CASE
                        WHEN LT002.instrmnt_id LIKE 'SNC%' THEN 11111111111
                        WHEN LT002.instrmnt_id LIKE 'SS%' THEN 11111111111
                        WHEN DT_INCPTN &gt; SUBSTR(cast(add_months(LT002.ref_date, -12) AS string), 1, 10) THEN 11111111111
                        WHEN DT_INCPTN &lt;= SUBSTR(cast(add_months(LT002.ref_date, -12) AS string), 1, 10) THEN  nvl(SUM(-1*valor_bruto_on_prvs),0) - nvl(SUM(-1*juros_corridos_prvs),0)
                    END,2) AS OTSTNDNG_NMNL_AMNT_INSTRMNT_PRVS_simulacao,
          dt_incptn,
          LT002.ref_date
   FROM
     (SELECT instrmnt_id,
             OTSTNDNG_NMNL_AMNT_INSTRMNT_PRVS,
             dt_incptn,
             ref_date
      FROM bu_loantape_work.lt002_instrument
      WHERE segmento = 'ESTR'
        AND nome_perimetro ='Individual IDComb'
        AND ref_date='${date}'
        AND AMBITO = 'PM' 
        AND cod_visao = 1) LT002
INNER JOIN 
    (SELECT *
    FROM cd_loan_tapes_bce.kt_chaves_lt
    WHERE ref_date = '${date}') KT
ON LT002.INSTRMNT_ID = KT.INSTRMNT_ID
LEFT JOIN
     (SELECT CEMPRESA,
             CBALCAO,
             CNUMECTA,
             ZDEPOSIT, 
             valor_bruto_on_prvs, 
             juros_corridos_prvs
      FROM bu_loantape_work.lt001_univ_oper
      WHERE segmento = 'ESTR'
        AND nome_perimetro ='Individual IDComb'
        AND ref_date='${date}'
        AND AMBITO = 'PM'
        AND cod_visao = 1) LT001 
ON CONCAT(KT.CEMPRESA, KT.CBALCAO, KT.CNUMECTA, KT.ZDEPOSIT) = CONCAT(LT001.CEMPRESA, LT001.CBALCAO, LT001.CNUMECTA, LT001.ZDEPOSIT)
GROUP BY dt_incptn,
        LT002.ref_date,
        DT_INCPTN &lt;= SUBSTR(cast(add_months(ref_date, -12) AS string), 1, 10),
        LT002.instrmnt_id,
        OTSTNDNG_NMNL_AMNT_INSTRMNT_PRVS) X
WHERE round(OTSTNDNG_NMNL_AMNT_INSTRMNT_PRVS,2) &lt;&gt; round(OTSTNDNG_NMNL_AMNT_INSTRMNT_PRVS_simulacao,2)
 </t>
  </si>
  <si>
    <t xml:space="preserve">PRFRMNG_STTS_LE </t>
  </si>
  <si>
    <t xml:space="preserve">select base.entty_id, 
       prfrmng_stts_le, 
       prfrmng_stts_le_sim
from 
    (select lt003.entty_id,
           prfrmng_stts_le,
           case when flg_mn_entty_id = 'N/A' THEN '11111111111'
           WHEN count(DISTINCT prfrmng_stts) = 1 THEN MIN(prfrmng_stts)
           WHEN count(DISTINCT prfrmng_stts) &gt; 1 THEN MIN(prfrmng_stts)
        ELSE '11'
        END AS PRFRMNG_STTS_LE_sim
    from
        (select entty_id,
            prfrmng_stts_le
        from bu_loantape_work.lt003_entity
        WHERE segmento = 'ESTR'
            AND nome_perimetro ='${nome_perimetro}'
            AND ref_date='${date}'
            AND AMBITO = 'PM'
            AND entidade ='00100'
            AND cod_visao = 1
        group by entty_id,
                 prfrmng_stts_le) lt003
    left join 
        (
        select entty_id,
                case when max(mn_entty_id) = 'N' THEN 'N/A'
                ELSE 'Y' END AS flg_mn_entty_id
        from bu_loantape_work.lt005_instr_ent
        WHERE segmento = 'ESTR'
            AND nome_perimetro ='${nome_perimetro}'
            AND ref_date='${date}'
            AND AMBITO = 'PM'
            AND entidade ='00100'
            AND cod_visao = 1
            -- and entty_id = '5100498090'
        group by entty_id
        ) lt005_filtrada
    on lt003.entty_id = lt005_filtrada.entty_id
    left join
    (SELECT entty_id, 
            prfrmng_stts
    from 
        (select entty_id, 
                instrmnt_id, mn_entty_id
        from bu_loantape_work.lt005_instr_ent
        WHERE segmento = 'ESTR'
            AND nome_perimetro ='${nome_perimetro}'
            AND ref_date='${date}'
            AND AMBITO = 'PM'
            AND entidade ='00100'
            AND cod_visao = 1
            AND mn_entty_id = 'Y'
        ) lt005
    inner join
        (select instrmnt_id, 
                prfrmng_stts
        from bu_loantape_work.lt002_instrument
        WHERE segmento = 'ESTR'
            AND nome_perimetro ='${nome_perimetro}'
            AND ref_date='${date}'
            AND AMBITO = 'PM'
            AND entidade ='00100'
            AND cod_visao = 1) lt002
    on lt002.instrmnt_id = lt005.instrmnt_id ) x
    on lt003.entty_id = x.entty_id
    group by lt003.entty_id,
            flg_mn_entty_id, 
            prfrmng_stts_le) base
having prfrmng_stts_le &lt;&gt; prfrmng_stts_le_sim
</t>
  </si>
  <si>
    <t xml:space="preserve">select *
from
(select 
lt003.entty_id,
        lti, 
        case when x.grss_crryng_amnt is null then 11111111111
        when flg_mn_entty_id = 'N/A' then 11111111111
        when intrnl_sgmnt not like 'particulares' then 11111111111
        when INFO_IRS.mrendimentobrutoanual is not null
        Then cast(x.grss_crryng_amnt / INFO_IRS.mrendimentobrutoanual as decimal(32,6))
        else 99999999999 end as lti_sim
from
    (select entty_id,
            intrnl_sgmnt, 
            lti
    from bu_loantape_work.lt003_entity
    WHERE segmento = 'ESTR'
    AND nome_perimetro ='${nome_perimetro}'
    AND ref_date='${date}'
    AND AMBITO = 'PM'
    AND entidade ='00100'
    AND cod_visao = 1) lt003
left join 
    (select entty_id,
                case when max(mn_entty_id) = 'N' THEN 'N/A'
                ELSE 'Y' END AS flg_mn_entty_id
        from bu_loantape_work.lt005_instr_ent
        WHERE segmento = 'ESTR'
            AND nome_perimetro ='${nome_perimetro}'
            AND ref_date='${date}'
            AND AMBITO = 'PM'
            AND entidade ='00100'
            AND cod_visao = 1
            -- and entty_id = '5100498090'
        group by entty_id
      ) lt005_filtrada
on lt003.entty_id = lt005_filtrada.entty_id
left join 
        (select entty_id,
                SUM (grss_crryng_amnt_instrmnt) AS GRSS_CRRYNG_AMNT
        from 
            (SELECT instrmnt_id,
                    grss_crryng_amnt_instrmnt, 
                    typ_instrmnt, 
                    CASE WHEN typ_instrmnt = '1004' THEN 'Y' ELSE 'N' END AS FLG_INSTRMNT
            FROM bu_loantape_work.lt002_instrument
            WHERE segmento = 'ESTR'
                AND nome_perimetro ='${nome_perimetro}'
                AND ref_date='${date}'
                AND AMBITO = 'PM'
                AND entidade ='00100'
                AND cod_visao = 1) lt002
        inner join 
                (SELECT entty_id,
                        instrmnt_id
                from bu_loantape_work.lt005_instr_ent
                WHERE segmento = 'ESTR'
                AND nome_perimetro ='${nome_perimetro}'
                AND ref_date='${date}'
                AND AMBITO = 'PM'
                AND entidade ='00100'
                AND cod_visao = 1
                AND mn_entty_id = 'Y') lt005
        on lt005.instrmnt_id = lt002.instrmnt_id
        where FLG_INSTRMNT = 'Y'
        group by entty_id
        ) x
on x.entty_id = lt003.entty_id
left join 
                (SELECT * 
                FROM 
                    (SELECT rank () OVER (PARTITION BY nidinterveniente
                        ORDER BY ddatairs DESC, dtimecall DESC, data_date_part DESC, decisioncallid DESC ) AS ORDEM,
                        *
                    FROM
                        (SELECT DISTINCT 
                                        lpad(cast(irs.nidinterveniente as string), 10, '0') as nidinterveniente,
                                        irs.decisioncallid,
                                        irs.ddatairs,--irs.instance,
                                        irs.mrendimentobrutoanual,
                                        irs.mrendimentoliquidoanual, --san.dmcalltype,
                                        nvl(san.dtimecall, '0001-01-01') as dtimecall,
                                        irs.data_date_part
                        FROM cd_omdm.rendimentoirs irs 
                    INNER JOIN cd_omdm.saninputdata san 
                    ON irs.decisioncallid = san.decisioncallid
                    WHERE san.dmcalltype IN ('3','03','14','22')
                        AND irs.instance = 1
                        AND substr(irs.data_date_part,1,10) &lt;= '${date}') base 
                    ) INFO_IRS_1
                    WHERE ORDEM = 1 
                ) INFO_IRS
on info_irs.nidinterveniente = lt003.entty_id) BASE2
where round(lti, 2) &lt;&gt; round(lti_sim, 2) ---  round para tirar diferenças entre casas decimais 
</t>
  </si>
  <si>
    <t xml:space="preserve">select *
from
(select lt003.entty_id, 
        tipo_contrato,
      mnthl_trnvr,
      flg_mn_entty_id,
        nvl(case when flg_mn_entty_id &lt;&gt; 'Y' or tipo_contrato is null or spt04.zcliente is null or intrnl_sgmnt &lt;&gt; 'particulares' then 11111111111
        when flg_mn_entty_id = 'Y' AND tipo_contrato is not null  then msala 
        end, 99999999999) as mnthl_trnvr_sim
        FROM 
            (select distinct entty_id, 
                    mnthl_trnvr, 
                    intrnl_sgmnt
            from bu_loantape_work.lt003_entity
            WHERE segmento = 'ESTR'
                    AND nome_perimetro ='${nome_perimetro}'
                    AND ref_date='${date}'
                    AND AMBITO = 'PM'
                    AND entidade ='00100'
                    AND cod_visao = 1) lt003
        left join 
            (select zcliente, sum(msala)/12 as msala 
             FROM
          (select distinct zcliente, msala, mestrata 
           from
           (
            SELECT zcliente, mestrata, first_value(msala) over (partition by zcliente, mestrata ORDER BY data_date_part desc) as msala
               FROM cd_clientes.spt04_inflowcre
            WHERE data_date_part &lt;= '${date}'
            and data_date_part &gt; strleft(CAST(ADD_MONTHS('${date}',-12) AS string),10)
            ) FV 
          )FVD
         GROUP BY zcliente
         ) spt04
        on lpad(cast(SPT04.zcliente as string),10,'0') = lt003.entty_id
        left join
            (select distinct zcliente, 
                    tipo_contrato
            FROM cd_clientes.cl001_interv_cto
            WHERE ref_date = '${date}'
            And tipo_contrato =  'D.O. / CONTAS CORRENTES'
            )ct001
        ON ct001.zcliente = lt003.entty_id
        left join
            (select entty_id,                 
                case when max(mn_entty_id) = 'N' THEN 'N/A'
                ELSE 'Y' END AS flg_mn_entty_id
            FROM bu_loantape_work.lt005_instr_ent
            WHERE segmento = 'ESTR'
                    AND nome_perimetro ='${nome_perimetro}'
                    AND ref_date='${date}'
                    AND AMBITO = 'PM'
                    AND entidade ='00100'
                    AND cod_visao = 1
            group by entty_id) lt005
        on lt003.entty_id = lt005.entty_id
        ) x
where round(mnthl_trnvr_sim,2) &lt;&gt; round(mnthl_trnvr,2)
</t>
  </si>
  <si>
    <t>1 Controlo NOK Contratos marcados como DFLT mas que a PD económica não é 1 e a PD normal é 1</t>
  </si>
  <si>
    <t>Campo precisa de ser revisto</t>
  </si>
  <si>
    <t>Condições de N/A:
- Se o cliente não tiver contratos que pertençam ao universo de Imparidade (IFRS9_INPUT_MOTOR_8_7) na data onde é apurado o T1.
- Se a entidade não for 1º titular (mn_entty_id &lt;&gt; 'Y') no ano em que é apurado o T1.
E estes contratos estão no universo de imparidade para datas inferiores a 2024-06-30 daí não estarem a N/A</t>
  </si>
  <si>
    <t>SELECT *
FROM
  (SELECT LT002.instrmnt_id,
          ACCMLTD_IMPRMNT_INSTRMNT_PRVS,
          DT_INCPTN &lt;= SUBSTR(cast(add_months(LT002.ref_date, -12) AS string), 1, 10) AS val,
          SUM(provisao_on_prvs) AS cal,
          ROUND(nvl(CASE
                        WHEN LT002.instrmnt_id LIKE 'SNC%' THEN 11111111111
                        WHEN LT002.instrmnt_id LIKE 'SS%' THEN 11111111111
                        WHEN DT_INCPTN &gt; SUBSTR(cast(add_months(LT002.ref_date, -12) AS string), 1, 10) THEN 11111111111
                        WHEN DT_INCPTN &lt;= SUBSTR(cast(add_months(LT002.ref_date, -12) AS string), 1, 10) THEN SUM(provisao_on_prvs)
                    END, 0.00),2) AS ACCMLTD_IMPRMNT_INSTRMNT_PRVS_simulacao,
          dt_incptn,
          LT002.ref_date
FROM
     (SELECT instrmnt_id,
             ACCMLTD_IMPRMNT_INSTRMNT_PRVS,
             dt_incptn,
             ref_date
      FROM bu_loantape_work.lt002_instrument
      WHERE segmento = 'ESTR'
        AND nome_perimetro ='Individual IDComb'
        AND ref_date='${date}'
        AND AMBITO = 'PM' 
        AND cod_visao = 1) LT002
INNER JOIN 
    (SELECT *
    FROM bu_loantape_work.kt_chaves_lt
    WHERE ref_date = '${date}'
    AND segmento = 'ESTR'
    AND nome_perimetro ='Individual IDComb'
    AND AMBITO = 'PM') KT
ON LT002.INSTRMNT_ID = KT.INSTRMNT_ID
LEFT JOIN
     (SELECT CEMPRESA,
             CBALCAO,
             CNUMECTA,
             ZDEPOSIT,
             provisao_on_prvs
      FROM bu_loantape_work.lt001_univ_oper
      WHERE segmento = 'ESTR'
        AND nome_perimetro ='Individual IDComb'
        AND ref_date='${date}'
        AND AMBITO = 'PM'
        AND cod_visao = 1) LT001 
ON CONCAT(KT.CEMPRESA, KT.CBALCAO, KT.CNUMECTA, KT.ZDEPOSIT) = CONCAT(LT001.CEMPRESA, LT001.CBALCAO, LT001.CNUMECTA, LT001.ZDEPOSIT)
GROUP BY dt_incptn,
        LT002.ref_date,
        DT_INCPTN &lt;= SUBSTR(cast(add_months(ref_date, -12) AS string), 1, 10),
        LT002.instrmnt_id,
        ACCMLTD_IMPRMNT_INSTRMNT_PRVS) X
WHERE round(ACCMLTD_IMPRMNT_INSTRMNT_PRVS,2) &lt;&gt; round(ACCMLTD_IMPRMNT_INSTRMNT_PRVS_simulacao,2)</t>
  </si>
  <si>
    <t>SELECT *
FROM
  (SELECT LT002.instrmnt_id,
          OTSTNDNG_NMNL_AMNT_INSTRMNT_PRVS,
          ROUND(CASE
                        WHEN LT002.instrmnt_id LIKE 'SNC%' THEN 11111111111
                        WHEN LT002.instrmnt_id LIKE 'SS%' THEN 11111111111
                        WHEN DT_INCPTN &gt; SUBSTR(cast(add_months(LT002.ref_date, -12) AS string), 1, 10) THEN 11111111111
                        WHEN DT_INCPTN &lt;= SUBSTR(cast(add_months(LT002.ref_date, -12) AS string), 1, 10) THEN  nvl(SUM(-1*valor_bruto_on_prvs),0) - nvl(SUM(-1*juros_corridos_prvs),0)
                    END,2) AS OTSTNDNG_NMNL_AMNT_INSTRMNT_PRVS_simulacao,
          dt_incptn,
          LT002.ref_date
   FROM
     (SELECT instrmnt_id,
             OTSTNDNG_NMNL_AMNT_INSTRMNT_PRVS,
             dt_incptn,
             ref_date
      FROM bu_loantape_work.lt002_instrument
      WHERE segmento = 'ESTR'
        AND nome_perimetro ='Individual IDComb'
        AND ref_date='${date}'
        AND AMBITO = 'PM' 
        AND cod_visao = 1) LT002
INNER JOIN 
    (SELECT *
    FROM cd_loan_tapes_bce.kt_chaves_lt
             WHERE segmento = 'ESTR'
        AND nome_perimetro ='${nome_perimetro}'
        AND ref_date='${date}'
        AND AMBITO = 'PM') KT
ON LT002.INSTRMNT_ID = KT.INSTRMNT_ID
LEFT JOIN
     (SELECT CEMPRESA,
             CBALCAO,
             CNUMECTA,
             ZDEPOSIT, 
             valor_bruto_on_prvs, 
             juros_corridos_prvs
      FROM bu_loantape_work.lt001_univ_oper
      WHERE segmento = 'ESTR'
        AND nome_perimetro ='Individual IDComb'
        AND ref_date='${date}'
        AND AMBITO = 'PM'
        AND cod_visao = 1) LT001 
ON CONCAT(KT.CEMPRESA, KT.CBALCAO, KT.CNUMECTA, KT.ZDEPOSIT) = CONCAT(LT001.CEMPRESA, LT001.CBALCAO, LT001.CNUMECTA, LT001.ZDEPOSIT)
GROUP BY dt_incptn,
        LT002.ref_date,
        DT_INCPTN &lt;= SUBSTR(cast(add_months(ref_date, -12) AS string), 1, 10),
        LT002.instrmnt_id,
        OTSTNDNG_NMNL_AMNT_INSTRMNT_PRVS) X
WHERE round(OTSTNDNG_NMNL_AMNT_INSTRMNT_PRVS,2) &lt;&gt; round(OTSTNDNG_NMNL_AMNT_INSTRMNT_PRVS_simulacao,2)</t>
  </si>
  <si>
    <t>Ver controlos</t>
  </si>
  <si>
    <t>Validar se está OK na CD</t>
  </si>
  <si>
    <t>Necessário corrigir em Janeiro no processo de capital para datas de referência &lt; Abril 2025 devemos de ir ao Individual Corporativo</t>
  </si>
  <si>
    <t xml:space="preserve">SELECT *
FROM 
(
SELECT DISTINCT instrmnt_id,
       CASE WHEN instrmnt_id like 'SS%' OR instrmnt_id like 'SNC%' OR intrnl_sgmnt not in ('outras instituicoes financeiras','outras empresas nao financeiras') Then 'N/A'
       ELSE 
    --   CASE WHEN replace(replace(coalesce(excldd_lf,concat(excldd_aux_1,',',excldd_aux_2,',',coalesce(case when excldd_aux_4='N/A' then null else excldd_aux_4 end,excldd_aux_3),',',excldd_aux_5,',',excldd_aux_6,',',excldd_aux_7,',',excldd_aux_8)),"N/A,",""),",N/A","") = 'N/A' THEN 'MISS' 
    --   ELSE 
       replace(replace(coalesce(excldd_lf,concat(excldd_aux_1,',',excldd_aux_2,',',coalesce(case when excldd_aux_4='N/A' then null else excldd_aux_4 end,excldd_aux_3),',',excldd_aux_5,',',excldd_aux_6,',',excldd_aux_7,',',excldd_aux_8)),"N/A,",""),",N/A","") END  AS campo_auxiliar 
       , excldd_lf_lt002, intrnl_sgmnt
FROM
  (SELECT 
  DISTINCT lt002.instrmnt_id,
          lt601.excldd_lf,
          lt002.excldd_lf as excldd_lf_lt002, lt001.cod_empr_pme, intrnl_sgmnt,
          CASE
              WHEN TRIM(ct003.csector_inst) IN('S123',
                                         'S124',
                                         'S1240001',
                                         'S1240002',
                                         'S1240003',
                                         'S2023',
                                         'S20231',
                                         'S20232',
                                         'S2024',
                                         'S401341') THEN 'EXC01'
              ELSE 'N/A'
          END AS excldd_aux_1,
          CASE
              WHEN ct610.tipo_titulo='Titularizacao' THEN 'EXC02'
              ELSE 'N/A'
          END AS excldd_aux_2,
          CASE
              WHEN tat.ind_exc='S' THEN 'EXC04'
              ELSE 'N/A'
          END AS excldd_aux_3,
          CASE
              WHEN ct003.cseg_risc LIKE'9%' THEN 'EXC05'
              ELSE 'N/A'
          END AS excldd_aux_4,
          CASE
              WHEN lt001.cod_empr_pme IN('1',
                                         '2',
                                         '3') THEN 'EXC06'
              ELSE 'N/A'
          END AS excldd_aux_5,
            CASE
                WHEN auxiliar.company_exposure&lt;5000000 THEN 'EXC07'
                ELSE 'N/A'
            END AS excldd_aux_6,          CASE
              WHEN lt002.intrnl_sgmnt IN('setor publico',
                                         'banco centrais',
                                         'instituicoes de credito')THEN 'EXC08'
              ELSE 'N/A'
          END AS excldd_aux_7,
          CASE
              WHEN lt002.pd_ec_rd&lt;=0.500000 THEN 'EXC09'
              ELSE 'N/A'--
-- WHEN TRIM(cast(lt002.pd_ec_rd as string)='NULL' or lt002.pd_ec_rd IS NULL THEN '0'
          END AS excldd_aux_8 -- count(*)-- 2110768
-- 2145008
FROM
     (SELECT instrmnt_id,
             prdct,
             intrnl_sgmnt,
             pd_ec_rd, excldd_lf
      FROM bu_loantape_work.lt002_instrument
      WHERE ref_date='${date}'
        AND ambito='PM'
        AND nome_perimetro='Individual IDComb'
        AND entidade='00100'
        AND segmento='ESTR'
        AND cod_visao=1 )lt002
   LEFT JOIN
     (SELECT instrmnt_id,
             entty_id
      FROM bu_loantape_work.lt005_instr_ent
      WHERE ref_date='${date}'
        AND ambito='PM'
        AND nome_perimetro='Individual IDComb'
        AND entidade='00100'
        AND segmento='ESTR'
        AND cod_visao=1
        AND mn_entty_id='Y')lt005 ON lt002.instrmnt_id=lt005.instrmnt_id
   LEFT JOIN
     (SELECT DISTINCT entty_id
      FROM bu_loantape_work.lt003_entity
      WHERE ref_date='${date}'
        AND ambito='PM'
        AND nome_perimetro='Individual IDComb'
        AND entidade='00100'
        AND segmento='ESTR'
        AND cod_visao=1)lt003 ON lt005.entty_id=lt003.entty_id
   LEFT JOIN
     (SELECT cempresa,
             cbalcao,
             cnumecta,
             zdeposit,
             excldd_lf
      FROM cd_loan_tapes_bce.lt601_lev_fin
      WHERE REF_DATE BETWEEN add_months('2025-06-30',-3) AND '2025-06-30')lt601 ON lt002.instrmnt_id=concat(lt601.cempresa,lt601.cbalcao,lt601.cnumecta,lt601.zdeposit)
   LEFT JOIN
     (SELECT *
      FROM bu_loantape_work.kt_chaves_lt
      WHERE ref_date='${date}'
        AND ambito='PM'
        AND nome_perimetro='Individual IDComb'
        AND entidade='00100'
        AND segmento='ESTR'
        AND cod_visao=1)chaves_lt ON lt002.instrmnt_id=chaves_lt.instrmnt_id
   LEFT JOIN
     (SELECT cempresa,
             cbalcao,
             cnumecta,
             zdeposit,
             max(cod_empr_pme) AS cod_empr_pme
      FROM bu_loantape_work.lt001_univ_oper
      WHERE ref_date='${date}'
        AND ambito='PM'
        AND nome_perimetro='Individual IDComb'
        AND entidade='00100'
        AND segmento='ESTR'
        AND cod_visao=1
      GROUP BY 1,
               2,
               3,
               4)lt001 ON concat(chaves_lt.cempresa,chaves_lt.cbalcao,chaves_lt.cnumecta,chaves_lt.zdeposit)=concat(lt001.cempresa,lt001.cbalcao,lt001.cnumecta,lt001.zdeposit)
   LEFT JOIN
     (SELECT *
      FROM cd_captools.kt_chaves_finrep
      WHERE ref_date='${date}'
        AND cod_visao=1)chaves_fr ON lt002.instrmnt_id=concat(chaves_fr.cempresa_fr,chaves_fr.cbalcao_fr,chaves_fr.cnumecta_fr,chaves_fr.zdeposit_fr)
   LEFT JOIN
     (SELECT cempresa,
             cbalcao,
             cnumecta,
             zdeposit,
             tipo_titulo
      FROM cd_captools.ct610_titulos
      WHERE ref_date='${date}')ct610 ON concat(chaves_fr.cempresa,chaves_fr.cbalcao,chaves_fr.cnumecta,chaves_fr.zdeposit)=concat(ct610.cempresa,ct610.cbalcao,ct610.cnumecta,ct610.zdeposit)
   LEFT JOIN
     (SELECT tayd91c0_celemtab,
             substr(tayd91c0_nelemc01,14,1) AS ind_exc
      FROM cd_estruturais.tat91_tabelas
      WHERE data_date_part='${date}'
        AND tayd91c0_ctabela='925')tat ON substr(lt002.prdct,1,6)=trim(tat.tayd91c0_celemtab)
   LEFT JOIN
     (SELECT zcliente,
             cseg_risc,
             csector_inst
      FROM cd_captools.ct003_univ_cli
      WHERE ref_date='${date}')ct003 ON lt003.entty_id=ct003.zcliente
     LEFT JOIN (SELECT lt003.entty_id,
          sum(lt002.grss_crryng_amnt_instrmnt+lt002.off_blnc_sht_amnt_instrmnt) over(partition BY ct003.ccli_grupo) AS company_exposure
   FROM
     (SELECT DISTINCT entty_id
      FROM bu_loantape_work.lt003_entity
      WHERE ref_date='${date}'
        AND ambito='PM'
        AND nome_perimetro='Individual IDComb'
        AND entidade='00100'
        AND segmento='ESTR'
        AND cod_visao=1)lt003
   LEFT JOIN
     (SELECT DISTINCT instrmnt_id,
                      entty_id
      FROM bu_loantape_work.lt005_instr_ent
      WHERE ref_date='${date}'
        AND ambito='PM'
        AND nome_perimetro='Individual IDComb'
        AND entidade='00100'
        AND segmento='ESTR'
        AND cod_visao=1
        AND mn_entty_id='Y')lt005 ON lt003.entty_id=lt005.entty_id
   LEFT JOIN
     (SELECT DISTINCT grss_crryng_amnt_instrmnt,
                      off_blnc_sht_amnt_instrmnt,
                      instrmnt_id
      FROM bu_loantape_work.lt002_instrument
      WHERE ref_date='${date}'
        AND ambito='PM'
        AND nome_perimetro='Individual IDComb'
        AND entidade='00100'
        AND segmento='ESTR'
        AND cod_visao=1)lt002 ON lt005.instrmnt_id=lt002.instrmnt_id
   LEFT JOIN
     (SELECT ccli_grupo,
             zcliente
      FROM cd_captools.ct003_univ_cli
      WHERE ref_date='${date}')ct003 ON lt003.entty_id=ct003.zcliente) auxiliar
      on lt003.entty_id=auxiliar.entty_id
      ) X
      ) Y
      Where campo_auxiliar &lt;&gt; excldd_lf_lt002;
</t>
  </si>
  <si>
    <t>select *
-- DISTINCT ecnmc_actvty_simulado,valor_destino_1,CCAE
-- count(*),ecnmc_actvty
from ( 
select lt003.entty_id, lt003.ecnmc_actvty, TAT.tayd91c0_nelemc16, case when intrnl_sgmnt='particulares' then 'N/A'
when '${date}'&lt;='2024-12-31' then valor_destino
when '${date}'&gt;'2024-12-31' and '${date}'&lt;='2025-12-31'  then 
(NVL(case when TRIM(TAT.tayd91c0_nelemc16) ='' THEN 'MISS' 
when substr(TAT.tayd91c0_nelemc16,1,2) in ("A0","B0","C0","D0","E0","F0","G0","H0","I0","J0","K0","L0","M0","N0","O0","P0","Q0","R0","S0","T0","U0","V0") and substr(TAT.tayd91c0_nelemc16,4,3) in (".10",".20",".30",".40",".50",".60",".70",".80",".90") then substr(TAT.tayd91c0_nelemc16,3,3)
when substr(TAT.tayd91c0_nelemc16,1,2) in ("A0","B0","C0","D0","E0","F0","G0","H0","I0","J0","K0","L0","M0","N0","O0","P0","Q0","R0","S0","T0","U0","V0") and substr(TAT.tayd91c0_nelemc16,4,3) not in (".00",".10",".20",".30",".40",".50",".60",".70",".80",".90") then  substr(TAT.tayd91c0_nelemc16,3,4)
when substr(TAT.tayd91c0_nelemc16,1,2) not in ("A0","B0","C0","D0","E0","F0","G0","H0","I0","J0","K0","L0","M0","N0","O0","P0","Q0","R0","S0","T0","U0","V0") and substr(TAT.tayd91c0_nelemc16,4,3)  in (".10",".20",".30",".40",".50",".60",".70",".80",".90") then  substr(TAT.tayd91c0_nelemc16,2,4)
when substr(TAT.tayd91c0_nelemc16,1,2) not in ("A0","B0","C0","D0","E0","F0","G0","H0","I0","J0","K0","L0","M0","N0","O0","P0","Q0","R0","S0","T0","U0","V0") and substr(TAT.tayd91c0_nelemc16,4,3)=".00"  then substr(TAT.tayd91c0_nelemc16,2,2)
else substr(TAT.tayd91c0_nelemc16,2,5) end,'MISS'))
when '${date}'&gt;'2025-12-31' then (NVL(case when TRIM(TAT.tayd91c0_nelemc16) ='' THEN 'MISS' 
when substr(TAT.tayd91c0_nelemc18,1,2) in ("A0","B0","C0","D0","E0","F0","G0","H0","I0","J0","K0","L0","M0","N0","O0","P0","Q0","R0","S0","T0","U0","V0") and substr(TAT.tayd91c0_nelemc18,4,3) in (".10",".20",".30",".40",".50",".60",".70",".80",".90") then substr(TAT.tayd91c0_nelemc18,3,3)
when substr(TAT.tayd91c0_nelemc18,1,2) in ("A0","B0","C0","D0","E0","F0","G0","H0","I0","J0","K0","L0","M0","N0","O0","P0","Q0","R0","S0","T0","U0","V0") and substr(TAT.tayd91c0_nelemc18,4,3) not in (".00",".10",".20",".30",".40",".50",".60",".70",".80",".90") then  substr(TAT.tayd91c0_nelemc18,3,4)
when substr(TAT.tayd91c0_nelemc18,1,2) not in ("A0","B0","C0","D0","E0","F0","G0","H0","I0","J0","K0","L0","M0","N0","O0","P0","Q0","R0","S0","T0","U0","V0") and substr(TAT.tayd91c0_nelemc18,4,3)  in (".10",".20",".30",".40",".50",".60",".70",".80",".90") then  substr(TAT.tayd91c0_nelemc18,2,4)
when substr(TAT.tayd91c0_nelemc18,1,2) not in ("A0","B0","C0","D0","E0","F0","G0","H0","I0","J0","K0","L0","M0","N0","O0","P0","Q0","R0","S0","T0","U0","V0") and substr(TAT.tayd91c0_nelemc18,4,3)=".00"  then substr(TAT.tayd91c0_nelemc18,2,2)
else substr(TAT.tayd91c0_nelemc18,2,5) end,'MISS'))
else 'MISS'
end as ecnmc_actvty_simulado
-- nvl(CCAE_codelist.valor_destino,'MISS') --rev3
-- when '${date}'&gt;'2024-12-31' and '${date}'&lt;='2025-12-31' then nvl(tayd91c0_nelemc15_codelist.valor_destino_1,'MISS') --traduçao entre rev4 e rev3
-- when '${date}'&gt;'2025-12-31' then nvl(CCAE_codelist.valor_destino,'MISS') ELSE 'MISS' end as ecnmc_actvty_simulado --rev3
from (SELECT distinct entty_id, intrnl_sgmnt,ecnmc_actvty
from  bu_loantape_work.lt003_entity
WHERE nome_perimetro = '${perimetro}' 
AND segmento = 'ESTR' 
AND ref_date = '${date}'
AND ambito = 'PM'
AND entidade = '00100' and cod_visao=1
) lt003
---2024
LEFT JOIN
(SELECT 
zcliente, ccli_grupo
,CCAE
from cd_captools.ct003_univ_cli where ref_date = '${date}') CT003_rev4
ON lt003.ENTTY_ID = CT003_rev4.ZCLIENTE
left join (select valor_origem_1,valor_destino FROM bu_loantape_work.lt831_param_conceitos
where ref_date='${date}' and campo_conceito='ecnmc_actvty')CCAE_codelist
on CCAE=CCAE_codelist.valor_origem_1
--superior 2024
left join (SELECT 
tayd91c0_celemtab, tayd91c0_nelemc15,tayd91c0_nelemc16,tayd91c0_nelemc18
FROM CD_ESTRUTURAIS.TAT91_TABELAS
    WHERE TAYD91C0_CTABELA = '154'
      AND data_date_part='${date}') TAT
on CCAE=TAT.tayd91c0_celemtab
-- LEFT JOIN
-- (SELECT 
-- zcliente, ccli_grupo
-- , TRIM(SUBSTR(CCAE,1,4)) AS CCAE
-- from cd_captools.ct003_univ_cli where ref_date = '${date}') CT003_rev3
-- ON lt003.ENTTY_ID = CT003_rev3.ZCLIENTE
-- --TAT
-- left join (SELECT 
-- tayd91c0_celemtab, tayd91c0_nelemc15,tayd91c0_nelemc16
-- FROM CD_ESTRUTURAIS.TAT91_TABELAS
--     WHERE TAYD91C0_CTABELA = '154'
--       AND data_date_part='${date}') TAT_rev3
-- on trim(CT003_rev3.CCAE)=trim(substr(TAT_rev3.tayd91c0_nelemc15,1,4))
-- left join (select valor_origem_1 as valor_origem_1_2,valor_destino as valor_destino_1 FROM bu_loantape_work.lt831_param_conceitos
-- where ref_date='${date}' and campo_conceito='ECNMC_ACTVTY')tayd91c0_nelemc15_codelist
-- on substr(TAT.tayd91c0_nelemc15,1,4)=tayd91c0_nelemc15_codelist.valor_origem_1_2
)x
-- where ecnmc_actvty is null or ecnmc_actvty='MISS'
-- where ecnmc_actvty_simulado&lt;&gt;valor_destino_1 and ecnmc_actvty_simulado not in ('MISS','N/A')
-- where ecnmc_actvty_simulado='MISS'
-- WHERE CCAE_SIMULADO&lt;&gt;REPLACE(SUBSTR(NACE_CODE,2,7),'.',"''") AND CCAE_SIMULADO&lt;&gt;'#'
-- group by 2
-- MISINGS ATUALMENTE ecnmc_actvty: 53 559
-- missings simulado: 20
-- group by 2;
Where ecnmc_actvty &lt;&gt; ecnmc_actvty_simulado</t>
  </si>
  <si>
    <t>SELECT *
FROM
(
SELECT lt002.instrmnt_id,
       round(categ2.g7162_in_pdini/100,6) as pd_ec_rd_sim, pd_ec_rd --   count(categ2.g7162_in_pdini)
-- SELECT count(*)
-- 2139433
FROM
  (SELECT instrmnt_id, pd_ec_rd
   FROM bu_loantape_work.lt002_instrument
   WHERE nome_perimetro='${perimetro}'
     AND segmento='ESTR'
     AND ref_date='${date}'
     AND ambito='PM'
     AND entidade='00100'
     AND cod_visao=1)lt002
LEFT JOIN
  (SELECT DISTINCT cempresa_fr,
                   cbalcao_fr,
                   cnumecta_fr,
                   zdeposit_fr,
                   contra1
   FROM
     (SELECT *
      FROM cd_captools.kt_chaves_finrep
      WHERE ref_date='${date}')fr
   LEFT JOIN
     (SELECT *
      FROM cd_captools.kt_chaves_bdr
      WHERE ref_date='${date}')bdr ON concat(fr.cempresa,fr.cbalcao,fr.cnumecta,fr.zdeposit)=concat(bdr.cempresa,bdr.cbalcao,bdr.cnumecta,bdr.zdeposit))tradutores ON lt002.instrmnt_id=concat(cempresa_fr,cbalcao_fr,cnumecta_fr,zdeposit_fr)
LEFT JOIN
  (SELECT DISTINCT g7162_s1emp,
                   g7162_contra1,
                   g7162_in_pdini
   FROM cd_captools.bdr_jm_cto_categ2
   WHERE data_date_part='${date}'
     AND g7162_fincalcu=2)categ2 ON tradutores.contra1=cast(categ2.g7162_contra1 AS STRING)
) X 
    Where ROUND(pd_ec_rd,4) &lt;&gt; ROUND(pd_ec_rd_sim,4)</t>
  </si>
  <si>
    <t xml:space="preserve">SELECT DISTINCT entty_id, company_exposure_sim, company_exposure, mn_entty_id
FROM
(
SELECT lt003.entty_id,
          CASE WHEN LT005.mn_entty_id is NULL THEN 11111111111 ELSE sum(lt002.grss_crryng_amnt_instrmnt+lt002.off_blnc_sht_amnt_instrmnt) over(partition BY ct003.ccli_grupo) END AS company_exposure_sim, company_exposure, mn_entty_id
   FROM
     (SELECT DISTINCT entty_id, company_exposure
      FROM bu_loantape_work.lt003_entity
      WHERE ref_date='${date}'
        AND ambito='PM'
        AND nome_perimetro='Individual IDComb'
        AND entidade='00100'
        AND segmento='ESTR'
        AND cod_visao=1)lt003
   LEFT JOIN
     (SELECT DISTINCT instrmnt_id,
                      entty_id, mn_entty_id
      FROM bu_loantape_work.lt005_instr_ent
      WHERE ref_date='${date}'
        AND ambito='PM'
        AND nome_perimetro='Individual IDComb'
        AND entidade='00100'
        AND segmento='ESTR'
        AND cod_visao=1
        AND mn_entty_id='Y')lt005 ON lt003.entty_id=lt005.entty_id
   LEFT JOIN
     (SELECT DISTINCT grss_crryng_amnt_instrmnt,
                      off_blnc_sht_amnt_instrmnt,
                      instrmnt_id
      FROM bu_loantape_work.lt002_instrument
      WHERE ref_date='${date}'
        AND ambito='PM'
        AND nome_perimetro='Individual IDComb'
        AND entidade='00100'
        AND segmento='ESTR'
        AND cod_visao=1)lt002 ON lt005.instrmnt_id=lt002.instrmnt_id
   LEFT JOIN
     (SELECT DISTINCT ccli_grupo,
             zcliente
      FROM cd_captools.ct003_univ_cli
      WHERE ref_date='${date}')ct003 ON lt003.entty_id=ct003.zcliente
) X
      Where ROUND(company_exposure,1) &lt;&gt; Round(company_exposure_sim,1)
 </t>
  </si>
  <si>
    <t>FLAG_PME (LT001), COD_EMPR_PME (LT001), COMPANY_EXPOSURE, off_blnc_sht_amnt_instrmnt_prvs, RRE_FNRP18, otstndng_nmnl_amnt_instrmnt_prvs, dpd_24m_prfrmng_stts, dpd_prfrmng_stts, prfrmng_stts_prvs, SME_FNRP18, PRFRMNG_STTS_LE, dpd_12m_prfrmng_stts, ECNMC_ACTVTY, LTI, PD_EC_INCPTN, dt_imprmnt_stts_prvs, dt_imprmnt_stts, dt_prfrmng_stts_prvs, CRE_FNRP18, dt_prfrmng_stts, ENTRPRS_SZ_LE, otstndng_nmnl_amnt_instrmnt, orgnl_prtctn_vl, imprmnt_stts, prfrmng_stts, imprmnt_stts_prvs, accmltd_imprmnt_instrmnt_prvs, MNTHL_TRNVR, CR_FLG, PD_EC_RD, EXCLDD_LF, PD_IFRS9_12M_RD_T1, PD_CRR_RD_T1</t>
  </si>
  <si>
    <t xml:space="preserve">dstntn_fnds, flln_angl_extndd_dfntn, flln_angl_nrrw_dfntn, grp_rorac, grp_rorwa, rorac, rorac, rorwa, rorwa, scan, ttl_lvrg_rt_incptn, ttl_prmssbl_dbt_blnc, typ_cl, typ_dl, typ_fclty, typ_off_blnc_prdct, us_prcds, pd_ec_incptn, pd_ec_rd, ttl_lvrg_rt_incptn_hlt, dt_mdfctn, rot	grp_spprt, flg_rqst_emrgncy_fndng, fld_syndctn, rtntn_shr, stts_undrwrttn_trnsctn, syndct_rl, syndctd_agnt, syndctd_cntrct_id, syndctd_lndrs, syndctd_shr, syndctn_typ, trnch, accrd_intrst_instrmnt, amnt_d_at_mtrty, dflt_stts_instrmnt, dt_extrnl_rtng, dt_frbrnc_stts, ec_grp_id, ec_grp_nm, extrnl_rtng, extrnl_rtng_nm, extrnl_rtng_prvs, fr_csh_flw, fr_csh_flw_t1, fr_csh_flw_t2, fr_csh_flw_t3, frbrnc_stts_instrmnt, ent	rcvd_intrst_12m, ent	rcvd_intrst_24m, ttl_intrst_pd, cntry, ecnmc_actvty, rtng_scl, dbt_rpymnt_cpcty_ttl, prfrmng_stts_prvs, dbt_rpymnt_cpcty_snr_dbt, flg_lbo, lvrg_fnnc_flg, dt_dflt_stts_instrmnt, dt_intrnl_rtng, dt_intrnl_rtng, dt_lgl_fnl_mtrty, ead, idcmb, intrnl_rtng, intrnl_rtng, intrnl_rtng_incptn, intrnl_rtng_prvs, mn_entty_id, pd_crr_incptn, rtng_mthd, rtng_mthd, arrrs_instrmnt, dt_incptn, dt_pst_d, entty_id, ntity	entty_id, lgl_prcdng_stts_le, off_blnc_sht_amnt_instrmnt, otstndng_nmnl_amnt_instrmnt, pd_crr_rd, pd_ifrs9_12m_rd, rcvd_amrtstn_12m, </t>
  </si>
  <si>
    <t>SRCS_ENCMBRNC, HIERARCHY, IMMEDIATE_PARENT_UNDERTAKING_ID, ULTIMATE_PARENT_UNDERTAKING_ID, NOMINAL_INTEREST_RATE_FEE, COLLATERAL_PORTFOLIO, COLLATERAL_POSTED, COLLATERAL_POSTED_CURRENCY, COLLATERAL_RECEIVED, COLLATERAL_RECEIVED_CURRENCY, LEG_1_REFERENCE_PERIOD, LEG_2_REFERENCE_PERIOD, HEDGE_ID, SECURITY_RATING, LEGAL_FORM</t>
  </si>
  <si>
    <t>GRSS_INTRST_INCM, GRSS_CMMSSN_INCM, GRSS_CMMSSN_EXPNS, GRSS_CMMSSN_INCM_OFF_BLNC, GRSS_CMMSSN_EXPNS_OFF_BLNC, GRSS_INTRST_EXPNS, AVRG_BLNC, INTRNL_TRNSFR_RT, NT_LN_LSS_PRVSN, GNS_FNNCL_TRNSCTN_EXCHNG_DFFRNCS, AVRG_BLNC_OFF_BLNC, NT_LN_LSS_PRVSN_OFF_BLNC, FLG_INTRBSNSS, BSNSS_AREA_CCRR</t>
  </si>
  <si>
    <t>BLOCO 5</t>
  </si>
  <si>
    <t>BLOCO 6</t>
  </si>
  <si>
    <t xml:space="preserve">SELECT typ_off_blnc_prdct, count(*) -- 4280182
FROM 
(
SELECT LT002.instrmnt_id, CASE WHEN (lt002.off_blnc_sht_amnt_instrmnt = 0 AND lt002.prvsns_off_blnc_sht = 0) THEN 'N/A' 
ELSE NVL(lt001.typ_off_blnc_prdct, 'MISS') END AS typ_off_blnc_prdct
FROM
(SELECT instrmnt_id, off_blnc_sht_amnt_instrmnt,prvsns_off_blnc_sht
FROM bu_loantape_work.lt002_instrument
WHERE nome_perimetro = '${perimetro}'
AND segmento = 'ESTR'
AND ref_date = '${date}'
AND ambito = 'PM' and entidade='00100'
-- and instrmnt_id = 'SNCN00030963'
AND cod_visao = 1) LT002 --4280182
LEFT JOIN
   (select * 
   from bu_loantape_work.kt_chaves_lt
WHERE nome_perimetro = '${perimetro}'
  AND segmento = 'ESTR'
  AND ref_date = '${date}'
  AND ambito = 'PM'
  AND entidade = '00100' 
--   AND instrmnt_id ='SNCN00030963'
  ) kt_chaves_lt 
  ON lt002.instrmnt_id=kt_chaves_lt.instrmnt_id
  LEFT JOIN
  (SELECT chave_FR, MIN(typ_off_blnc_prdct) as typ_off_blnc_prdct
  FROM
    (SELECT CONCAT(cempresa, cbalcao, cnumecta, zdeposit) AS chave_FR,
            idcomb_lt_inicial,
            CASE
                WHEN idcomb_lt_inicial LIKE '%MC41%' THEN 'MC41'
                WHEN idcomb_lt_inicial LIKE '%MC42%' THEN 'MC42'
                WHEN idcomb_lt_inicial LIKE '%MC4301%' THEN 'MC4301'
                WHEN idcomb_lt_inicial LIKE '%MC4302%' THEN 'MC4302'
                ELSE 'MISS'
            END AS typ_off_blnc_prdct
     FROM bu_loantape_work.lt001_univ_oper
     WHERE nome_perimetro = '${perimetro}'
       AND segmento = 'ESTR'
       AND ref_date = '${date}'
       AND ambito = 'PM'
       AND entidade='00100'
    --   AND CONCAT(cempresa, cbalcao, cnumecta, zdeposit) = '31CMAHIFRN0000000100I58900139SC0'
     GROUP BY 1,
              2,
              3 ) lt001 
    GROUP BY chave_FR)LT001
    ON concat(kt_chaves_lt.cempresa,kt_chaves_lt.cbalcao,kt_chaves_lt.cnumecta,kt_chaves_lt.zdeposit)= lt001.chave_FR
) X 
group by 1 </t>
  </si>
  <si>
    <t>Teste em CD</t>
  </si>
  <si>
    <t>Existem 9 contratos com valor negativo</t>
  </si>
  <si>
    <t>Variação vs PdS anterior</t>
  </si>
  <si>
    <t>"Loan to income (LTI)" shall be larger than 0; Negative values trigger attention</t>
  </si>
  <si>
    <t>Versão de Produção</t>
  </si>
  <si>
    <t>1 controlo vs PRSN_TYP - Já corrigido a futuro nas Ics para Agosto
Controlo que compara o SME_FNRP18 com ENTRPRS_SZ, vai ser discontinuado</t>
  </si>
  <si>
    <t>SELECT LT002.instrmnt_id, IFRS.contract_id, ifrs9_ead, ifrs9_ead_simulado
FROM
(SELECT *
   FROM cd_loan_tapes_bce.lt002_instrument
   WHERE ref_date='2025-06-30'
     AND nome_perimetro= 'Individual IDComb'
     AND segmento= 'ESTR'
     AND ambito= 'PM'
     AND entidade='00100'
     AND cod_visao = 1
--  And instrmnt_id='310001002006062730000000000000PC'
 ) LT002
INNER JOIN 
(SELECT *
FROM cd_captools.kt_chaves_finrep
WHERE ref_date = '2025-06-30'
-- AND CONCAT(CEMPRESA_FR, CBALCAO_FR, CNUMECTA_FR, ZDEPOSIT_FR) ='310001002006062730000000000000PC'
) KT_MASTER
ON INSTRMNT_ID = CONCAT(CEMPRESA_FR, CBALCAO_FR, CNUMECTA_FR, ZDEPOSIT_FR)
INNER JOIN 
(SELECT *
FROM cd_captools.kt_chaves_ifrs9
WHERE ref_date = '2025-06-30'
-- AND CONCAT(CEMPRESA, CBALCAO, CNUMECTA, ZDEPOSIT) = '31000100200606273000000000000000' 
) KT_IFRS9
ON CONCAT(KT_MASTER.CEMPRESA, KT_MASTER.CBALCAO, KT_MASTER.CNUMECTA, KT_MASTER.ZDEPOSIT) =  CONCAT(KT_IFRS9.CEMPRESA, KT_IFRS9.CBALCAO, KT_IFRS9.CNUMECTA, KT_IFRS9.ZDEPOSIT)
LEFT JOIN 
(SELECT contract_id, Round(ead_final,2) as ifrs9_ead_simulado
FROM
(SELECT contract_id, ead_final, exec_id_part
From BU_IFRS9.ifrs9_out_staging_8_7
-- Where contract_id ='000100200606273000000000000000'
) 8_7
INNER JOIN
(SELECT exec_id_part, cmes
FROM cd_captools.imcatf046_flag_fecho
Where cmes ='202506') imcat
ON 8_7.exec_id_part = imcat.exec_id_part) IFRS
ON KT_IFRS9.contract_id = IFRS.contract_id
Where ifrs9_ead_simulado &lt;&gt; ifrs9_ead</t>
  </si>
  <si>
    <t>Testar após implementação</t>
  </si>
  <si>
    <t>1 Controlo NOK - Proteções a zero (Está a ser desenvolvido pela equipa do Henrique Amaral um projeto de recuperação de documentação</t>
  </si>
  <si>
    <t>Controlo NOK - alterar especificação onde se incluí a condição de N/A  quando o prsn_typ = L</t>
  </si>
  <si>
    <t>Campo necessita ser revisto devido a controlos NOK</t>
  </si>
  <si>
    <t>US_PRCDS</t>
  </si>
  <si>
    <t>TYP_FCLTY</t>
  </si>
  <si>
    <t>TYP_DL</t>
  </si>
  <si>
    <t>TYP_CL</t>
  </si>
  <si>
    <t>TTL_PRMSSBL_DBT_BLNC</t>
  </si>
  <si>
    <t>TTL_LVRG_RT_INCPTN_HLT</t>
  </si>
  <si>
    <t>TTL_LVRG_RT_INCPTN</t>
  </si>
  <si>
    <t>SCAN</t>
  </si>
  <si>
    <t>RWA_PRMTGTN</t>
  </si>
  <si>
    <t>RWA_MTGTN</t>
  </si>
  <si>
    <t>RORWA</t>
  </si>
  <si>
    <t>RORAC</t>
  </si>
  <si>
    <t>GRP_SPPRT</t>
  </si>
  <si>
    <t>GRP_RORWA</t>
  </si>
  <si>
    <t>GRP_RORAC</t>
  </si>
  <si>
    <t>FLLN_ANGL_NRRW_DFNTN</t>
  </si>
  <si>
    <t>FLLN_ANGL_EXTNDD_DFNTN</t>
  </si>
  <si>
    <t>DT_MDFCTN</t>
  </si>
  <si>
    <t>DSTNTN_FNDS</t>
  </si>
  <si>
    <t>INSTR_PROT</t>
  </si>
  <si>
    <t>Pendência do campo dflt_stts_instrmnt</t>
  </si>
  <si>
    <t>Necessário implementar especificação enviada por GF no dia 15/09/2025</t>
  </si>
  <si>
    <t>Campo todo marcado a N/A</t>
  </si>
  <si>
    <t>LT_C_AC_005_01</t>
  </si>
  <si>
    <t>"Percentage of UoP"  should be a Numeric not null (default values for not applicable fields not allowed)</t>
  </si>
  <si>
    <t>INTRA_N1_AC</t>
  </si>
  <si>
    <t>NOT_NULL_NUM_NA</t>
  </si>
  <si>
    <t>LT_C_AC</t>
  </si>
  <si>
    <t>LT_C_AC_006_01</t>
  </si>
  <si>
    <t>"Environmental objective" should be a Numeric not null (default values for not applicable fields not allowed)</t>
  </si>
  <si>
    <t>ENVRNMNTL_OBJCTV</t>
  </si>
  <si>
    <t>LT_C_AC_008_01</t>
  </si>
  <si>
    <t>"Sustainable Indicator" should be a Char not null (default values not allowed)</t>
  </si>
  <si>
    <t>SSTNBL_INDCTR</t>
  </si>
  <si>
    <t>NOT_NULL_NA</t>
  </si>
  <si>
    <t>LT_C_AC_009_01</t>
  </si>
  <si>
    <t>"Substantial contribution compliance" should be a Char not null (default values for not applicable fields not allowed)</t>
  </si>
  <si>
    <t>FLG_SBSTNTL_CNTRBTN</t>
  </si>
  <si>
    <t>LT_C_AC_010_01</t>
  </si>
  <si>
    <t>"DNSH compliance" should be a Char not null (default values for not applicable fields not allowed)</t>
  </si>
  <si>
    <t>FLG_DNSH_CMPLNC</t>
  </si>
  <si>
    <t>LT_C_EN_002_01</t>
  </si>
  <si>
    <t>"Country of counterparty residence" should be a Char not null (default values for not applicable fields not allowed)</t>
  </si>
  <si>
    <t>INTRA_N1_EN</t>
  </si>
  <si>
    <t>LT_C_EN</t>
  </si>
  <si>
    <t>LT_C_EN_003_01</t>
  </si>
  <si>
    <t>"Birth date counterparty" should be a Date not null (Not Applicable values not allowed)</t>
  </si>
  <si>
    <t>NOT_NULL_DATE_NA</t>
  </si>
  <si>
    <t>LT_C_EN_010_01</t>
  </si>
  <si>
    <t>"Entity ID" should be a Char not null (default values not allowed)</t>
  </si>
  <si>
    <t>NOT_NULL_CHAR</t>
  </si>
  <si>
    <t>LT_C_EN_016_01</t>
  </si>
  <si>
    <t>"Name Counterparty" should be a Char not null (default values for not applicable fields not allowed)</t>
  </si>
  <si>
    <t>LT_C_EN_036_01</t>
  </si>
  <si>
    <t>"Request by the debtor for emergency funding from the bank" should be a Char not null (default values for not applicable fields not allowed)</t>
  </si>
  <si>
    <t>LT_C_EN_110_01</t>
  </si>
  <si>
    <t>"Flag of CSRD applicability at counterparty level" should be a Char not null (default values not allowed)</t>
  </si>
  <si>
    <t>FLG_CSRD_APPLCBLTY</t>
  </si>
  <si>
    <t>LT_C_EN_111_01</t>
  </si>
  <si>
    <t>"Flag of CSRD applicability at Group Level" should be a Char not null (default values not allowed)</t>
  </si>
  <si>
    <t>FLG_GRP_CSRD_APPLCBLTY</t>
  </si>
  <si>
    <t>LT_C_EN_118_01</t>
  </si>
  <si>
    <t>"Flag Excluded from EU Paris-aligned benchmark" should be a Char not null (default values not allowed)</t>
  </si>
  <si>
    <t>FLG_EXCLDD_EU_PRS_ALGND_BNCHMRK</t>
  </si>
  <si>
    <t>LT_C_EN_122_01</t>
  </si>
  <si>
    <t>"Flag Acute Physical Risk at entity level" should be a Char not null (default values not allowed)</t>
  </si>
  <si>
    <t>FLG_ACT_PHYSCL_RSK</t>
  </si>
  <si>
    <t>LT_C_EN_123_01</t>
  </si>
  <si>
    <t>"Flag Chronic Physical Risk at entity level" should be a Char not null (default values not allowed)</t>
  </si>
  <si>
    <t>FLG_CHRNC_PHYSCL_RSK</t>
  </si>
  <si>
    <t>LT_C_EN_139_01</t>
  </si>
  <si>
    <t>"Fallen Angel narrow definition" should be a Char not null (default values not allowed)</t>
  </si>
  <si>
    <t>LT_C_EN_140_01</t>
  </si>
  <si>
    <t>"Fallen Angel extended definition" should be a Char not null (default values not allowed)</t>
  </si>
  <si>
    <t>LT_C_IE_003_01</t>
  </si>
  <si>
    <t>INTRA_N1_IE</t>
  </si>
  <si>
    <t>LT_C_IE</t>
  </si>
  <si>
    <t>LT_C_IE_004_01</t>
  </si>
  <si>
    <t>"Instrument ID" should be a Char not null (default values not allowed)</t>
  </si>
  <si>
    <t>LT_C_IE_006_01</t>
  </si>
  <si>
    <t>LT_C_IN_003_01</t>
  </si>
  <si>
    <t>INTRA_N1_IN</t>
  </si>
  <si>
    <t>LT_C_IN</t>
  </si>
  <si>
    <t>LT_C_IN_004_01</t>
  </si>
  <si>
    <t>"Flag of SMEs" should be a Char not null (default values for not applicable fields not allowed)</t>
  </si>
  <si>
    <t>LT_C_IN_005_01</t>
  </si>
  <si>
    <t>LT_C_IN_006_01</t>
  </si>
  <si>
    <t>"Flag of Credit for consumption" should be a Char not null (default values for not applicable fields not allowed)</t>
  </si>
  <si>
    <t>LT_C_IN_008_01</t>
  </si>
  <si>
    <t>LT_C_IN_009_01</t>
  </si>
  <si>
    <t>"Contract ID" should be a Char not null (default values not allowed)</t>
  </si>
  <si>
    <t>LT_C_IN_010_01</t>
  </si>
  <si>
    <t>"Currency denomination" should be a Char not null (default values for not applicable fields not allowed)</t>
  </si>
  <si>
    <t>LT_C_IN_011_01</t>
  </si>
  <si>
    <t>"Date of inception" should be a Date not null (default values for not applicable fields not allowed)</t>
  </si>
  <si>
    <t>LT_C_IN_012_01</t>
  </si>
  <si>
    <t>"Observed agent identifier" should be a Char not null (default values not allowed)</t>
  </si>
  <si>
    <t>LT_C_IN_013_01</t>
  </si>
  <si>
    <t>"Observed Agent Name" should be a Char not null (default values not allowed)</t>
  </si>
  <si>
    <t>LT_C_IN_021_01</t>
  </si>
  <si>
    <t>"Date of default status" should be a Date not null (default values for not applicable fields not allowed)</t>
  </si>
  <si>
    <t>LT_C_IN_024_01</t>
  </si>
  <si>
    <t>"Date of forbearance status" should be a Date not null (default values for not applicable fields not allowed)</t>
  </si>
  <si>
    <t>LT_C_IN_025_01</t>
  </si>
  <si>
    <t>"Date of previous forbearance status" should be a Date not null (default values for not applicable fields not allowed)</t>
  </si>
  <si>
    <t>LT_C_IN_027_01</t>
  </si>
  <si>
    <t>"Date of performing status" should be a Date not null (default values for not applicable fields not allowed)</t>
  </si>
  <si>
    <t>LT_C_IN_032_01</t>
  </si>
  <si>
    <t>"Flag for leverage buy-out transactions" should be a Char not null (default values for not applicable fields not allowed)</t>
  </si>
  <si>
    <t>LT_C_IN_044_01</t>
  </si>
  <si>
    <t>"Performing status" should be a Numeric not null (default values for not applicable fields not allowed)</t>
  </si>
  <si>
    <t>LT_C_IN_055_01</t>
  </si>
  <si>
    <t>"Type of instrument" should be a Numeric not null (default values for not applicable fields not allowed)</t>
  </si>
  <si>
    <t>LT_C_IN_056_01</t>
  </si>
  <si>
    <t>"Type of interest rate" should be a Numeric not null (default values for not applicable fields not allowed)</t>
  </si>
  <si>
    <t>LT_C_IN_057_01</t>
  </si>
  <si>
    <t>"Type of mortgage" should be a Numeric not null (default values for not applicable fields not allowed)</t>
  </si>
  <si>
    <t>LT_C_IN_085_01</t>
  </si>
  <si>
    <t>"RWA" should be a Numeric not null (default values for not applicable fields not allowed)</t>
  </si>
  <si>
    <t>LT_C_IN_185_01</t>
  </si>
  <si>
    <t>"Leverage finance flag" should be a Char not null (default values for not applicable fields not allowed)</t>
  </si>
  <si>
    <t>LT_C_IN_193_01</t>
  </si>
  <si>
    <t>"Local Instrument ID" should be a Char not null (default values not allowed)</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</si>
  <si>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</si>
  <si>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</si>
  <si>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</si>
  <si>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</si>
  <si>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</si>
  <si>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</si>
  <si>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LT_C_IN_203_01</t>
  </si>
  <si>
    <t>"Management Product" should be a Char not null (default values for not applicable fields not allowed)</t>
  </si>
  <si>
    <t>MNGMNT_PRDCT</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</si>
  <si>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</si>
  <si>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</si>
  <si>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</si>
  <si>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</si>
  <si>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</si>
  <si>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</si>
  <si>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LT_C_IN_226_01</t>
  </si>
  <si>
    <t>"Risk Mitigated CCT" should be a Char not null (default values for not applicable fields not allowed)</t>
  </si>
  <si>
    <t>RSK_MTGTD_CCT</t>
  </si>
  <si>
    <t>LT_C_IN_227_01</t>
  </si>
  <si>
    <t>"Risk Mitigated CCP" should be a Char not null (default values for not applicable fields not allowed)</t>
  </si>
  <si>
    <t>RSK_MTGTD_CCP</t>
  </si>
  <si>
    <t>LT_C_IN_245_01</t>
  </si>
  <si>
    <t>"Transferred amount" should be a Numeric not null (default values for not applicable fields not allowed)</t>
  </si>
  <si>
    <t>LT_C_IN_246_01</t>
  </si>
  <si>
    <t>"Type of securitization" should be a Char not null (default values for not applicable fields not allowed)</t>
  </si>
  <si>
    <t>LT_C_IN_249_01</t>
  </si>
  <si>
    <t>"Flag default (CRR Exposure class)" should be a Char not null (default values for not applicable fields not allowed)</t>
  </si>
  <si>
    <t>LT_C_IN_250_01</t>
  </si>
  <si>
    <t>"Flag high risk (CRR Exposure class)" should be a Char not null (default values for not applicable fields not allowed)</t>
  </si>
  <si>
    <t>LT_C_IN_252_01</t>
  </si>
  <si>
    <t>"RWA for exposures subject to credit risk mitigation techniques" should be a Numeric not null (default values for not applicable fields not allowed)</t>
  </si>
  <si>
    <t>LT_C_IN_253_01</t>
  </si>
  <si>
    <t>"RWA premitigation" should be a Numeric not null (default values for not applicable fields not allowed)</t>
  </si>
  <si>
    <t>LT_C_IN_254_01</t>
  </si>
  <si>
    <t>"Use of proceeds" should be a Char not null (default values for not applicable fields not allowed)</t>
  </si>
  <si>
    <t>LT_C_IN_258_01</t>
  </si>
  <si>
    <t>"Minimum safeguards flag" should be a Char not null (default values for not applicable fields not allowed)</t>
  </si>
  <si>
    <t>FLG_MNMM_SFGRDS</t>
  </si>
  <si>
    <t>LT_C_IP_003_01</t>
  </si>
  <si>
    <t>INTRA_N1_IP</t>
  </si>
  <si>
    <t>LT_C_IP</t>
  </si>
  <si>
    <t>LT_C_IP_004_01</t>
  </si>
  <si>
    <t>"Protection ID" should be a Char not null (default values not allowed)</t>
  </si>
  <si>
    <t>LT_C_IP_005_01</t>
  </si>
  <si>
    <t>"Protection allocated value" should be a Numeric not null (default values for not applicable fields not allowed)</t>
  </si>
  <si>
    <t>LT_C_IP_007_01</t>
  </si>
  <si>
    <t>"Type of relation" should be a Char not null (default values not allowed)</t>
  </si>
  <si>
    <t>TYP_RLTN</t>
  </si>
  <si>
    <t>LT_C_IP_008_01</t>
  </si>
  <si>
    <t>"Group support" should be a Char not null (default values for not applicable fields not allowed)</t>
  </si>
  <si>
    <t>LT_C_PR_005_01</t>
  </si>
  <si>
    <t>INTRA_N1_PR</t>
  </si>
  <si>
    <t>LT_C_PR</t>
  </si>
  <si>
    <t>LT_C_PR_014_01</t>
  </si>
  <si>
    <t>"Protection type" should be a Numeric not null (default values for not applicable fields not allowed)</t>
  </si>
  <si>
    <t>LT_C_PR_056_01</t>
  </si>
  <si>
    <t>"Flag Acute Physical Risk at protection level" should be a Char not null (default values not allowed)</t>
  </si>
  <si>
    <t>LT_C_PR_057_01</t>
  </si>
  <si>
    <t>"Flag Chronic Physical Risk at protection level" should be a Char not null (default values not allowed)</t>
  </si>
  <si>
    <t>LT_C_PR_062_01</t>
  </si>
  <si>
    <t>"Flag first home" should be a Char not null (default values not allowed)</t>
  </si>
  <si>
    <t>FLG_FRST_HM</t>
  </si>
  <si>
    <t>LT_C_PR_076_01</t>
  </si>
  <si>
    <t>"Flag of electric vehicle" should be a Char not null (default values for not applicable fields not allowed)</t>
  </si>
  <si>
    <t>FLG_ELCTRC_VHCL</t>
  </si>
  <si>
    <t>LT_D_AC_003_01</t>
  </si>
  <si>
    <t>Duplicates by "Instrument ID" and "Sustainable Category" in INSTR_ACTVTY table</t>
  </si>
  <si>
    <t>DUPLICATES FUNCTIONAL</t>
  </si>
  <si>
    <t>LT_D_</t>
  </si>
  <si>
    <t>LT_D_EN_010_01</t>
  </si>
  <si>
    <t>Duplicates by "Entity ID" in ENTITY table</t>
  </si>
  <si>
    <t>DUPLICATES PK</t>
  </si>
  <si>
    <t>LT_D_EN_085_01</t>
  </si>
  <si>
    <t>Duplicates by "Fiscal ID" in ENTITY table</t>
  </si>
  <si>
    <t>LT_D_IE_003_01</t>
  </si>
  <si>
    <t>Duplicates by "Entity ID" and "Instrument ID" in INSTR_ENTITY table</t>
  </si>
  <si>
    <t>LT_D_IN_008_01</t>
  </si>
  <si>
    <t>Duplicates by "Instrument ID" in INSTRUMENT table</t>
  </si>
  <si>
    <t>LT_D_IP_003_01</t>
  </si>
  <si>
    <t>Duplicates by "Instrument ID" and "Protection ID" in INSTR_PROTECTION table</t>
  </si>
  <si>
    <t>LT_D_PR_004_01</t>
  </si>
  <si>
    <t>LT_D_PR_005_01</t>
  </si>
  <si>
    <t>Duplicates by "Protection ID" in PROTECTION table</t>
  </si>
  <si>
    <t>LT_D_PR_039_01</t>
  </si>
  <si>
    <t>Duplicates by "Fiscal ID" in PROTECTION table</t>
  </si>
  <si>
    <t>LT_F_AC_001_01</t>
  </si>
  <si>
    <t>"Entity code of the informing society." should have Char format (variable length allowed between 1 and 5 characters)</t>
  </si>
  <si>
    <t>LT_F_AC</t>
  </si>
  <si>
    <t>LT_F_AC_002_01</t>
  </si>
  <si>
    <t>"Reference date" must have a Date format (yyyy-mm-dd)</t>
  </si>
  <si>
    <t>FORMAT_DATE</t>
  </si>
  <si>
    <t>LT_F_AC_003_01</t>
  </si>
  <si>
    <t>"Instrument ID" should have Char format (variable length allowed between 1 and 60 characters)</t>
  </si>
  <si>
    <t>FORMAT_CHAR</t>
  </si>
  <si>
    <t>LT_F_AC_004_01</t>
  </si>
  <si>
    <t>"Sustainable Category Green (specific purpose) and General (general purpose)" should match the information on the Codelist</t>
  </si>
  <si>
    <t>SSTNBL_CTGRY</t>
  </si>
  <si>
    <t>LISTA</t>
  </si>
  <si>
    <t>LT_F_AC_005_01</t>
  </si>
  <si>
    <t>"Percentage of UoP" should have a Format numeric (6 decimal places)</t>
  </si>
  <si>
    <t>FORMAT_NUM</t>
  </si>
  <si>
    <t>LT_F_AC_006_01</t>
  </si>
  <si>
    <t>"Environmental objective" should match the information on the Codelist</t>
  </si>
  <si>
    <t>LT_F_AC_007_01</t>
  </si>
  <si>
    <t>"Type of activity" should match the information on the Codelist</t>
  </si>
  <si>
    <t>TYP_ACTVTY</t>
  </si>
  <si>
    <t>LT_F_AC_008_01</t>
  </si>
  <si>
    <t>"Sustainable Indicator" should match the information on the Codelist</t>
  </si>
  <si>
    <t>LT_F_AC_009_01</t>
  </si>
  <si>
    <t>"Substantial contribution compliance" should match the information on the Codelist</t>
  </si>
  <si>
    <t>LT_F_AC_010_01</t>
  </si>
  <si>
    <t>"DNSH compliance" should match the information on the Codelist</t>
  </si>
  <si>
    <t>LT_F_AC_011_01</t>
  </si>
  <si>
    <t>"DNSH detail" should match the information on the Codelist, with a limit of 5 possible values</t>
  </si>
  <si>
    <t>DNSH_DTL</t>
  </si>
  <si>
    <t>LT_F_EN_001_01</t>
  </si>
  <si>
    <t>"Entity code of the informing society." should match the information on the Codelist</t>
  </si>
  <si>
    <t>LT_F_EN</t>
  </si>
  <si>
    <t>LT_F_EN_002_01</t>
  </si>
  <si>
    <t>"Country of counterparty residence" should match the information on the Codelist</t>
  </si>
  <si>
    <t>LT_F_EN_003_01</t>
  </si>
  <si>
    <t>"Birth date counterparty" must have a Date format (yyyy-mm-dd)</t>
  </si>
  <si>
    <t>LT_F_EN_004_01</t>
  </si>
  <si>
    <t>"Date of default status" must have a Date format (yyyy-mm-dd)</t>
  </si>
  <si>
    <t>LT_F_EN_005_01</t>
  </si>
  <si>
    <t>"Date of financial statements" must have a Date format (yyyy-mm-dd)</t>
  </si>
  <si>
    <t>LT_F_EN_006_01</t>
  </si>
  <si>
    <t>"Date of previous fiscal year financial statements" must have a Date format (yyyy-mm-dd)</t>
  </si>
  <si>
    <t>LT_F_EN_007_01</t>
  </si>
  <si>
    <t>"Date of initiation of legal proceedings counterparty (LE)" must have a Date format (yyyy-mm-dd)</t>
  </si>
  <si>
    <t>LT_F_EN_008_01</t>
  </si>
  <si>
    <t>"Date of performing status" must have a Date format (yyyy-mm-dd)</t>
  </si>
  <si>
    <t>LT_F_EN_009_01</t>
  </si>
  <si>
    <t>"Reference date." must have a Date format (yyyy-mm-dd)</t>
  </si>
  <si>
    <t>LT_F_EN_010_01</t>
  </si>
  <si>
    <t>"Entity ID" should have Char format (variable length allowed between 1 and 255 characters)</t>
  </si>
  <si>
    <t>LT_F_EN_011_01</t>
  </si>
  <si>
    <t>"Identifier for the parent entity of a group of connected clients" should have Char format (variable length allowed between 1 and 255 characters)</t>
  </si>
  <si>
    <t>LT_F_EN_012_01</t>
  </si>
  <si>
    <t>"Name of the parent entity of a group of connected clients" should have Char format (variable length allowed between 1 and 255 characters)</t>
  </si>
  <si>
    <t>LT_F_EN_013_01</t>
  </si>
  <si>
    <t>"Internal code for segment/portfolio" should have Char format (variable length allowed between 1 and 255 characters)</t>
  </si>
  <si>
    <t>LT_F_EN_014_01</t>
  </si>
  <si>
    <t>"Internal code for business line/unit" should have Char format (variable length allowed between 1 and 255 characters)</t>
  </si>
  <si>
    <t>LT_F_EN_015_01</t>
  </si>
  <si>
    <t>"Legal entity identifier Counterparty" should have Char format (variable length allowed between 1 and 20 characters)</t>
  </si>
  <si>
    <t>LT_F_EN_016_01</t>
  </si>
  <si>
    <t>"Name Counterparty" should have Char format (variable length allowed between 1 and 255 characters)</t>
  </si>
  <si>
    <t>LT_F_EN_017_01</t>
  </si>
  <si>
    <t>"Name of external rating agency" should have Char format (variable length allowed between 1 and 255 characters)</t>
  </si>
  <si>
    <t>LT_F_EN_018_01</t>
  </si>
  <si>
    <t>"Accounting standard counterparty" should match the information on the Codelist</t>
  </si>
  <si>
    <t>LT_F_EN_019_01</t>
  </si>
  <si>
    <t>"Cure flag for entity which was classified as non-performing in the last 1.5 years and is classified as performing at the reference date" should match the information on the Codelist</t>
  </si>
  <si>
    <t>LT_F_EN_020_01</t>
  </si>
  <si>
    <t>"Entity deceased" should match the information on the Codelist</t>
  </si>
  <si>
    <t>LT_F_EN_021_01</t>
  </si>
  <si>
    <t>"Default status of the entity" should match the information on the Codelist</t>
  </si>
  <si>
    <t>LT_F_EN_022_01</t>
  </si>
  <si>
    <t>"Date of external rating" must have a Date format (yyyy-mm-dd)</t>
  </si>
  <si>
    <t>LT_F_EN_023_01</t>
  </si>
  <si>
    <t>"Date of internal rating" must have a Date format (yyyy-mm-dd)</t>
  </si>
  <si>
    <t>LT_F_EN_024_01</t>
  </si>
  <si>
    <t>"Economic activity counterparty" should match the information on the Codelist</t>
  </si>
  <si>
    <t>LT_F_EN_025_01</t>
  </si>
  <si>
    <t>"Employment status according to bank-internal classification" should have Char format (variable length allowed between 1 and 255 characters)</t>
  </si>
  <si>
    <t>LT_F_EN_026_01</t>
  </si>
  <si>
    <t>"Employment status (Code List)" should match the information on the Codelist</t>
  </si>
  <si>
    <t>LT_F_EN_027_01</t>
  </si>
  <si>
    <t>LT_F_EN_028_01</t>
  </si>
  <si>
    <t>"External rating" should match the information on the Codelist</t>
  </si>
  <si>
    <t>LT_F_EN_029_01</t>
  </si>
  <si>
    <t>"External rating T-1" should match the information on the Codelist</t>
  </si>
  <si>
    <t>LT_F_EN_030_01</t>
  </si>
  <si>
    <t>"Any legal entity within the group of connected clients of the debtor (incl. subsidiaries of the debtor) has filed bankruptcy application" should match the information on the Codelist</t>
  </si>
  <si>
    <t>LT_F_EN_031_01</t>
  </si>
  <si>
    <t>"5Y CDS &gt; 1,000bps over the last 12 months" should match the information on the Codelist</t>
  </si>
  <si>
    <t>LT_F_EN_032_01</t>
  </si>
  <si>
    <t>"ISDA credit event declared" should match the information on the Codelist</t>
  </si>
  <si>
    <t>LT_F_EN_033_01</t>
  </si>
  <si>
    <t>"Credit obligation on non-accrual status" should match the information on the Codelist</t>
  </si>
  <si>
    <t>LT_F_EN_034_01</t>
  </si>
  <si>
    <t>"Request by the institution for the obligor's bankruptcy" should match the information on the Codelist</t>
  </si>
  <si>
    <t>LT_F_EN_035_01</t>
  </si>
  <si>
    <t>"Request for current concession of forbearance measures as defined in EBA/ITS/2013/03 resulting in distressed restructuring of the credit obligation" should match the information on the Codelist</t>
  </si>
  <si>
    <t>LT_F_EN_036_01</t>
  </si>
  <si>
    <t>"Request by the debtor for emergency funding from the bank" should match the information on the Codelist</t>
  </si>
  <si>
    <t>LT_F_EN_037_01</t>
  </si>
  <si>
    <t>"Sell of a credit obligation with material credit related economic loss (&gt;= 5%)" should match the information on the Codelist</t>
  </si>
  <si>
    <t>LT_F_EN_038_01</t>
  </si>
  <si>
    <t>"Income self-certified" should match the information on the Codelist</t>
  </si>
  <si>
    <t>LT_F_EN_039_01</t>
  </si>
  <si>
    <t>"Internal rating at reference date" should match the information on the Codelist (internal codelist used locally)</t>
  </si>
  <si>
    <t>LT_F_EN_040_01</t>
  </si>
  <si>
    <t>"Previous internal rating" should match the information on the Codelist (internal codelist used locally)</t>
  </si>
  <si>
    <t>LT_F_EN_041_01</t>
  </si>
  <si>
    <t>"Legal proceedings status Counterparty (LE)" should match the information on the Codelist</t>
  </si>
  <si>
    <t>LT_F_EN_042_01</t>
  </si>
  <si>
    <t>"&gt;50% owned by a sponsor as per ECB Guidance on leveraged transactions" should match the information on the Codelist</t>
  </si>
  <si>
    <t>LT_F_EN_043_01</t>
  </si>
  <si>
    <t>"Performing status" should match the information on the Codelist</t>
  </si>
  <si>
    <t>LT_F_EN_044_01</t>
  </si>
  <si>
    <t>"Rating method" should match the information on the Codelist</t>
  </si>
  <si>
    <t>LT_F_EN_045_01</t>
  </si>
  <si>
    <t>"Rating scale" should match the information on the Codelist</t>
  </si>
  <si>
    <t>LT_F_EN_046_01</t>
  </si>
  <si>
    <t>"Debtor on watch-list (Y/N)" should match the information on the Codelist</t>
  </si>
  <si>
    <t>LT_F_EN_047_01</t>
  </si>
  <si>
    <t>"Type of SPV debtor" should match the information on the Codelist</t>
  </si>
  <si>
    <t>LT_F_EN_048_01</t>
  </si>
  <si>
    <t>"Group's EBITDA at most recent reported figures" should have a Format numeric (2 decimal places)</t>
  </si>
  <si>
    <t>LT_F_EN_049_01</t>
  </si>
  <si>
    <t>"Group's Equity at most recent reported figures" should have a Format numeric (2 decimal places)</t>
  </si>
  <si>
    <t>LT_F_EN_050_01</t>
  </si>
  <si>
    <t>"Total net debt at most recent reported figures" should have a Format numeric (2 decimal places)</t>
  </si>
  <si>
    <t>LT_F_EN_051_01</t>
  </si>
  <si>
    <t>"Annual turnover counterparty (LE)" should have a Format numeric (2 decimal places)</t>
  </si>
  <si>
    <t>LT_F_EN_052_01</t>
  </si>
  <si>
    <t>"Annual turnover counterparty (LE) at previous reporting" should have a Format numeric (2 decimal places)</t>
  </si>
  <si>
    <t>LT_F_EN_053_01</t>
  </si>
  <si>
    <t>"Capital expenditures at most recent reported figures" should have a Format numeric (2 decimal places)</t>
  </si>
  <si>
    <t>LT_F_EN_054_01</t>
  </si>
  <si>
    <t>"Capital expenditures at previous reported figures" should have a Format numeric (2 decimal places)</t>
  </si>
  <si>
    <t>LT_F_EN_055_01</t>
  </si>
  <si>
    <t>"Collection mode" should match the information on the Codelist</t>
  </si>
  <si>
    <t>LT_F_EN_056_01</t>
  </si>
  <si>
    <t>"Cash and cash equivalents at most recent reported figures" should have a Format numeric (2 decimal places)</t>
  </si>
  <si>
    <t>LT_F_EN_057_01</t>
  </si>
  <si>
    <t>"Cash and cash equivalents at previous reported figures" should have a Format numeric (2 decimal places)</t>
  </si>
  <si>
    <t>LT_F_EN_058_01</t>
  </si>
  <si>
    <t>"EBITDA at latest reported figures" should have a Format numeric (2 decimal places)</t>
  </si>
  <si>
    <t>LT_F_EN_059_01</t>
  </si>
  <si>
    <t>"EBITDA at previous reported figures" should have a Format numeric (2 decimal places)</t>
  </si>
  <si>
    <t>LT_F_EN_060_01</t>
  </si>
  <si>
    <t>"Equity at most recent reported figures" should have a Format numeric (2 decimal places)</t>
  </si>
  <si>
    <t>LT_F_EN_061_01</t>
  </si>
  <si>
    <t>"Equity at previous reported figures" should have a Format numeric (2 decimal places)</t>
  </si>
  <si>
    <t>LT_F_EN_062_01</t>
  </si>
  <si>
    <t>"Group's Total debt at most recent reported figures" should have a Format numeric (2 decimal places)</t>
  </si>
  <si>
    <t>LT_F_EN_063_01</t>
  </si>
  <si>
    <t>"Goodwill at most recent reported figures" should have a Format numeric (2 decimal places)</t>
  </si>
  <si>
    <t>LT_F_EN_064_01</t>
  </si>
  <si>
    <t>"Goodwill at previous reported figures" should have a Format numeric (2 decimal places)</t>
  </si>
  <si>
    <t>LT_F_EN_065_01</t>
  </si>
  <si>
    <t>"Loan to income (LTI)" should have a Format numeric (6 decimal places)</t>
  </si>
  <si>
    <t>LT_F_EN_066_01</t>
  </si>
  <si>
    <t>"Leverage (net debt / EBITDA) at most recent reported figures" should have a Format numeric (6 decimal places)</t>
  </si>
  <si>
    <t>LT_F_EN_067_01</t>
  </si>
  <si>
    <t>"Leverage (net debt / EBITDA) at previous reported figures" should have a Format numeric (6 decimal places)</t>
  </si>
  <si>
    <t>LT_F_EN_068_01</t>
  </si>
  <si>
    <t>"Monthly income - other" should have a Format numeric (2 decimal places)</t>
  </si>
  <si>
    <t>LT_F_EN_069_01</t>
  </si>
  <si>
    <t>"Monthly income - salary" should have a Format numeric (2 decimal places)</t>
  </si>
  <si>
    <t>LT_F_EN_070_01</t>
  </si>
  <si>
    <t>"Average monthly turnover to bank account(s)" should have a Format numeric (2 decimal places)</t>
  </si>
  <si>
    <t>LT_F_EN_071_01</t>
  </si>
  <si>
    <t>"Net income at most recent reported figures" should have a Format numeric (2 decimal places)</t>
  </si>
  <si>
    <t>LT_F_EN_072_01</t>
  </si>
  <si>
    <t>"Net income at previous reported figures" should have a Format numeric (2 decimal places)</t>
  </si>
  <si>
    <t>LT_F_EN_073_01</t>
  </si>
  <si>
    <t>"Total debt at latest most recent reported figures" should have a Format numeric (2 decimal places)</t>
  </si>
  <si>
    <t>LT_F_EN_074_01</t>
  </si>
  <si>
    <t>"Total debt at previous reported figures" should have a Format numeric (2 decimal places)</t>
  </si>
  <si>
    <t>LT_F_EN_075_01</t>
  </si>
  <si>
    <t>"Debtor's total interest paid (over period for one year)" should have a Format numeric (2 decimal places)</t>
  </si>
  <si>
    <t>LT_F_EN_076_01</t>
  </si>
  <si>
    <t>"Leverage ratio as per ECB Guidance on leveraged transactions; total debt vs EBITDA" should have a Format numeric (6 decimal places)</t>
  </si>
  <si>
    <t>LT_F_EN_077_01</t>
  </si>
  <si>
    <t>"Leverage ratio at previous reported figures as per ECB Guidance on leveraged transactions; total debt vs EBITDA" should have a Format numeric (6 decimal places)</t>
  </si>
  <si>
    <t>LT_F_EN_078_01</t>
  </si>
  <si>
    <t>"Debt repayment capacity of senior secured debt as per ECB Guidance on leveraged transactions" should have a Format numeric (6 decimal places)</t>
  </si>
  <si>
    <t>LT_F_EN_079_01</t>
  </si>
  <si>
    <t>"Debt repayment capacity of the total debt as per ECB Guidance on leveraged transactions" should have a Format numeric (6 decimal places)</t>
  </si>
  <si>
    <t>LT_F_EN_080_01</t>
  </si>
  <si>
    <t>"Debt service coverage ratio" should have a Format numeric (6 decimal places)</t>
  </si>
  <si>
    <t>LT_F_EN_081_01</t>
  </si>
  <si>
    <t>"Debt service coverage ratio at the most recent reported figures prior to the reference date" should have a Format numeric (6 decimal places)</t>
  </si>
  <si>
    <t>LT_F_EN_082_01</t>
  </si>
  <si>
    <t>"Probability of default according to CRR at reference date" should have a Format numeric (6 decimal places)</t>
  </si>
  <si>
    <t>LT_F_EN_083_01</t>
  </si>
  <si>
    <t>"12-month PD at reporting date according to IFRS 9" should have a Format numeric (6 decimal places)</t>
  </si>
  <si>
    <t>LT_F_EN_084_01</t>
  </si>
  <si>
    <t>"12-month PD one year prior to the reporting date according to IFRS 9" should have a Format numeric (6 decimal places)</t>
  </si>
  <si>
    <t>LT_F_EN_085_01</t>
  </si>
  <si>
    <t>"Fiscal ID" should have Char format (variable length allowed between 1 and 255 characters)</t>
  </si>
  <si>
    <t>LT_F_EN_086_01</t>
  </si>
  <si>
    <t>"BDR Annual turnover counterparty (LE)" should have a Format numeric (2 decimal places)</t>
  </si>
  <si>
    <t>LT_F_EN_087_01</t>
  </si>
  <si>
    <t>"BDR Annual turnover counterparty (LE) at previous reporting" should have a Format numeric (2 decimal places)</t>
  </si>
  <si>
    <t>LT_F_EN_088_01</t>
  </si>
  <si>
    <t>"On-site inspection identifier" should have Char format (variable length allowed between 1 and 255 characters)</t>
  </si>
  <si>
    <t>LT_F_EN_089_01</t>
  </si>
  <si>
    <t>"Probability of default according to CRR one year prior to the reference date" should have a Format numeric (6 decimal places)</t>
  </si>
  <si>
    <t>LT_F_EN_090_01</t>
  </si>
  <si>
    <t>"Economic (financial) Group ID" should have Char format (variable length allowed between 1 and 255 characters)</t>
  </si>
  <si>
    <t>LT_F_EN_091_01</t>
  </si>
  <si>
    <t>"Economic (Financial) Group Name" should have Char format (variable length allowed between 1 and 255 characters)</t>
  </si>
  <si>
    <t>LT_F_EN_092_01</t>
  </si>
  <si>
    <t>"Post code / ZIP" should have Char format (variable length allowed between 1 and 255 characters)</t>
  </si>
  <si>
    <t>PST_CD</t>
  </si>
  <si>
    <t>LT_F_EN_093_01</t>
  </si>
  <si>
    <t>"ESG Subsector" should match the information on the Codelist</t>
  </si>
  <si>
    <t>ESG_SBSCTR</t>
  </si>
  <si>
    <t>LT_F_EN_094_01</t>
  </si>
  <si>
    <t>"Economic activity counterparty ESG" should match the information on the Codelist</t>
  </si>
  <si>
    <t>NACE_ESG</t>
  </si>
  <si>
    <t>LT_F_EN_095_01</t>
  </si>
  <si>
    <t>"Total Liabilities at latest most recent reported figures" should have a Format numeric (2 decimal places)</t>
  </si>
  <si>
    <t>TTL_LBLTY</t>
  </si>
  <si>
    <t>LT_F_EN_096_01</t>
  </si>
  <si>
    <t>"Taxonomy-eligible CAPEX (CCM) Ratio" should have a Format numeric (6 decimal places)</t>
  </si>
  <si>
    <t>TXNMY_ELGBL_CAPEX_CCM</t>
  </si>
  <si>
    <t>LT_F_EN_097_01</t>
  </si>
  <si>
    <t>"Taxonomy-eligible Turnover (CCM) Ratio" should have a Format numeric (6 decimal places)</t>
  </si>
  <si>
    <t>TXNMY_ELGBL_TRNVR_CCM</t>
  </si>
  <si>
    <t>LT_F_EN_098_01</t>
  </si>
  <si>
    <t>"Taxonomy-eligible CAPEX (CCA) Ratio" should have a Format numeric (6 decimal places)</t>
  </si>
  <si>
    <t>TXNMY_ELGBL_CAPEX_CCA</t>
  </si>
  <si>
    <t>LT_F_EN_099_01</t>
  </si>
  <si>
    <t>"Taxonomy-eligible Turnover (CCA) Ratio" should have a Format numeric (6 decimal places)</t>
  </si>
  <si>
    <t>TXNMY_ELGBL_TRNVR_CCA</t>
  </si>
  <si>
    <t>LT_F_EN_100_01</t>
  </si>
  <si>
    <t>"Taxonomy-aligned CAPEX (CCM) - Enabling Ratio" should have a Format numeric (6 decimal places)</t>
  </si>
  <si>
    <t>ENBLNG_CAPEX_CCM</t>
  </si>
  <si>
    <t>LT_F_EN_101_01</t>
  </si>
  <si>
    <t>"Taxonomy-aligned CAPEX (CCA) - Enabling Ratio" should have a Format numeric (6 decimal places)</t>
  </si>
  <si>
    <t>ENBLNG_CAPEX_CCA</t>
  </si>
  <si>
    <t>LT_F_EN_102_01</t>
  </si>
  <si>
    <t>"Taxonomy-aligned CAPEX (CCM) - Transitional Ratio" should have a Format numeric (6 decimal places)</t>
  </si>
  <si>
    <t>TRNSTNL_CAPEX</t>
  </si>
  <si>
    <t>LT_F_EN_103_01</t>
  </si>
  <si>
    <t>"Taxonomy-aligned CAPEX (CCM) - Pure Ratio" should have a Format numeric (6 decimal places)</t>
  </si>
  <si>
    <t>PURE_CAPEX_CCM</t>
  </si>
  <si>
    <t>LT_F_EN_104_01</t>
  </si>
  <si>
    <t>"Taxonomy-aligned CAPEX (CCA) - Pure Ratio" should have a Format numeric (6 decimal places)</t>
  </si>
  <si>
    <t>PURE_CAPEX_CCA</t>
  </si>
  <si>
    <t>LT_F_EN_105_01</t>
  </si>
  <si>
    <t>"Taxonomy-aligned Turnover (CCM) - Enabling Ratio" should have a Format numeric (6 decimal places)</t>
  </si>
  <si>
    <t>ENBLNG_TRNVR_CCM</t>
  </si>
  <si>
    <t>LT_F_EN_106_01</t>
  </si>
  <si>
    <t>"Taxonomy-aligned Turnover (CCA) - Enabling Ratio" should have a Format numeric (6 decimal places)</t>
  </si>
  <si>
    <t>ENBLNG_TRNVR_CCA</t>
  </si>
  <si>
    <t>LT_F_EN_107_01</t>
  </si>
  <si>
    <t>"Taxonomy-aligned Turnover (CCM) - Transitional Ratio" should have a Format numeric (6 decimal places)</t>
  </si>
  <si>
    <t>TRNSTNL_TRNVR</t>
  </si>
  <si>
    <t>LT_F_EN_108_01</t>
  </si>
  <si>
    <t>"Taxonomy-aligned turnover (CCM) - Pure Ratio" should have a Format numeric (6 decimal places)</t>
  </si>
  <si>
    <t>PURE_TRNVR_CCM</t>
  </si>
  <si>
    <t>LT_F_EN_109_01</t>
  </si>
  <si>
    <t>"Taxonomy-aligned turnover (CCA) - Pure Ratio" should have a Format numeric (6 decimal places)</t>
  </si>
  <si>
    <t>PURE_TRNVR_CCA</t>
  </si>
  <si>
    <t>LT_F_EN_110_01</t>
  </si>
  <si>
    <t>"Flag of CSRD applicability at counterparty level" should match the information on the Codelist</t>
  </si>
  <si>
    <t>LT_F_EN_111_01</t>
  </si>
  <si>
    <t>"Flag of CSRD applicability at Group Level" should match the information on the Codelist</t>
  </si>
  <si>
    <t>LT_F_EN_112_01</t>
  </si>
  <si>
    <t>"ISIN" should have Char format (variable length allowed between 1 and 12 characters)</t>
  </si>
  <si>
    <t>LT_F_EN_113_01</t>
  </si>
  <si>
    <t>"Group's annual turnover (LE)" should have a Format numeric (2 decimal places)</t>
  </si>
  <si>
    <t>GRP_ANNL_TRNVR_LE</t>
  </si>
  <si>
    <t>LT_F_EN_114_01</t>
  </si>
  <si>
    <t>"Group's total liability at most recent reported figures" should have a Format numeric (2 decimal places)</t>
  </si>
  <si>
    <t>GRP_TTL_LBLTY</t>
  </si>
  <si>
    <t>LT_F_EN_115_01</t>
  </si>
  <si>
    <t>"Counterparty's emissions scope 1" should have a Format numeric (6 decimal places)</t>
  </si>
  <si>
    <t>CNTRPRTY_EMSSNS_SCP1</t>
  </si>
  <si>
    <t>LT_F_EN_116_01</t>
  </si>
  <si>
    <t>"Counterparty's emissions scope 2" should have a Format numeric (6 decimal places)</t>
  </si>
  <si>
    <t>CNTRPRTY_EMSSNS_SCP2</t>
  </si>
  <si>
    <t>LT_F_EN_117_01</t>
  </si>
  <si>
    <t>"Counterparty's emissions scope 3" should have a Format numeric (6 decimal places)</t>
  </si>
  <si>
    <t>CNTRPRTY_EMSSNS_SCP3</t>
  </si>
  <si>
    <t>LT_F_EN_118_01</t>
  </si>
  <si>
    <t>"Flag Excluded from EU Paris-aligned benchmark" should match the information on the Codelist</t>
  </si>
  <si>
    <t>LT_F_EN_119_01</t>
  </si>
  <si>
    <t>"Group's emissions scope 1" should have a Format numeric (6 decimal places)</t>
  </si>
  <si>
    <t>GRP_EMSSNS_SCP1</t>
  </si>
  <si>
    <t>LT_F_EN_120_01</t>
  </si>
  <si>
    <t>"Group's emissions scope 2" should have a Format numeric (6 decimal places)</t>
  </si>
  <si>
    <t>GRP_EMSSNS_SCP2</t>
  </si>
  <si>
    <t>LT_F_EN_121_01</t>
  </si>
  <si>
    <t>"Group's emissions scope 3" should have a Format numeric (6 decimal places)</t>
  </si>
  <si>
    <t>GRP_EMSSNS_SCP3</t>
  </si>
  <si>
    <t>LT_F_EN_122_01</t>
  </si>
  <si>
    <t>"Flag Acute Physical Risk at entity level" should match the information on the Codelist</t>
  </si>
  <si>
    <t>LT_F_EN_123_01</t>
  </si>
  <si>
    <t>"Flag Chronic Physical Risk at entity level" should match the information on the Codelist</t>
  </si>
  <si>
    <t>LT_F_EN_124_01</t>
  </si>
  <si>
    <t>"Group's economic activity" should match the information on the Codelist</t>
  </si>
  <si>
    <t>GRP_ECNMC_ACTVTY</t>
  </si>
  <si>
    <t>LT_F_EN_125_01</t>
  </si>
  <si>
    <t>"Type of person" should match the information on the Codelist</t>
  </si>
  <si>
    <t>LT_F_EN_126_01</t>
  </si>
  <si>
    <t>"Free Cash Flow" should have a Format numeric (2 decimal places)</t>
  </si>
  <si>
    <t>LT_F_EN_127_01</t>
  </si>
  <si>
    <t>"Free Cash Flow T+1" should have a Format numeric (2 decimal places)</t>
  </si>
  <si>
    <t>LT_F_EN_128_01</t>
  </si>
  <si>
    <t>"Free Cash Flow T+2" should have a Format numeric (2 decimal places)</t>
  </si>
  <si>
    <t>LT_F_EN_129_01</t>
  </si>
  <si>
    <t>"Free Cash Flow T+3" should have a Format numeric (2 decimal places)</t>
  </si>
  <si>
    <t>LT_F_EN_130_01</t>
  </si>
  <si>
    <t>"Address: city/town/village" should have Char format (variable length allowed between 1 and 255 characters)</t>
  </si>
  <si>
    <t>LT_F_EN_131_01</t>
  </si>
  <si>
    <t>"Address: street" should have Char format (variable length allowed between 1 and 255 characters)</t>
  </si>
  <si>
    <t>LT_F_EN_132_01</t>
  </si>
  <si>
    <t>"Date of enterprise size" must have a Date format (yyyy-mm-dd)</t>
  </si>
  <si>
    <t>LT_F_EN_133_01</t>
  </si>
  <si>
    <t>"Number of employees" should have a Format numeric (0 decimal places)</t>
  </si>
  <si>
    <t>LT_F_EN_134_01</t>
  </si>
  <si>
    <t>"Legal form" should have Char format (variable length allowed between 1 and 255 characters)</t>
  </si>
  <si>
    <t>LT_F_EN_135_01</t>
  </si>
  <si>
    <t>"Head office undertaking identifier" should have Char format (variable length allowed between 1 and 255 characters)</t>
  </si>
  <si>
    <t>LT_F_EN_136_01</t>
  </si>
  <si>
    <t>"Immediate parent undertaking identifier" should have Char format (variable length allowed between 1 and 255 characters)</t>
  </si>
  <si>
    <t>LT_F_EN_137_01</t>
  </si>
  <si>
    <t>"Ultimate parent undertaking identifier" should have Char format (variable length allowed between 1 and 255 characters)</t>
  </si>
  <si>
    <t>LT_F_EN_138_01</t>
  </si>
  <si>
    <t>"Total Assets" should have a Format numeric (2 decimal places)</t>
  </si>
  <si>
    <t>LT_F_EN_139_01</t>
  </si>
  <si>
    <t>"Fallen Angel narrow definition" should match the information on the Codelist</t>
  </si>
  <si>
    <t>LT_F_EN_140_01</t>
  </si>
  <si>
    <t>"Fallen Angel extended definition" should match the information on the Codelist</t>
  </si>
  <si>
    <t>LT_F_EN_141_01</t>
  </si>
  <si>
    <t>"BDR Entity ID" should have Char format (variable length allowed between 1 and 60 characters)</t>
  </si>
  <si>
    <t>LT_F_EN_142_01</t>
  </si>
  <si>
    <t>"Taxonomy-eligible CAPEX (W) Ratio" should have a Format numeric (6 decimal places)</t>
  </si>
  <si>
    <t>TXNMY_ELGBL_CAPEX_W</t>
  </si>
  <si>
    <t>LT_F_EN_143_01</t>
  </si>
  <si>
    <t>"Taxonomy-eligible Turnover (W) Ratio" should have a Format numeric (6 decimal places)</t>
  </si>
  <si>
    <t>TXNMY_ELGBL_TRNVR_W</t>
  </si>
  <si>
    <t>LT_F_EN_144_01</t>
  </si>
  <si>
    <t>"Taxonomy-eligible CAPEX (P) Ratio" should have a Format numeric (6 decimal places)</t>
  </si>
  <si>
    <t>TXNMY_ELGBL_CAPEX_P</t>
  </si>
  <si>
    <t>LT_F_EN_145_01</t>
  </si>
  <si>
    <t>"Taxonomy-eligible Turnover (P) Ratio" should have a Format numeric (6 decimal places)</t>
  </si>
  <si>
    <t>TXNMY_ELGBL_TRNVR_P</t>
  </si>
  <si>
    <t>LT_F_EN_146_01</t>
  </si>
  <si>
    <t>"Taxonomy-eligible CAPEX (B) Ratio" should have a Format numeric (6 decimal places)</t>
  </si>
  <si>
    <t>TXNMY_ELGBL_CAPEX_B</t>
  </si>
  <si>
    <t>LT_F_EN_147_01</t>
  </si>
  <si>
    <t>"Taxonomy-eligible Turnover (B) Ratio" should have a Format numeric (6 decimal places)</t>
  </si>
  <si>
    <t>TXNMY_ELGBL_TRNVR_B</t>
  </si>
  <si>
    <t>LT_F_EN_148_01</t>
  </si>
  <si>
    <t>"Taxonomy-eligible CAPEX (CE) Ratio" should have a Format numeric (6 decimal places)</t>
  </si>
  <si>
    <t>TXNMY_ELGBL_CAPEX_CE</t>
  </si>
  <si>
    <t>LT_F_EN_149_01</t>
  </si>
  <si>
    <t>"Taxonomy-eligible Turnover (CE) Ratio" should have a Format numeric (6 decimal places)</t>
  </si>
  <si>
    <t>TXNMY_ELGBL_TRNVR_CE</t>
  </si>
  <si>
    <t>LT_F_EN_150_01</t>
  </si>
  <si>
    <t>"Taxonomy-aligned CAPEX (P) - Pure Ratio" should have a Format numeric (6 decimal places)</t>
  </si>
  <si>
    <t>PURE_CAPEX_P</t>
  </si>
  <si>
    <t>LT_F_EN_151_01</t>
  </si>
  <si>
    <t>"Taxonomy-aligned Turnover (P) - Pure Ratio" should have a Format numeric (6 decimal places)</t>
  </si>
  <si>
    <t>PURE_TRNVR_P</t>
  </si>
  <si>
    <t>LT_F_EN_152_01</t>
  </si>
  <si>
    <t>"Taxonomy-aligned CAPEX (B) - Pure Ratio" should have a Format numeric (6 decimal places)</t>
  </si>
  <si>
    <t>PURE_CAPEX_B</t>
  </si>
  <si>
    <t>LT_F_EN_153_01</t>
  </si>
  <si>
    <t>"Taxonomy-aligned Turnover (B) - Pure Ratio" should have a Format numeric (6 decimal places)</t>
  </si>
  <si>
    <t>PURE_TRNVR_B</t>
  </si>
  <si>
    <t>LT_F_EN_154_01</t>
  </si>
  <si>
    <t>"Taxonomy-aligned CAPEX (W) - Pure Ratio" should have a Format numeric (6 decimal places)</t>
  </si>
  <si>
    <t>PURE_CAPEX_W</t>
  </si>
  <si>
    <t>LT_F_EN_155_01</t>
  </si>
  <si>
    <t>"Taxonomy-aligned Turnover (W) - Pure Ratio" should have a Format numeric (6 decimal places)</t>
  </si>
  <si>
    <t>PURE_TRNVR_W</t>
  </si>
  <si>
    <t>LT_F_EN_156_01</t>
  </si>
  <si>
    <t>"Taxonomy-aligned CAPEX (CE) - Pure Ratio" should have a Format numeric (6 decimal places)</t>
  </si>
  <si>
    <t>PURE_CAPEX_CE</t>
  </si>
  <si>
    <t>LT_F_EN_157_01</t>
  </si>
  <si>
    <t>"Taxonomy-aligned Turnover (CE) - Pure Ratio" should have a Format numeric (6 decimal places)</t>
  </si>
  <si>
    <t>PURE_TRNVR_CE</t>
  </si>
  <si>
    <t>LT_F_EN_158_01</t>
  </si>
  <si>
    <t>"Taxonomy-aligned CAPEX (W) - Enabling Ratio" should have a Format numeric (6 decimal places)</t>
  </si>
  <si>
    <t>ENBLNG_CAPEX_W</t>
  </si>
  <si>
    <t>LT_F_EN_159_01</t>
  </si>
  <si>
    <t>"Taxonomy-aligned Turnover (W) - Enabling Ratio" should have a Format numeric (6 decimal places)</t>
  </si>
  <si>
    <t>ENBLNG_TRNVR_W</t>
  </si>
  <si>
    <t>LT_F_EN_160_01</t>
  </si>
  <si>
    <t>"Taxonomy-aligned CAPEX (CE) - Enabling Ratio" should have a Format numeric (6 decimal places)</t>
  </si>
  <si>
    <t>ENBLNG_CAPEX_CE</t>
  </si>
  <si>
    <t>LT_F_EN_161_01</t>
  </si>
  <si>
    <t>"Taxonomy-aligned Turnover (CE) - Enabling Ratio" should have a Format numeric (6 decimal places)</t>
  </si>
  <si>
    <t>ENBLNG_TRNVR_CE</t>
  </si>
  <si>
    <t>LT_F_EN_162_01</t>
  </si>
  <si>
    <t>"RORAC " (entity level) should have a Format numeric (6 decimal places)</t>
  </si>
  <si>
    <t>LT_F_EN_163_01</t>
  </si>
  <si>
    <t>"Group's RORAC" should have a Format numeric (6 decimal places)</t>
  </si>
  <si>
    <t>LT_F_EN_164_01</t>
  </si>
  <si>
    <t>"RoRWA" (entity level) should have a Format numeric (6 decimal places)</t>
  </si>
  <si>
    <t>LT_F_EN_165_01</t>
  </si>
  <si>
    <t>"Group's RoRWA" should have a Format numeric (6 decimal places)</t>
  </si>
  <si>
    <t>LT_F_EN_166_01</t>
  </si>
  <si>
    <t>"SCAN" should match the information on the Codelist</t>
  </si>
  <si>
    <t>LT_F_EN_167_01</t>
  </si>
  <si>
    <t>"Total permissible debt balance" should have a Format numeric (2 decimal places)</t>
  </si>
  <si>
    <t>LT_F_IE_001_01</t>
  </si>
  <si>
    <t>LT_F_IE</t>
  </si>
  <si>
    <t>LT_F_IE_002_01</t>
  </si>
  <si>
    <t>LT_F_IE_003_01</t>
  </si>
  <si>
    <t>LT_F_IE_004_01</t>
  </si>
  <si>
    <t>LT_F_IE_005_01</t>
  </si>
  <si>
    <t>"Joint-liability amount" should have a Format numeric (2 decimal places)</t>
  </si>
  <si>
    <t>LT_F_IE_006_01</t>
  </si>
  <si>
    <t>LT_F_IN_001_01</t>
  </si>
  <si>
    <t>LT_F_IN</t>
  </si>
  <si>
    <t>LT_F_IN_002_01</t>
  </si>
  <si>
    <t>"Subportfolio ID" should match the information on the Codelist</t>
  </si>
  <si>
    <t>LT_F_IN_003_01</t>
  </si>
  <si>
    <t>LT_F_IN_004_01</t>
  </si>
  <si>
    <t>"Flag of SMEs" should match the information on the Codelist</t>
  </si>
  <si>
    <t>LT_F_IN_005_01</t>
  </si>
  <si>
    <t>LT_F_IN_006_01</t>
  </si>
  <si>
    <t>"Flag of Credit for consumption" should match the information on the Codelist</t>
  </si>
  <si>
    <t>LT_F_IN_007_01</t>
  </si>
  <si>
    <t>LT_F_IN_008_01</t>
  </si>
  <si>
    <t>LT_F_IN_009_01</t>
  </si>
  <si>
    <t>"Contract ID" should have Char format (variable length allowed between 1 and 60 characters)</t>
  </si>
  <si>
    <t>LT_F_IN_010_01</t>
  </si>
  <si>
    <t>"Currency denomination" should match the information on the Codelist</t>
  </si>
  <si>
    <t>LT_F_IN_011_01</t>
  </si>
  <si>
    <t>"Date of inception" must have a Date format (yyyy-mm-dd)</t>
  </si>
  <si>
    <t>LT_F_IN_012_01</t>
  </si>
  <si>
    <t>"Observed agent identifier" should have Char format (variable length allowed between 1 and 50 characters)</t>
  </si>
  <si>
    <t>LT_F_IN_013_01</t>
  </si>
  <si>
    <t>"Observed Agent Name" should have Char format (variable length allowed between 1 and 255 characters)</t>
  </si>
  <si>
    <t>LT_F_IN_014_01</t>
  </si>
  <si>
    <t>"Product type according to bank-internal definition" should have Char format (variable length allowed between 1 and 255 characters)</t>
  </si>
  <si>
    <t>LT_F_IN_015_01</t>
  </si>
  <si>
    <t>"Breached covenants" should have Char format (variable length allowed between 1 and 255 characters)</t>
  </si>
  <si>
    <t>LT_F_IN_016_01</t>
  </si>
  <si>
    <t>"Channel of origination" should match the information on the Codelist</t>
  </si>
  <si>
    <t>LT_F_IN_017_01</t>
  </si>
  <si>
    <t>"Cash sweep or cash trap covenants agreed (Y/N)" should match the information on the Codelist</t>
  </si>
  <si>
    <t>LT_F_IN_018_01</t>
  </si>
  <si>
    <t>"Covenant status" should match the information on the Codelist</t>
  </si>
  <si>
    <t>LT_F_IN_019_01</t>
  </si>
  <si>
    <t>"Covenant Type" should match the information on the Codelist</t>
  </si>
  <si>
    <t>LT_F_IN_020_01</t>
  </si>
  <si>
    <t>"Default status of the instrument" should match the information on the Codelist</t>
  </si>
  <si>
    <t>LT_F_IN_021_01</t>
  </si>
  <si>
    <t>LT_F_IN_022_01</t>
  </si>
  <si>
    <t>"End date of principal grace period" must have a Date format (yyyy-mm-dd)</t>
  </si>
  <si>
    <t>LT_F_IN_023_01</t>
  </si>
  <si>
    <t>"End date of the interest-only period" must have a Date format (yyyy-mm-dd)</t>
  </si>
  <si>
    <t>LT_F_IN_024_01</t>
  </si>
  <si>
    <t>"Date of forbearance status" must have a Date format (yyyy-mm-dd)</t>
  </si>
  <si>
    <t>LT_F_IN_025_01</t>
  </si>
  <si>
    <t>"Date of previous forbearance status" must have a Date format (yyyy-mm-dd)</t>
  </si>
  <si>
    <t>LT_F_IN_026_01</t>
  </si>
  <si>
    <t>LT_F_IN_027_01</t>
  </si>
  <si>
    <t>LT_F_IN_028_01</t>
  </si>
  <si>
    <t>"Date of previous performing status" must have a Date format (yyyy-mm-dd)</t>
  </si>
  <si>
    <t>LT_F_IN_029_01</t>
  </si>
  <si>
    <t>"Start date of the interest-only period" must have a Date format (yyyy-mm-dd)</t>
  </si>
  <si>
    <t>LT_F_IN_030_01</t>
  </si>
  <si>
    <t>"Identification of exposure that is in scope of the on-site inspection" should match the information on the Codelist</t>
  </si>
  <si>
    <t>LT_F_IN_031_01</t>
  </si>
  <si>
    <t>"Failed syndication (as per definition according to the ECB Guidance on leveraged transactions)" should match the information on the Codelist</t>
  </si>
  <si>
    <t>LT_F_IN_032_01</t>
  </si>
  <si>
    <t>"Flag for leverage buy-out transactions" should match the information on the Codelist</t>
  </si>
  <si>
    <t>LT_F_IN_033_01</t>
  </si>
  <si>
    <t>"Forbearance status" should match the information on the Codelist</t>
  </si>
  <si>
    <t>LT_F_IN_034_01</t>
  </si>
  <si>
    <t>LT_F_IN_035_01</t>
  </si>
  <si>
    <t>"Previous impairment status" should match the information on the Codelist</t>
  </si>
  <si>
    <t>LT_F_IN_036_01</t>
  </si>
  <si>
    <t>IN_INTRNL_RTNG</t>
  </si>
  <si>
    <t>LT_F_IN_037_01</t>
  </si>
  <si>
    <t>"Internal rating at inception" should match the information on the Codelist (internal codelist used locally)</t>
  </si>
  <si>
    <t>LT_F_IN_038_01</t>
  </si>
  <si>
    <t>LT_F_IN_039_01</t>
  </si>
  <si>
    <t>LT_F_IN_040_01</t>
  </si>
  <si>
    <t>"Low credit risk exemption for SICR assessment" should match the information on the Codelist</t>
  </si>
  <si>
    <t>LT_F_IN_041_01</t>
  </si>
  <si>
    <t>"Status of legal proceedings of the instrument" should match the information on the Codelist</t>
  </si>
  <si>
    <t>LT_F_IN_042_01</t>
  </si>
  <si>
    <t>"Derogation of lending standards when the instrument was granted (Y/N)" should match the information on the Codelist</t>
  </si>
  <si>
    <t>LT_F_IN_043_01</t>
  </si>
  <si>
    <t>"Purchased credit-impaired financial asset (POCI)" should match the information on the Codelist</t>
  </si>
  <si>
    <t>LT_F_IN_044_01</t>
  </si>
  <si>
    <t>LT_F_IN_045_01</t>
  </si>
  <si>
    <t>"Previous performing status" should match the information on the Codelist</t>
  </si>
  <si>
    <t>LT_F_IN_046_01</t>
  </si>
  <si>
    <t>"Project finance loan" should match the information on the Codelist</t>
  </si>
  <si>
    <t>LT_F_IN_047_01</t>
  </si>
  <si>
    <t>"Purpose" should match the information on the Codelist</t>
  </si>
  <si>
    <t>LT_F_IN_048_01</t>
  </si>
  <si>
    <t>"Interest only repayment" should match the information on the Codelist</t>
  </si>
  <si>
    <t>LT_F_IN_049_01</t>
  </si>
  <si>
    <t>"Recourse" should match the information on the Codelist</t>
  </si>
  <si>
    <t>LT_F_IN_050_01</t>
  </si>
  <si>
    <t>"Refinance purpose (Y/N)" should match the information on the Codelist</t>
  </si>
  <si>
    <t>LT_F_IN_051_01</t>
  </si>
  <si>
    <t>"Speculative immovable property financing (Y/N)" should match the information on the Codelist</t>
  </si>
  <si>
    <t>LT_F_IN_052_01</t>
  </si>
  <si>
    <t>"Status for underwritten transaction" should match the information on the Codelist</t>
  </si>
  <si>
    <t>LT_F_IN_053_01</t>
  </si>
  <si>
    <t>"Tranching / security" should match the information on the Codelist</t>
  </si>
  <si>
    <t>LT_F_IN_054_01</t>
  </si>
  <si>
    <t>"Type of amortisation" should match the information on the Codelist</t>
  </si>
  <si>
    <t>LT_F_IN_055_01</t>
  </si>
  <si>
    <t>"Type of instrument" should match the information on the Codelist</t>
  </si>
  <si>
    <t>LT_F_IN_056_01</t>
  </si>
  <si>
    <t>"Type of interest rate" should match the information on the Codelist</t>
  </si>
  <si>
    <t>LT_F_IN_057_01</t>
  </si>
  <si>
    <t>"Type of mortgage" should match the information on the Codelist</t>
  </si>
  <si>
    <t>LT_F_IN_058_01</t>
  </si>
  <si>
    <t>"Type of CRE operation financed" should match the information on the Codelist</t>
  </si>
  <si>
    <t>LT_F_IN_059_01</t>
  </si>
  <si>
    <t>"Start date of principal grace period" must have a Date format (yyyy-mm-dd)</t>
  </si>
  <si>
    <t>LT_F_IN_060_01</t>
  </si>
  <si>
    <t>"Gross carrying amount" should have a Format numeric (2 decimal places)</t>
  </si>
  <si>
    <t>LT_F_IN_061_01</t>
  </si>
  <si>
    <t>LT_F_IN_062_01</t>
  </si>
  <si>
    <t>"Accounting portfolio" should match the information on the Codelist</t>
  </si>
  <si>
    <t>LT_F_IN_063_01</t>
  </si>
  <si>
    <t>"Accrued interest balance as recognised on the balance sheet" should have a Format numeric (2 decimal places)</t>
  </si>
  <si>
    <t>LT_F_IN_064_01</t>
  </si>
  <si>
    <t>"Amount due at the legal final maturity date" should have a Format numeric (2 decimal places)</t>
  </si>
  <si>
    <t>LT_F_IN_065_01</t>
  </si>
  <si>
    <t>"Credit conversion factor (CCF) according to CRR" should have a Format numeric (6 decimal places)</t>
  </si>
  <si>
    <t>LT_F_IN_066_01</t>
  </si>
  <si>
    <t>"Commitment amount at inception" should have a Format numeric (2 decimal places)</t>
  </si>
  <si>
    <t>LT_F_IN_067_01</t>
  </si>
  <si>
    <t>"Commitment amount at reference date" should have a Format numeric (2 decimal places)</t>
  </si>
  <si>
    <t>LT_F_IN_068_01</t>
  </si>
  <si>
    <t>"Carrying amount" should have a Format numeric (2 decimal places)</t>
  </si>
  <si>
    <t>LT_F_IN_069_01</t>
  </si>
  <si>
    <t>"Debt yield" should have a Format numeric (6 decimal places)</t>
  </si>
  <si>
    <t>LT_F_IN_070_01</t>
  </si>
  <si>
    <t>"Legal final maturity date (latest repayment date)" must have a Date format (yyyy-mm-dd)</t>
  </si>
  <si>
    <t>LT_F_IN_071_01</t>
  </si>
  <si>
    <t>"Next interest rate reset date" must have a Date format (yyyy-mm-dd)</t>
  </si>
  <si>
    <t>LT_F_IN_072_01</t>
  </si>
  <si>
    <t>"Original contractual maturity date (latest repayment date)" must have a Date format (yyyy-mm-dd)</t>
  </si>
  <si>
    <t>LT_F_IN_073_01</t>
  </si>
  <si>
    <t>LT_F_IN_074_01</t>
  </si>
  <si>
    <t>"Regulatory EAD" should have a Format numeric (2 decimal places)</t>
  </si>
  <si>
    <t>LT_F_IN_075_01</t>
  </si>
  <si>
    <t>"IFRS 9 accounting CCF" should have a Format numeric (6 decimal places)</t>
  </si>
  <si>
    <t>LT_F_IN_076_01</t>
  </si>
  <si>
    <t>"IFRS 9 accounting EAD" should have a Format numeric (2 decimal places)</t>
  </si>
  <si>
    <t>LT_F_IN_077_01</t>
  </si>
  <si>
    <t>"Instalment payable" should have a Format numeric (2 decimal places)</t>
  </si>
  <si>
    <t>LT_F_IN_078_01</t>
  </si>
  <si>
    <t>"Off-balance sheet amount" should have a Format numeric (2 decimal places)</t>
  </si>
  <si>
    <t>LT_F_IN_079_01</t>
  </si>
  <si>
    <t>LT_F_IN_081_01</t>
  </si>
  <si>
    <t>"Previous outstanding gross nominal amount" should have a Format numeric (2 decimal places)</t>
  </si>
  <si>
    <t>LT_O_IN_081_01</t>
  </si>
  <si>
    <t>LT_F_IN_082_01</t>
  </si>
  <si>
    <t>"Provisions associated with off-balance sheet exposures" should have a Format numeric (2 decimal places)</t>
  </si>
  <si>
    <t>LT_F_IN_083_01</t>
  </si>
  <si>
    <t>"Payment frequency" should match the information on the Codelist</t>
  </si>
  <si>
    <t>LT_F_IN_084_01</t>
  </si>
  <si>
    <t>"Retention share" should have a Format numeric (6 decimal places)</t>
  </si>
  <si>
    <t>LT_F_IN_085_01</t>
  </si>
  <si>
    <t>"RWA" should have a Format numeric (2 decimal places)</t>
  </si>
  <si>
    <t>LT_F_IN_086_01</t>
  </si>
  <si>
    <t>"RWA calculation method" should match the information on the Codelist</t>
  </si>
  <si>
    <t>LT_F_IN_087_01</t>
  </si>
  <si>
    <t>"Name of the sponsor of the transaction as per definition according to the ECB Guidance on leveraged transactions" should have Char format (variable length allowed between 1 and 255 characters)</t>
  </si>
  <si>
    <t>LT_F_IN_088_01</t>
  </si>
  <si>
    <t>"Sum of LLPs and other allowances" should have a Format numeric (2 decimal places)</t>
  </si>
  <si>
    <t>LT_F_IN_089_01</t>
  </si>
  <si>
    <t>"Previous sum of LLPs and other allowances" should have a Format numeric (2 decimal places)</t>
  </si>
  <si>
    <t>LT_F_IN_090_01</t>
  </si>
  <si>
    <t>"Accumulated write-offs" should have a Format numeric (2 decimal places)</t>
  </si>
  <si>
    <t>LT_F_IN_091_01</t>
  </si>
  <si>
    <t>"Total exposure in arrears" should have a Format numeric (2 decimal places)</t>
  </si>
  <si>
    <t>LT_F_IN_092_01</t>
  </si>
  <si>
    <t>"Highest total exposure in arrears in the last 12 months before the reference date" should have a Format numeric (2 decimal places)</t>
  </si>
  <si>
    <t>LT_F_IN_093_01</t>
  </si>
  <si>
    <t>"Cumulative recoveries since default" should have a Format numeric (2 decimal places)</t>
  </si>
  <si>
    <t>LT_F_IN_094_01</t>
  </si>
  <si>
    <t>"Days past due at reference date" should have a Format numeric (0 decimal places)</t>
  </si>
  <si>
    <t>LT_F_IN_095_01</t>
  </si>
  <si>
    <t>"Highest number of days past due in the last 12 months" should have a Format numeric (0 decimal places)</t>
  </si>
  <si>
    <t>LT_F_IN_096_01</t>
  </si>
  <si>
    <t>"Highest number of days past due in the 12 months prior to the most recent change of the forbearance status" should have a Format numeric (0 decimal places)</t>
  </si>
  <si>
    <t>LT_F_IN_097_01</t>
  </si>
  <si>
    <t>"Highest number of days past due in the 12 months prior to the most recent change of performing status" should have a Format numeric (0 decimal places)</t>
  </si>
  <si>
    <t>LT_F_IN_098_01</t>
  </si>
  <si>
    <t>"Highest number of days past due in the 24 months prior to the most recent change of the forbearance status" should have a Format numeric (0 decimal places)</t>
  </si>
  <si>
    <t>LT_F_IN_099_01</t>
  </si>
  <si>
    <t>"Highest number of days past due in the 24 months before most recent change of performing status" should have a Format numeric (0 decimal places)</t>
  </si>
  <si>
    <t>LT_F_IN_100_01</t>
  </si>
  <si>
    <t>"Days past due at the date of the most recent change of the forbearance status" should have a Format numeric (0 decimal places)</t>
  </si>
  <si>
    <t>LT_F_IN_101_01</t>
  </si>
  <si>
    <t>"Days past due at the time of the most recent change of the performing status" should have a Format numeric (0 decimal places)</t>
  </si>
  <si>
    <t>LT_F_IN_102_01</t>
  </si>
  <si>
    <t>"Date of impairment status" must have a Date format (yyyy-mm-dd)</t>
  </si>
  <si>
    <t>LT_F_IN_103_01</t>
  </si>
  <si>
    <t>"Date of previous impairment status" must have a Date format (yyyy-mm-dd)</t>
  </si>
  <si>
    <t>LT_F_IN_104_01</t>
  </si>
  <si>
    <t>"Date past due" must have a Date format (yyyy-mm-dd)</t>
  </si>
  <si>
    <t>LT_F_IN_105_01</t>
  </si>
  <si>
    <t>"Impairment assessment method" should match the information on the Codelist</t>
  </si>
  <si>
    <t>LT_F_IN_106_01</t>
  </si>
  <si>
    <t>"Impairment calculation method" should match the information on the Codelist</t>
  </si>
  <si>
    <t>LT_F_IN_107_01</t>
  </si>
  <si>
    <t>"Number of historical forbearance" should have a Format numeric (0 decimal places)</t>
  </si>
  <si>
    <t>LT_F_IN_108_01</t>
  </si>
  <si>
    <t>"IFRS 9 accounting LGD" should have a Format numeric (6 decimal places)</t>
  </si>
  <si>
    <t>LT_F_IN_109_01</t>
  </si>
  <si>
    <t>"Regulatory LGD" should have a Format numeric (6 decimal places)</t>
  </si>
  <si>
    <t>LT_F_IN_110_01</t>
  </si>
  <si>
    <t>"Loan to value (LTV) at reference date" should have a Format numeric (6 decimal places)</t>
  </si>
  <si>
    <t>LT_F_IN_111_01</t>
  </si>
  <si>
    <t>"Loan to value (LTV) at inception" should have a Format numeric (6 decimal places)</t>
  </si>
  <si>
    <t>LT_F_IN_112_01</t>
  </si>
  <si>
    <t>"Loan to value (LTV) at the date when the instrument was classified as non performing" should have a Format numeric (6 decimal places)</t>
  </si>
  <si>
    <t>LT_F_IN_113_01</t>
  </si>
  <si>
    <t>"Probability of default according to CRR at inception date" should have a Format numeric (6 decimal places)</t>
  </si>
  <si>
    <t>LT_F_IN_114_01</t>
  </si>
  <si>
    <t>LT_F_IN_115_01</t>
  </si>
  <si>
    <t>LT_F_IN_116_01</t>
  </si>
  <si>
    <t>"12-month PD at inception date according to IFRS 9" should have a Format numeric (6 decimal places)</t>
  </si>
  <si>
    <t>LT_F_IN_117_01</t>
  </si>
  <si>
    <t>LT_F_IN_118_01</t>
  </si>
  <si>
    <t>LT_F_IN_119_01</t>
  </si>
  <si>
    <t>"Lifetime PD at inception date according to IFRS 9 (cumulative)" should have a Format numeric (6 decimal places)</t>
  </si>
  <si>
    <t>LT_F_IN_120_01</t>
  </si>
  <si>
    <t>"Remaining lifetime PD at inception date according to IFRS 9 (cumulative)" should have a Format numeric (6 decimal places)</t>
  </si>
  <si>
    <t>LT_F_IN_121_01</t>
  </si>
  <si>
    <t>"Remaining lifetime PD at reporting date according to IFRS 9 (cumulative)" should have a Format numeric (6 decimal places)</t>
  </si>
  <si>
    <t>LT_F_IN_122_01</t>
  </si>
  <si>
    <t>LT_F_IN_123_01</t>
  </si>
  <si>
    <t>LT_F_IN_124_01</t>
  </si>
  <si>
    <t>LT_F_IN_125_01</t>
  </si>
  <si>
    <t>"Interest rate at the reference date" should have a Format numeric (6 decimal places)</t>
  </si>
  <si>
    <t>LT_F_IN_126_01</t>
  </si>
  <si>
    <t>"Current effective interest rate for provisioning calculation according to IFRS 9." should have a Format numeric (6 decimal places)</t>
  </si>
  <si>
    <t>LT_F_IN_127_01</t>
  </si>
  <si>
    <t>"Effective interest rate at inception" should have a Format numeric (6 decimal places)</t>
  </si>
  <si>
    <t>LT_F_IN_128_01</t>
  </si>
  <si>
    <t>"Interest rate reset frequency" should match the information on the Codelist</t>
  </si>
  <si>
    <t>LT_F_IN_129_01</t>
  </si>
  <si>
    <t>"Received amortisation payments within last 12 months prior to reference date" should have a Format numeric (2 decimal places)</t>
  </si>
  <si>
    <t>LT_F_IN_130_01</t>
  </si>
  <si>
    <t>"Received amortisation payments within last 24 months prior to reference date" should have a Format numeric (2 decimal places)</t>
  </si>
  <si>
    <t>LT_F_IN_131_01</t>
  </si>
  <si>
    <t>"Received interest payments within last 12 months prior to reference date" should have a Format numeric (2 decimal places)</t>
  </si>
  <si>
    <t>LT_F_IN_132_01</t>
  </si>
  <si>
    <t>"Received interest payments within last 24 months prior to reference date" should have a Format numeric (2 decimal places)</t>
  </si>
  <si>
    <t>LT_F_IN_133_01</t>
  </si>
  <si>
    <t>"Role of the lender in the syndicate" should match the information on the Codelist</t>
  </si>
  <si>
    <t>LT_F_IN_134_01</t>
  </si>
  <si>
    <t>"Syndicate agent name" should have Char format (variable length allowed between 1 and 255 characters)</t>
  </si>
  <si>
    <t>LT_F_IN_135_01</t>
  </si>
  <si>
    <t>"Syndicated contract ID" should have Char format (variable length allowed between 1 and 60 characters)</t>
  </si>
  <si>
    <t>LT_F_IN_136_01</t>
  </si>
  <si>
    <t>"Names of the other lenders in the syndicate" should have Char format (variable length allowed between 1 and 255 characters)</t>
  </si>
  <si>
    <t>LT_F_IN_137_01</t>
  </si>
  <si>
    <t>"Share in the syndicate" should have a Format numeric (6 decimal places)</t>
  </si>
  <si>
    <t>LT_F_IN_138_01</t>
  </si>
  <si>
    <t>"Syndication type" should match the information on the Codelist</t>
  </si>
  <si>
    <t>LT_F_IN_155_01</t>
  </si>
  <si>
    <t>"Asset securitisation class" should match the information on the Codelist</t>
  </si>
  <si>
    <t>LT_F_IN_156_01</t>
  </si>
  <si>
    <t>"Coupon currency" should match the information on the Codelist</t>
  </si>
  <si>
    <t>LT_F_IN_157_01</t>
  </si>
  <si>
    <t>"Coupon rate (if fixed)." should have a Format numeric (6 decimal places)</t>
  </si>
  <si>
    <t>LT_F_IN_158_01</t>
  </si>
  <si>
    <t>"Valuation date" must have a Date format (yyyy-mm-dd)</t>
  </si>
  <si>
    <t>LT_F_IN_159_01</t>
  </si>
  <si>
    <t>"Eligibility for standard central bank (ECB) operations" should match the information on the Codelist</t>
  </si>
  <si>
    <t>LT_F_IN_160_01</t>
  </si>
  <si>
    <t>"Guarantor ID" should have Char format (variable length allowed between 1 and 255 characters)</t>
  </si>
  <si>
    <t>LT_F_IN_161_01</t>
  </si>
  <si>
    <t>"Guarantor ID type" should match the information on the Codelist</t>
  </si>
  <si>
    <t>LT_F_IN_162_01</t>
  </si>
  <si>
    <t>"Hedge ID" should have Char format (variable length allowed between 1 and 255 characters)</t>
  </si>
  <si>
    <t>LT_F_IN_163_01</t>
  </si>
  <si>
    <t>"Instrument seniority type" should match the information on the Codelist</t>
  </si>
  <si>
    <t>LT_F_IN_164_01</t>
  </si>
  <si>
    <t>"Instrument class" should match the information on the Codelist</t>
  </si>
  <si>
    <t>LT_F_IN_165_01</t>
  </si>
  <si>
    <t>LT_F_IN_166_01</t>
  </si>
  <si>
    <t>"Country of the issuer" should match the information on the Codelist</t>
  </si>
  <si>
    <t>LT_F_IN_167_01</t>
  </si>
  <si>
    <t>"Issuer ESA 2010" should match the information on the Codelist</t>
  </si>
  <si>
    <t>LT_F_IN_168_01</t>
  </si>
  <si>
    <t>"ID of the issuer" should have Char format (variable length allowed between 1 and 255 characters)</t>
  </si>
  <si>
    <t>LT_F_IN_169_01</t>
  </si>
  <si>
    <t>LT_F_IN_170_01</t>
  </si>
  <si>
    <t>"Issuer NACE sector" should match the information on the Codelist</t>
  </si>
  <si>
    <t>LT_F_IN_171_01</t>
  </si>
  <si>
    <t>"Issuer Rating(s)" should match the information on the Codelist</t>
  </si>
  <si>
    <t>LISTA_ITEM</t>
  </si>
  <si>
    <t>LT_F_IN_172_01</t>
  </si>
  <si>
    <t>"Issuer Rating(s) Source(s)" should have Char format (variable length allowed between 1 and 255 characters)</t>
  </si>
  <si>
    <t>LT_F_IN_173_01</t>
  </si>
  <si>
    <t>"Type of Issuer" should match the information on the Codelist</t>
  </si>
  <si>
    <t>LT_F_IN_174_01</t>
  </si>
  <si>
    <t>"Category of LCR buffer" should match the information on the Codelist</t>
  </si>
  <si>
    <t>LT_F_IN_175_01</t>
  </si>
  <si>
    <t>"Purchased under resale agreement" should match the information on the Codelist</t>
  </si>
  <si>
    <t>LT_F_IN_176_01</t>
  </si>
  <si>
    <t>"Prudential portfolio of the instrument" should match the information on the Codelist</t>
  </si>
  <si>
    <t>LT_F_IN_177_01</t>
  </si>
  <si>
    <t>"Primary asset classification" should match the information on the Codelist</t>
  </si>
  <si>
    <t>LT_F_IN_178_01</t>
  </si>
  <si>
    <t>"Part of LCR buffer" should match the information on the Codelist</t>
  </si>
  <si>
    <t>LT_F_IN_179_01</t>
  </si>
  <si>
    <t>"Coupon rate (if floating)." should have a Format numeric (6 decimal places)</t>
  </si>
  <si>
    <t>LT_F_IN_180_01</t>
  </si>
  <si>
    <t>"Spread" should have a Format numeric (6 decimal places)</t>
  </si>
  <si>
    <t>LT_F_IN_181_01</t>
  </si>
  <si>
    <t>"Sources of encumbrance" should match the information on the Codelist</t>
  </si>
  <si>
    <t>LT_F_IN_182_01</t>
  </si>
  <si>
    <t>"Type of placement" should match the information on the Codelist</t>
  </si>
  <si>
    <t>LT_F_IN_183_01</t>
  </si>
  <si>
    <t>"Currency of the value" should match the information on the Codelist</t>
  </si>
  <si>
    <t>LT_F_IN_184_01</t>
  </si>
  <si>
    <t>"Valuation type" should match the information on the Codelist</t>
  </si>
  <si>
    <t>LT_F_IN_185_01</t>
  </si>
  <si>
    <t>"Leverage finance flag" should match the information on the Codelist</t>
  </si>
  <si>
    <t>LT_F_IN_186_01</t>
  </si>
  <si>
    <t>"IFRS9 Segment" should have Char format (variable length allowed between 1 and 255 characters)</t>
  </si>
  <si>
    <t>LT_F_IN_187_01</t>
  </si>
  <si>
    <t>"COREP Segment - Final Category BIS II" should match the information on the Codelist</t>
  </si>
  <si>
    <t>LT_F_IN_188_01</t>
  </si>
  <si>
    <t>"COREP Segment - Final Subcategory BIS II" should match the information on the Codelist</t>
  </si>
  <si>
    <t>LT_F_IN_189_01</t>
  </si>
  <si>
    <t>"Coefficient of correlation (R)" should have a Format numeric (6 decimal places)</t>
  </si>
  <si>
    <t>LT_F_IN_190_01</t>
  </si>
  <si>
    <t>"ISIN code of the securitisation bonds and SRT (Y/N)" should have Char format (variable length allowed between 1 and 255 characters)</t>
  </si>
  <si>
    <t>LT_F_IN_191_01</t>
  </si>
  <si>
    <t>"BDR Contract ID" should have Char format (variable length allowed between 1 and 60 characters)</t>
  </si>
  <si>
    <t>LT_F_IN_192_01</t>
  </si>
  <si>
    <t>"Cargabal society code of the intragroup exposure" should match the information on the Codelist</t>
  </si>
  <si>
    <t>LT_F_IN_193_01</t>
  </si>
  <si>
    <t>"Local Instrument ID" should have Char format (variable length allowed between 1 and 60 characters)</t>
  </si>
  <si>
    <t>LT_F_IN_196_01</t>
  </si>
  <si>
    <t>"Average balance (YTD)"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</si>
  <si>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</si>
  <si>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</si>
  <si>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</si>
  <si>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</si>
  <si>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(YTD)" should have a Format numeric (2 decimal places)</t>
  </si>
  <si>
    <t>GRSS_INTRST_INCM</t>
  </si>
  <si>
    <t>LT_F_IN_199_01</t>
  </si>
  <si>
    <t>"Gross fee and commission income before distribution to SCIB under the Collabotarion Revenues distribution agreement (YTD)" should have a Format numeric (2 decimal places)</t>
  </si>
  <si>
    <t>GRSS_CMMSSN_INCM</t>
  </si>
  <si>
    <t>LT_F_IN_200_01</t>
  </si>
  <si>
    <t>"Internal transfer rate amount" should have a Format numeric (2 decimal places)</t>
  </si>
  <si>
    <t>INTRNL_TRNSFR_RT</t>
  </si>
  <si>
    <t>LT_F_IN_201_01</t>
  </si>
  <si>
    <t>"Net loan-loss provisions (YTD)" should have a Format numeric (2 decimal places)</t>
  </si>
  <si>
    <t>NT_LN_LSS_PRVSN</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</si>
  <si>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</si>
  <si>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</si>
  <si>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</si>
  <si>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</si>
  <si>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</si>
  <si>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(YTD)" should have a Format numeric (2 decimal places)</t>
  </si>
  <si>
    <t>GRSS_CMMSSN_EXPNS</t>
  </si>
  <si>
    <t>LT_F_IN_205_01</t>
  </si>
  <si>
    <t>"Gains (Losses) On Financial Transaction (gft) And Exchange Differences, before distribution to SCIB under the Collabotarion Revenues distribution agreement (YTD)"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</si>
  <si>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</si>
  <si>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</si>
  <si>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</si>
  <si>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</si>
  <si>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</si>
  <si>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</si>
  <si>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</si>
  <si>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</si>
  <si>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</si>
  <si>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</si>
  <si>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</si>
  <si>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</si>
  <si>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</si>
  <si>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off balance (YTD)" should have a Format numeric (2 decimal places)</t>
  </si>
  <si>
    <t>AVRG_BLNC_OFF_BLNC</t>
  </si>
  <si>
    <t>LT_F_IN_211_01</t>
  </si>
  <si>
    <t>"Internal transfer rate due to off balance amounts" should have a Format numeric (2 decimal places)</t>
  </si>
  <si>
    <t>INTRNL_TRNSFR_RT_OFF_BLNC</t>
  </si>
  <si>
    <t>LT_F_IN_212_01</t>
  </si>
  <si>
    <t>"Gross fee and commission income corresponding to off balance product before distribution to SCIB under the Collabotarion Revenues distribution agreement (YTD)" should have a Format numeric (2 decimal places)</t>
  </si>
  <si>
    <t>GRSS_CMMSSN_INCM_OFF_BLNC</t>
  </si>
  <si>
    <t>LT_F_IN_213_01</t>
  </si>
  <si>
    <t>"Gross fee and commission expense corresponding to off balance product before distribution to SCIB under the Collabotarion Revenues distribution agreement (YTD)" should have a Format numeric (2 decimal places)</t>
  </si>
  <si>
    <t>GRSS_CMMSSN_EXPNS_OFF_BLNC</t>
  </si>
  <si>
    <t>LT_F_IN_214_01</t>
  </si>
  <si>
    <t>"RWA Off Balance" should have a Format numeric (2 decimal places)</t>
  </si>
  <si>
    <t>RWA_OFF_BLNC</t>
  </si>
  <si>
    <t>LT_F_IN_215_01</t>
  </si>
  <si>
    <t>"Gross Interest expense before distribution to SCIB under the Collabotarion Revenues distribution agreement (YTD)" should have a Format numeric (2 decimal places)</t>
  </si>
  <si>
    <t>GRSS_INTRST_EXPNS</t>
  </si>
  <si>
    <t>LT_F_IN_216_01</t>
  </si>
  <si>
    <t>"Net loan-loss provisions corresponding to off balance exposures (YTD)" should have a Format numeric (2 decimal places)</t>
  </si>
  <si>
    <t>NT_LN_LSS_PRVSN_OFF_BLNC</t>
  </si>
  <si>
    <t>LT_F_IN_217_01</t>
  </si>
  <si>
    <t>"Gross Interest income distributed to SCIB under the Collabotarion Revenues distribution agreement (YTD)" should have a Format numeric (2 decimal places)</t>
  </si>
  <si>
    <t>GRSS_INTRST_INCM_CCRR</t>
  </si>
  <si>
    <t>LT_F_IN_218_01</t>
  </si>
  <si>
    <t>"Gross Interest expense distributed to SCIB under the Collabotarion Revenues distribution agreement (YTD)" should have a Format numeric (2 decimal places)</t>
  </si>
  <si>
    <t>GRSS_INTRST_EXPNS_CCRR</t>
  </si>
  <si>
    <t>LT_F_IN_219_01</t>
  </si>
  <si>
    <t>"Gross fee and commission income distributed to SCIB under the Collabotarion Revenues distribution agreement (YTD)" should have a Format numeric (2 decimal places)</t>
  </si>
  <si>
    <t>GRSS_CMMSSN_INCM_CCRR</t>
  </si>
  <si>
    <t>LT_F_IN_220_01</t>
  </si>
  <si>
    <t>"Gross fee and commission expense distributed to SCIB under the Collabotarion Revenues distribution agreement (YTD)" should have a Format numeric (2 decimal places)</t>
  </si>
  <si>
    <t>GRSS_CMMSSN_EXPNS_CCRR</t>
  </si>
  <si>
    <t>LT_F_IN_221_01</t>
  </si>
  <si>
    <t>"Gains (Losses) On Financial Transaction (gft) And Exchange Differences distributed to SCIB under the Collabotarion Revenues distribution agreement (YTD)" should have a Format numeric (2 decimal places)</t>
  </si>
  <si>
    <t>GNS_FNNCL_TRNSCTN_EXCHNG_CCRR</t>
  </si>
  <si>
    <t>LT_F_IN_222_01</t>
  </si>
  <si>
    <t>"Business Area related to CIB" should match the information on the Codelist</t>
  </si>
  <si>
    <t>LT_F_IN_223_01</t>
  </si>
  <si>
    <t>"Gross fee and commission income corresponding to off balance product distributed to SCIB under the Collabotarion Revenues distribution agreement (YTD)" should have a Format numeric (2 decimal places)</t>
  </si>
  <si>
    <t>GRSS_CMMSSN_INCM_OFF_BLNC_CCRR</t>
  </si>
  <si>
    <t>LT_F_IN_224_01</t>
  </si>
  <si>
    <t>"Gross fee and commission expense corresponding to off balance product distributed to SCIB under the Collabotarion Revenues distribution agreement (YTD)" should have a Format numeric (2 decimal places)</t>
  </si>
  <si>
    <t>GRSS_CMMSSN_EXPNS_OFF_BLNC_CCRR</t>
  </si>
  <si>
    <t>LT_F_IN_226_01</t>
  </si>
  <si>
    <t>"Risk Mitigated CCT" should match the information on the Codelist</t>
  </si>
  <si>
    <t>LT_F_IN_227_01</t>
  </si>
  <si>
    <t>"Risk Mitigated CCP" should match the information on the Codelist</t>
  </si>
  <si>
    <t>LT_F_IN_229_01</t>
  </si>
  <si>
    <t>"Loans collateralized classification" should match the information on the Codelist</t>
  </si>
  <si>
    <t>LNS_CLLTRLZD_CLSSFCTN</t>
  </si>
  <si>
    <t>LT_F_IN_230_01</t>
  </si>
  <si>
    <t>"Financed emissions calculation approach at instrument level scope 1" should match the information on the Codelist</t>
  </si>
  <si>
    <t>MTHD_USD_INSTRMNT_SCP_1</t>
  </si>
  <si>
    <t>LT_F_IN_231_01</t>
  </si>
  <si>
    <t>"Financed emissions calculation approach at instrument level scope 2" should match the information on the Codelist</t>
  </si>
  <si>
    <t>MTHD_USD_INSTRMNT_SCP_2</t>
  </si>
  <si>
    <t>LT_F_IN_232_01</t>
  </si>
  <si>
    <t>"Financed emissions calculation approach at instrument level scope 3" should match the information on the Codelist</t>
  </si>
  <si>
    <t>MTHD_USD_INSTRMNT_SCP_3</t>
  </si>
  <si>
    <t>LT_F_IN_233_01</t>
  </si>
  <si>
    <t>"Cancelled instrument status" should match the information on the Codelist</t>
  </si>
  <si>
    <t>CNCLLD_INSTRMNT_STTS</t>
  </si>
  <si>
    <t>LT_F_IN_234_01</t>
  </si>
  <si>
    <t>"IDCOMB" should match the information on the Codelist</t>
  </si>
  <si>
    <t>LT_F_IN_235_01</t>
  </si>
  <si>
    <t>"Expected loss (CRR)" should have a Format numeric (2 decimal places)</t>
  </si>
  <si>
    <t>LT_F_IN_236_01</t>
  </si>
  <si>
    <t>"LSTI at reference date" should have a Format numeric (6 decimal places)</t>
  </si>
  <si>
    <t>LT_F_IN_237_01</t>
  </si>
  <si>
    <t>"DSTI at reference date" should have a Format numeric (6 decimal places)</t>
  </si>
  <si>
    <t>LT_F_IN_238_01</t>
  </si>
  <si>
    <t>LT_F_IN_240_01</t>
  </si>
  <si>
    <t>"Interest rate cap" should have a Format numeric (6 decimal places)</t>
  </si>
  <si>
    <t>LT_F_IN_241_01</t>
  </si>
  <si>
    <t>"Interest rate floor" should have a Format numeric (6 decimal places)</t>
  </si>
  <si>
    <t>LT_F_IN_242_01</t>
  </si>
  <si>
    <t>"Nominal interest rate or fee" should have a Format numeric (6 decimal places)</t>
  </si>
  <si>
    <t>LT_F_IN_243_01</t>
  </si>
  <si>
    <t>"Reference interest rate" should match the information on the Codelist</t>
  </si>
  <si>
    <t>LT_F_IN_244_01</t>
  </si>
  <si>
    <t>"Settlement date" must have a Date format (yyyy-mm-dd)</t>
  </si>
  <si>
    <t>LT_F_IN_245_01</t>
  </si>
  <si>
    <t>"Transferred amount" should have a Format numeric (2 decimal places)</t>
  </si>
  <si>
    <t>LT_F_IN_246_01</t>
  </si>
  <si>
    <t>"Type of securitization" should match the information on the Codelist</t>
  </si>
  <si>
    <t>LT_F_IN_247_01</t>
  </si>
  <si>
    <t>"Type of off balance product" should match the information on the Codelist</t>
  </si>
  <si>
    <t>LT_F_IN_248_01</t>
  </si>
  <si>
    <t>"Balance sheet recognition" should match the information on the Codelist</t>
  </si>
  <si>
    <t>LT_F_IN_249_01</t>
  </si>
  <si>
    <t>"Flag default (CRR Exposure class)" should match the information on the Codelist</t>
  </si>
  <si>
    <t>LT_F_IN_250_01</t>
  </si>
  <si>
    <t>"Flag high risk (CRR Exposure class)" should match the information on the Codelist</t>
  </si>
  <si>
    <t>LT_F_IN_251_01</t>
  </si>
  <si>
    <t>"Excluded Leveraged Transaction Exposures" should match the information on the Codelist</t>
  </si>
  <si>
    <t>LT_F_IN_252_01</t>
  </si>
  <si>
    <t>"RWA for exposures subject to credit risk mitigation techniques" should have a Format numeric (2 decimal places)</t>
  </si>
  <si>
    <t>LT_F_IN_253_01</t>
  </si>
  <si>
    <t>"RWA premitigation" should have a Format numeric (2 decimal places)</t>
  </si>
  <si>
    <t>LT_F_IN_254_01</t>
  </si>
  <si>
    <t>"Use of proceeds" should match the information on the Codelist</t>
  </si>
  <si>
    <t>LT_F_IN_255_01</t>
  </si>
  <si>
    <t>"Leverage ratio at inception date" should have a Format numeric (6 decimal places)</t>
  </si>
  <si>
    <t>LT_F_IN_256_01</t>
  </si>
  <si>
    <t>"Type of Facility" should match the information on the Codelist</t>
  </si>
  <si>
    <t>LT_F_IN_257_01</t>
  </si>
  <si>
    <t>"Type of Collateralised Loan Obligations" should match the information on the Codelist</t>
  </si>
  <si>
    <t>LT_F_IN_258_01</t>
  </si>
  <si>
    <t>"Minimum safeguards flag" should match the information on the Codelist</t>
  </si>
  <si>
    <t>LT_F_IN_259_01</t>
  </si>
  <si>
    <t>"RORAC " (instrument level) should have a Format numeric (6 decimal places)</t>
  </si>
  <si>
    <t>LT_F_IN_260_01</t>
  </si>
  <si>
    <t>"RoRWA" (instrument level) should have a Format numeric (6 decimal places)</t>
  </si>
  <si>
    <t>LT_F_IN_261_01</t>
  </si>
  <si>
    <t>"Type of Deal" should match the information on the Codelist</t>
  </si>
  <si>
    <t>LT_F_IN_262_01</t>
  </si>
  <si>
    <t>"Destination of funds" should match the information on the Codelist</t>
  </si>
  <si>
    <t>LT_F_IN_263_01</t>
  </si>
  <si>
    <t>"Partner" should have Char format (variable length allowed between 1 and 255 characters)</t>
  </si>
  <si>
    <t>LT_F_IN_264_01</t>
  </si>
  <si>
    <t>"Incentives (YTD)" should have a Format numeric (2 decimal places)</t>
  </si>
  <si>
    <t>LT_F_IN_265_01</t>
  </si>
  <si>
    <t>"Other operating income (YTD)" should have a Format numeric (2 decimal places)</t>
  </si>
  <si>
    <t>LT_F_IN_266_01</t>
  </si>
  <si>
    <t>"Referral Fees (YTD)" should have a Format numeric (2 decimal places)</t>
  </si>
  <si>
    <t>LT_F_IN_267_01</t>
  </si>
  <si>
    <t>"Insurance (YTD)" should have a Format numeric (2 decimal places)</t>
  </si>
  <si>
    <t>LT_F_IN_268_01</t>
  </si>
  <si>
    <t>"Other income and charges (YTD)" should have a Format numeric (2 decimal places)</t>
  </si>
  <si>
    <t>LT_F_IN_269_01</t>
  </si>
  <si>
    <t>"Tax on Profit (YTD)" should have a Format numeric (2 decimal places)</t>
  </si>
  <si>
    <t>LT_F_IN_270_01</t>
  </si>
  <si>
    <t>"Probability of default according to Economic Capital at inception date" should have a Format numeric (6 decimal places)</t>
  </si>
  <si>
    <t>LT_F_IN_271_01</t>
  </si>
  <si>
    <t>"Probability of default according to Economic Capital at reference date" should have a Format numeric (6 decimal places)</t>
  </si>
  <si>
    <t>LT_F_IN_272_01</t>
  </si>
  <si>
    <t>"Leverage ratio at inception date for high leveraged transactions" should have a Format numeric (6 decimal places)</t>
  </si>
  <si>
    <t>LT_F_IN_273_01</t>
  </si>
  <si>
    <t>"Date of contract modification" must have a Date format (yyyy-mm-dd)</t>
  </si>
  <si>
    <t>LT_F_IP_001_01</t>
  </si>
  <si>
    <t>LT_F_IP</t>
  </si>
  <si>
    <t>LT_F_IP_002_01</t>
  </si>
  <si>
    <t>LT_F_IP_003_01</t>
  </si>
  <si>
    <t>LT_F_IP_004_01</t>
  </si>
  <si>
    <t>"Protection ID" should have Char format (variable length allowed between 1 and 60 characters)</t>
  </si>
  <si>
    <t>LT_F_IP_005_01</t>
  </si>
  <si>
    <t>"Protection allocated value" should have a Format numeric (2 decimal places)</t>
  </si>
  <si>
    <t>LT_F_IP_006_01</t>
  </si>
  <si>
    <t>"Third party priority claims against the protection" should have a Format numeric (2 decimal places)</t>
  </si>
  <si>
    <t>LT_F_IP_007_01</t>
  </si>
  <si>
    <t>"Type of relation" should match the information on the Codelist</t>
  </si>
  <si>
    <t>LT_F_IP_008_01</t>
  </si>
  <si>
    <t>"Group support" should match the information on the Codelist</t>
  </si>
  <si>
    <t>LT_F_PR_001_01</t>
  </si>
  <si>
    <t>LT_F_PR</t>
  </si>
  <si>
    <t>LT_F_PR_002_01</t>
  </si>
  <si>
    <t>"Maturity date of the protection" must have a Date format (yyyy-mm-dd)</t>
  </si>
  <si>
    <t>LT_F_PR_003_01</t>
  </si>
  <si>
    <t>LT_F_PR_004_01</t>
  </si>
  <si>
    <t>LT_F_PR_005_01</t>
  </si>
  <si>
    <t>LT_F_PR_006_01</t>
  </si>
  <si>
    <t>"Protection Provider ID (Guarantor)" should have Char format (variable length allowed between 1 and 50 characters)</t>
  </si>
  <si>
    <t>LT_F_PR_007_01</t>
  </si>
  <si>
    <t>"Address (street) and number" should have Char format (variable length allowed between 1 and 255 characters)</t>
  </si>
  <si>
    <t>LT_F_PR_008_01</t>
  </si>
  <si>
    <t>"Real estate collateral location" should match the information on the Codelist</t>
  </si>
  <si>
    <t>LT_F_PR_009_01</t>
  </si>
  <si>
    <t>"Real estate asset location according to bank-internal definition" should have Char format (variable length allowed between 1 and 255 characters)</t>
  </si>
  <si>
    <t>LT_F_PR_010_01</t>
  </si>
  <si>
    <t>"City real estate" should have Char format (variable length allowed between 1 and 255 characters)</t>
  </si>
  <si>
    <t>LT_F_PR_011_01</t>
  </si>
  <si>
    <t>LT_F_PR_012_01</t>
  </si>
  <si>
    <t>"Haircut applied by the bank to the market value" should have a Format numeric (6 decimal places)</t>
  </si>
  <si>
    <t>LT_F_PR_013_01</t>
  </si>
  <si>
    <t>"Protection called" should match the information on the Codelist</t>
  </si>
  <si>
    <t>LT_F_PR_014_01</t>
  </si>
  <si>
    <t>LT_F_PR_015_01</t>
  </si>
  <si>
    <t>"Type of protection received, irrespective of its eligibility for credit risk mitigation according to bank-internal classification" should have Char format (variable length allowed between 1 and 255 characters)</t>
  </si>
  <si>
    <t>LT_F_PR_016_01</t>
  </si>
  <si>
    <t>"Type of protection value" should match the information on the Codelist</t>
  </si>
  <si>
    <t>LT_F_PR_017_01</t>
  </si>
  <si>
    <t>"Appraisal currency" should match the information on the Codelist</t>
  </si>
  <si>
    <t>LT_F_PR_018_01</t>
  </si>
  <si>
    <t>"Provider of latest valuation (appraiser)" should have Char format (variable length allowed between 1 and 255 characters)</t>
  </si>
  <si>
    <t>LT_F_PR_019_01</t>
  </si>
  <si>
    <t>LT_F_PR_020_01</t>
  </si>
  <si>
    <t>LT_F_PR_021_01</t>
  </si>
  <si>
    <t>LT_F_PR_022_01</t>
  </si>
  <si>
    <t>LT_F_PR_023_01</t>
  </si>
  <si>
    <t>"Forced sale value" should have a Format numeric (2 decimal places)</t>
  </si>
  <si>
    <t>LT_F_PR_024_01</t>
  </si>
  <si>
    <t>LT_F_PR_025_01</t>
  </si>
  <si>
    <t>"Most recent appraised market value at the time when the instrument was classified as non-performing" should have a Format numeric (2 decimal places)</t>
  </si>
  <si>
    <t>LT_F_PR_026_01</t>
  </si>
  <si>
    <t>"Protection valuation approach" should match the information on the Codelist</t>
  </si>
  <si>
    <t>LT_F_PR_027_01</t>
  </si>
  <si>
    <t>LT_F_PR_028_01</t>
  </si>
  <si>
    <t>"Previous appraised market value" should have a Format numeric (2 decimal places)</t>
  </si>
  <si>
    <t>LT_F_PR_029_01</t>
  </si>
  <si>
    <t>LT_F_PR_030_01</t>
  </si>
  <si>
    <t>"Date of construction status" must have a Date format (yyyy-mm-dd)</t>
  </si>
  <si>
    <t>LT_F_PR_031_01</t>
  </si>
  <si>
    <t>"Date of first usage of the building" must have a Date format (yyyy-mm-dd)</t>
  </si>
  <si>
    <t>LT_F_PR_032_01</t>
  </si>
  <si>
    <t>LT_F_PR_033_01</t>
  </si>
  <si>
    <t>"Main purpose" should match the information on the Codelist</t>
  </si>
  <si>
    <t>LT_F_PR_034_01</t>
  </si>
  <si>
    <t>"Prime location according to bank-internal definition (Y/N)" should match the information on the Codelist</t>
  </si>
  <si>
    <t>LT_F_PR_035_01</t>
  </si>
  <si>
    <t>"Currency of annual income and expenses" should match the information on the Codelist</t>
  </si>
  <si>
    <t>LT_F_PR_036_01</t>
  </si>
  <si>
    <t>"Current annual operating expenses" should have a Format numeric (2 decimal places)</t>
  </si>
  <si>
    <t>LT_F_PR_037_01</t>
  </si>
  <si>
    <t>"Current annual income" should have a Format numeric (2 decimal places)</t>
  </si>
  <si>
    <t>LT_F_PR_039_01</t>
  </si>
  <si>
    <t>LT_F_PR_040_01</t>
  </si>
  <si>
    <t>"EP Score Data Type" should match the information on the Codelist</t>
  </si>
  <si>
    <t>TYP_EP_SCR</t>
  </si>
  <si>
    <t>LT_F_PR_041_01</t>
  </si>
  <si>
    <t>"EP Score" should match the information on the Codelist</t>
  </si>
  <si>
    <t>EP_SCR</t>
  </si>
  <si>
    <t>LT_F_PR_042_01</t>
  </si>
  <si>
    <t>"EPC Label Data Type" should match the information on the Codelist</t>
  </si>
  <si>
    <t>TYP_EPC_LBL</t>
  </si>
  <si>
    <t>LT_F_PR_043_01</t>
  </si>
  <si>
    <t>"EPC Label" should match the information on the Codelist</t>
  </si>
  <si>
    <t>EPC_LBL</t>
  </si>
  <si>
    <t>LT_F_PR_044_01</t>
  </si>
  <si>
    <t>"EPC or Vehicle emissions label data type" should match the information on the Codelist</t>
  </si>
  <si>
    <t>TYP_EMSSNS_LBL</t>
  </si>
  <si>
    <t>LT_F_PR_045_01</t>
  </si>
  <si>
    <t>"EPC emissions label" should match the information on the Codelist</t>
  </si>
  <si>
    <t>EPC_EMSSNS_LBL</t>
  </si>
  <si>
    <t>LT_F_PR_046_01</t>
  </si>
  <si>
    <t>"Vehicle emissions label" should match the information on the codelist (based on the local vehicle emissions label codification)</t>
  </si>
  <si>
    <t>VHCL_EMSSNS_LBL</t>
  </si>
  <si>
    <t>LT_F_PR_047_01</t>
  </si>
  <si>
    <t>"Emissions score data type" should match the information on the Codelist</t>
  </si>
  <si>
    <t>TYP_EMSSNS_SCR</t>
  </si>
  <si>
    <t>LT_F_PR_048_01</t>
  </si>
  <si>
    <t>"EPC emissions score" should have a Format numeric (6 decimal places)</t>
  </si>
  <si>
    <t>EPC_EMSSNS_SCR</t>
  </si>
  <si>
    <t>LT_F_PR_049_01</t>
  </si>
  <si>
    <t>"Vehicle's emissions score" should have a Format numeric (6 decimal places)</t>
  </si>
  <si>
    <t>VHCL_EMSSNS_SCR</t>
  </si>
  <si>
    <t>LT_F_PR_050_01</t>
  </si>
  <si>
    <t>"Protection's emissions scope 1" should have a Format numeric (6 decimal places)</t>
  </si>
  <si>
    <t>EMSSNS_SCP1_PRTCTN</t>
  </si>
  <si>
    <t>LT_F_PR_051_01</t>
  </si>
  <si>
    <t>"Protection's emissions scope 2" should have a Format numeric (6 decimal places)</t>
  </si>
  <si>
    <t>EMSSNS_SCP2_PRTCTN</t>
  </si>
  <si>
    <t>LT_F_PR_052_01</t>
  </si>
  <si>
    <t>"Protection's emissions scope 3" should have a Format numeric (6 decimal places)</t>
  </si>
  <si>
    <t>EMSSNS_SCP3_PRTCTN</t>
  </si>
  <si>
    <t>LT_F_PR_053_01</t>
  </si>
  <si>
    <t>"Financed emissions calculation approach at protection level scope 1" should match the information on the Codelist</t>
  </si>
  <si>
    <t>MTHD_USD_PRTCTN_SCP_1</t>
  </si>
  <si>
    <t>LT_F_PR_054_01</t>
  </si>
  <si>
    <t>"Financed emissions calculation approach at protection level scope 2" should match the information on the Codelist</t>
  </si>
  <si>
    <t>MTHD_USD_PRTCTN_SCP_2</t>
  </si>
  <si>
    <t>LT_F_PR_055_01</t>
  </si>
  <si>
    <t>"Financed emissions calculation approach at protection level scope 3" should match the information on the Codelist</t>
  </si>
  <si>
    <t>MTHD_USD_PRTCTN_SCP_3</t>
  </si>
  <si>
    <t>LT_F_PR_056_01</t>
  </si>
  <si>
    <t>"Flag Acute Physical Risk at protection level" should match the information on the Codelist</t>
  </si>
  <si>
    <t>LT_F_PR_057_01</t>
  </si>
  <si>
    <t>"Flag Chronic Physical Risk at protection level" should match the information on the Codelist</t>
  </si>
  <si>
    <t>LT_F_PR_058_01</t>
  </si>
  <si>
    <t>"Insurance ID" should have Char format (variable length allowed between 1 and 60 characters)</t>
  </si>
  <si>
    <t>INSRNC_ID</t>
  </si>
  <si>
    <t>LT_F_PR_059_01</t>
  </si>
  <si>
    <t>"Type of hazards insured" should match the information on the Codelist</t>
  </si>
  <si>
    <t>TYP_HZRDS_INSRD</t>
  </si>
  <si>
    <t>LT_F_PR_060_01</t>
  </si>
  <si>
    <t>"Total amount covered by the insurance" should have a Format numeric (2 decimal places)</t>
  </si>
  <si>
    <t>AMNT_CVRD_INSRNC</t>
  </si>
  <si>
    <t>LT_F_PR_061_01</t>
  </si>
  <si>
    <t>"Maturity date of the insurance" must have a Date format (yyyy-mm-dd))</t>
  </si>
  <si>
    <t>DT_MTRTY_INSRNC</t>
  </si>
  <si>
    <t>LT_F_PR_062_01</t>
  </si>
  <si>
    <t>"Flag first home" should match the information on the Codelist</t>
  </si>
  <si>
    <t>LT_F_PR_063_01</t>
  </si>
  <si>
    <t>"Year of construction" should have a Format numeric (0 decimal places)</t>
  </si>
  <si>
    <t>LT_F_PR_064_01</t>
  </si>
  <si>
    <t>"Building Area (M2)" should have a Format numeric (6 decimal places)</t>
  </si>
  <si>
    <t>BLDNG_AR</t>
  </si>
  <si>
    <t>LT_F_PR_065_01</t>
  </si>
  <si>
    <t>"Land Area (M2)" should have a Format numeric (6 decimal places)</t>
  </si>
  <si>
    <t>LT_F_PR_066_01</t>
  </si>
  <si>
    <t>"Lien position" should have a Format numeric (0 decimal places)</t>
  </si>
  <si>
    <t>LT_F_PR_067_01</t>
  </si>
  <si>
    <t>"Real estate sustainable certifications" should match the information on the Codelist</t>
  </si>
  <si>
    <t>RL_ESTT_CRTFCTN</t>
  </si>
  <si>
    <t>LT_F_PR_068_01</t>
  </si>
  <si>
    <t>"Type of vehicle" should match the information on the Codelist</t>
  </si>
  <si>
    <t>TYP_VHCL</t>
  </si>
  <si>
    <t>LT_F_PR_069_01</t>
  </si>
  <si>
    <t>"Registration date of the vehicle" must have a Date format (yyyy-mm-dd)</t>
  </si>
  <si>
    <t>DT_RGSTRTN</t>
  </si>
  <si>
    <t>LT_F_PR_070_01</t>
  </si>
  <si>
    <t>"Actual annual primary energy demand from non renewable sources of the building" should have a Format numeric (6 decimal places)</t>
  </si>
  <si>
    <t>PRMRY_ENRGY_DMND_NN_RNWBL</t>
  </si>
  <si>
    <t>LT_F_PR_071_01</t>
  </si>
  <si>
    <t>"Actual annual primary energy demand of the building" should have a Format numeric (6 decimal places)</t>
  </si>
  <si>
    <t>PRMRY_ENRGY_DMND_TTL</t>
  </si>
  <si>
    <t>LT_F_PR_072_01</t>
  </si>
  <si>
    <t>"Annual primary energy demand of reference" should have a Format numeric (6 decimal places)</t>
  </si>
  <si>
    <t>PRMRY_ENRGY_DMND_RFRNC_VL</t>
  </si>
  <si>
    <t>LT_F_PR_073_01</t>
  </si>
  <si>
    <t>"Climatic zone of the building" should match the information on the Codelist</t>
  </si>
  <si>
    <t>RL_ESTT_CLMT_ZN</t>
  </si>
  <si>
    <t>LT_F_PR_074_01</t>
  </si>
  <si>
    <t>"Real estate longitude" should have a Format numeric (4 decimal places)</t>
  </si>
  <si>
    <t>LT_F_PR_075_01</t>
  </si>
  <si>
    <t>"Real estate latitude" should have a Format numeric (4 decimal places)</t>
  </si>
  <si>
    <t>LT_F_PR_076_01</t>
  </si>
  <si>
    <t>"Flag of electric vehicle" should match the information on the Codelist</t>
  </si>
  <si>
    <t>LT_I_AC_003_01</t>
  </si>
  <si>
    <t>Any "Instrument ID" in INSTR_ACTIVITY table must be linked to at least one record in INSTRUMENT table by "Instrument ID"</t>
  </si>
  <si>
    <t>INTEGRITY PK CONSTRAINT</t>
  </si>
  <si>
    <t>LT_I_</t>
  </si>
  <si>
    <t>LT_I_EN_010_01</t>
  </si>
  <si>
    <t>Any "Entity ID" in ENTITY table must be linked to at least one record in INSTR_ENTITY table by "Entity ID"</t>
  </si>
  <si>
    <t>LT_I_IE_003_01</t>
  </si>
  <si>
    <t>Any "Entity ID" in INSTR_ENTITY table must be linked to at least one record in ENTITY table by "Entity ID"</t>
  </si>
  <si>
    <t>LT_I_IE_003_02</t>
  </si>
  <si>
    <t>Any "Main Entity ID" populated with 'Y' can only be linked to only one counterparty sector</t>
  </si>
  <si>
    <t>INTEGRITY COUNTERPARTY SECTOR</t>
  </si>
  <si>
    <t>LT_I_IE_004_01</t>
  </si>
  <si>
    <t>Any "Instrument ID" in INSTR_ENTITY table must be linked to at least one record in INSTRUMENT table by "Instrument ID"</t>
  </si>
  <si>
    <t>LT_I_IE_004_02</t>
  </si>
  <si>
    <t>Each "Instrument ID" must be linked to only one "Main Entity ID" populated with 'Y'</t>
  </si>
  <si>
    <t>INTEGRITY</t>
  </si>
  <si>
    <t>LT_I_IN_008_01</t>
  </si>
  <si>
    <t>Any "Instrument ID" in INSTRUMENT defined as an adjustment, non-contractual balance or marked as cancelled cannot be linked to any "Entity ID" in INSTR_ENTITY</t>
  </si>
  <si>
    <t>LT_I_IN_008_02</t>
  </si>
  <si>
    <t>Any "Instrument ID" in INSTRUMENT defined as an adjustment, non-contractual balance or marked as cancelled cannot be linked to any "Protection ID" in INSTR_PROTECTION</t>
  </si>
  <si>
    <t>LT_I_IP_003_01</t>
  </si>
  <si>
    <t>Any "Instrument ID" in INSTR_PROTECTION table must be linked to at least one record in INSTRUMENT table by "Instrument ID"</t>
  </si>
  <si>
    <t>LT_I_IP_004_01</t>
  </si>
  <si>
    <t>Any "Protection ID" in INSTR_PROTECTION table must be linked to at least one record in PROTECTION table by "Protection ID"</t>
  </si>
  <si>
    <t>LT_I_IP_004_02</t>
  </si>
  <si>
    <t>Any "Protection ID" can only be linked to only one counterparty sector</t>
  </si>
  <si>
    <t>LT_I_PR_005_01</t>
  </si>
  <si>
    <t>Any "Protection ID" in PROTECTION table must be linked to at least one record in INSTR_PROTECTION table by "Protection ID"</t>
  </si>
  <si>
    <t>LT_K_AC_002_01</t>
  </si>
  <si>
    <t>"Reference date." must not be later than the current date</t>
  </si>
  <si>
    <t>LT_K_AC</t>
  </si>
  <si>
    <t>LT_K_AC_005_01</t>
  </si>
  <si>
    <t>"Percentage of UoP" must be between 0 and 1</t>
  </si>
  <si>
    <t>LT_K_EN_005_01</t>
  </si>
  <si>
    <t>"Date of financial statements" must be reported as the last day of the month</t>
  </si>
  <si>
    <t>LT_K_EN</t>
  </si>
  <si>
    <t>LT_K_EN_009_01</t>
  </si>
  <si>
    <t>LT_K_EN_036_01</t>
  </si>
  <si>
    <t>"Request by the debtor for emergency funding from the bank" can only be default values (since values will be populated using bank-internal masterscale)</t>
  </si>
  <si>
    <t>LT_K_EN_045_01</t>
  </si>
  <si>
    <t>"Rating scale" can only be default values (since values will be populated using bank-internal masterscale)</t>
  </si>
  <si>
    <t>LT_K_EN_082_01</t>
  </si>
  <si>
    <t>"Probability of default according to CRR at reference date" must be between 0 and 1</t>
  </si>
  <si>
    <t>LT_K_EN_083_01</t>
  </si>
  <si>
    <t>"12-month PD at reporting date according to IFRS 9" must be between 0 and 1</t>
  </si>
  <si>
    <t>LT_K_EN_084_01</t>
  </si>
  <si>
    <t>"12-month PD one year prior to the reporting date according to IFRS 9" must be between 0 and 1</t>
  </si>
  <si>
    <t>LT_K_EN_088_01</t>
  </si>
  <si>
    <t>"On-site inspection identifier" can only be default values (since values will be populated using bank-internal masterscale)</t>
  </si>
  <si>
    <t>LT_K_EN_089_01</t>
  </si>
  <si>
    <t>"Probability of default according to CRR one year prior to the reference date" must be between 0 and 1</t>
  </si>
  <si>
    <t>LT_K_EN_094_01</t>
  </si>
  <si>
    <t>"Economic activity counterparty ESG" cannot be '64.2 - Activities of holding companies'</t>
  </si>
  <si>
    <t>LT_K_EN_096_01</t>
  </si>
  <si>
    <t>"Taxonomy-eligible CAPEX (CCM) Ratio" must be between 0 and 1</t>
  </si>
  <si>
    <t>LT_K_EN_097_01</t>
  </si>
  <si>
    <t>"Taxonomy-eligible Turnover (CCM) Ratio" must be between 0 and 1</t>
  </si>
  <si>
    <t>LT_K_EN_098_01</t>
  </si>
  <si>
    <t>"Taxonomy-eligible CAPEX (CCA) Ratio" must be between 0 and 1</t>
  </si>
  <si>
    <t>LT_K_EN_099_01</t>
  </si>
  <si>
    <t>"Taxonomy-eligible Turnover (CCA) Ratio" must be between 0 and 1</t>
  </si>
  <si>
    <t>LT_K_EN_100_01</t>
  </si>
  <si>
    <t>"Taxonomy-aligned CAPEX (CCM) - Enabling Ratio" must be between 0 and 1</t>
  </si>
  <si>
    <t>LT_K_EN_101_01</t>
  </si>
  <si>
    <t>"Taxonomy-aligned CAPEX (CCA) - Enabling Ratio" must be between 0 and 1</t>
  </si>
  <si>
    <t>LT_K_EN_102_01</t>
  </si>
  <si>
    <t>"Taxonomy-aligned CAPEX (CCM) - Transitional Ratio" must be between 0 and 1</t>
  </si>
  <si>
    <t>LT_K_EN_103_01</t>
  </si>
  <si>
    <t>"Taxonomy-aligned CAPEX (CCM) - Pure Ratio" must be between 0 and 1</t>
  </si>
  <si>
    <t>LT_K_EN_104_01</t>
  </si>
  <si>
    <t>"Taxonomy-aligned CAPEX (CCA) - Pure Ratio" must be between 0 and 1</t>
  </si>
  <si>
    <t>LT_K_EN_105_01</t>
  </si>
  <si>
    <t>"Taxonomy-aligned Turnover (CCM) - Enabling Ratio" must be between 0 and 1</t>
  </si>
  <si>
    <t>LT_K_EN_106_01</t>
  </si>
  <si>
    <t>"Taxonomy-aligned Turnover (CCA) - Enabling Ratio" must be between 0 and 1</t>
  </si>
  <si>
    <t>LT_K_EN_107_01</t>
  </si>
  <si>
    <t>"Taxonomy-aligned Turnover (CCM) - Transitional Ratio" must be between 0 and 1</t>
  </si>
  <si>
    <t>LT_K_EN_108_01</t>
  </si>
  <si>
    <t>"Taxonomy-aligned turnover (CCM) - Pure Ratio" must be between 0 and 1</t>
  </si>
  <si>
    <t>LT_K_EN_109_01</t>
  </si>
  <si>
    <t>"Taxonomy-aligned turnover (CCA) - Pure Ratio" must be between 0 and 1</t>
  </si>
  <si>
    <t>LT_K_EN_115_01</t>
  </si>
  <si>
    <t>"Counterparty's emissions scope 1" must be positive (&gt;=0)</t>
  </si>
  <si>
    <t>LT_K_EN_116_01</t>
  </si>
  <si>
    <t>"Counterparty's emissions scope 2" must be positive (&gt;=0)</t>
  </si>
  <si>
    <t>LT_K_EN_117_01</t>
  </si>
  <si>
    <t>"Counterparty's emissions scope 3" must be positive (&gt;=0)</t>
  </si>
  <si>
    <t>LT_K_EN_119_01</t>
  </si>
  <si>
    <t>"Group's emissions scope 1" must be positive (&gt;=0)</t>
  </si>
  <si>
    <t>LT_K_EN_120_01</t>
  </si>
  <si>
    <t>"Group's emissions scope 2" must be positive (&gt;=0)</t>
  </si>
  <si>
    <t>LT_K_EN_121_01</t>
  </si>
  <si>
    <t>"Group's emissions scope 3" must be positive (&gt;=0)</t>
  </si>
  <si>
    <t>LT_K_EN_133_01</t>
  </si>
  <si>
    <t xml:space="preserve">"Number of employees" must be greater than or equal to 0 </t>
  </si>
  <si>
    <t>LT_K_EN_142_01</t>
  </si>
  <si>
    <t>"Taxonomy-eligible CAPEX (W) Ratio" must be between 0 and 1</t>
  </si>
  <si>
    <t>LT_K_EN_143_01</t>
  </si>
  <si>
    <t>"Taxonomy-eligible Turnover (W) Ratio" must be between 0 and 1</t>
  </si>
  <si>
    <t>LT_K_EN_144_01</t>
  </si>
  <si>
    <t>"Taxonomy-eligible CAPEX (P) Ratio" must be between 0 and 1</t>
  </si>
  <si>
    <t>LT_K_EN_145_01</t>
  </si>
  <si>
    <t>"Taxonomy-eligible Turnover (P) Ratio" must be between 0 and 1</t>
  </si>
  <si>
    <t>LT_K_EN_146_01</t>
  </si>
  <si>
    <t>"Taxonomy-eligible CAPEX (B) Ratio" must be between 0 and 1</t>
  </si>
  <si>
    <t>LT_K_EN_147_01</t>
  </si>
  <si>
    <t>"Taxonomy-eligible Turnover (B) Ratio" must be between 0 and 1</t>
  </si>
  <si>
    <t>LT_K_EN_148_01</t>
  </si>
  <si>
    <t>"Taxonomy-eligible CAPEX (CE) Ratio" must be between 0 and 1</t>
  </si>
  <si>
    <t>LT_K_EN_149_01</t>
  </si>
  <si>
    <t>"Taxonomy-eligible Turnover (CE) Ratio" must be between 0 and 1</t>
  </si>
  <si>
    <t>LT_K_EN_150_01</t>
  </si>
  <si>
    <t>"Taxonomy-aligned CAPEX (P) - Pure Ratio" must be between 0 and 1</t>
  </si>
  <si>
    <t>LT_K_EN_151_01</t>
  </si>
  <si>
    <t>"Taxonomy-aligned Turnover (P) - Pure Ratio" must be between 0 and 1</t>
  </si>
  <si>
    <t>LT_K_EN_152_01</t>
  </si>
  <si>
    <t>"Taxonomy-aligned CAPEX (B) - Pure Ratio" must be between 0 and 1</t>
  </si>
  <si>
    <t>LT_K_EN_153_01</t>
  </si>
  <si>
    <t>"Taxonomy-aligned Turnover (B) - Pure Ratio" must be between 0 and 1</t>
  </si>
  <si>
    <t>LT_K_EN_154_01</t>
  </si>
  <si>
    <t>"Taxonomy-aligned CAPEX (W) - Pure Ratio" must be between 0 and 1</t>
  </si>
  <si>
    <t>LT_K_EN_155_01</t>
  </si>
  <si>
    <t>"Taxonomy-aligned Turnover (W) - Pure Ratio" must be between 0 and 1</t>
  </si>
  <si>
    <t>LT_K_EN_156_01</t>
  </si>
  <si>
    <t>"Taxonomy-aligned CAPEX (CE) - Pure Ratio" must be between 0 and 1</t>
  </si>
  <si>
    <t>LT_K_EN_157_01</t>
  </si>
  <si>
    <t>"Taxonomy-aligned Turnover (CE) - Pure Ratio" must be between 0 and 1</t>
  </si>
  <si>
    <t>LT_K_EN_158_01</t>
  </si>
  <si>
    <t>"Taxonomy-aligned CAPEX (W) - Enabling Ratio" must be between 0 and 1</t>
  </si>
  <si>
    <t>LT_K_EN_159_01</t>
  </si>
  <si>
    <t>"Taxonomy-aligned Turnover (W) - Enabling Ratio" must be between 0 and 1</t>
  </si>
  <si>
    <t>LT_K_EN_160_01</t>
  </si>
  <si>
    <t>"Taxonomy-aligned CAPEX (CE) - Enabling Ratio" must be between 0 and 1</t>
  </si>
  <si>
    <t>LT_K_EN_161_01</t>
  </si>
  <si>
    <t>"Taxonomy-aligned Turnover (CE) - Enabling Ratio" must be between 0 and 1</t>
  </si>
  <si>
    <t>LT_K_IE_002_01</t>
  </si>
  <si>
    <t>"Reference date" must not be later than the current date</t>
  </si>
  <si>
    <t>LT_K_IE</t>
  </si>
  <si>
    <t>LT_K_IN_007_01</t>
  </si>
  <si>
    <t>LT_K_IN</t>
  </si>
  <si>
    <t>LT_K_IN_030_01</t>
  </si>
  <si>
    <t>"Identification of exposure that is in scope of the on-site inspection" can only be default values (since values will be populated using bank-internal masterscale)</t>
  </si>
  <si>
    <t>LT_K_IN_034_01</t>
  </si>
  <si>
    <t>LT_K_IN_035_03</t>
  </si>
  <si>
    <t>"Previous impairment status" can only be '23 - Stage 1 (IFRS)' or '24 - Stage 2 (IFRS)' or '25 - Stage 3 (IFRS)' or default values(Since Santander Group is IFRS compliance and do not apply General Accounting Accepted Principles (GAAP) on a consolidated basis)</t>
  </si>
  <si>
    <t>LT_K_IN_054_01</t>
  </si>
  <si>
    <t>"Type of amortisation" cannot equal 'Not applicable' (use of value '5 - Amortisation types other than French, German, Fixed amortisation schedule or bullet' instead required)</t>
  </si>
  <si>
    <t>LT_K_IN_108_01</t>
  </si>
  <si>
    <t>"IFRS 9 accounting LGD" must be between 0 and 1</t>
  </si>
  <si>
    <t>LT_K_IN_109_01</t>
  </si>
  <si>
    <t>"Regulatory LGD" must be between 0 and 1</t>
  </si>
  <si>
    <t>LT_K_IN_113_01</t>
  </si>
  <si>
    <t>"Probability of default according to CRR at inception date" must be between 0 and 1</t>
  </si>
  <si>
    <t>LT_K_IN_114_01</t>
  </si>
  <si>
    <t>LT_K_IN_115_01</t>
  </si>
  <si>
    <t>LT_K_IN_116_01</t>
  </si>
  <si>
    <t>"12-month PD at inception date according to IFRS 9" must be between 0 and 1</t>
  </si>
  <si>
    <t>LT_K_IN_117_01</t>
  </si>
  <si>
    <t>LT_K_IN_118_01</t>
  </si>
  <si>
    <t>LT_K_IN_119_01</t>
  </si>
  <si>
    <t>"Lifetime PD at inception date according to IFRS 9 (cumulative)" must be between 0 and 1</t>
  </si>
  <si>
    <t>LT_K_IN_120_01</t>
  </si>
  <si>
    <t>"Remaining lifetime PD at inception date according to IFRS 9 (cumulative)" must be between 0 and 1</t>
  </si>
  <si>
    <t>LT_K_IN_121_01</t>
  </si>
  <si>
    <t>"Remaining lifetime PD at reporting date according to IFRS 9 (cumulative)" must be between 0 and 1</t>
  </si>
  <si>
    <t>LT_K_IN_123_01</t>
  </si>
  <si>
    <t>LT_K_IN_126_01</t>
  </si>
  <si>
    <t>"Current effective interest rate for provisioning calculation according to IFRS 9." must be between 0 and 1</t>
  </si>
  <si>
    <t>LT_K_IN_127_01</t>
  </si>
  <si>
    <t>"Effective interest rate at inception" must be between 0 and 1</t>
  </si>
  <si>
    <t>LT_K_IN_137_01</t>
  </si>
  <si>
    <t>"Share in the syndicate" must be between 0 and 1</t>
  </si>
  <si>
    <t>LT_K_IN_157_01</t>
  </si>
  <si>
    <t>"Coupon rate (if fixed)." must be between 0 and 1</t>
  </si>
  <si>
    <t>LT_K_IN_179_01</t>
  </si>
  <si>
    <t>"Coupon rate (if floating)." must be between 0 and 1</t>
  </si>
  <si>
    <t>LT_K_IN_180_01</t>
  </si>
  <si>
    <t>"Spread" must be between -1 and 1</t>
  </si>
  <si>
    <t>LT_K_IN_189_01</t>
  </si>
  <si>
    <t>"Coefficient of correlation (R)" must be between 0 and 1</t>
  </si>
  <si>
    <t>LT_K_IN_190_01</t>
  </si>
  <si>
    <t>If "ISIN code of the securitisation bonds and SRT (Y/N)" is not equal to the default value, the first five characters of the "ISIN code of the securitisation bonds and SRT (Y/N)" value must be equal to "SRT=Y" or "SRT=N".</t>
  </si>
  <si>
    <t>LT_K_IN_214_01</t>
  </si>
  <si>
    <t>"RWA Off Balance" can only be default values (since values will be populated using bank-internal masterscale)</t>
  </si>
  <si>
    <t>LT_K_IN_248_02</t>
  </si>
  <si>
    <t>"Balance sheet recognition" can only be 'REC01 - Entirely recognised', 'REC02 - Recognised to the extent of the institution's continuing involvement' or default values</t>
  </si>
  <si>
    <t>LT_K_IN_251_01</t>
  </si>
  <si>
    <t>"Excluded Leveraged Transaction Exposures" cannot be 'EXC03 - Credit derivatives'</t>
  </si>
  <si>
    <t>LT_K_IN_270_01</t>
  </si>
  <si>
    <t>"Probability of default according to Economic Capital at inception date" must be between 0 and 1</t>
  </si>
  <si>
    <t>LT_K_IN_271_01</t>
  </si>
  <si>
    <t>"Probability of default according to Economic Capital at reference date" must be between 0 and 1</t>
  </si>
  <si>
    <t>LT_K_IP_002_01</t>
  </si>
  <si>
    <t>LT_K_IP</t>
  </si>
  <si>
    <t>LT_K_PR_003_01</t>
  </si>
  <si>
    <t>LT_K_PR</t>
  </si>
  <si>
    <t>LT_K_PR_012_01</t>
  </si>
  <si>
    <t>"Haircut applied by the bank to the market value" must be between 0 and 1</t>
  </si>
  <si>
    <t>LT_K_PR_048_01</t>
  </si>
  <si>
    <t>"EPC emissions score" must be positive (&gt;=0)</t>
  </si>
  <si>
    <t>LT_K_PR_049_01</t>
  </si>
  <si>
    <t>"Vehicle's emissions score" must be positive (&gt;=0)</t>
  </si>
  <si>
    <t>LT_K_PR_050_01</t>
  </si>
  <si>
    <t>"Protection's emissions scope 1" must be positive (&gt;=0)</t>
  </si>
  <si>
    <t>LT_K_PR_051_01</t>
  </si>
  <si>
    <t>"Protection's emissions scope 2" must be positive (&gt;=0)</t>
  </si>
  <si>
    <t>LT_K_PR_052_01</t>
  </si>
  <si>
    <t>"Protection's emissions scope 3" must be positive (&gt;=0)</t>
  </si>
  <si>
    <t>LT_K_PR_063_01</t>
  </si>
  <si>
    <t>"Year of construction" must not be later than the year of reference</t>
  </si>
  <si>
    <t>LT_K_PR_064_01</t>
  </si>
  <si>
    <t>"Building Area (M2)" must be greater than or equal to 0</t>
  </si>
  <si>
    <t>LT_K_PR_065_01</t>
  </si>
  <si>
    <t>"Land Area (M2)" must be greater than or equal to 0</t>
  </si>
  <si>
    <t>LT_K_PR_066_01</t>
  </si>
  <si>
    <t>"Lien position" must be greater or equal to 0</t>
  </si>
  <si>
    <t>LT_K_PR_069_01</t>
  </si>
  <si>
    <t>"Registration date of the vehicle" must not be later than the current date</t>
  </si>
  <si>
    <t>LT_K_PR_074_01</t>
  </si>
  <si>
    <t>"Real estate longitude"  must be between -180 and 180</t>
  </si>
  <si>
    <t>LT_K_PR_075_01</t>
  </si>
  <si>
    <t>"Real estate latitude" must be between -90 and 90</t>
  </si>
  <si>
    <t>LT_O_AC_002_01</t>
  </si>
  <si>
    <t>"Reference date" must be later than 01 December 2020</t>
  </si>
  <si>
    <t>LT_O_AC</t>
  </si>
  <si>
    <t>LT_O_EN_003_01</t>
  </si>
  <si>
    <t>"Birth date counterparty" must be later than 01 January 1900</t>
  </si>
  <si>
    <t>LT_O_EN</t>
  </si>
  <si>
    <t>LT_O_EN_004_01</t>
  </si>
  <si>
    <t>"Date of default status" must be later than 01 January 1970</t>
  </si>
  <si>
    <t>LT_O_EN_005_01</t>
  </si>
  <si>
    <t>"Date of financial statements" must be later than 01 January 2000</t>
  </si>
  <si>
    <t>LT_O_EN_005_02</t>
  </si>
  <si>
    <t xml:space="preserve">"Date of financial statements" must be later than the data period minus 2 years </t>
  </si>
  <si>
    <t>LT_O_EN_006_01</t>
  </si>
  <si>
    <t>"Date of previous fiscal year financial statements" must be later than 01 January 2000</t>
  </si>
  <si>
    <t>LT_O_EN_007_01</t>
  </si>
  <si>
    <t>"Date of initiation of legal proceedings counterparty (LE)" must be later than 01 January 2000</t>
  </si>
  <si>
    <t>LT_O_EN_008_01</t>
  </si>
  <si>
    <t>LT_O_EN_009_01</t>
  </si>
  <si>
    <t>LT_O_EN_022_01</t>
  </si>
  <si>
    <t>"Date of external rating" must be later than 01 January 1970</t>
  </si>
  <si>
    <t>LT_O_EN_023_01</t>
  </si>
  <si>
    <t>"Date of internal rating" (entity level) must be later than 01 January 1970</t>
  </si>
  <si>
    <t>LT_O_EN_048_01</t>
  </si>
  <si>
    <t>"Group's EBITDA at most recent reported figures" shall be larger or equal to 0; Negative values trigger attention</t>
  </si>
  <si>
    <t>LT_O_EN_049_01</t>
  </si>
  <si>
    <t>"Group's Equity at most recent reported figures" shall be larger or equal to 0; Negative values trigger attention</t>
  </si>
  <si>
    <t>LT_O_EN_050_01</t>
  </si>
  <si>
    <t>"Total net debt at most recent reported figures" shall be larger or equal to 0; Negative values trigger attention</t>
  </si>
  <si>
    <t>LT_O_EN_051_01</t>
  </si>
  <si>
    <t>"Annual turnover counterparty (LE)" shall be larger or equal to 0; Negative values trigger attention</t>
  </si>
  <si>
    <t>LT_O_EN_052_01</t>
  </si>
  <si>
    <t>"Annual turnover counterparty (LE) at previous reporting" shall be larger or equal to 0; Negative values trigger attention</t>
  </si>
  <si>
    <t>LT_O_EN_053_01</t>
  </si>
  <si>
    <t>"Capital expenditures at most recent reported figures" shall be larger or equal to 0; Negative values trigger attention</t>
  </si>
  <si>
    <t>LT_O_EN_054_01</t>
  </si>
  <si>
    <t>"Capital expenditures at previous reported figures" shall be larger or equal to 0; Negative values trigger attention</t>
  </si>
  <si>
    <t>LT_O_EN_056_01</t>
  </si>
  <si>
    <t>"Cash and cash equivalents at most recent reported figures" shall be larger or equal to 0; Negative values trigger attention</t>
  </si>
  <si>
    <t>LT_O_EN_057_01</t>
  </si>
  <si>
    <t>"Cash and cash equivalents at previous reported figures" shall be larger or equal to 0; Negative values trigger attention</t>
  </si>
  <si>
    <t>LT_O_EN_058_01</t>
  </si>
  <si>
    <t>"EBITDA at latest reported figures" shall be larger or equal to 0; Negative values trigger attention</t>
  </si>
  <si>
    <t>LT_O_EN_059_01</t>
  </si>
  <si>
    <t>"EBITDA at previous reported figures" shall be larger or equal to 0; Negative values trigger attention</t>
  </si>
  <si>
    <t>LT_O_EN_060_01</t>
  </si>
  <si>
    <t>"Equity at most recent reported figures" shall be larger or equal to 0; Negative values trigger attention</t>
  </si>
  <si>
    <t>LT_O_EN_061_01</t>
  </si>
  <si>
    <t>"Equity at previous reported figures" shall be larger or equal to 0; Negative values trigger attention</t>
  </si>
  <si>
    <t>LT_O_EN_062_01</t>
  </si>
  <si>
    <t>"Group's Total debt at most recent reported figures" shall be larger or equal to 0; Negative values trigger attention</t>
  </si>
  <si>
    <t>LT_O_EN_063_01</t>
  </si>
  <si>
    <t>"Goodwill at most recent reported figures" shall be larger or equal to 0; Negative values trigger attention</t>
  </si>
  <si>
    <t>LT_O_EN_064_01</t>
  </si>
  <si>
    <t>"Goodwill at previous reported figures" shall be larger or equal to 0; Negative values trigger attention</t>
  </si>
  <si>
    <t>LT_O_EN_065_01</t>
  </si>
  <si>
    <t>LT_O_EN_066_01</t>
  </si>
  <si>
    <t>"Leverage (net debt / EBITDA) at most recent reported figures" shall be larger than 0; Negative values trigger attention</t>
  </si>
  <si>
    <t>LT_O_EN_067_01</t>
  </si>
  <si>
    <t>"Leverage (net debt / EBITDA) at previous reported figures" shall be larger than 0; Negative values trigger attention</t>
  </si>
  <si>
    <t>LT_O_EN_068_01</t>
  </si>
  <si>
    <t>"Monthly income - other" shall be larger or equal to 0; Negative values trigger attention</t>
  </si>
  <si>
    <t>LT_O_EN_069_01</t>
  </si>
  <si>
    <t>"Monthly income - salary" shall be larger or equal to 0; Negative values trigger attention</t>
  </si>
  <si>
    <t>LT_O_EN_070_01</t>
  </si>
  <si>
    <t>"Average monthly turnover to bank account(s)" shall be larger or equal to 0; Negative values trigger attention</t>
  </si>
  <si>
    <t>LT_O_EN_071_01</t>
  </si>
  <si>
    <t>"Net income at most recent reported figures" shall be larger or equal to 0; Negative values trigger attention</t>
  </si>
  <si>
    <t>LT_O_EN_072_01</t>
  </si>
  <si>
    <t>"Net income at previous reported figures" shall be larger or equal to 0; Negative values trigger attention</t>
  </si>
  <si>
    <t>LT_O_EN_073_01</t>
  </si>
  <si>
    <t>"Total debt at latest most recent reported figures" shall be larger or equal to 0; Negative values trigger attention</t>
  </si>
  <si>
    <t>LT_O_EN_074_01</t>
  </si>
  <si>
    <t>"Total debt at previous reported figures" shall be larger or equal to 0; Negative values trigger attention</t>
  </si>
  <si>
    <t>LT_O_EN_075_01</t>
  </si>
  <si>
    <t>"Debtor's total interest paid (over period for one year)" shall be larger or equal to 0; Negative values trigger attention</t>
  </si>
  <si>
    <t>LT_O_EN_076_01</t>
  </si>
  <si>
    <t>"Leverage ratio as per ECB Guidance on leveraged transactions; total debt vs EBITDA" shall be larger than 0; Negative values trigger attention</t>
  </si>
  <si>
    <t>LT_O_EN_077_01</t>
  </si>
  <si>
    <t>"Leverage ratio at previous reported figures as per ECB Guidance on leveraged transactions; total debt vs EBITDA" shall be larger than 0; Negative values trigger attention</t>
  </si>
  <si>
    <t>LT_O_EN_078_01</t>
  </si>
  <si>
    <t>"Debt repayment capacity of senior secured debt as per ECB Guidance on leveraged transactions" shall be larger than 0; Negative values trigger attention</t>
  </si>
  <si>
    <t>LT_O_EN_079_01</t>
  </si>
  <si>
    <t>"Debt repayment capacity of the total debt as per ECB Guidance on leveraged transactions" shall be larger than 0; Negative values trigger attention</t>
  </si>
  <si>
    <t>LT_O_EN_080_01</t>
  </si>
  <si>
    <t>"Debt service coverage ratio" shall be larger than 0; Negative values trigger attention</t>
  </si>
  <si>
    <t>LT_O_EN_081_01</t>
  </si>
  <si>
    <t>"Debt service coverage ratio at the most recent reported figures prior to the reference date" shall be larger than 0; Negative values trigger attention</t>
  </si>
  <si>
    <t>LT_O_EN_086_01</t>
  </si>
  <si>
    <t>"BDR Annual turnover counterparty (LE)" shall be larger or equal to 0; Negative values trigger attention</t>
  </si>
  <si>
    <t>LT_O_EN_087_01</t>
  </si>
  <si>
    <t>"BDR Annual turnover counterparty (LE) at previous reporting" shall be larger or equal to 0; Negative values trigger attention</t>
  </si>
  <si>
    <t>LT_O_EN_095_01</t>
  </si>
  <si>
    <t>"Total Liabilities at latest most recent reported figures" shall be larger than or equal to 0; Negative values trigger attention</t>
  </si>
  <si>
    <t>LT_O_EN_113_01</t>
  </si>
  <si>
    <t>"Group's annual turnover (LE)" shall be larger than or equal to 0; Negative values trigger attention</t>
  </si>
  <si>
    <t>LT_O_EN_114_01</t>
  </si>
  <si>
    <t>"Group's total liability at most recent reported figures" shall be larger than or equal to 0; Negative values trigger attention</t>
  </si>
  <si>
    <t>LT_O_EN_126_01</t>
  </si>
  <si>
    <t>"Free Cash Flow" shall be larger or equal to 0; Negative values trigger attention</t>
  </si>
  <si>
    <t>LT_O_EN_127_01</t>
  </si>
  <si>
    <t>"Free Cash Flow T+1" shall be larger or equal to 0; Negative values trigger attention</t>
  </si>
  <si>
    <t>LT_O_EN_128_01</t>
  </si>
  <si>
    <t>"Free Cash Flow T+2" shall be larger or equal to 0; Negative values trigger attention</t>
  </si>
  <si>
    <t>LT_O_EN_129_01</t>
  </si>
  <si>
    <t>"Free Cash Flow T+3" shall be larger or equal to 0; Negative values trigger attention</t>
  </si>
  <si>
    <t>LT_O_EN_133_01</t>
  </si>
  <si>
    <t>"Number of employees" shall be smaller than or equal to 1000000; Greater values trigger attention</t>
  </si>
  <si>
    <t>LT_O_EN_138_01</t>
  </si>
  <si>
    <t>"Total Assets" shall be larger than or equal to 0; Negative values trigger attention</t>
  </si>
  <si>
    <t>LT_O_EN_162_01</t>
  </si>
  <si>
    <t>"RORAC" (entity level) shall be larger than or equal to 0; Negative values trigger attention</t>
  </si>
  <si>
    <t>LT_O_EN_163_01</t>
  </si>
  <si>
    <t>"Group's RORAC" shall be larger than or equal to 0; Negative values trigger attention</t>
  </si>
  <si>
    <t>LT_O_EN_164_01</t>
  </si>
  <si>
    <t>"RoRWA" (entity level) shall be larger than or equal to 0; Negative values trigger attention</t>
  </si>
  <si>
    <t>LT_O_EN_165_01</t>
  </si>
  <si>
    <t>"Group's RoRWA"shall be larger than or equal to 0; Negative values trigger attention</t>
  </si>
  <si>
    <t>LT_O_EN_167_01</t>
  </si>
  <si>
    <t>"Total permissible debt balance" shall be larger than or equal to 0; Negative values trigger attention</t>
  </si>
  <si>
    <t>LT_O_IE_002_01</t>
  </si>
  <si>
    <t>LT_O_IE</t>
  </si>
  <si>
    <t>LT_O_IE_005_01</t>
  </si>
  <si>
    <t>"Joint-liability amount" shall be larger or equal to 0; Negative values trigger attention</t>
  </si>
  <si>
    <t>LT_O_IN_007_01</t>
  </si>
  <si>
    <t>LT_O_IN_011_01</t>
  </si>
  <si>
    <t>"Date of inception" must be later than 01 January 1970</t>
  </si>
  <si>
    <t>LT_O_IN_021_01</t>
  </si>
  <si>
    <t>LT_O_IN_022_01</t>
  </si>
  <si>
    <t xml:space="preserve">"End date of principal grace period" must be later than 01 January 1970 and earlier than the data period plus 80 years </t>
  </si>
  <si>
    <t>LT_O_IN_023_01</t>
  </si>
  <si>
    <t xml:space="preserve">"End date of the interest-only period" must be later than 01 January 1970 and earlier than the data period plus 80 years </t>
  </si>
  <si>
    <t>LT_O_IN_024_01</t>
  </si>
  <si>
    <t>"Date of forbearance status" must be later than 01 January 1970</t>
  </si>
  <si>
    <t>LT_O_IN_025_01</t>
  </si>
  <si>
    <t>"Date of previous forbearance status" must be later than 01 January 1970</t>
  </si>
  <si>
    <t>LT_O_IN_026_01</t>
  </si>
  <si>
    <t>"Date of internal rating" (instrument level) must be later than 01 January 1970</t>
  </si>
  <si>
    <t>LT_O_IN_029_01</t>
  </si>
  <si>
    <t>"Start date of the interest-only period" must be later than 01 January 1970</t>
  </si>
  <si>
    <t>LT_O_IN_059_01</t>
  </si>
  <si>
    <t>"Start date of principal grace period" must be later than 01 January 1970</t>
  </si>
  <si>
    <t>LT_O_IN_060_01</t>
  </si>
  <si>
    <t>"Gross carrying amount" shall be larger or equal to 0; Negative values trigger attention</t>
  </si>
  <si>
    <t>LT_O_IN_061_01</t>
  </si>
  <si>
    <t>LT_O_IN_063_01</t>
  </si>
  <si>
    <t>"Accrued interest balance as recognised on the balance sheet" shall be larger or equal to 0; Negative values trigger attention</t>
  </si>
  <si>
    <t>LT_O_IN_064_01</t>
  </si>
  <si>
    <t>"Amount due at the legal final maturity date" shall be larger or equal to 0; Negative values trigger attention</t>
  </si>
  <si>
    <t>LT_O_IN_065_01</t>
  </si>
  <si>
    <t>"Credit conversion factor (CCF) according to CRR" must be between 0 and 1</t>
  </si>
  <si>
    <t>LT_O_IN_066_01</t>
  </si>
  <si>
    <t>"Commitment amount at inception" shall be larger or equal to 0; Negative values trigger attention</t>
  </si>
  <si>
    <t>LT_O_IN_067_01</t>
  </si>
  <si>
    <t>"Commitment amount at reference date" shall be larger or equal to 0; Negative values trigger attention</t>
  </si>
  <si>
    <t>LT_O_IN_068_01</t>
  </si>
  <si>
    <t>"Carrying amount" shall be larger or equal to 0; Negative values trigger attention</t>
  </si>
  <si>
    <t>LT_O_IN_069_01</t>
  </si>
  <si>
    <t>"Debt yield" shall be larger than 0; Negative values trigger attention</t>
  </si>
  <si>
    <t>LT_O_IN_070_01</t>
  </si>
  <si>
    <t xml:space="preserve">"Legal final maturity date (latest repayment date)" must be later than 01 January 1970 and earlier than the data period plus 80 years </t>
  </si>
  <si>
    <t>LT_O_IN_071_01</t>
  </si>
  <si>
    <t xml:space="preserve">"Next interest rate reset date" must be later than 01 January 1970 and earlier than the data period plus 80 years </t>
  </si>
  <si>
    <t>LT_O_IN_072_01</t>
  </si>
  <si>
    <t xml:space="preserve">"Original contractual maturity date (latest repayment date)" must be later than 01 January 1970 and earlier than the data period plus 80 years </t>
  </si>
  <si>
    <t>LT_O_IN_073_01</t>
  </si>
  <si>
    <t>LT_O_IN_074_01</t>
  </si>
  <si>
    <t>"Regulatory EAD" shall be larger or equal to 0; Negative values trigger attention</t>
  </si>
  <si>
    <t>LT_O_IN_075_01</t>
  </si>
  <si>
    <t>"IFRS 9 accounting CCF" must be between 0 and 1</t>
  </si>
  <si>
    <t>LT_O_IN_076_01</t>
  </si>
  <si>
    <t>"IFRS 9 accounting EAD" shall be larger or equal to 0; Negative values trigger attention</t>
  </si>
  <si>
    <t>LT_O_IN_077_01</t>
  </si>
  <si>
    <t>"Instalment payable" shall be larger or equal to 0; Negative values trigger attention</t>
  </si>
  <si>
    <t>LT_O_IN_078_01</t>
  </si>
  <si>
    <t>"Off-balance sheet amount" shall be larger or equal to 0; Negative values trigger attention</t>
  </si>
  <si>
    <t>LT_O_IN_079_01</t>
  </si>
  <si>
    <t>LT_R_IN_081_01</t>
  </si>
  <si>
    <t>If "Date of inception" is less than one year in the past (compared to "Reference date") and product type is other than uncommited overdraft, then "Previous outstanding gross nominal amount" should be populated with default values.</t>
  </si>
  <si>
    <t>LT_R_IN_081_02</t>
  </si>
  <si>
    <t>If "Date of inception" is more than one year in the past (compared to "Reference date"), then "Previous outstanding gross nominal amount" should be populated with values other than default.</t>
  </si>
  <si>
    <t>LT_O_IN_082_01</t>
  </si>
  <si>
    <t>"Provisions associated with off-balance sheet exposures" shall be larger or equal to 0; Negative values trigger attention</t>
  </si>
  <si>
    <t>LT_O_IN_084_01</t>
  </si>
  <si>
    <t>"Retention share"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</si>
  <si>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</si>
  <si>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</si>
  <si>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</si>
  <si>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</si>
  <si>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LT_O_IN_089_01</t>
  </si>
  <si>
    <t>"Previous sum of LLPs and other allowances" shall be larger or equal to 0; Negative values trigger attention</t>
  </si>
  <si>
    <t>LT_O_IN_090_01</t>
  </si>
  <si>
    <t>"Accumulated write-offs" shall be larger or equal to 0; Negative values trigger attention</t>
  </si>
  <si>
    <t>LT_O_IN_091_01</t>
  </si>
  <si>
    <t>"Total exposure in arrears" shall be larger or equal to 0; Negative values trigger attention</t>
  </si>
  <si>
    <t>LT_O_IN_092_01</t>
  </si>
  <si>
    <t>"Highest total exposure in arrears in the last 12 months before the reference date" shall be larger or equal to 0; Negative values trigger attention</t>
  </si>
  <si>
    <t>LT_O_IN_093_01</t>
  </si>
  <si>
    <t>"Cumulative recoveries since default" shall be larger or equal to 0; Negative values trigger attention</t>
  </si>
  <si>
    <t>LT_O_IN_094_01</t>
  </si>
  <si>
    <t>"Days past due at reference date" shall be larger or equal to 0; Negative values trigger attention</t>
  </si>
  <si>
    <t>LT_O_IN_095_01</t>
  </si>
  <si>
    <t>"Highest number of days past due in the last 12 months" shall be larger or equal to 0; Negative values trigger attention</t>
  </si>
  <si>
    <t>LT_O_IN_096_01</t>
  </si>
  <si>
    <t>"Highest number of days past due in the 12 months prior to the most recent change of the forbearance status" shall be larger or equal to 0; Negative values trigger attention</t>
  </si>
  <si>
    <t>LT_O_IN_097_01</t>
  </si>
  <si>
    <t>"Highest number of days past due in the 12 months prior to the most recent change of performing status" shall be larger or equal to 0; Negative values trigger attention</t>
  </si>
  <si>
    <t>LT_O_IN_098_01</t>
  </si>
  <si>
    <t>"Highest number of days past due in the 24 months prior to the most recent change of the forbearance status" shall be larger or equal to 0; Negative values trigger attention</t>
  </si>
  <si>
    <t>LT_O_IN_099_01</t>
  </si>
  <si>
    <t>"Highest number of days past due in the 24 months before most recent change of performing status" shall be larger or equal to 0; Negative values trigger attention</t>
  </si>
  <si>
    <t>LT_O_IN_100_01</t>
  </si>
  <si>
    <t>"Days past due at the date of the most recent change of the forbearance status" shall be larger or equal to 0; Negative values trigger attention</t>
  </si>
  <si>
    <t>LT_O_IN_101_01</t>
  </si>
  <si>
    <t>"Days past due at the time of the most recent change of the performing status" shall be larger or equal to 0; Negative values trigger attention</t>
  </si>
  <si>
    <t>LT_O_IN_104_01</t>
  </si>
  <si>
    <t>"Date past due" must be later than 01 January 1970</t>
  </si>
  <si>
    <t>LT_O_IN_107_01</t>
  </si>
  <si>
    <t>"Number of historical forbearance" shall be larger or equal to 0; Negative values trigger attention</t>
  </si>
  <si>
    <t>LT_O_IN_110_01</t>
  </si>
  <si>
    <t>"Loan to value (LTV) at reference date" shall be larger or equal to 0; Negative values trigger attention</t>
  </si>
  <si>
    <t>LT_O_IN_111_01</t>
  </si>
  <si>
    <t>"Loan to value (LTV) at inception" shall be larger or equal to 0; Negative values trigger attention</t>
  </si>
  <si>
    <t>LT_O_IN_112_01</t>
  </si>
  <si>
    <t>"Loan to value (LTV) at the date when the instrument was classified as non performing" shall be larger or equal to 0; Negative values trigger attention</t>
  </si>
  <si>
    <t>LT_O_IN_125_01</t>
  </si>
  <si>
    <t>"Interest rate at the reference date" must be between 0 and 1</t>
  </si>
  <si>
    <t>LT_O_IN_129_01</t>
  </si>
  <si>
    <t>"Received amortisation payments within last 12 months prior to reference date" shall be larger or equal to 0; Negative values trigger attention</t>
  </si>
  <si>
    <t>LT_O_IN_130_01</t>
  </si>
  <si>
    <t>"Received amortisation payments within last 24 months prior to reference date" shall be larger or equal to 0; Negative values trigger attention</t>
  </si>
  <si>
    <t>LT_O_IN_131_01</t>
  </si>
  <si>
    <t>"Received interest payments within last 12 months prior to reference date" shall be larger or equal to 0; Negative values trigger attention</t>
  </si>
  <si>
    <t>LT_O_IN_132_01</t>
  </si>
  <si>
    <t>"Received interest payments within last 24 months prior to reference date" shall be larger or equal to 0; Negative values trigger attention</t>
  </si>
  <si>
    <t>LT_O_IN_180_01</t>
  </si>
  <si>
    <t>"Spread" should be positive; Negative values trigger attention</t>
  </si>
  <si>
    <t>LT_O_IN_196_01</t>
  </si>
  <si>
    <t>"Average balance (YTD)" shall be larger or equal to 0; Negative values trigger attention</t>
  </si>
  <si>
    <t>LT_O_IN_198_01</t>
  </si>
  <si>
    <t>"Gross Interest income before distribution to SCIB under the Collabotarion Revenues distribution agreement (YTD)" shall be larger or equal to 0; Negative values trigger attention</t>
  </si>
  <si>
    <t>LT_O_IN_199_01</t>
  </si>
  <si>
    <t>"Gross fee and commission income before distribution to SCIB under the Collabotarion Revenues distribution agreement (YTD)" shall be larger or equal to 0; Negative values trigger attention</t>
  </si>
  <si>
    <t>LT_O_IN_200_01</t>
  </si>
  <si>
    <t>"Internal transfer rate amount" shall be smaller or equal to 0; Positive values trigger attention</t>
  </si>
  <si>
    <t>LT_O_IN_204_01</t>
  </si>
  <si>
    <t>"Gross fee and commission expense before distribution to SCIB under the Collabotarion Revenues distribution agreement (YTD)" shall be larger or equal to 0; Negative values trigger attention</t>
  </si>
  <si>
    <t>LT_O_IN_205_01</t>
  </si>
  <si>
    <t>"Gains (Losses) On Financial Transaction (gft) And Exchange Differences, before distribution to SCIB under the Collabotarion Revenues distribution agreement (YTD)" shall be larger or equal to 0; Negative values trigger attention</t>
  </si>
  <si>
    <t>LT_O_IN_210_01</t>
  </si>
  <si>
    <t>"Average off balance (YTD)" shall be larger or equal to 0; Negative values trigger attention</t>
  </si>
  <si>
    <t>LT_O_IN_211_01</t>
  </si>
  <si>
    <t>"Internal transfer rate due to off balance amounts" shall be smaller or equal to 0; Positive values trigger attention</t>
  </si>
  <si>
    <t>LT_O_IN_212_01</t>
  </si>
  <si>
    <t>"Gross fee and commission income corresponding to off balance product before distribution to SCIB under the Collabotarion Revenues distribution agreement (YTD)" shall be larger or equal to 0; Negative values trigger attention</t>
  </si>
  <si>
    <t>LT_O_IN_213_01</t>
  </si>
  <si>
    <t>"Gross fee and commission expense corresponding to off balance product before distribution to SCIB under the Collabotarion Revenues distribution agreement (YTD)" shall be larger or equal to 0; Negative values trigger attention</t>
  </si>
  <si>
    <t>LT_O_IN_215_01</t>
  </si>
  <si>
    <t>"Gross Interest expense before distribution to SCIB under the Collabotarion Revenues distribution agreement (YTD)" shall be larger or equal to 0; Negative values trigger attention</t>
  </si>
  <si>
    <t>LT_O_IN_217_01</t>
  </si>
  <si>
    <t>"Gross Interest income distributed to SCIB under the Collabotarion Revenues distribution agreement (YTD)" shall be larger or equal to 0; Negative values trigger attention</t>
  </si>
  <si>
    <t>LT_O_IN_218_01</t>
  </si>
  <si>
    <t>"Gross Interest expense distributed to SCIB under the Collabotarion Revenues distribution agreement (YTD)" shall be larger or equal to 0; Negative values trigger attention</t>
  </si>
  <si>
    <t>LT_O_IN_219_01</t>
  </si>
  <si>
    <t>"Gross fee and commission income distributed to SCIB under the Collabotarion Revenues distribution agreement (YTD)" shall be larger or equal to 0; Negative values trigger attention</t>
  </si>
  <si>
    <t>LT_O_IN_220_01</t>
  </si>
  <si>
    <t>"Gross fee and commission expense distributed to SCIB under the Collabotarion Revenues distribution agreement (YTD)" shall be larger or equal to 0; Negative values trigger attention</t>
  </si>
  <si>
    <t>LT_O_IN_221_01</t>
  </si>
  <si>
    <t>"Gains (Losses) On Financial Transaction (gft) And Exchange Differences distributed to SCIB under the Collabotarion Revenues distribution agreement (YTD)" shall be larger or equal to 0; Negative values trigger attention</t>
  </si>
  <si>
    <t>LT_O_IN_223_01</t>
  </si>
  <si>
    <t>"Gross fee and commission income corresponding to off balance product distributed to SCIB under the Collabotarion Revenues distribution agreement (YTD)" shall be larger than or equal to 0; Negative values trigger attention</t>
  </si>
  <si>
    <t>LT_O_IN_224_01</t>
  </si>
  <si>
    <t>"Gross fee and commission expense corresponding to off balance product distributed to SCIB under the Collabotarion Revenues distribution agreement (YTD)" shall be larger than or equal to 0; Negative values trigger attention</t>
  </si>
  <si>
    <t>LT_O_IN_235_01</t>
  </si>
  <si>
    <t>"Expected loss (CRR)" shall be larger than or equal to 0; Negative values trigger attention</t>
  </si>
  <si>
    <t>LT_O_IN_236_01</t>
  </si>
  <si>
    <t>"LSTI at reference date" shall be larger than or equal to 0; Negative values trigger attention</t>
  </si>
  <si>
    <t>LT_O_IN_237_01</t>
  </si>
  <si>
    <t>"DSTI at reference date" shall be larger than or equal to 0; Negative values trigger attention</t>
  </si>
  <si>
    <t>LT_O_IN_238_01</t>
  </si>
  <si>
    <t>"Loan to income (LTI)" shall be larger than or equal to 0; Negative values trigger attention</t>
  </si>
  <si>
    <t>LT_O_IN_240_01</t>
  </si>
  <si>
    <t>"Interest rate cap" shall be larger than or equal to 0; Negative values trigger attention</t>
  </si>
  <si>
    <t>LT_O_IN_241_01</t>
  </si>
  <si>
    <t>"Interest rate floor"shall be larger than or equal to 0; Negative values trigger attention</t>
  </si>
  <si>
    <t>LT_O_IN_242_01</t>
  </si>
  <si>
    <t>"Nominal interest rate or fee" shall be larger than or equal to 0; Negative values trigger attention</t>
  </si>
  <si>
    <t>LT_O_IN_245_01</t>
  </si>
  <si>
    <t>"Transferred amount" shall be larger than or equal to 0; Negative values trigger attention</t>
  </si>
  <si>
    <t>LT_O_IN_252_01</t>
  </si>
  <si>
    <t>"RWA for exposures subject to credit risk mitigation techniques" shall be larger than or equal to 0; Negative values trigger attention</t>
  </si>
  <si>
    <t>LT_O_IN_253_01</t>
  </si>
  <si>
    <t>"RWA premitigation" shall be larger than or equal to 0; Negative values trigger attention</t>
  </si>
  <si>
    <t>LT_O_IN_255_01</t>
  </si>
  <si>
    <t>"Leverage ratio at inception date" shall be larger than 0; Negative values trigger attention</t>
  </si>
  <si>
    <t>LT_O_IN_259_01</t>
  </si>
  <si>
    <t>"RORAC" (instrument level) shall be larger than or equal to 0; Negative values trigger attention</t>
  </si>
  <si>
    <t>LT_O_IN_260_01</t>
  </si>
  <si>
    <t>"RoRWA" (instrument level) shall be larger than or equal to 0; Negative values trigger attention</t>
  </si>
  <si>
    <t>LT_O_IN_264_01</t>
  </si>
  <si>
    <t>"Incentives (YTD)" shall be larger than or equal to 0; Negative values trigger attention</t>
  </si>
  <si>
    <t>LT_O_IN_265_01</t>
  </si>
  <si>
    <t>"Other operating income (YTD)" shall be larger than or equal to 0; Negative values trigger attention</t>
  </si>
  <si>
    <t>LT_O_IN_266_01</t>
  </si>
  <si>
    <t>"Referral Fees (YTD)" shall be larger than or equal to 0; Negative values trigger attention</t>
  </si>
  <si>
    <t>LT_O_IN_267_01</t>
  </si>
  <si>
    <t>"Insurance (YTD)" shall be larger than or equal to 0; Negative values trigger attention</t>
  </si>
  <si>
    <t>LT_O_IN_268_01</t>
  </si>
  <si>
    <t>"Other income and charges (YTD)" shall be larger than or equal to 0; Negative values trigger attention</t>
  </si>
  <si>
    <t>LT_O_IN_269_01</t>
  </si>
  <si>
    <t>"Tax on Profit (YTD)" shall be larger than or equal to 0; Negative values trigger attention</t>
  </si>
  <si>
    <t>LT_O_IN_272_01</t>
  </si>
  <si>
    <t>"Leverage ratio at inception date for high leveraged transactions" shall be larger than 0; Negative values trigger attention</t>
  </si>
  <si>
    <t>LT_O_IP_002_01</t>
  </si>
  <si>
    <t>LT_O_IP</t>
  </si>
  <si>
    <t>LT_O_IP_005_01</t>
  </si>
  <si>
    <t>"Protection allocated value" shall be larger or equal to 0; Negative values trigger attention</t>
  </si>
  <si>
    <t>RELACION_NUM_MISS</t>
  </si>
  <si>
    <t>LT_O_IP_006_01</t>
  </si>
  <si>
    <t>"Third party priority claims against the protection" shall be larger or equal to 0; Negative values trigger attention</t>
  </si>
  <si>
    <t>LT_O_PR_002_01</t>
  </si>
  <si>
    <t xml:space="preserve">"Maturity date of the protection" must be later than 01 January 1970 and earlier than the data period plus 80 years </t>
  </si>
  <si>
    <t>LT_O_PR</t>
  </si>
  <si>
    <t>LT_O_PR_003_01</t>
  </si>
  <si>
    <t>LT_O_PR_019_01</t>
  </si>
  <si>
    <t>LT_O_PR_020_01</t>
  </si>
  <si>
    <t>LT_O_PR_021_01</t>
  </si>
  <si>
    <t>LT_O_PR_022_01</t>
  </si>
  <si>
    <t>LT_O_PR_023_01</t>
  </si>
  <si>
    <t>"Forced sale value" shall be larger or equal to 0; Negative values trigger attention</t>
  </si>
  <si>
    <t>LT_O_PR_024_01</t>
  </si>
  <si>
    <t>LT_O_PR_025_01</t>
  </si>
  <si>
    <t>"Most recent appraised market value at the time when the instrument was classified as non-performing" shall be larger or equal to 0; Negative values trigger attention</t>
  </si>
  <si>
    <t>LT_O_PR_027_01</t>
  </si>
  <si>
    <t>LT_O_PR_028_01</t>
  </si>
  <si>
    <t>"Previous appraised market value" shall be larger or equal to 0; Negative values trigger attention</t>
  </si>
  <si>
    <t>LT_O_PR_030_01</t>
  </si>
  <si>
    <t>"Date of construction status" must be later than 01 January 1900</t>
  </si>
  <si>
    <t>LT_O_PR_031_01</t>
  </si>
  <si>
    <t xml:space="preserve">"Date of first usage of the building" must be later than 01 January 1600 and earlier than the data period plus 80 years </t>
  </si>
  <si>
    <t>LT_O_PR_036_01</t>
  </si>
  <si>
    <t>"Current annual operating expenses" shall be larger or equal to 0; Negative values trigger attention</t>
  </si>
  <si>
    <t>LT_O_PR_037_01</t>
  </si>
  <si>
    <t>"Current annual income" shall be larger or equal to 0; Negative values trigger attention</t>
  </si>
  <si>
    <t>LT_O_PR_060_01</t>
  </si>
  <si>
    <t>"Total amount covered by the insurance" shall be larger than or equal to 0; Negative values trigger attention</t>
  </si>
  <si>
    <t>LT_O_PR_063_01</t>
  </si>
  <si>
    <t>"Year of construction" must be later than 1900</t>
  </si>
  <si>
    <t>LT_O_PR_064_01</t>
  </si>
  <si>
    <t>"Building Area (M2)" shall be smaller than or equal to 1000000; Greater values trigger attention</t>
  </si>
  <si>
    <t>LT_O_PR_065_01</t>
  </si>
  <si>
    <t>"Land Area (M2)" shall be smaller than or equal to 1000000; Greater values trigger attention</t>
  </si>
  <si>
    <t>LT_O_PR_066_01</t>
  </si>
  <si>
    <t>"Lien position" shall be smaller than or equal to 5; Greater values trigger attention</t>
  </si>
  <si>
    <t>LT_O_PR_070_01</t>
  </si>
  <si>
    <t>"Actual annual primary energy demand from non renewable sources of the building" shall be larger than or equal to 0; Negative values trigger attention</t>
  </si>
  <si>
    <t>LT_O_PR_071_01</t>
  </si>
  <si>
    <t>"Actual annual primary energy demand of the building" shall be larger than or equal to 0; Negative values trigger attention</t>
  </si>
  <si>
    <t>LT_O_PR_072_01</t>
  </si>
  <si>
    <t>"Annual primary energy demand of reference" shall be larger than or equal to 0; Negative values trigger attention</t>
  </si>
  <si>
    <t>LT_R_AC_005_01</t>
  </si>
  <si>
    <t>Sum of "Percentage of UoP" linked to a INSTRMNT_ID must be equal to 100%</t>
  </si>
  <si>
    <t>LT_R_AC</t>
  </si>
  <si>
    <t>LT_R_AC_006_01</t>
  </si>
  <si>
    <t>If "Subportfolio ID" is classified as 'HOG - Households', then "Environmental objective" must be '22 - Climate change mitigation'</t>
  </si>
  <si>
    <t>LT_R_AC_006_02</t>
  </si>
  <si>
    <t>If "Sustainable Category" is set as '2502 - A.5.2. Emergency services', '2503 - A.5.3. Flood risk prevention and protection infrastructure', '260102 - A.6.12. Desalination', '300202 - A.10.3. Software enabling physical climate risk management and adaptation', '3102 - A.11.2. Non-life insurance', '3103 - A.11.3. Re-insurance' or '3104 - A.11.4. Climate adaptation', then "Environmental objective" must be '23 - Climate change adaptation'</t>
  </si>
  <si>
    <t>INTRA_REL_P_AC</t>
  </si>
  <si>
    <t>LT_R_AC_006_03</t>
  </si>
  <si>
    <t>If "Sustainable Category" is set as '2101** - Renewable energy', '2102** - Renewable fuels, bioenergy and waste heat', '2103** - Nuclear &amp; Fossil gaseous fuels', '2104** -Transmission and distribution', '210501 - A.1.16. Installation and operation of electric heat pumps', '2106** - Storage', '2201** - Ground transport', '2202** - Water Transport', '2204** - Infraestructure', '2303** - Installation, maintenance and repair', '2304 - A.3.7. Acquisition and ownership', '2606** - Carbon Transport and Storage', '2701** - Afforestation / Reforestation', '2802** - Renewable energy &amp; hydrogen technologies', '2804 - A.8.5. Manufacture of batteries', '2806 ** - Cement, aluminium, iron, steel &amp; others', '3001 - A.10.1. Data processing, hosting and related activities', '3003 - A.10.6. Close to market research, development and innovation ', '2401 - A.4.1. Professional services related to energy performance of buildings', '260101 - A.6.1. Water collection, treatment and supply systems', '260201 - A.6.3. Waste water collection and treatment', '260301 - A.6.5. Anaerobic digestion of sewage sludge', '260302 - A.6.6. Anaerobic digestion of bio-waste', '260303 - A.6.7. Composting of bio-waste', '260304 - A.6.9. Landfill gas capture and utilisation', '260401 - A.6.4. Collection and transport of non-hazardous waste in source segregated fractions', '260402 - A.6.8. Material recovery from non-hazardous waste', '260601 - A.6.10. Transport of CO2', '260602 - A.6.11. Underground permanent geological storage of CO2', '270201 - A.7.2. Rehabilitation and restoration of forests, including reforestation and natural forest regeneration after an extreme event', '270202 - A.7.4. Conservation forestry', '270203 - A.7.5. Restoration of wetlands', '280301 - A.8.4. Manufacture of low carbon technologies for transport', '280501 - A.8.6. Manufacture of energy efficiency equipment for buildings', '280502 - A.8.7. Manufacture of other low carbon technologies', '280701 - A.8.12. Manufacture of soda ash', '280703 - A.8.13. Manufacture of organic basic materials', '280705 - A.8.14. Manufacture of nitric acid', '280702 - A.8.15. Manufacture of chlorine', '290704 - A.8.16. Manufacture of anhydrous ammonia' or '280801 - A.8.17. Manufacture of plastics in primary form', then "Environmental objective" must be '22 - Climate change mitigation' or '23 - Climate change adaptation'</t>
  </si>
  <si>
    <t>LT_R_AC_006_04</t>
  </si>
  <si>
    <t>If "Sustainable Category" is set as '2301 - A.3.1. Construction of new buildings' or '2302 - A.3.2. Renovation of existing buildings', then "Environmental objective" must be '22 - Climate change mitigation', '23 - Climate change adaptation' or '25 - Transition to a circular economy'</t>
  </si>
  <si>
    <t>LT_R_AC_006_05</t>
  </si>
  <si>
    <t>If "Sustainable Category" is set as '2605** - Remediation', '2809** - Pharmaceutical &amp; Medicinal' or '260407 - A.6.23. Collection and transport of hazardous waste', then "Environmental objective" must be '26 - Pollution prevention and control'</t>
  </si>
  <si>
    <t>LT_R_AC_006_06</t>
  </si>
  <si>
    <t>If "Sustainable Category" is set as '270204 - A.7.6. Conservation, including restoration, of habitats, ecosystems and species' or '2901 - A.9.1. Hotels, holiday, camping grounds and similar accommodation', then "Environmental objective" must be '27 - Protection and restoration of biodiversity and ecosystems.'</t>
  </si>
  <si>
    <t>LT_R_AC_006_07</t>
  </si>
  <si>
    <t>If "Sustainable Category" is set as '260103 - A.6.13. Water Supply', '260203 - A.6.15. Sustainable urban drainage systems (SUDS)', '260202 - A.6.14. Urban Waste Water Treatment', '280505 - A.8.22.Manufacture, installation and associated services for leakage control technologies enabling leakage reduction and prevention in water supply systems', '300203 - A.10.4. Provision of IT/OT data-driven solutions for leakage reduction' or '2501 - A.5.1. Nature-based solutions for flood and drought risk prevention and protection', then "Environmental objective" must be '24 - Sustainable use and protection of water and marine resources'</t>
  </si>
  <si>
    <t>LT_R_AC_006_08</t>
  </si>
  <si>
    <t>If "Sustainable Category" is set as '2305 - A.3.8. Demolition and wrecking of buildings and other structures', '2306** - Civil engineering', '2801** - Circular economy', '260204 - A.6.16. Phosphorus recovery from waste water', '260205 - A.6.17. Production of alternative water resources for purposes other than human consumption', '260305 - A.6.20. Recovery of bio-waste by anaerobic digestion or composting', '260406 - A.6.21. Sorting and material recovery of non-hazardous waste', '260403 - A.6.18. Collection and transport of non-hazardous and hazardous waste', '260405 - A.6.22. Depollution and dismantling of end-of-life products', '280802 - A.8.23. Manufacture of plastic packaging goods' or '300204 - A.10.5. Provision of IT/OT data-driven solutions', then "Environmental objective" must be '25 - Transition to a circular economy'</t>
  </si>
  <si>
    <t>LT_R_AC_006_09</t>
  </si>
  <si>
    <t>If "Sustainable Category" is set as '260404 - A.6.19. Treatment of hazardous waste', then "Environmental objective" must be '25 - Transition to a circular economy' or '26 - Pollution prevention and control'</t>
  </si>
  <si>
    <t>LT_R_AC_006_10</t>
  </si>
  <si>
    <t>If "Sustainable Category" is set as '2703** - Sustainable agriculture', '2704 - A.7.15. Livestock Management', '2705 - A.7.16. Sustainable Aquaculture and Fishing', '2706 - A.7.17. Carbon Sequestration Activities', 'DEDICATED PURPOSE - Social', 'GENERAL PURPOSE', '210701 - A.1.32. Renewable Energy Procurement', '220501 - A.2.21. Hydrogen powered-vehicles', '260104 - A.6.2. Sustainable Water Management', '260408 - A.6.26 Use of recycled materials', '280504 - A.8.27. Manufacture and installation of equipment efficient in terms of energy consumption', '280706 - A.8.26. Manufacture of clean Naphtha', '3101 - A.11.1. Carbon Market' or '3201 - Green - Default', then "Environmental objective" must be '28 - The exposure does not contribute to any of the defined objectives'</t>
  </si>
  <si>
    <t>LT_R_AC_006_11</t>
  </si>
  <si>
    <t>If "Sustainable Category" is set as '2203** - Air Transport', '280302 - A.8.18. Manufacture of automotive and mobility components', '280303 - A.8.19. Manufacture of rail rolling stock constituents', '280304 - A.8.21. Manufacturing of aircraft', '280503 - A.8.20. Manufacture, installation, and servicing of high, medium and low voltage electrical equipment for electrical transmission and distribution that result in or enable a substantial contribution to climate change mitigation', '281001 - A.8.28. Research, development and innovation for direct air capture of CO2', '300201 - A.10.2. Data-driven solutions for GHG emissions reductions', then "Environmental objective" must be '22 - Climate change mitigation'</t>
  </si>
  <si>
    <t>LT_R_AC_007_01</t>
  </si>
  <si>
    <t>If "Environmental objective" is set as '23 - Climate change adaptation', '25 - Transition to a circular economy' or '24 - Sustainable use and protection of water and marine resources', then "Type of activity" cannot be '02 - Transitional activity'</t>
  </si>
  <si>
    <t>LT_R_AC_007_02</t>
  </si>
  <si>
    <t>If "Environmental objective" is set as '26 - Pollution prevention and control' or '27 - Protection and restoration of biodiversity and ecosystems.', then "Type of activity" cannot be '02 - Transitional activity' or '01 - Enabling activity'</t>
  </si>
  <si>
    <t>LT_R_AC_007_03</t>
  </si>
  <si>
    <t>If "Sustainable Category" is set as '260102 - A.6.12. Desalination', '280106 - A.8.34. Marketplace for the trade of second-hand goods for reuse', '280302 - A.8.18. Manufacture of automotive and mobility components', '280303 - A.8.19. Manufacture of rail rolling stock constituents', '280503 - A.8.20. Manufacture, installation, and servicing of high, medium and low voltage electrical equipment for electrical transmission and distribution that result in or enable a substantial contribution to climate change mitigation', '28505 - A.8.22.Manufacture, installation and associated services for leakage control technologies enabling leakage reduction and prevention in water supply systems', '281001 - A.8.28. Research, development and innovation for direct air capture of CO2', '3002** - Data-driven solutions &amp; software', '3003 - A.10.6. Close to market research, development and innovation ', '2401 - A.4.1. Professional services related to energy performance of buildings', '2502 - A.5.2. Emergency services' or '2503 - A.5.3. Flood risk prevention and protection infrastructure', then "Type of activity" must be '01 - Enabling activity or 'Not Applicable'</t>
  </si>
  <si>
    <t>LT_R_AC_007_04</t>
  </si>
  <si>
    <t>If "Sustainable Category" is set as '210419 - A.1.9. Transmission and distribution of electricity', '2106** - Storage', '2204** - Infraestructure', '2303** - Installation, maintenance and repair', '2804 - A.8.5. Manufacture of batteries', '260601 - A.6.10. Transport of CO2', '280202 - A.8.2. Manufacture of equipment for the production and use of hydrogen', '28201 - A.8.1. Manufacture of renewable energy technologies', '280301 - A.8.4. Manufacture of low carbon technologies for transport', '280501 - A.8.6. Manufacture of energy efficiency equipment for buildings', 'Reforestation', ' 2701** - Afforestation / Reforestation', '270201 - A.7.2. Rehabilitation and restoration of forests, including reforestation and natural forest regeneration after an extreme event', '270202 - A.7.4. Conservation forestry', '270203 - A.7.5. Restoration of wetlands', '280502 - A.8.7. Manufacture of other low carbon technologies' or '3104 - A.11.4. Climate adaptation', then "Type of activity" must be '01 - Enabling activity', '05 - Pure Activity' or 'Not Applicable'</t>
  </si>
  <si>
    <t>LT_R_AC_007_05</t>
  </si>
  <si>
    <t>If "Sustainable Category" is set as '2101** - Renewable energy', '2102** - Renewable fuels, bioenergy and waste heat', '2304 - A.3.7. Acquisition and ownership', '2305 - A.3.8. Demolition and wrecking of buildings and other structures', '2306** -Civil engineering', '2602** - Wastewater', '2603** - Bio-Waste management', '2605** - Remediation', '2809** - Pharmaceutical &amp; Medicinal', '2901 - A.9.1. Hotels, holiday, camping grounds and similar accommodation', '2501 - A.5.1. Nature-based solutions for flood and drought risk prevention and protection', '210301 - A.1.26. Pre-commercial stages of advanced technologies to produce energy from nuclear processes with minimal waste from the fuel cycle', '210302 - A.1.27. Construction and safe operation of new nuclear power plants, for the generation of electricity and/or heat, including for hydrogen production, using best-available technologies', '210303 - A.1.28. Electricity generation from nuclear energy in existing installations', '210420 - A.1.14. Transmission and distribution networks for renewable and low-carbon gases', '210421 - A.1.15. District heating/cooling distribution', '210501 - A.1.16. Installation and operation of electric heat pumps', '220104 - A.2.4. Operation of personal mobility devices, cycle logistics', '220303 - A.2.20. Air transport ground handling operations', '2301 - A.3.1. Construction of new buildings', '260101 - A.6.1. Water collection, treatment and supply systems', '260103 - A.6.13. Water Supply', '260401 - A.6.4. Collection and transport of non-hazardous waste in source segregated fractions', '260402 - A.6.8. Material recovery from non-hazardous waste', '260403 - A.6.18. Collection and transport of non-hazardous and hazardous waste', '260404 - A.6.19. Treatment of hazardous waste', '260405 - A.6.22. Depollution and dismantling of end-of-life products', '260406 - A.6.21. Sorting and material recovery of non-hazardous waste', '260407 - A.6.23. Collection and transport of hazardous waste', '260602 - A.6.11. Underground permanent geological storage of CO2', '270204 - A.7.6. Conservation, including restoration, of habitats, ecosystems and species', '280101 - A.8.29. Repair, refurbishment and remanufacturing', '280102 - A.8.30. Sale of spare parts', '280103 - A.8.31. Preparation for re-use of end-of-life products and product components', '280104 - A.8.32. Sale of second-hand goods', '280105 - A.8.33. Product-as-a-service and other circular use- and result-oriented service models', '280107 - A.8.35. Manufacture of electric and electronical equipment', '280203 - A.8.3. Manufacture of hydrogen', '280704 - A.8.16. Manufacture of anhydrous ammonia' or '280802 - A.8.23. Manufacture of plastic packaging goods', then "Type of activity" must be '05 - Pure Activity' or 'Not Applicable'</t>
  </si>
  <si>
    <t>LT_R_AC_007_06</t>
  </si>
  <si>
    <t>If "Sustainable Category" is set as '210304 - A.1.29. Electricity generation from fossil gaseous fuels', '210305 - A.1.30. Production of heat/cool from fossil gaseous fuels in an efficient district heating and cooling system', '21306 - A.1.31. High-efficiency co-generation of heat/cool and power from fossil gaseous fuels ', '220301 - A.2.18. Leasing of aircraft' or '220302 - A.2.19. Passenger and freight air transport', then "Type of activity" must be '02 - Transitional activity' or 'Not Applicable'</t>
  </si>
  <si>
    <t>LT_R_AC_007_07</t>
  </si>
  <si>
    <t>If "Sustainable Category" is set as '2202** - Water Transport', '2806**  Cement, aluminium, iron, steel &amp; others', '220101 - A.2.1. Passenger interurban rail transport', '220102 - A.2.2. Freight rail transport', '220103 - A.2.3. Urban and suburban transport, road passenger transport', '220105 - A.2.5. Transport by motorbikes, passenger cars and light commercial vehicles', '220106 - A.2.6. Freight transport services by road', '280304 - A.8.21. Manufacturing of aircraft', '280701 - A.8.12. Manufacture of soda ash', '280703 - A.8.13. Manufacture of organic basic materials', '280705 - A.8.14. Manufacture of nitric acid', '280702 - A.8.15. Manufacture of chlorine', '280801 - A.8.17. Manufacture of plastics in primary form' or '3001 - A.10.1. Data processing, hosting and related activities', then "Type of activity" must be '02 - Transitional activity', '05 - Pure Activity' or 'Not Applicable'</t>
  </si>
  <si>
    <t>LT_R_AC_007_08</t>
  </si>
  <si>
    <t>If "Sustainable Category" is set as '260408 - A.6.26 Use of recycled materials', '2703** - Sustainable agriculture', '2704 - A.7.15. Livestock Management', '2705 - A.7.16. Sustainable Aquaculture and Fishing', '2706 - A.7.17. Carbon Sequestration Activities', 'DEDICATED PURPOSE - Social', 'GENERAL PURPOSE', '210701 - A.1.32. Renewable Energy Procurement', '220501 - A.2.21. Hydrogen powered-vehicles', '260104 - A.6.2. Sustainable Water Management', '280504 - A.8.27. Manufacture and installation of equipment efficient in terms of energy consumption', '280706 - A.8.26. Manufacture of clean Naphtha', '3101 - A.11.1. Carbon Market' or '3201', then "Type of activity" must be 'Not Applicable'</t>
  </si>
  <si>
    <t>LT_R_AC_007_09</t>
  </si>
  <si>
    <t>If "Sustainable Category" is set as '2302 - A.3.2. Renovation of existing buildings' then "Type of activity" must be "02 - Transitional activity", '05 - Pure Activity', '01 - Enabling activity' or 'Not Applicable'</t>
  </si>
  <si>
    <t>LT_R_AC_008_01</t>
  </si>
  <si>
    <t>If "Environmental Objective" is populated with other than '28 - The exposure does not contribute to any of the defined objectives', then "Sustainable Indicator" must be 'SSTNBL2 - Taxonomy Specific', 'SSTNBL3 - Santander Specific &amp; Taxonomy Specific', or 'SSTNBL4 - Taxonomy Specific &amp; Aligned under other criteria'</t>
  </si>
  <si>
    <t>LT_R_AC_008_02</t>
  </si>
  <si>
    <t>If "Environmental Objective" is populated with '28 - The exposure does not contribute to any of the defined objectives', then "Sustainable Indicator" must be 'SSTNBL1 - Santander Specific', 'SSTNBL5 - Aligned under other criteria', or 'SSTNL6 - Not eligible/aligned'</t>
  </si>
  <si>
    <t>LT_R_AC_008_03</t>
  </si>
  <si>
    <t>If "Type of activity" is '01 - Enabling activity', '02 - Transitional activity' or '05 - Pure activity', then "Sustainable Indicator" must be 'SSTNBL2 - Taxonomy Specific', 'SSTNBL3 - Santander Specific &amp; Taxonomy Specific' or 'SSTNBL4 - Taxonomy Specific &amp; Aligned under other criteria'</t>
  </si>
  <si>
    <t>LT_R_AC_008_04</t>
  </si>
  <si>
    <t>If "Flag of substantial contribution" is 'Y' then "Sustainable Indicator" must be 'SSTNBL2 - Taxonomy Specific', 'SSTNBL3 - Santander Specific &amp; Taxonomy Specific' or 'SSTNBL4 - Taxonomy Specific &amp; Aligned under other criteria'</t>
  </si>
  <si>
    <t>LT_R_AC_008_05</t>
  </si>
  <si>
    <t>If "Flag Do not Significant Harm" is 'Y' then "Sustainable Indicator" must be 'SSTNBL2 - Taxonomy Specific', 'SSTNBL3 - Santander Specific &amp; Taxonomy Specific' or 'SSTNBL4 - Taxonomy Specific &amp; Aligned under other criteria'</t>
  </si>
  <si>
    <t>LT_R_AC_008_06</t>
  </si>
  <si>
    <t>If "Minimum safeguards flag" is 'Y' then "Sustainable Indicator" must be 'SSTNBL2 - Taxonomy Specific', 'SSTNBL3 - Santander Specific &amp; Taxonomy Specific' or 'SSTNBL4 - Taxonomy Specific &amp; Aligned under other criteria'</t>
  </si>
  <si>
    <t>LT_R_AC_008_07</t>
  </si>
  <si>
    <t>If "Sustainable Category" is '6001 - Not Sustainable' then "Sustainable Indicator" must be 'SSTNBL6 - Not eligible/aligned'</t>
  </si>
  <si>
    <t>LT_R_AC_008_08</t>
  </si>
  <si>
    <t>If "Sustainable Category" is '5201 - Pure Green counterparty - Default' then "Sustainable Indicator" must be 'SSTNBL1 - Santander Specific'</t>
  </si>
  <si>
    <t>LT_R_AC_008_09</t>
  </si>
  <si>
    <t>If "Sustainable Category" is 'DEDICATED PURPOSE - Social' or '5301 - Sustainable (UoP) Default', then "Sustainable Indicator" must be 'SSTNBL1 - Santander Specific' or 'SSTNBL6 - Not eligible/aligned'</t>
  </si>
  <si>
    <t>LT_R_AC_008_10</t>
  </si>
  <si>
    <t>If "Sustainable Category" is '510** - Sustainability linked finance" then "Sustainable Indicator" must be 'SSTNBL1 - Santander Specific' or 'SSTNBL5 - Aligned under other criteria'</t>
  </si>
  <si>
    <t>LT_R_AC_008_11</t>
  </si>
  <si>
    <t>If "Sustainable Category" is '210701 - A.1.32. Renewable Energy Procurement', '220501 - A.2.21. Hydrogen powered-vehicles', '260104 - A.6.2. Sustainable Water Management', '260408 - A.6.26 Use of recycled materials', '2703** - Sustainable Agriculture', '2704 - A.7.15. Livestock Management', '2705 - A.7.16. Sustainable Aquaculture and Fishing', '2706 - A.7.17. Carbon Sequestration Activities', '280504 - A.8.27. Manufacture and installation of equipment efficient in terms of energy consumption', '280706 - A.8.26. Manufacture of clean Naphtha', '3101 - A.11.1. Carbon Market' or '3201 - Green - Default', then "Sustainable Indicator" must be 'SSTNBL1 - Santander Specific', 'SSTNBL5 - Aligned under other criteria' or 'SSTNBL6 - Not eligible/aligned'</t>
  </si>
  <si>
    <t>LT_R_AC_008_12</t>
  </si>
  <si>
    <t>If "Sustainable Category" is '5401 - General - Taxonomy Default' then "Sustainable Indicator" must be 'SSTNBL2 - Santander Specific'</t>
  </si>
  <si>
    <t>LT_R_AC_008_13</t>
  </si>
  <si>
    <t>If "Sustainable Category" is '2101** - Renewable energy', '2102** - Renewable fuels, bioenergy and waste heat', '2103** - Nuclear &amp; Fossil gaseous fuels', '2104** -Transmission and distribution', '210501 - A.1.16. Installation and operation of electric heat pumps', '2106** - Storage', '2201** - Ground transport', '2202** - Water Transport', '2204** - Infraestructure', '2203** - Air Transport', '250* - Disaster Risk Management', '230*** - Construction and Real Estate', '2602** - Wastewater', '2603** - Bio-Waste management', '2605** - Remediation', '2606** - Carbon Transport and Storage', '2701** - Afforestation / Reforestation', '2702** - Land conservation, restoration, soil remediation', '2802** - Renewable energy &amp; hydrogen technologies', '2803** - Transport', '2804 - A.8.5. Manufacture of batteries', '2806** - Cement, aluminium, iron, steel &amp; others', '2808** - Plastics', '2809** - Pharmaceutical &amp; Medicinal', '281001 - A.8.28. Research, development and innovation for direct air capture of CO2', '2901 - A.9.1. Hotels, holiday, camping grounds and similar accommodation', '300*** - IT &amp; Communications', '2401 - A.4.1. Professional services related to energy performance of buildings', '3102 - A.11.2. Non-life insurance', '3103 - A.11.3. Re-insurance', '3104 - A.11.4. Climate adaptation', '260101 - A.6.1. Water collection, treatment and supply systems', '260103 - A.6.13. Water Supply', '260102 - A.6.12. Desalination', '260401 - A.6.4. Collection and transport of non-hazardous waste in source segregated fractions', '260402 - A.6.8. Material recovery from non-hazardous waste', '260403 - A.6.18. Collection and transport of non-hazardous and hazardous waste', '260404 - A.6.19. Treatment of hazardous waste', '260405 - A.6.22. Depollution and dismantling of end-of-life products', '260406 - A.6.21. Sorting and material recovery of non-hazardous waste', '260407 - A.6.23. Collection and transport of hazardous waste', '280101 - A.8.29. Repair, refurbishment and remanufacturing', '280102 - A.8.30. Sale of spare parts', '280103 - A.8.31. Preparation for re-use of end-of-life products and product components', '280104 - A.8.32. Sale of second-hand goods', '280105 - A.8.33. Product-as-a-service and other circular use- and result-oriented service models', '280106 - A.8.34. Marketplace for the trade of second-hand goods for reuse', '280107 - A.8.35. Manufacture of electric and electronical equipment', '280501 - A.8.6. Manufacture of energy efficiency equipment for buildings', '280502 - A.8.7. Manufacture of other low carbon technologies', '280503 - A.8.20. Manufacture, installation, and servicing of high, medium and low voltage electrical equipment for electrical transmission and distribution that result in or enable a substantial contribution to climate change mitigation', '280505 - A.8.22.Manufacture, installation and associated services for leakage control technologies enabling leakage reduction and prevention in water supply systems', '280701 - A.8.12. Manufacture of soda ash', '280703 - A.8.13. Manufacture of organic basic materials', '280705 - A.8.14. Manufacture of nitric acid', '280702 - A.8.15. Manufacture of chlorine' or '280704 - A.8.16. Manufacture of anhydrous ammonia', then "Sustainable Indicator" must be 'SSTNBL2 - Santander Specific', 'SSTNBL3 - Santander Specific &amp; Taxonomy Specific' or 'SSTNBL4 - Taxonomy Specific &amp; Aligned under other criteria'</t>
  </si>
  <si>
    <t>LT_R_AC_008_16</t>
  </si>
  <si>
    <t>If "Flag of substantial contribution" is 'Y' and "Flag Do not Significant Harm" is 'Y' and "Minimum safeguards flag" is 'Y', then "Sustainable Indicator" cannot be 'SSTNBL4 - Taxonomy Specific &amp; Aligned under other criteria'</t>
  </si>
  <si>
    <t>LT_R_AC_009_01</t>
  </si>
  <si>
    <t>If "Sustainable Indicator" is set as '4 - Taxonomy Specific &amp; Aligned under other criteria' and "Subportfolio ID" is classified as 'HOG - Households' or 'AP - General Governments', and "Flag Do not Significant Harm" is 'Y', then "Flag of substantial contribution" cannot be 'Y'</t>
  </si>
  <si>
    <t>LT_R_AC_010_01</t>
  </si>
  <si>
    <t>If "Sustainable Indicator" is set as '4 - Taxonomy Specific &amp; Aligned under other criteria' and "Subportfolio ID" is classified as 'HOG - Households' or 'AP - General Governments', and "Flag of substantial contribution" is 'Y', then "Flag Do not Significant Harm" cannot be 'Y'</t>
  </si>
  <si>
    <t>LT_R_AC_011_01</t>
  </si>
  <si>
    <t>If "Flag Do not Significant Harm" is set as 'N' then "DNSH Detail" cannot be 'Not Applicable'</t>
  </si>
  <si>
    <t>LT_R_AC_011_02</t>
  </si>
  <si>
    <t>If "Environmental objective" is set as '22 - Climate change mitigation' then "DNSH Detail" cannot be 'DNSH01 - Do not significant harm to climate change mitigation objective'</t>
  </si>
  <si>
    <t>LT_R_AC_011_03</t>
  </si>
  <si>
    <t>If "Environmental objective" is set as '23 - Climate change adaptation' then "DNSH Detail" cannot be 'DNSH02 - Do not significant harm to climate change adaptation'</t>
  </si>
  <si>
    <t>LT_R_AC_011_04</t>
  </si>
  <si>
    <t>If "Environmental objective" is set as '24 - Sustainable use and protection of water and marine resources' then "DNSH Detail" cannot be 'DNSH03 - Do not significant harm to sustainable use and protection of water and marine resources'</t>
  </si>
  <si>
    <t>LT_R_AC_011_05</t>
  </si>
  <si>
    <t>If "Environmental objective" is set as '25 - Transition to a circular economy' then "DNSH Detail" cannot be 'DNSH04 - Do not significant harm to transition to a circular economy'</t>
  </si>
  <si>
    <t>LT_R_AC_011_06</t>
  </si>
  <si>
    <t>If "Environmental objective" is set as '26 - Pollution prevention and control' then "DNSH Detail" cannot be 'DNSH05 - Do not significant harm to pollution prevention and control'</t>
  </si>
  <si>
    <t>LT_R_AC_011_07</t>
  </si>
  <si>
    <t>If "Environmental objective" is set as '27 - Protection and restoration of biodiversity and ecosystems.' then "DNSH Detail" cannot be 'DNSH06 - Do not significant harm to protection and restoration of biodiversity and ecosystems.'</t>
  </si>
  <si>
    <t>LT_R_AC_011_08</t>
  </si>
  <si>
    <t>If "Flag Do not Significant Harm" is set as 'Y' then "DNSH Detail" must be 'Not Applicable'</t>
  </si>
  <si>
    <t>LT_R_EN_003_01</t>
  </si>
  <si>
    <t>"Birth date counterparty" at Main Entity level has to be lower or equal to any "Date of Inception" of linked instrument</t>
  </si>
  <si>
    <t>LT_R_EN_003_02</t>
  </si>
  <si>
    <t>"Birth date counterparty" cannot be later than "Reference date"</t>
  </si>
  <si>
    <t>LT_R_EN_004_01</t>
  </si>
  <si>
    <t>If "Default status of the entity" is populated other than default values, then "Date of default status" (entity level) cannot be 'Not applicable'</t>
  </si>
  <si>
    <t>LT_R_EN_004_02</t>
  </si>
  <si>
    <t xml:space="preserve">"Date of default status" (entity level) must be later than "Birth date counterparty" </t>
  </si>
  <si>
    <t>LT_R_EN_004_03</t>
  </si>
  <si>
    <t>"Date of default status" (entity level) cannot be later than "Reference date"</t>
  </si>
  <si>
    <t>LT_R_EN_004_04</t>
  </si>
  <si>
    <t>If "Default status of the entity" is 'Not applicable', then "Date of default status" (entity level) must be a default value</t>
  </si>
  <si>
    <t>LT_R_EN_005_01</t>
  </si>
  <si>
    <t>"Date of financial statements" must be later than "Date of previous fiscal year financial statements"</t>
  </si>
  <si>
    <t>LT_R_EN_005_03</t>
  </si>
  <si>
    <t>If any of the financial statements fields (*) is populated other than default values, then "Date of financial statements" cannot be 'Not applicable'(*) "Capital expenditures at most recent reported figures", "Cash and cash equivalents at most recent reported figures", "EBITDA at latest reported figures", "Equity at most recent reported figures", "Goodwill at most recent reported figures", "Leverage (net debt / EBITDA) at most recent reported figures", "Net income at most recent reported figures", "Total debt at latest most recent reported figures", "Annual turnover counterparty (LE)", "Leverage ratio as per ECB Guidance on leveraged transactions; total debt vs EBITDA", "Debt service coverage ratio", "Total Liabilities", "Total Assets", "Total permissible debt balance"</t>
  </si>
  <si>
    <t>LT_R_EN_005_04</t>
  </si>
  <si>
    <t xml:space="preserve">"Date of financial statements" must be later than "Birth date counterparty" </t>
  </si>
  <si>
    <t>LT_R_EN_005_05</t>
  </si>
  <si>
    <t>"Date of financial statements" cannot be later than "Reference date"</t>
  </si>
  <si>
    <t>LT_R_EN_005_06</t>
  </si>
  <si>
    <t>If "Type of person" is 'N - Natural person' then "Date of financial statements" must be a default value</t>
  </si>
  <si>
    <t>LT_R_EN_006_03</t>
  </si>
  <si>
    <t>If any of the financial statements fields (*) corresponding to previous reported figures is populated other than default values, then "Date of previous fiscal year financial statements" cannot be 'Not applicable' (*) "Capital expenditures at previous reported figures", "Cash and cash equivalents at previous reported figures", "EBITDA at previous reported figures", "Equity at previous reported figures", "Goodwill at previous reported figures", "Leverage (net debt / EBITDA) at previous reported figures", "Net income at previous reported figures", "Total debt at previous reported figures", "Annual turnover counterparty (LE) at previous reporting","Leverage ratio at previous reported figures as per ECB Guidance on leveraged transactions; total debt vs EBITDA", "Debt service coverage ratio at the most recent reported figures prior to the reference date"</t>
  </si>
  <si>
    <t>LT_R_EN_006_04</t>
  </si>
  <si>
    <t>"Date of previous fiscal year financial statements" cannot be later than "Reference date"</t>
  </si>
  <si>
    <t>LT_R_EN_006_05</t>
  </si>
  <si>
    <t>If "Type of person" is 'N - Natural person' then "Date of previous fiscal year financial statements" must be a default value</t>
  </si>
  <si>
    <t>LT_R_EN_007_01</t>
  </si>
  <si>
    <t>If "Legal proceedings status Counterparty (LE)" equals "2 - Under judicial administration, receivership or similar measures" or "3 - Bankruptcy / insolvency" or "4 - Other legal measures" then "Date of initiation of legal proceedings counterparty (LE)" cannot be 'Not Applicable'</t>
  </si>
  <si>
    <t>LT_R_EN_007_02</t>
  </si>
  <si>
    <t xml:space="preserve">"Date of initiation of legal proceedings counterparty (LE)" must be later than "Birth date counterparty" </t>
  </si>
  <si>
    <t>LT_R_EN_007_03</t>
  </si>
  <si>
    <t>"Date of initiation of legal proceedings counterparty (LE)"cannot be later than "Reference date"</t>
  </si>
  <si>
    <t>LT_R_EN_008_01</t>
  </si>
  <si>
    <t>If "Performing status" is populated other than default values, then "Date of performing status" cannot be 'Not applicable'</t>
  </si>
  <si>
    <t>LT_R_EN_008_02</t>
  </si>
  <si>
    <t xml:space="preserve">"Date of performing status" must be later than "Birth date counterparty" </t>
  </si>
  <si>
    <t>LT_R_EN_008_03</t>
  </si>
  <si>
    <t>"Date of performing status" cannot be later than "Reference date"</t>
  </si>
  <si>
    <t>LT_R_EN_008_04</t>
  </si>
  <si>
    <t>If "Performing status" is 'Not applicable', then "Date of performing status" must be a default value</t>
  </si>
  <si>
    <t>LT_R_EN_011_01</t>
  </si>
  <si>
    <t>If "Name of the parent entity of a group of connected clients" is "N/A" then "Identifier for the parent entity of a group of connected clients" must be a default value</t>
  </si>
  <si>
    <t>LT_R_EN_011_03</t>
  </si>
  <si>
    <t>If "Type of person" is 'N - Natural person' then "Identifier for the parent entity of a group of connected clients" must be a default value</t>
  </si>
  <si>
    <t>LT_R_EN_012_01</t>
  </si>
  <si>
    <t>If "Identifier for the parent entity of a group of connected clients" is "N/A" then "Name of the parent entity of a group of connected clients" must be a default value</t>
  </si>
  <si>
    <t>LT_R_EN_012_02</t>
  </si>
  <si>
    <t>If "Type of person" is 'N - Natural person' then "Name of the parent entity of a group of connected clients" must be a default value</t>
  </si>
  <si>
    <t>LT_R_EN_015_01</t>
  </si>
  <si>
    <t>If "Type of person" is 'N - Natural person' then "Legal entity identifier Counterparty" must be a default value</t>
  </si>
  <si>
    <t>LT_R_EN_017_01</t>
  </si>
  <si>
    <t>If any of the external rating fields (*) is populated other than default values, then "Name of external rating agency" cannot be 'Not applicable' (*) "External rating", "Date of external rating"</t>
  </si>
  <si>
    <t>LT_R_EN_017_02</t>
  </si>
  <si>
    <t>If "Type of person" is 'N - Natural person' then "Name of external rating agency" must be a default value</t>
  </si>
  <si>
    <t>LT_R_EN_018_01</t>
  </si>
  <si>
    <t>If "Date of financial statements" is populated with other than default value, then "Accounting standard counterparty" cannot be 'Not applicable'</t>
  </si>
  <si>
    <t>LT_R_EN_019_01</t>
  </si>
  <si>
    <t>For Retail portfolios, if "Performing status" (Main Entity level) equals '1 - Non-Performing', then "Cure flag for entity which was classified as non-performing in the last 1.5 years and is classified as performing at the reference date" should be defaulted</t>
  </si>
  <si>
    <t>LT_R_EN_019_02</t>
  </si>
  <si>
    <t>For Retail portfolios, if "Performing status" (Main Entity level) equals '11 - Performing', then "Cure flag for entity which was classified as non-performing in the last 1.5 years and is classified as performing at the reference date" cannot be 'Not applicable'</t>
  </si>
  <si>
    <t>LT_R_EN_019_03</t>
  </si>
  <si>
    <t>For Retail portfolios, if "Performing status" (Main Entity level) equals '11 - Performing' and "Date of performing status" is older than 1.5 years (compared to"Reference date") then "Cure flag for entity which was classified as non-performing in the last 1.5 years and is classified as performing at the reference date" cannot be 'Y - Yes'</t>
  </si>
  <si>
    <t>LT_R_EN_020_01</t>
  </si>
  <si>
    <t>If "Type of person" is 'L - Legal person' then "Entity deceased" must be a default value</t>
  </si>
  <si>
    <t>LT_R_EN_021_01</t>
  </si>
  <si>
    <t>For Retail portfolios, if "Default status of the instrument" equals '18 - Default because both unlikely to pay and more than 90/180 days past due' , then "Default status of the entity" (Main Entity level) must equal '18 - Default because both unlikely to pay and more than 90/180 days past due'</t>
  </si>
  <si>
    <t>LT_R_EN_021_02</t>
  </si>
  <si>
    <t>For Retail portfolios, if "Default status of the instrument" equals '19 - Default because unlikely to pay', then "Default status of the entity" (Main Entity level) must equal '18 - Default because both unlikely to pay and more than 90/180 days past due' or '19 - Default because unlikely to pay'</t>
  </si>
  <si>
    <t>LT_R_EN_021_03</t>
  </si>
  <si>
    <t>For Retail portfolios, if "Default status of the instrument" equals '20 - Default because more than 90/180 days past due', then "Default status of the entity" (Main Entity level) must equal '18 - Default because both unlikely to pay and more than 90/180 days past due' or '20 - Default because more than 90/180 days past due'</t>
  </si>
  <si>
    <t>LT_R_EN_022_01</t>
  </si>
  <si>
    <t xml:space="preserve">"Date of external rating" must be later than "Birth date counterparty" </t>
  </si>
  <si>
    <t>LT_R_EN_022_02</t>
  </si>
  <si>
    <t>"Date of external rating" cannot be later than "Reference date"</t>
  </si>
  <si>
    <t>LT_R_EN_022_03</t>
  </si>
  <si>
    <t>If "External rating" is populated other than default values, then "Date of external rating" cannot be 'Not applicable'</t>
  </si>
  <si>
    <t>LT_R_EN_022_04</t>
  </si>
  <si>
    <t>If "Type of person" is 'N - Natural person' then "Date of external rating" must be a default value</t>
  </si>
  <si>
    <t>LT_R_EN_023_01</t>
  </si>
  <si>
    <t xml:space="preserve">"Date of internal rating" (entity level) must be later than "Birth date counterparty" </t>
  </si>
  <si>
    <t>LT_R_EN_023_02</t>
  </si>
  <si>
    <t>"Date of internal rating" (entity level) cannot be later than "Reference date"</t>
  </si>
  <si>
    <t>LT_R_EN_023_03</t>
  </si>
  <si>
    <t>If "Internal rating" (entity level) is populated other than default values, then "Date of internal rating" (entity level) cannot be 'Not applicable'</t>
  </si>
  <si>
    <t>LT_R_EN_023_05</t>
  </si>
  <si>
    <t>If "Date of financial statements" is populated with other than default value, then "Date of internal rating" (entity level) cannot be 'Not applicable'</t>
  </si>
  <si>
    <t>LT_R_EN_025_01</t>
  </si>
  <si>
    <t>If "Type of person" is 'L - Legal person' then "Employment status according to bank-internal classification" must be a default value</t>
  </si>
  <si>
    <t>LT_R_EN_026_01</t>
  </si>
  <si>
    <t>If "Employment status according to bank-internal classification" is populated other than default values, then "Employment status (Code List)" cannot be 'Not applicable'</t>
  </si>
  <si>
    <t>LT_R_EN_026_02</t>
  </si>
  <si>
    <t>If "Type of person" is 'L - Legal person' then "Employment status (Code List)" must be a default value</t>
  </si>
  <si>
    <t>LT_R_EN_027_02</t>
  </si>
  <si>
    <t>LT_R_EN_027_04</t>
  </si>
  <si>
    <t>LT_R_EN_028_01</t>
  </si>
  <si>
    <t>If "Date of external rating" is populated other than default values, then "External rating" cannot be 'Not applicable'</t>
  </si>
  <si>
    <t>LT_R_EN_028_03</t>
  </si>
  <si>
    <t>If "Type of person" is 'N - Natural person' then "External rating" must be a default value</t>
  </si>
  <si>
    <t>LT_R_EN_029_01</t>
  </si>
  <si>
    <t>If "External rating" is populated with 'Not applicable' then "External rating T-1" must also be populated with 'Not applicable'</t>
  </si>
  <si>
    <t>LT_R_EN_029_02</t>
  </si>
  <si>
    <t>If "Type of person" is 'N - Natural person' then "External rating T-1" must be a default value</t>
  </si>
  <si>
    <t>LT_R_EN_030_01</t>
  </si>
  <si>
    <t>If "Identifier for the parent entity of a group of connected clients" is 'N/A' then "Any legal entity within the group of connected clients of the debtor (incl. subsidiaries of the debtor) has filed bankruptcy application" must be a default value</t>
  </si>
  <si>
    <t>LT_R_EN_030_02</t>
  </si>
  <si>
    <t>If "Identifier for the parent entity of a group of connected clients" is not defaulted then "Any legal entity within the group of connected clients of the debtor (incl. subsidiaries of the debtor) has filed bankruptcy application" cannot be 'Not applicable'</t>
  </si>
  <si>
    <t>LT_R_EN_030_03</t>
  </si>
  <si>
    <t>If "Type of person" is 'N - Natural person' then "Any legal entity within the group of connected clients of the debtor (incl. subsidiaries of the debtor) has filed bankruptcy application" must be a default value</t>
  </si>
  <si>
    <t>LT_R_EN_030_04</t>
  </si>
  <si>
    <t>Any "Entity ID" with the same "Identifier for the parent entity of a group of connected clients" must have the same "Any legal entity within the group of connected clients of the debtor (incl. subsidiaries of the debtor) has filed bankruptcy application"</t>
  </si>
  <si>
    <t>LT_R_EN_031_01</t>
  </si>
  <si>
    <t>If "Type of person" is 'N - Natural person' then "5Y CDS &gt; 1,000bps over the last 12 months" must be a default value</t>
  </si>
  <si>
    <t>LT_R_EN_032_01</t>
  </si>
  <si>
    <t>If "Type of person" is 'N - Natural person' then "ISDA credit event declared" must be a default value</t>
  </si>
  <si>
    <t>LT_R_EN_034_01</t>
  </si>
  <si>
    <t>If "Type of person" is 'N - Natural person' then "Request by the institution for the obligor's bankruptcy" must be a default value</t>
  </si>
  <si>
    <t>LT_R_EN_035_01</t>
  </si>
  <si>
    <t>If "Forbearance status" is set as '3 - Forborne: Refinanced debt' or '4 - Forborne: instruments with modified interest rate below market conditions' or '5 - Forborne: instruments with other modified terms and conditions' and "Impairment status" equals '25 - Stage 3', then "Request for current concession of forbearance measures as defined in EBA/ITS/2013/03 resulting in distressed restructuring of the credit obligation" (Main Entity level) has to be set as 'Y'</t>
  </si>
  <si>
    <t>LT_R_EN_037_01</t>
  </si>
  <si>
    <t>If "Type of person" is 'N - Natural person' then "Sell of a credit obligation with material credit related economic loss (&gt;= 5%)" must be a default value</t>
  </si>
  <si>
    <t>LT_R_EN_038_01</t>
  </si>
  <si>
    <t>If "Type of person" is 'L - Legal person' then "Income self-certified" must be a default value</t>
  </si>
  <si>
    <t>LT_R_EN_039_01</t>
  </si>
  <si>
    <t>If "Date of internal rating" (entity level) is populated other than default values, then "Internal rating at reference date" (entity level) cannot be 'Not applicable'</t>
  </si>
  <si>
    <t>LT_R_EN_039_02</t>
  </si>
  <si>
    <t>If "Internal rating at reference date" (instrument level) is populated other than default values, then "Internal rating at reference date" (Main Entity level) cannot be 'Not applicable'</t>
  </si>
  <si>
    <t>LT_R_EN_039_04</t>
  </si>
  <si>
    <t>If "Previous internal rating" is populated with other than default values, then "Internal Rating" (entity level) cannot be 'Not Applicable'</t>
  </si>
  <si>
    <t>LT_R_EN_039_05</t>
  </si>
  <si>
    <t>If "Probability of default according to CRR at reference date" (entity level) is populated other than default values, then "Internal rating at reference date" (entity level) cannot be 'Not applicable'</t>
  </si>
  <si>
    <t>EN_INTRNL_RTNG</t>
  </si>
  <si>
    <t>LT_R_EN_039_06</t>
  </si>
  <si>
    <t>If "Probability of default according to CRR at reference date" (entity level) is populated with default values, then "Internal rating at reference date" (entity level) must be 'Not applicable'</t>
  </si>
  <si>
    <t>LT_R_EN_040_01</t>
  </si>
  <si>
    <t>If "Internal rating at reference date" (entity level) is populated with 'Not applicable' then "Previous internal rating" must also be populated with 'Not applicable'</t>
  </si>
  <si>
    <t>LT_R_EN_040_03</t>
  </si>
  <si>
    <t>If "Date of previous fiscal year financial statements" is populated with other than default value, then "Previous internal rating" cannot be 'Not applicable'</t>
  </si>
  <si>
    <t>LT_R_EN_041_01</t>
  </si>
  <si>
    <t>For Retail portfolios, "Legal proceedings status Counterparty (LE)" (Main Entity level) can only be "1 - No legal action taken" or "4 - Other legal measures"</t>
  </si>
  <si>
    <t>LT_R_EN_041_02</t>
  </si>
  <si>
    <t>If "Collection mode" equals '1 - Hard collection (judicial procedures engaged)', then "Legal proceedings status Counterparty (LE)" cannot be '1 - No legal actions taken'</t>
  </si>
  <si>
    <t>LT_R_EN_041_03</t>
  </si>
  <si>
    <t>If "Collection mode" equals '2 - Soft collection (all other)', then "Legal proceedings status Counterparty (LE)" cannot be '2 - Under judicial administration, receivership or similar measures' nor '3 - Bankruptcy / insolvency' nor '4 - Other legal measures'</t>
  </si>
  <si>
    <t>LT_R_EN_041_04</t>
  </si>
  <si>
    <t>If "Protection called" is set as 'Y' then "Legal proceedings status Counterparty (LE)" (Main Entity level) has to be equal to '2 - Under judicial administration, receivership or similar measures', or '3 - Bankruptcy / insolvency', or '4 - Other legal measures'</t>
  </si>
  <si>
    <t>LT_R_EN_042_03</t>
  </si>
  <si>
    <t>If "Type of person" is 'N - Natural person' then "&gt;50% owned by a sponsor as per ECB Guidance on leveraged transactions" must be a default value</t>
  </si>
  <si>
    <t>LT_R_EN_044_01</t>
  </si>
  <si>
    <t>If "Internal rating at reference date" (entity level) is populated other than default values, then "Rating method" (entity level) cannot be 'Not applicable'</t>
  </si>
  <si>
    <t>LT_R_EN_044_02</t>
  </si>
  <si>
    <t>If "Internal rating at reference date" (entity level) is populated with 'Not applicable', then "Rating method" (entity level) must also be 'Not applicable'</t>
  </si>
  <si>
    <t>LT_R_EN_044_04</t>
  </si>
  <si>
    <t>If "RWA calculation method" equals '1 - IRB' then "Rating method" (Main Entity level) cannot be 'Not applicable'</t>
  </si>
  <si>
    <t>LT_R_EN_044_05</t>
  </si>
  <si>
    <t>If "Probability of default according to CRR at reference date" (entity level) is populated other than default values, then "Rating method" (entity level) cannot be 'Not applicable'</t>
  </si>
  <si>
    <t>LT_R_EN_047_01</t>
  </si>
  <si>
    <t>If "Type of person" is 'N - Natural person' then "Type of SPV debtor" must be a default value</t>
  </si>
  <si>
    <t>LT_R_EN_048_01</t>
  </si>
  <si>
    <t>If "Economic (Financial) Group ID" is populated other than default values, then "Group's EBITDA at most recent reported figures" cannot be 'Not applicable'</t>
  </si>
  <si>
    <t>LT_R_EN_048_02</t>
  </si>
  <si>
    <t>If "Economic (Financial) Group ID" is populated with 'Not Applicable' values, then "Group's EBITDA at most recent reported figures" must be a default value</t>
  </si>
  <si>
    <t>LT_R_EN_048_03</t>
  </si>
  <si>
    <t>If "Type of person" is 'N - Natural person' then "Group's EBITDA at most recent reported figures" must be a default value</t>
  </si>
  <si>
    <t>LT_R_EN_048_04</t>
  </si>
  <si>
    <t>Any "Entity ID" with the same "Economic (financial) Group ID", populated with other than default values, must have the same "Group's EBITDA at most recent reported figures"</t>
  </si>
  <si>
    <t>LT_R_EN_049_01</t>
  </si>
  <si>
    <t>If "Economic (Financial) Group ID" is populated other than default values, then "Group's Equity at most recent reported figures" cannot be 'Not applicable'</t>
  </si>
  <si>
    <t>LT_R_EN_049_02</t>
  </si>
  <si>
    <t>If "Economic (Financial) Group ID" is populated with 'Not Applicable' values, then "Group's Equity at most recent reported figures" must be a default value</t>
  </si>
  <si>
    <t>LT_R_EN_049_03</t>
  </si>
  <si>
    <t>If "Type of person" is 'N - Natural person' then "Group's equity at most recent reported figures" must be a default value</t>
  </si>
  <si>
    <t>LT_R_EN_049_04</t>
  </si>
  <si>
    <t>"Group's equity at most recent reported figures" should be greater or equal to "Equity at most recent reported figures"</t>
  </si>
  <si>
    <t>LT_R_EN_049_05</t>
  </si>
  <si>
    <t>Any "Entity ID" with the same "Economic (financial) Group ID", populated with other than default values, must have the same "Group's equity at most recent reported figures"</t>
  </si>
  <si>
    <t>LT_R_EN_050_01</t>
  </si>
  <si>
    <t>If "Economic (Financial) Group ID" is populated other than default values, then "Total net debt at most recent reported figures" cannot be 'Not applicable'</t>
  </si>
  <si>
    <t>LT_R_EN_050_02</t>
  </si>
  <si>
    <t>If "Economic (Financial) Group ID" is populated with 'Not Applicable' values, then "Total net debt at most recent reported figures" must be a default value</t>
  </si>
  <si>
    <t>LT_R_EN_050_03</t>
  </si>
  <si>
    <t>If "Group's total debt at most recent reported figures" is populated other than default values and "Total net debt at most recent reported figures" is populated other than default values then "Group's Total debt at most recent reported figures" must be greater or equal than "Total net debt at most recent reported figures"</t>
  </si>
  <si>
    <t>LT_R_EN_050_04</t>
  </si>
  <si>
    <t>If "Type of person" is 'N - Natural person' then "Total net debt at most recent reported figures" must be a default value</t>
  </si>
  <si>
    <t>LT_R_EN_050_05</t>
  </si>
  <si>
    <t>Any "Entity ID" with the same "Economic (financial) Group ID", populated with other than default values, must have the same "Total net debt at most recent reported figures"</t>
  </si>
  <si>
    <t>LT_R_EN_051_01</t>
  </si>
  <si>
    <t>If "Date of financial statements" is other than 'Not applicable', then "Annual turnover counterparty (LE)" cannot be 'Not applicable'</t>
  </si>
  <si>
    <t>LT_R_EN_051_03</t>
  </si>
  <si>
    <t>If "Type of person" is 'N - Natural person' then "Annual turnover counterparty (LE)" must be a default value</t>
  </si>
  <si>
    <t>LT_R_EN_052_01</t>
  </si>
  <si>
    <t>If "Date of previous fiscal year financial statements" is other than 'Not applicable', then "Annual turnover counterparty (LE) at previous reporting" cannot be 'Not applicable'</t>
  </si>
  <si>
    <t>LT_R_EN_052_02</t>
  </si>
  <si>
    <t>If "Type of person" is 'N - Natural person' then "Annual turnover counterparty (LE) at previous reporting" must be a default value</t>
  </si>
  <si>
    <t>LT_R_EN_053_01</t>
  </si>
  <si>
    <t>If "Date of financial statements" is other than 'Not applicable', then "Capital expenditures at most recent reported figures" cannot be 'Not applicable'</t>
  </si>
  <si>
    <t>LT_R_EN_053_02</t>
  </si>
  <si>
    <t>If "Type of person" is 'N - Natural person' then "Capital expenditures at most recent reported figures" must be a default value</t>
  </si>
  <si>
    <t>LT_R_EN_054_01</t>
  </si>
  <si>
    <t>If "Date of previous fiscal year financial statements" is other than 'Not applicable', then "Capital expenditures at previous reported figures" cannot be 'Not applicable'</t>
  </si>
  <si>
    <t>LT_R_EN_054_02</t>
  </si>
  <si>
    <t>If "Type of person" is 'N - Natural person' then "Capital expenditures at previous reported figures" must be a default value</t>
  </si>
  <si>
    <t>LT_R_EN_055_01</t>
  </si>
  <si>
    <t>If "Total exposure in arrears" is not zero and not defaulted, then "Collection mode" (Main Entity level) cannot be 'Not applicable'</t>
  </si>
  <si>
    <t>LT_R_EN_056_01</t>
  </si>
  <si>
    <t>If "Date of financial statements" is other than 'Not applicable', then "Cash and cash equivalents at most recent reported figures" cannot be 'Not applicable'</t>
  </si>
  <si>
    <t>LT_R_EN_056_02</t>
  </si>
  <si>
    <t>If "Type of person" is 'N - Natural person' then "Cash and cash equivalents at most recent reported figures" must be a default value</t>
  </si>
  <si>
    <t>LT_R_EN_057_01</t>
  </si>
  <si>
    <t>If "Date of previous fiscal year financial statements" is other than 'Not applicable', then "Cash and cash equivalents at previous reported figures" cannot be 'Not applicable'</t>
  </si>
  <si>
    <t>LT_R_EN_057_02</t>
  </si>
  <si>
    <t>If "Type of person" is 'N - Natural person' then "Cash and cash equivalents at previous reported figures" must be a default value</t>
  </si>
  <si>
    <t>LT_R_EN_058_01</t>
  </si>
  <si>
    <t>If "Date of financial statements" is other than 'Not applicable', then "EBITDA at latest reported figures" cannot be 'Not applicable'</t>
  </si>
  <si>
    <t>LT_R_EN_058_03</t>
  </si>
  <si>
    <t>If "Type of person" is 'N - Natural person' then "EBITDA at latest reported figures" must be a default value</t>
  </si>
  <si>
    <t>LT_R_EN_059_01</t>
  </si>
  <si>
    <t>If "Date of previous fiscal year financial statements" is other than 'Not applicable', then "EBITDA at previous reported figures" cannot be 'Not applicable'</t>
  </si>
  <si>
    <t>LT_R_EN_059_02</t>
  </si>
  <si>
    <t>If "Type of person" is 'N - Natural person' then "EBITDA at previous reported figures" must be a default value</t>
  </si>
  <si>
    <t>LT_R_EN_060_01</t>
  </si>
  <si>
    <t>If "Date of financial statements" is other than 'Not applicable', then "Equity at most recent reported figures" cannot be 'Not applicable'</t>
  </si>
  <si>
    <t>LT_R_EN_060_03</t>
  </si>
  <si>
    <t>If "Type of person" is 'N - Natural person' then "Equity at most recent reported figures" must be a default value</t>
  </si>
  <si>
    <t>LT_R_EN_061_01</t>
  </si>
  <si>
    <t>If "Date of previous fiscal year financial statements" is other than 'Not applicable', then "Equity at previous reported figures" cannot be 'Not applicable'</t>
  </si>
  <si>
    <t>LT_R_EN_061_02</t>
  </si>
  <si>
    <t>If "Type of person" is 'N - Natural person' then "Equity at previous reported figures" must be a default value</t>
  </si>
  <si>
    <t>LT_R_EN_062_01</t>
  </si>
  <si>
    <t>If "Economic (Financial) Group ID" is populated other than default values, then "Group's total debt at most recent reported figures" cannot be 'Not applicable'</t>
  </si>
  <si>
    <t>LT_R_EN_062_02</t>
  </si>
  <si>
    <t>If "Economic (Financial) Group ID" is populated with 'Not Applicable', then "Group's total debt at most recent reported figures" must be a default value</t>
  </si>
  <si>
    <t>LT_R_EN_062_03</t>
  </si>
  <si>
    <t>If "Type of person" is 'N - Natural person' then "Group's total debt at most recent reported figures" must be a default value</t>
  </si>
  <si>
    <t>LT_R_EN_062_04</t>
  </si>
  <si>
    <t>"Group's total debt at most recent reported figures" should be greater or equal to "Total debt at latest most recent reported figure"</t>
  </si>
  <si>
    <t>LT_R_EN_062_05</t>
  </si>
  <si>
    <t>Any "Entity ID" with the same "Economic (financial) Group ID", populated with other than default values, must have the same "Group's total debt at most recent reported figures"</t>
  </si>
  <si>
    <t>LT_R_EN_063_01</t>
  </si>
  <si>
    <t>If "Date of financial statements" is other than 'Not applicable', then "Goodwill at most recent reported figures" cannot be 'Not applicable'</t>
  </si>
  <si>
    <t>LT_R_EN_063_02</t>
  </si>
  <si>
    <t>If "Type of person" is 'N - Natural person' then "Goodwill at most recent reported figures" must be a default value</t>
  </si>
  <si>
    <t>LT_R_EN_064_01</t>
  </si>
  <si>
    <t>If "Date of previous fiscal year financial statements" is other than 'Not applicable', then "Goodwill at previous reported figures" cannot be 'Not applicable'</t>
  </si>
  <si>
    <t>LT_R_EN_064_02</t>
  </si>
  <si>
    <t>If "Type of person" is 'N - Natural person' then "Goodwill at previous reported figures" must be a default value</t>
  </si>
  <si>
    <t>LT_R_EN_065_01</t>
  </si>
  <si>
    <t>If either, "Monthly income - other" or "Monthly income - salary" (Main Entity level) is populated with values other than default or zero and "Type of instrument" is equal to '1004 - Loans other than overdrafts, convenience credit, extended credit, credit card credit, revolving credit other than credit card credit, reverse repurchase agreements, trade receivables and financial leases', then "Loan to income (LTI)" cannot be 'Not applicable'</t>
  </si>
  <si>
    <t>LT_R_EN_066_01</t>
  </si>
  <si>
    <t>If "Date of financial statements" is other than 'Not applicable', then "Leverage (net debt / EBITDA) at most recent reported figures" cannot be 'Not applicable'</t>
  </si>
  <si>
    <t>LT_R_EN_066_03</t>
  </si>
  <si>
    <t>"Leverage (net debt / EBITDA) at most recent reported figures" must equal "Total debt at latest most recent reported figures" minus "Cash and cash equivalents at most recent reported figures" divided by "EBITDA at latest reported figures"</t>
  </si>
  <si>
    <t>LT_R_EN_066_04</t>
  </si>
  <si>
    <t>If "EBITDA at latest reported figures" is populated as 'Not applicable', then "Leverage (net debt / EBITDA) at most recent reported figures" must be a default value</t>
  </si>
  <si>
    <t>LT_R_EN_066_05</t>
  </si>
  <si>
    <t>If "Type of person" is 'N - Natural person' then "Leverage (net debt / EBITDA) at most recent reported figures" must be a default value</t>
  </si>
  <si>
    <t>LT_R_EN_067_01</t>
  </si>
  <si>
    <t>If "Date of previous fiscal year financial statements" is other than 'Not applicable', then "Leverage (net debt / EBITDA) at previous reported figures" cannot be 'Not applicable'</t>
  </si>
  <si>
    <t>LT_R_EN_067_02</t>
  </si>
  <si>
    <t>If "EBITDA at previous reported figures" is populated as 'Not applicable', then "Leverage (net debt / EBITDA) at previous reported figures" must be a default value</t>
  </si>
  <si>
    <t>LT_R_EN_067_03</t>
  </si>
  <si>
    <t>"Leverage (net debt / EBITDA) at previous reported figures" must equal "Total debt at previous reported figures" minus "Cash and cash equivalents at previous reported figures" divided by "EBITDA at previous reported figures"</t>
  </si>
  <si>
    <t>LT_R_EN_067_04</t>
  </si>
  <si>
    <t>If "Type of person" is 'N - Natural person' then "Leverage (net debt / EBITDA) at previous reported figures" must be a default value</t>
  </si>
  <si>
    <t>LT_R_EN_068_01</t>
  </si>
  <si>
    <t>If "Type of person" is 'L - Legal person' then "Monthly income - other" must be a default value</t>
  </si>
  <si>
    <t>LT_R_EN_069_01</t>
  </si>
  <si>
    <t>if "Employment status (Code List)" is set as '1 - Employed', '2 - Employed with partial support (company subsidy)', '3 - Protected life-time employment (civil servant)', '4 - Self-employed' or '7 - Pensioner' then "Monthly income - salary" has to be greater than 0</t>
  </si>
  <si>
    <t>LT_R_EN_069_02</t>
  </si>
  <si>
    <t>If "Type of person" is 'L - Legal person' then "Monthly income - salary" must be a default value</t>
  </si>
  <si>
    <t>LT_R_EN_070_01</t>
  </si>
  <si>
    <t>If "Type of person" is 'L - Legal person' then "Average monthly turnover to bank account(s)" must be a default value</t>
  </si>
  <si>
    <t>LT_R_EN_071_01</t>
  </si>
  <si>
    <t>If "Date of financial statements" is other than 'Not applicable', then "Net income at most recent reported figures" cannot be 'Not applicable'</t>
  </si>
  <si>
    <t>LT_R_EN_071_03</t>
  </si>
  <si>
    <t>If "Type of person" is 'N - Natural person' then "Net income at most recent reported figures" must be a default value</t>
  </si>
  <si>
    <t>LT_R_EN_072_01</t>
  </si>
  <si>
    <t>If "Date of previous fiscal year financial statements" is other than 'Not applicable', then "Net income at previous reported figures" cannot be 'Not applicable'</t>
  </si>
  <si>
    <t>LT_R_EN_072_02</t>
  </si>
  <si>
    <t>If "Type of person" is 'N - Natural person' then "Net income at previous reported figures" must be a default value</t>
  </si>
  <si>
    <t>LT_R_EN_073_01</t>
  </si>
  <si>
    <t>If "Date of financial statements" is other than 'Not applicable', then "Total debt at latest most recent reported figures" cannot be 'Not applicable'</t>
  </si>
  <si>
    <t>LT_R_EN_073_03</t>
  </si>
  <si>
    <t>If "Type of person" is 'N - Natural person' then "Total debt at latest most recent reported figures" must be a default value</t>
  </si>
  <si>
    <t>LT_R_EN_074_01</t>
  </si>
  <si>
    <t>If "Date of previous fiscal year financial statements" is other than 'Not applicable', then "Total debt at previous reported figures" cannot be 'Not applicable'</t>
  </si>
  <si>
    <t>LT_R_EN_074_02</t>
  </si>
  <si>
    <t>If "Type of person" is 'N - Natural person' then "Total debt at previous reported figures" must be a default value</t>
  </si>
  <si>
    <t>LT_R_EN_075_01</t>
  </si>
  <si>
    <t>"Debtor's total interest paid (over period for one year)" must be higher or equal than "Received interest payments within last 12 months prior to reference date" (Main Entity level)</t>
  </si>
  <si>
    <t>LT_R_EN_075_02</t>
  </si>
  <si>
    <t>If "Received interest payments within last 12 months prior to reference date" is other than 'Not applicable', then "Debtor's total interest paid (over period for one year)" (Main Entity level) cannot be 'Not applicable'</t>
  </si>
  <si>
    <t>LT_R_EN_075_05</t>
  </si>
  <si>
    <t>If "Type of person" is 'N - Natural person' then "Debtor's total interest paid (over period for one year)" must be a default value</t>
  </si>
  <si>
    <t>LT_R_EN_076_01</t>
  </si>
  <si>
    <t>If "Leverage ratio as per ECB Guidance on leveraged transactions; total debt vs EBITDA" is populated other than default values and "Group support" is equal to 'Yes', then ("Group's total debt at most recent reported figures" / "Group's EBITDA at most recent reported figures") must equal "Leverage ratio as per ECB Guidance on leveraged transactions; total debt vs EBITDA"</t>
  </si>
  <si>
    <t>LT_R_EN_076_03</t>
  </si>
  <si>
    <t>If "Type of person" is 'N - Natural person' then "Leverage ratio as per ECB Guidance on leveraged transactions; total debt vs EBITDA" must be a default value</t>
  </si>
  <si>
    <t>LT_R_EN_076_04</t>
  </si>
  <si>
    <t>If "EBITDA at latest reported figures" is populated as 'Not applicable', then "Leverage ratio as per ECB Guidance on leveraged transactions; total debt vs EBITDA" must be a default value</t>
  </si>
  <si>
    <t>LT_R_EN_076_07</t>
  </si>
  <si>
    <t>If "Leverage ratio as per ECB Guidance on leveraged transactions; total debt vs EBITDA" is populated other than default values and "Group support" is populated with other than 'Yes', then ("Total debt at latest most recent reported figures" / "EBITDA at latest reported figures") must equal "Leverage ratio as per ECB Guidance on leveraged transactions; total debt vs EBITDA"</t>
  </si>
  <si>
    <t>LT_R_EN_076_08</t>
  </si>
  <si>
    <t>If "Date of financial statements" is populated with other than default value, then "Leverage ratio as per ECB Guidance on leveraged transactions; total debt vs EBITDA" cannot be 'Not applicable'</t>
  </si>
  <si>
    <t>LT_R_EN_076_09</t>
  </si>
  <si>
    <t>If "Date of inception" is in the past three months, then "Leverage ratio as per ECB Guidance on leveraged transactions; total debt vs EBITDA" must be equal to "Leverage ratio at inception date"</t>
  </si>
  <si>
    <t>LT_R_EN_077_01</t>
  </si>
  <si>
    <t>If "EBITDA at previous reported figures" is populated as 'Not applicable', then "Leverage ratio at previous reported figures as per ECB Guidance on leveraged transactions; total debt vs EBITDA" must be a default value</t>
  </si>
  <si>
    <t>LT_R_EN_077_02</t>
  </si>
  <si>
    <t>If "Type of person" is 'N - Natural person' then "Leverage ratio at previous reported figures as per ECB Guidance on leveraged transactions; total debt vs EBITDA" must be a default value</t>
  </si>
  <si>
    <t>LT_R_EN_077_04</t>
  </si>
  <si>
    <t>If "Date of previous fiscal year financial statements" is populated with other than default value, then "Leverage ratio at previous reported figures as per ECB Guidance on leveraged transactions; total debt vs EBITDA" cannot be 'Not applicable'</t>
  </si>
  <si>
    <t>LT_R_EN_078_02</t>
  </si>
  <si>
    <t>If "Leverage finance flag" is set to 'LFT - Leveraged finance transaction' or 'HFT - High Leveraged transaction', then "Debt repayment capacity of senior secured debt as per ECB Guidance on leveraged transactions" (Main Entity level) cannot be 'Not Applicable'</t>
  </si>
  <si>
    <t>LT_R_EN_078_05</t>
  </si>
  <si>
    <t>If "Type of person" is 'N - Natural person' then "Debt repayment capacity of senior secured debt as per ECB Guidance on leveraged transactions" must be a default value</t>
  </si>
  <si>
    <t>LT_R_EN_079_02</t>
  </si>
  <si>
    <t>If "Leverage finance flag" is set to 'LFT - Leveraged finance transaction' or 'HFT - High Leveraged transaction', then "Debt repayment capacity of the total debt as per ECB Guidance on leveraged transactions" (Main Entity level) cannot be 'Not Applicable'</t>
  </si>
  <si>
    <t>LT_R_EN_079_05</t>
  </si>
  <si>
    <t>If "Type of person" is 'N - Natural person' then "Debt repayment capacity of the total debt as per ECB Guidance on leveraged transactions" must be a default value</t>
  </si>
  <si>
    <t>LT_R_EN_080_01</t>
  </si>
  <si>
    <t>If "Date of financial statements" is other than 'Not applicable', then "Debt service coverage ratio" cannot be 'Not applicable'</t>
  </si>
  <si>
    <t>LT_R_EN_080_02</t>
  </si>
  <si>
    <t>If "Type of person" is 'N - Natural person' then "Debt service coverage ratio" must be a default value</t>
  </si>
  <si>
    <t>LT_R_EN_081_01</t>
  </si>
  <si>
    <t>If "Date of previous fiscal year financial statements" is other than 'Not applicable', then "Debt service coverage ratio at the most recent reported figures prior to the reference date" cannot be 'Not applicable'</t>
  </si>
  <si>
    <t>LT_R_EN_081_02</t>
  </si>
  <si>
    <t>If "Type of person" is 'N - Natural person' then "Debt service coverage ratio at the most recent reported figures prior to the reference date" must be a default value</t>
  </si>
  <si>
    <t>LT_R_EN_082_01</t>
  </si>
  <si>
    <t>If "Probability of default according to CRR at reference date" (instrument level) is populated other than default values, then "Probability of default according to CRR at reference date" (Main Entity level) cannot be 'Not aplicable'</t>
  </si>
  <si>
    <t>LT_R_EN_082_03</t>
  </si>
  <si>
    <t>"Probability of default according to CRR at reference date" (Main Entity level) and "Probability of default according to CRR at reference date" (instrument level) should be aligned</t>
  </si>
  <si>
    <t>LT_R_EN_083_01</t>
  </si>
  <si>
    <t>If "12-month PD at reporting date according to IFRS 9" (instrument level) is populated other than default values, then "12-month PD at reporting date according to IFRS 9" (Main Entity level) cannot be 'Not aplicable'</t>
  </si>
  <si>
    <t>LT_R_EN_084_01</t>
  </si>
  <si>
    <t>If "12-month PD one year prior to the reporting date according to IFRS 9" (instrument level) is populated other than default values, then "12-month PD one year prior to the reporting date according to IFRS 9" (Main Entity level) cannot be 'Not aplicable'</t>
  </si>
  <si>
    <t>LT_R_EN_086_01</t>
  </si>
  <si>
    <t>If "Date of financial statements" is other than 'Not applicable', then "BDR Annual turnover counterparty (LE)" cannot be 'Not applicable'</t>
  </si>
  <si>
    <t>LT_R_EN_086_02</t>
  </si>
  <si>
    <t>If "Type of person" is 'N - Natural person' then "BDR Annual turnover counterparty (LE)" must be a default value</t>
  </si>
  <si>
    <t>LT_R_EN_087_01</t>
  </si>
  <si>
    <t>If "Date of previous fiscal year financial statements" is other than 'Not applicable', then "BDR Annual turnover counterparty (LE) at previous reporting" cannot be 'Not applicable'</t>
  </si>
  <si>
    <t>LT_R_EN_087_02</t>
  </si>
  <si>
    <t>If "Type of person" is 'N - Natural person' then "BDR Annual turnover counterparty (LE) at previous reporting" must be a default value</t>
  </si>
  <si>
    <t>LT_R_EN_089_01</t>
  </si>
  <si>
    <t>If "Probability of default according to CRR at reference date" (entity level) is populated with 'Not applicable' then "Probability of default according to CRR one year prior to the reference date" (entity level) must also be populated with 'Not applicable'</t>
  </si>
  <si>
    <t>LT_R_EN_090_01</t>
  </si>
  <si>
    <t>If "Economic (financial) Group Name" is populated with other than default values, then "Economic (financial) Group ID" cannot be 'Not Applicable'</t>
  </si>
  <si>
    <t>LT_R_EN_090_02</t>
  </si>
  <si>
    <t>If "Type of person" is 'N - Natural person' then "Economic (financial) Group ID" must be a default value</t>
  </si>
  <si>
    <t>LT_R_EN_090_03</t>
  </si>
  <si>
    <t>If "Group support" (Main Entity level) is equal to 'Y' then "Economic (financial) Group ID" cannot be 'Not Applicable'</t>
  </si>
  <si>
    <t>LT_R_EN_091_01</t>
  </si>
  <si>
    <t>If "Economic (financial) Group ID" is populated with other than default values, then "Economic (financial) Group Name" cannot be 'Not Applicable'</t>
  </si>
  <si>
    <t>LT_R_EN_091_02</t>
  </si>
  <si>
    <t>If "Type of person" is 'N - Natural person' then "Economic (Financial) Group Name" must be a default value</t>
  </si>
  <si>
    <t>LT_R_EN_092_03</t>
  </si>
  <si>
    <t>If "Country of counterparty residence" belongs to 'IS - Island' then then "Post code / ZIP" should follow the format "123"</t>
  </si>
  <si>
    <t>LT_R_EN_092_04</t>
  </si>
  <si>
    <t>If "Country of counterparty residence" belongs to 'AT - Austria', 'BE - Belgium', 'BG - Bulgaria ', 'CH - Switzerland', 'CY - Cyprus', 'DK - Denmark', 'HU - Hungary', 'LI - Liechtenstein', 'LU - Luxembourg', 'MK - Macedonia', 'NO - Norway', 'SI - Slovenia' then "Post code / ZIP" should follow the format "1234"</t>
  </si>
  <si>
    <t>LT_R_EN_092_05</t>
  </si>
  <si>
    <t>If "Country of counterparty residence" belongs to 'DE - Germany', 'EE - Estonia', 'ES - Spain', 'FI - Finland', 'FR - France', 'GR - Greece', 'HR - Croatia', 'IT - Italy', 'LT - Lithuania', 'RS - Serbia', 'TR - Turkey' then "Post code / ZIP" should follow the format "12345"</t>
  </si>
  <si>
    <t>LT_R_EN_092_06</t>
  </si>
  <si>
    <t>If "Country of counterparty residence" belongs to 'RO - Romania' then "Post code / ZIP" should follow the format "123456"</t>
  </si>
  <si>
    <t>LT_R_EN_092_07</t>
  </si>
  <si>
    <t>If "Country of counterparty residence" belongs to 'CZ - Czech', 'SE - Sweden', 'SK - Slovakia' then "Post code / ZIP" should follow the format "123 45"</t>
  </si>
  <si>
    <t>LT_R_EN_092_08</t>
  </si>
  <si>
    <t>If "Country of counterparty residence" belongs to 'IE - Ireland' then "Post code / ZIP" should follow the format "A12"</t>
  </si>
  <si>
    <t>LT_R_EN_092_09</t>
  </si>
  <si>
    <t>If "Country of counterparty residence" belongs to 'MT - Malta' then "Post code / ZIP" should follow the format "ABC"</t>
  </si>
  <si>
    <t>LT_R_EN_092_10</t>
  </si>
  <si>
    <t>If "Country of counterparty residence" belongs to 'NL - The Netherlands' then "Post code / ZIP" should follow the format "1234 AB2"</t>
  </si>
  <si>
    <t>LT_R_EN_092_11</t>
  </si>
  <si>
    <t>If "Country of counterparty residence" belongs to 'PL - Poland' then "Post code / ZIP" should follow the format "12-345"</t>
  </si>
  <si>
    <t>LT_R_EN_092_12</t>
  </si>
  <si>
    <t>If "Country of counterparty residence" belongs to 'PT - Portugal' then "Post code / ZIP" should follow the format "1234-567"</t>
  </si>
  <si>
    <t>LT_R_EN_092_13</t>
  </si>
  <si>
    <t>If "Country of counterparty residence" belongs to 'LV - Latvia' then "Post code / ZIP" should follow the format"LV-1234"</t>
  </si>
  <si>
    <t>LT_R_EN_092_14</t>
  </si>
  <si>
    <t>If "Country of counterparty residence" belongs to 'Great Britain' then "Post code / ZIP" should follow the format "AA9A 9AA", "A9A 9AA", "A9 9AA", "A99 9AA", "AA9 9AA" or "AA99 9AA"</t>
  </si>
  <si>
    <t>LT_R_EN_092_15</t>
  </si>
  <si>
    <t xml:space="preserve">If "Country of counterparty residence" is populated with other than default values then "Post code / ZIP" cannot be 'Not Applicable' </t>
  </si>
  <si>
    <t>LT_R_EN_093_01</t>
  </si>
  <si>
    <t>If "Type of person" is 'N - Natural person' then "ESG Subsector" must be a default value</t>
  </si>
  <si>
    <t>LT_R_EN_093_02</t>
  </si>
  <si>
    <t>If "Subportfolio ID" is classified as 'OSF - Other Financial Corporations' then "ESG Subsector" (Main Entity level) should be populated as 'ESGS3 - Investment firms', 'ESGS4 - Management companies', 'ESGS5 - Insurance undertakings' or 'ESGS6 - Rest of other financial corporation'</t>
  </si>
  <si>
    <t>LT_R_EN_093_03</t>
  </si>
  <si>
    <t>If "Subportfolio ID" is classified as 'AP - Local Governments' then "ESG Subsector" (Main Entity level) should be populated as 'ESGS1 - Local Governments' or 'ESGS2 - Sovereigns'</t>
  </si>
  <si>
    <t>LT_R_EN_094_01</t>
  </si>
  <si>
    <t>If "Type of person" is 'N - Natural person' then "Economic activity counterparty ESG" must be a default value</t>
  </si>
  <si>
    <t>LT_R_EN_095_01</t>
  </si>
  <si>
    <t>If "Date of Financial Statements" is populated with other than default values then "Total liabilities" cannot be 'Not Applicable'</t>
  </si>
  <si>
    <t>LT_R_EN_095_02</t>
  </si>
  <si>
    <t>If "Type of person" is 'N - Natural person' then "Total Liabilities at latest most recent reported figures" must be a default value</t>
  </si>
  <si>
    <t>LT_R_EN_096_03</t>
  </si>
  <si>
    <t>If "Type of person" is 'N - Natural person' then "Taxonomy-eligible CAPEX (CCM) Ratio" must be a default value</t>
  </si>
  <si>
    <t>LT_R_EN_097_03</t>
  </si>
  <si>
    <t>If "Type of person" is 'N - Natural person' then "Taxonomy-eligible Turnover (CCM) Ratio" must be a default value</t>
  </si>
  <si>
    <t>LT_R_EN_098_03</t>
  </si>
  <si>
    <t>If "Type of person" is 'N - Natural person' then "Taxonomy-eligible CAPEX (CCA) Ratio" must be a default value</t>
  </si>
  <si>
    <t>LT_R_EN_099_03</t>
  </si>
  <si>
    <t>If "Type of person" is 'N - Natural person' then "Taxonomy-eligible Turnover (CCA) Ratio" must be a default value</t>
  </si>
  <si>
    <t>LT_R_EN_100_03</t>
  </si>
  <si>
    <t>If "Type of person" is 'N - Natural person' then "Taxonomy-aligned CAPEX (CCM) - Enabling Ratio" must be a default value</t>
  </si>
  <si>
    <t>LT_R_EN_101_03</t>
  </si>
  <si>
    <t>If "Type of person" is 'N - Natural person' then "Taxonomy-aligned CAPEX (CCA) - Enabling Ratio" must be a default value</t>
  </si>
  <si>
    <t>LT_R_EN_102_03</t>
  </si>
  <si>
    <t>If "Type of person" is 'N - Natural person' then "Taxonomy-aligned CAPEX (CCM) - Transitional Ratio" must be a default value</t>
  </si>
  <si>
    <t>LT_R_EN_103_03</t>
  </si>
  <si>
    <t>If "Type of person" is 'N - Natural person' then "Taxonomy-aligned CAPEX (CCM) - Pure Ratio" must be a default value</t>
  </si>
  <si>
    <t>LT_R_EN_104_03</t>
  </si>
  <si>
    <t>If "Type of person" is 'N - Natural person' then "Taxonomy-aligned CAPEX (CCA) - Pure Ratio" must be a default value</t>
  </si>
  <si>
    <t>LT_R_EN_105_03</t>
  </si>
  <si>
    <t>If "Type of person" is 'N - Natural person' then "Taxonomy-aligned Turnover (CCM) - Enabling Ratio" must be a default value</t>
  </si>
  <si>
    <t>LT_R_EN_106_03</t>
  </si>
  <si>
    <t>If "Type of person" is 'N - Natural person' then "Taxonomy-aligned Turnover (CCA) - Enabling Ratio" must be a default value</t>
  </si>
  <si>
    <t>LT_R_EN_107_03</t>
  </si>
  <si>
    <t>If "Type of person" is 'N - Natural person' then "Taxonomy-aligned Turnover (CCM) - Transitional Ratio" must be a default value</t>
  </si>
  <si>
    <t>LT_R_EN_108_03</t>
  </si>
  <si>
    <t>If "Type of person" is 'N - Natural person' then "Taxonomy-aligned turnover (CCM) - Pure Ratio" must be a default value</t>
  </si>
  <si>
    <t>LT_R_EN_109_03</t>
  </si>
  <si>
    <t>If "Type of person" is 'N - Natural person' then "Taxonomy-aligned turnover (CCA) - Pure Ratio" must be a default value</t>
  </si>
  <si>
    <t>LT_R_EN_110_01</t>
  </si>
  <si>
    <t>If "Enterprise size Counterparty (LE)" equal '2 - Medium enterprise' or '3 - Small enterprise' or '4 - Micro enterprise' then "Flag of CSRD applicability at counterparty level" cannot equal 'Y - Yes'</t>
  </si>
  <si>
    <t>LT_R_EN_110_02</t>
  </si>
  <si>
    <t>If "Type of person" is 'N - Natural person' then "Flag of CSRD applicability at counterparty level" must be a default value</t>
  </si>
  <si>
    <t>LT_R_EN_111_01</t>
  </si>
  <si>
    <t>If "Type of person" is 'N - Natural person' then "Flag of CSRD applicability at Group Level" must be a default value</t>
  </si>
  <si>
    <t>LT_R_EN_111_02</t>
  </si>
  <si>
    <t>Any "Entity ID" with the same "Economic (financial) Group ID", populated with other than default values, must have the same "Flag of CSRD applicability at Group Level"</t>
  </si>
  <si>
    <t>LT_R_EN_112_01</t>
  </si>
  <si>
    <t>If "Type of person" is 'N - Natural person' then "ISIN" must be a default value</t>
  </si>
  <si>
    <t>LT_R_EN_113_01</t>
  </si>
  <si>
    <t>If "Economic (Financial) Group ID" is populated with 'Not Applicable' values, then "Group's annual turnover (LE)" must be a default value</t>
  </si>
  <si>
    <t>LT_R_EN_113_02</t>
  </si>
  <si>
    <t>If "Economic (Financial) Group ID" is populated with other than default values, then "Group's annual turnover (LE)" cannot be 'Not Applicable'</t>
  </si>
  <si>
    <t>LT_R_EN_113_03</t>
  </si>
  <si>
    <t>If "Type of person" is 'N - Natural person' then "Group's annual turnover (LE)" must be a default value</t>
  </si>
  <si>
    <t>LT_R_EN_113_04</t>
  </si>
  <si>
    <t>Any "Entity ID" with the same "Economic (financial) Group ID", populated with other than default values, must have the same "Group's annual turnover (LE)"</t>
  </si>
  <si>
    <t>LT_R_EN_114_01</t>
  </si>
  <si>
    <t>If "Economic (Financial) Group ID" is populated with 'Not Applicable' values, then "Group's total liability at most recent reported figures" must be a default value</t>
  </si>
  <si>
    <t>LT_R_EN_114_02</t>
  </si>
  <si>
    <t>If "Economic (Financial) Group ID" is populated with other than default values, then "Group's total liability at most recent reported figures" cannot be 'Not Applicable'</t>
  </si>
  <si>
    <t>LT_R_EN_114_03</t>
  </si>
  <si>
    <t>If "Type of person" is 'N - Natural person' then "Group's total liability at most recent reported figures" must be a default value</t>
  </si>
  <si>
    <t>LT_R_EN_114_04</t>
  </si>
  <si>
    <t>Any "Entity ID" with the same "Economic (financial) Group ID", populated with other than default values, must have the same "Group's total liability at most recent reported figures"</t>
  </si>
  <si>
    <t>LT_R_EN_115_01</t>
  </si>
  <si>
    <t>If "Financed emissions calculation approach at instrument level scope 1" is populated with other than default values, 'IM15 - Based on Financed assets - Motor vehicle loans' or 'IM16 - Based on financed assets - Commercial real estate loans' and "Main Entity ID" is set as "Y - Yes" then "Counterparty's emissions scope 1" cannot be 'Not Applicable'</t>
  </si>
  <si>
    <t>LT_R_EN_115_02</t>
  </si>
  <si>
    <t>If "Type of person" is 'N - Natural person' then "Counterparty's emissions scope 1" must be a default value</t>
  </si>
  <si>
    <t>LT_R_EN_116_01</t>
  </si>
  <si>
    <t>If "Financed emissions calculation approach at instrument level scope 2" is populated with other than default values, 'IM15 - Based on Financed assets - Motor vehicle loans' or 'IM16 - Based on financed assets - Commercial real estate loans' and "Main Entity ID" is set as "Y - Yes" then "Counterparty's emissions scope 2" cannot be 'Not Applicable'</t>
  </si>
  <si>
    <t>LT_R_EN_116_03</t>
  </si>
  <si>
    <t>If "Type of person" is 'N - Natural person' then "Counterparty's emissions scope 2" must be a default value</t>
  </si>
  <si>
    <t>LT_R_EN_117_01</t>
  </si>
  <si>
    <t>If "Financed emissions calculation approach at instrument level scope 3" is populated with other than default values, 'IM15 - Based on Financed assets - Motor vehicle loans' or 'IM16 - Based on financed assets - Commercial real estate loans' and "Main Entity ID" is set as "Y - Yes" then "Counterparty's emissions scope 3" cannot be 'Not Applicable'</t>
  </si>
  <si>
    <t>LT_R_EN_117_02</t>
  </si>
  <si>
    <t>If "Type of person" is 'N - Natural person' then "Counterparty's emissions scope 3" must be a default value</t>
  </si>
  <si>
    <t>LT_R_EN_118_01</t>
  </si>
  <si>
    <t>If "Type of person" is 'N - Natural person' then "Flag Excluded from EU Paris-aligned benchmark" must be a default value</t>
  </si>
  <si>
    <t>LT_R_EN_119_01</t>
  </si>
  <si>
    <t>If "Counterparty's emissions scope 1" and "Economic (financial) Group ID" are populated with other than default values then "Group's emissions scope 1" cannot be "Not Applicable"</t>
  </si>
  <si>
    <t>LT_R_EN_119_02</t>
  </si>
  <si>
    <t>If "Counterparty's emissions scope 1" and "Group's emissions scope 1" are populated with other than default values then "Counterparty's emissions scope 1" should be lower or equal to "Group's emissions scope 1"</t>
  </si>
  <si>
    <t>LT_R_EN_119_03</t>
  </si>
  <si>
    <t>If "Type of person" is 'N - Natural person' then "Group's emissions scope 1" must be a default value</t>
  </si>
  <si>
    <t>LT_R_EN_119_04</t>
  </si>
  <si>
    <t>Any "Entity ID" with the same "Economic (financial) Group ID", populated with other than default values, must have the same "Group's emissions scope 1"</t>
  </si>
  <si>
    <t>LT_R_EN_120_01</t>
  </si>
  <si>
    <t>If "Counterparty's emissions scope 2" and "Economic (financial) Group ID" are populated with other than default values then "Group's emissions scope 2" cannot be "Not Applicable"</t>
  </si>
  <si>
    <t>LT_R_EN_120_02</t>
  </si>
  <si>
    <t>If "Counterparty's emissions scope 2" and "Group's emissions scope 2" are populated with other than default values then "Counterparty's emissions scope 2" should be lower or equal to "Group's emissions scope 2"</t>
  </si>
  <si>
    <t>LT_R_EN_120_03</t>
  </si>
  <si>
    <t>If "Type of person" is 'N - Natural person' then "Group's emissions scope 2" must be a default value</t>
  </si>
  <si>
    <t>LT_R_EN_120_04</t>
  </si>
  <si>
    <t>Any "Entity ID" with the same "Economic (financial) Group ID", populated with other than default values, must have the same "Group's emissions scope 2"</t>
  </si>
  <si>
    <t>LT_R_EN_121_01</t>
  </si>
  <si>
    <t>If "Counterparty's emissions scope 3" and "Economic (financial) Group ID" are populated with other than default values then "Group's emissions scope 3" cannot be "Not Applicable"</t>
  </si>
  <si>
    <t>LT_R_EN_121_02</t>
  </si>
  <si>
    <t>If "Counterparty's emissions scope 3" and "Group's emissions scope 3" are populated with other than default values then "Counterparty's emissions scope 3" should be lower or equal to "Group's emissions scope 3"</t>
  </si>
  <si>
    <t>LT_R_EN_121_03</t>
  </si>
  <si>
    <t>If "Type of person" is 'N - Natural person' then "Group's emissions scope 3" must be a default value</t>
  </si>
  <si>
    <t>LT_R_EN_121_04</t>
  </si>
  <si>
    <t>Any "Entity ID" with the same "Economic (financial) Group ID", populated with other than default values, must have the same "Group's emissions scope 3"</t>
  </si>
  <si>
    <t>LT_R_EN_122_01</t>
  </si>
  <si>
    <t>If "Type of person" is 'N - Natural person' then "Flag Acute Physical Risk at entity level" must be a default value</t>
  </si>
  <si>
    <t>LT_R_EN_123_01</t>
  </si>
  <si>
    <t>If "Type of person" is 'N - Natural person' then "Flag Chronic Physical Risk at entity level" must be a default value</t>
  </si>
  <si>
    <t>LT_R_EN_124_01</t>
  </si>
  <si>
    <t>If "Type of person" is 'N - Natural person' then "Group's economic activity" must be a default value</t>
  </si>
  <si>
    <t>LT_R_EN_124_02</t>
  </si>
  <si>
    <t>Any "Entity ID" with the same "Economic (financial) Group ID", populated with other than default values, must have the same "Group's economic activity"</t>
  </si>
  <si>
    <t>LT_R_EN_126_01</t>
  </si>
  <si>
    <t>If "Type of person" is 'N - Natural person' then "Free Cash Flow" must be a default value</t>
  </si>
  <si>
    <t>LT_R_EN_127_01</t>
  </si>
  <si>
    <t>If "Type of person" is 'N - Natural person' then "Free Cash Flow T+1" must be a default value</t>
  </si>
  <si>
    <t>LT_R_EN_128_01</t>
  </si>
  <si>
    <t>If "Type of person" is 'N - Natural person' then "Free Cash Flow T+2" must be a default value</t>
  </si>
  <si>
    <t>LT_R_EN_129_01</t>
  </si>
  <si>
    <t>If "Type of person" is 'N - Natural person' then "Free Cash Flow T+3" must be a default value</t>
  </si>
  <si>
    <t>LT_R_EN_130_01</t>
  </si>
  <si>
    <t>If "Address: street" is populated with other than default values then "Address: city/town/village" cannot be 'Not Applicable'</t>
  </si>
  <si>
    <t>LT_R_EN_131_01</t>
  </si>
  <si>
    <t>If "Address: city/town/village" is populated with other than default values, then "Address: street" cannot be 'Not Applicable'</t>
  </si>
  <si>
    <t>LT_R_EN_132_01</t>
  </si>
  <si>
    <t>If "Enterprise size" is populated with other than default values then "Date of enterprise size" cannot be 'Not applicable'</t>
  </si>
  <si>
    <t>LT_R_EN_132_02</t>
  </si>
  <si>
    <t>"Date of enterprise size" should be greater or equal to "Date of birth"</t>
  </si>
  <si>
    <t>LT_R_EN_132_03</t>
  </si>
  <si>
    <t>"Date of enterprise size" should be earlier or equal to "Reference Date"</t>
  </si>
  <si>
    <t>LT_R_EN_133_01</t>
  </si>
  <si>
    <t>If "Enterprise size" is populated with other than default values then "Number of employees" cannot be 'Not applicable'</t>
  </si>
  <si>
    <t>LT_R_EN_134_01</t>
  </si>
  <si>
    <t>If "Type of person" is populated as 'N - Natural person' then "Legal form" must be a default value</t>
  </si>
  <si>
    <t>LT_R_EN_134_02</t>
  </si>
  <si>
    <t>If the Entity is a legal entity then "Legal Form" cannot be 'Not Applicable' (We consider "legal entity" when Head office undertaking identifier coincides with the counterparty identifier)</t>
  </si>
  <si>
    <t>LT_R_EN_135_01</t>
  </si>
  <si>
    <t>If "Type of person" is populated as 'N - Natural person' then "Head office undertaking identifier" must be a default value</t>
  </si>
  <si>
    <t>LT_R_EN_135_02</t>
  </si>
  <si>
    <t>If "Type of person" is populated as 'L - Legal person' and "Economic (financial) Group ID" is populated with other than default values then "Head office undertaking identifier" cannot be 'Not Applicable'</t>
  </si>
  <si>
    <t>LT_R_EN_135_03</t>
  </si>
  <si>
    <t>If "Type of person" is populated as 'L - Legal person' and "Economic (financial) Group ID" is populated with default values then "Head office undertaking identifier" should be defaulted</t>
  </si>
  <si>
    <t>LT_R_EN_135_04</t>
  </si>
  <si>
    <t>Any "Entity ID" with the same "Economic (financial) Group ID", populated with other than default values, must have the same "Head office undertaking identifier"</t>
  </si>
  <si>
    <t>LT_R_EN_136_01</t>
  </si>
  <si>
    <t>If "Type of person" is populated as 'N - Natural person' then "Immediate parent undertaking identifier" must be a default value</t>
  </si>
  <si>
    <t>LT_R_EN_136_02</t>
  </si>
  <si>
    <t>If the Entity is a legal entity then "Immediate parent undertaking identifier" cannot be 'Not Applicable' (We consider "legal entity" when Head office undertaking identifier coincides with the counterparty identifier)</t>
  </si>
  <si>
    <t>LT_R_EN_136_03</t>
  </si>
  <si>
    <t>If the Entity is a foreign branch or special fund then "Immediate parent undertaking identifier" should be defaulted (We consider "foreign branch" or "special fund" when Head office undertaking identifier does not coincide with the counterparty identifier)</t>
  </si>
  <si>
    <t>LT_R_EN_137_01</t>
  </si>
  <si>
    <t>If "Type of person" is populated as 'N - Natural person' then "Ultimate parent undertaking identifier" must be a default value</t>
  </si>
  <si>
    <t>LT_R_EN_137_02</t>
  </si>
  <si>
    <t>If the Entity is a legal entity then "Ultimate parent undertaking identifier" cannot be 'Not Applicable' (We consider "legal entity" when Head office undertaking identifier coincides with the counterparty identifier)</t>
  </si>
  <si>
    <t>LT_R_EN_137_03</t>
  </si>
  <si>
    <t>If the Entity is a foreign branch or special fund then "Ultimate parent undertaking identifier" should be defaulted (We consider "foreign branch" or "special fund" when Head office undertaking identifier does not coincide with the counterparty identifier)</t>
  </si>
  <si>
    <t>LT_R_EN_138_01</t>
  </si>
  <si>
    <t>If "Date of financial statements" is populated with other than default values, then "Total Assets" cannot be 'Not applicable'</t>
  </si>
  <si>
    <t>LT_R_EN_138_02</t>
  </si>
  <si>
    <t>If "Type of person" is populated as 'N - Natural person' then "Total Assets" must be a default value</t>
  </si>
  <si>
    <t>LT_R_EN_139_01</t>
  </si>
  <si>
    <t>If "Type of person" is populated as 'N - Natural person' then "Fallen Angel narrow definition" must be 'N - No'</t>
  </si>
  <si>
    <t>LT_R_EN_140_01</t>
  </si>
  <si>
    <t>If "Type of person" is populated as 'N - Natural person' then "Fallen Angel extended definition" must be 'N - No'</t>
  </si>
  <si>
    <t>LT_R_EN_142_01</t>
  </si>
  <si>
    <t>If "Type of person" is 'N - Natural person' then "Taxonomy-eligible CAPEX (W) Ratio" must be a default value</t>
  </si>
  <si>
    <t>LT_R_EN_143_01</t>
  </si>
  <si>
    <t>If "Type of person" is 'N - Natural person' then "Taxonomy-eligible Turnover (W) Ratio" must be a default value</t>
  </si>
  <si>
    <t>LT_R_EN_144_01</t>
  </si>
  <si>
    <t>If "Type of person" is 'N - Natural person' then "Taxonomy-eligible CAPEX (P) Ratio" must be a default value</t>
  </si>
  <si>
    <t>LT_R_EN_145_01</t>
  </si>
  <si>
    <t>If "Type of person" is 'N - Natural person' then "Taxonomy-eligible Turnover (P) Ratio" must be a default value</t>
  </si>
  <si>
    <t>LT_R_EN_146_01</t>
  </si>
  <si>
    <t>If "Type of person" is 'N - Natural person' then "Taxonomy-eligible CAPEX (B) Ratio" must be a default value</t>
  </si>
  <si>
    <t>LT_R_EN_147_01</t>
  </si>
  <si>
    <t>If "Type of person" is 'N - Natural person' then "Taxonomy-eligible Turnover (B) Ratio" must be a default value</t>
  </si>
  <si>
    <t>LT_R_EN_148_01</t>
  </si>
  <si>
    <t>If "Type of person" is 'N - Natural person' then "Taxonomy-eligible CAPEX (CE) Ratio" must be a default value</t>
  </si>
  <si>
    <t>LT_R_EN_149_01</t>
  </si>
  <si>
    <t>If "Type of person" is 'N - Natural person' then "Taxonomy-eligible Turnover (CE) Ratio" must be a default value</t>
  </si>
  <si>
    <t>LT_R_EN_150_01</t>
  </si>
  <si>
    <t>If "Type of person" is 'N - Natural person' then "Taxonomy-aligned CAPEX (P) - Pure Ratio" must be a default value</t>
  </si>
  <si>
    <t>LT_R_EN_151_01</t>
  </si>
  <si>
    <t>If "Type of person" is 'N - Natural person' then "Taxonomy-aligned Turnover (P) - Pure Ratio" must be a default value</t>
  </si>
  <si>
    <t>LT_R_EN_152_01</t>
  </si>
  <si>
    <t>If "Type of person" is 'N - Natural person' then "Taxonomy-aligned CAPEX (B) - Pure Ratio" must be a default value</t>
  </si>
  <si>
    <t>LT_R_EN_153_01</t>
  </si>
  <si>
    <t>If "Type of person" is 'N - Natural person' then "Taxonomy-aligned Turnover (B) - Pure Ratio" must be a default value</t>
  </si>
  <si>
    <t>LT_R_EN_154_01</t>
  </si>
  <si>
    <t>If "Type of person" is 'N - Natural person' then "Taxonomy-aligned CAPEX (W) - Pure Ratio" must be a default value</t>
  </si>
  <si>
    <t>LT_R_EN_155_01</t>
  </si>
  <si>
    <t>If "Type of person" is 'N - Natural person' then "Taxonomy-aligned Turnover (W) - Pure Ratio" must be a default value</t>
  </si>
  <si>
    <t>LT_R_EN_156_01</t>
  </si>
  <si>
    <t>If "Type of person" is 'N - Natural person' then "Taxonomy-aligned CAPEX (CE) - Pure Ratio" must be a default value</t>
  </si>
  <si>
    <t>LT_R_EN_157_01</t>
  </si>
  <si>
    <t>If "Type of person" is 'N - Natural person' then "Taxonomy-aligned Turnover (CE) - Pure Ratio" must be a default value</t>
  </si>
  <si>
    <t>LT_R_EN_158_01</t>
  </si>
  <si>
    <t>If "Type of person" is 'N - Natural person' then "Taxonomy-aligned CAPEX (W) - Enabling Ratio" must be a default value</t>
  </si>
  <si>
    <t>LT_R_EN_159_01</t>
  </si>
  <si>
    <t>If "Type of person" is 'N - Natural person' then "Taxonomy-aligned Turnover (W) - Enabling Ratio" must be a default value</t>
  </si>
  <si>
    <t>LT_R_EN_160_01</t>
  </si>
  <si>
    <t>If "Type of person" is 'N - Natural person' then "Taxonomy-aligned CAPEX (CE) - Enabling Ratio" must be a default value</t>
  </si>
  <si>
    <t>LT_R_EN_161_01</t>
  </si>
  <si>
    <t>If "Type of person" is 'N - Natural person' then "Taxonomy-aligned Turnover (CE) - Enabling Ratio" must be a default value</t>
  </si>
  <si>
    <t>LT_R_EN_163_01</t>
  </si>
  <si>
    <t>If "Economic (financial) Group ID" is populated with other than default values, then "Group's RORAC" cannot be 'Not Applicable'</t>
  </si>
  <si>
    <t>LT_R_EN_163_02</t>
  </si>
  <si>
    <t>If "Economic (financial) Group ID" is populated with default values, then "Group's RORAC" must be 'Not Applicable'</t>
  </si>
  <si>
    <t>LT_R_EN_163_03</t>
  </si>
  <si>
    <t>Any "Entity ID" with the same "Economic (financial) Group ID", populated with other than default values, must have the same "Group's RORAC"</t>
  </si>
  <si>
    <t>LT_R_EN_165_01</t>
  </si>
  <si>
    <t>If "Economic (financial) Group ID" is populated with other than default values, then "Group's RoRWA" cannot be 'Not Applicable'</t>
  </si>
  <si>
    <t>LT_R_EN_165_02</t>
  </si>
  <si>
    <t>If "Economic (financial) Group ID" is populated with default values, then "Group's RoRWA" must be 'Not Applicable'</t>
  </si>
  <si>
    <t>LT_R_EN_165_03</t>
  </si>
  <si>
    <t>Any "Entity ID" with the same "Economic (financial) Group ID", populated with other than default values, must have the same "Group's RoRWA"</t>
  </si>
  <si>
    <t>LT_R_EN_167_01</t>
  </si>
  <si>
    <t>If "Date of financial statements"  is populated with default values, then "Total permissible debt balance" must be 'Not Applicable'</t>
  </si>
  <si>
    <t>LT_R_EN_167_02</t>
  </si>
  <si>
    <t>"Total permissible debt balance" must be greater or equal to "Total debt at latest most recent reported figures"</t>
  </si>
  <si>
    <t>LT_R_IN_002_02</t>
  </si>
  <si>
    <t>If "Type of CLO" is populated with other than default values then "Subportfolio ID - Product" should be 'VRD - Securities (on BS)'</t>
  </si>
  <si>
    <t>LT_R_IN_008_01</t>
  </si>
  <si>
    <t>For instruments with "Type of instrument" other than 'Missing' and other that '1005 - Debt securities', any "Instrument ID" in INSTRUMENT table must be linked to at least one record in INSTR_ENTITY table by "Instrument ID"</t>
  </si>
  <si>
    <t>LT_R_IN_011_01</t>
  </si>
  <si>
    <t>"Date of inception" must be greater than or equal to the "Birth date counterparty" at Main Entity level</t>
  </si>
  <si>
    <t>LT_R_IN_011_02</t>
  </si>
  <si>
    <t>If "Forbearance status" is set as '3 - Forborne: Refinanced debt', '4 - Forborne: instruments with modified interest rate below market conditions' or '5 - Forborne: instruments with other modified terms and conditions' and "Refinance purpose (Y/N)" equals "N" or "Not applicable" then "Date of forbearance status" must be greater than "Date of inception"</t>
  </si>
  <si>
    <t>LT_R_IN_011_04</t>
  </si>
  <si>
    <t>"Date of inception" must be earlier than or equal to "Reference date"</t>
  </si>
  <si>
    <t>LT_R_IN_011_05</t>
  </si>
  <si>
    <t>If "Destination of funds" is set as 'DST01 - New money new customer' or 'DST02 - New money existing customer', then "Date of Inception" should be lower or equal to "Reference Date" and greater than "Reference Date" minus 3 months</t>
  </si>
  <si>
    <t>LT_R_IN_015_01</t>
  </si>
  <si>
    <t>If "Covenant Type" is equal to '4 - No covenant', then "Breached covenants" must be populated with default values</t>
  </si>
  <si>
    <t>LT_R_IN_018_01</t>
  </si>
  <si>
    <t>If "Breached covenants" is populated other than default values, then "Covenant status" must be equal to '3 - In breach with at least one non-material financial covenant' or '4 - In breach with at least one material financial covenant'</t>
  </si>
  <si>
    <t>LT_R_IN_018_02</t>
  </si>
  <si>
    <t>if "Breached covenants" is populated with 'Not Applicable' values, then "Covenant status" must be equal to '1 - No financial covenant to check' or '2 - In line with all financial covenants'</t>
  </si>
  <si>
    <t>LT_R_IN_019_01</t>
  </si>
  <si>
    <t>If "Breached covenants" is populated other than default values, then "Covenant Type" must be equal to '1 - Full Covenant', '2 - Covenant loose' or '3 - Covenant light'</t>
  </si>
  <si>
    <t>LT_R_IN_019_02</t>
  </si>
  <si>
    <t>If "Covenant status" is equal to '1 - No financial covenant to check', then "Covenant Type" must be equal to '4 - No covenant' or ‘ 3 – Covenant light’</t>
  </si>
  <si>
    <t>LT_R_IN_019_03</t>
  </si>
  <si>
    <t>If "Covenant status" is equal to '2 - In line with all financial covenants', '3 - In breach with at least one non-material financial covenant' or '4 - In breach with at least one material financial covenant' then "Covenant Type" must be equal to '1 - Full Covenant', '2 - Covenant loose' or '3 - Covenant light'</t>
  </si>
  <si>
    <t>LT_R_IN_019_05</t>
  </si>
  <si>
    <t>If "Covenant status" is equal to '4 - In breach with at least one material financial covenant' then "Covenant Type" must be equal to '1 - Full Covenant', '2 - Covenant loose'</t>
  </si>
  <si>
    <t>LT_R_IN_020_01</t>
  </si>
  <si>
    <t>If "ISDA credit event declared" (Main Entity level) is equal to 'Y', then "Default status of the instrument" must be set as '18 - Default because both unlikely to pay and more than 90/180 days past due', '19 - Default because unlikely to pay' or '20 - Default because more than 90/180 days past due'</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</si>
  <si>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</si>
  <si>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</si>
  <si>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LT_R_IN_021_01</t>
  </si>
  <si>
    <t>If "ISDA credit event declared" (Main Entity level) is equal to 'Y', then "Date of default status" must be greater than "Date of inception"</t>
  </si>
  <si>
    <t>LT_R_IN_021_02</t>
  </si>
  <si>
    <t>If "Date of default status" (Main Entity level) does not equal "Date of default status" (instrument level) and "Default status of the instrument" does not equal "Default status of the entity" , then "Date of default status" (instrument level) must be greater or equal than "Date of Inception"</t>
  </si>
  <si>
    <t>LT_R_IN_021_03</t>
  </si>
  <si>
    <t>"Date of default status" must be earlier or equal than "Reference date"</t>
  </si>
  <si>
    <t>LT_R_IN_021_04</t>
  </si>
  <si>
    <t>If "Default status of the instrument" is set as '18 - Default because both unlikely to pay and more than 90/180 days past due', '19 - Default because unlikely to pay' or '20 - Default because more than 90/180 days past due' and "Forbearance status" does not equal '3 - Forborne: Refinanced debt', '4 - Forborne: instruments with modified interest rate below market conditions' nor '5 - Forborne: instruments with other modified terms and conditions', then "Date of default status" must be greater than "Date of Inception"</t>
  </si>
  <si>
    <t>LT_R_IN_022_01</t>
  </si>
  <si>
    <t>"End date of principal grace period" must be later than or equal to "Date of inception"</t>
  </si>
  <si>
    <t>LT_R_IN_022_02</t>
  </si>
  <si>
    <t>"End date of principal grace period" must be later than "Start date of principal grace period"</t>
  </si>
  <si>
    <t>LT_R_IN_022_03</t>
  </si>
  <si>
    <t>If "Type of amortisation" is not equal to '4 - Bullet' and "Interest only repayment" is equal to 'Y' then "End date of principal grace period" must be equal to "End date of the interest-only period"</t>
  </si>
  <si>
    <t>LT_R_IN_022_04</t>
  </si>
  <si>
    <t>If "Type of amortisation" is equal to '4 - Bullet' then "End date of principal grace period" must be defaulted</t>
  </si>
  <si>
    <t>LT_R_IN_022_05</t>
  </si>
  <si>
    <t>If "Start date of principal grace period" is 'Not applicable', then "End date of principal grace period" must be default value</t>
  </si>
  <si>
    <t>LT_R_IN_022_06</t>
  </si>
  <si>
    <t>"End date of principal grace period" must be earlier than or equal to "Legal final maturity date (latest repayment date)"</t>
  </si>
  <si>
    <t>LT_R_IN_023_01</t>
  </si>
  <si>
    <t>If "Interest only repayment" is set as 'Y', then "End date of the interest-only period" has to be populated other than default values</t>
  </si>
  <si>
    <t>LT_R_IN_023_02</t>
  </si>
  <si>
    <t>"End date of the interest-only period" must be later or equal to "Date of inception"</t>
  </si>
  <si>
    <t>LT_R_IN_023_03</t>
  </si>
  <si>
    <t>If "Start date of the interest-only period" is 'Not applicable', then "End date of the interest-only period" must be default value</t>
  </si>
  <si>
    <t>LT_R_IN_023_04</t>
  </si>
  <si>
    <t>"End date of the interest-only period" must be earlier than or equal to "Legal final maturity date (latest repayment date)"</t>
  </si>
  <si>
    <t>LT_R_IN_024_01</t>
  </si>
  <si>
    <t>"Date of forbearance status" must be greater or equal than "Date of Inception"</t>
  </si>
  <si>
    <t>LT_R_IN_024_02</t>
  </si>
  <si>
    <t>"Date of forbearance status" must be earlier or equal than "Reference date"</t>
  </si>
  <si>
    <t>LT_R_IN_024_03</t>
  </si>
  <si>
    <t>If "Number of historical forbearance" is greater than or equal to 2 then "Date of previous forbearance status" must be lower than "Date of forbearance status"</t>
  </si>
  <si>
    <t>LT_R_IN_024_04</t>
  </si>
  <si>
    <t xml:space="preserve">If "Forbearance status" equals to '8 - Not forborne or renegotiated', "Request for current concession of forbearance measures as defined in EBA/ITS/2013/03 resulting in distressed restructuring of the credit obligation" equals 'Y' and "Entity_ID" is linked to only one "INSTRUMENT_ID", then "Date of forbearance status" must be greater than "Date of inception" </t>
  </si>
  <si>
    <t>LT_R_IN_025_01</t>
  </si>
  <si>
    <t>If "Date of previous forbearance status" is populated (other than default values) then it should be lower or equal than "Date of forbearance status"</t>
  </si>
  <si>
    <t>LT_R_IN_025_02</t>
  </si>
  <si>
    <t>"Date of previous forbearance status" must be greater or equal than "Date of Inception"</t>
  </si>
  <si>
    <t>LT_R_IN_026_01</t>
  </si>
  <si>
    <t>If "Internal rating at reference date" is populated other than default values then "Date of internal rating" must be populated other than default values</t>
  </si>
  <si>
    <t>IN_DT_INTRNL_RTNG</t>
  </si>
  <si>
    <t>LT_R_IN_026_02</t>
  </si>
  <si>
    <t>If the rating is assigned on instrument level (*) then "Date of internal rating" (instrument level) must be later or equal to "Date of inception" at Main Entity level (* We can't identify if internal rating is assigned at debtor or instrument level, however, if "Date of internal rating" at Instrument and Entity level don't match, we will consider that rating is assigned on instrument level)</t>
  </si>
  <si>
    <t>LT_R_IN_026_03</t>
  </si>
  <si>
    <t>"Date of internal rating" must be earlier or equal to "Reference date."</t>
  </si>
  <si>
    <t>LT_R_IN_027_01</t>
  </si>
  <si>
    <t>If "Date of performing status" (Main Entity level) does not equal "Date of performing status" (instrument level) and "Performing status (Main Entity level)" does not equal "Performing status (instrument level)" then "Date of performing status" must be greater or equal than "Date of Inception"</t>
  </si>
  <si>
    <t>LT_R_IN_027_02</t>
  </si>
  <si>
    <t>"Date of performing status" must be earlier or equal than "Reference date"</t>
  </si>
  <si>
    <t>LT_R_IN_027_03</t>
  </si>
  <si>
    <t>If "Performing status" is populated (other than default values) then "Date of performing status" must also be populated (other than default values)</t>
  </si>
  <si>
    <t>LT_R_IN_028_01</t>
  </si>
  <si>
    <t xml:space="preserve">If "Date of previous performing status" is populated other than default values, then it should be lower or equal than "Date of performing status" </t>
  </si>
  <si>
    <t>LT_R_IN_028_02</t>
  </si>
  <si>
    <t>If "Date of performing status" (Main Entity level) does not equal "Date of performing status" (instrument level) and "Performing status (Main Entity level)" does not equal "Performing status (instrument level)" then "Date of previous performing status" must be greater or equal than "Date of Inception"</t>
  </si>
  <si>
    <t>LT_R_IN_028_03</t>
  </si>
  <si>
    <t>If "Previous performing status" is populated (other than default values) then "Date of previous performing status" must also be populated (other than default values)</t>
  </si>
  <si>
    <t>LT_R_IN_028_04</t>
  </si>
  <si>
    <t>If "Subportfolio ID" is classified as 'HFT - Held for trading' then "Date of previous performing status" must be 'Not Applicable'</t>
  </si>
  <si>
    <t>LT_R_IN_029_01</t>
  </si>
  <si>
    <t>"Start date of the interest-only period" must be less than "End date of the interest-only period"</t>
  </si>
  <si>
    <t>LT_R_IN_029_02</t>
  </si>
  <si>
    <t>If "Interest only repayment" is 'Y', then "Start date of the interest-only period" has to be populated other than default values</t>
  </si>
  <si>
    <t>LT_R_IN_029_03</t>
  </si>
  <si>
    <t>"Start date of the interest-only period" must be later or equal to "Date of inception"</t>
  </si>
  <si>
    <t>LT_R_IN_029_04</t>
  </si>
  <si>
    <t>"Start date of the interest-only period" must be earlier or equal to "Reference date."</t>
  </si>
  <si>
    <t>LT_R_IN_032_03</t>
  </si>
  <si>
    <t>Any "Instrument ID" associated to an "Entity ID" (Main Entity level) should have the same value for "Flag for leverage buy-out transactions" (discarding missing values)</t>
  </si>
  <si>
    <t>LT_R_IN_033_02</t>
  </si>
  <si>
    <t>If "Refinance purpose (Y/N)" is equal to 'Y' and "Date of forbearance status" equal to "Date of previous forbearance status" then "Forbearance status" has to be set as '3 – Forborne: Refinanced debt'</t>
  </si>
  <si>
    <t>LT_R_IN_033_03</t>
  </si>
  <si>
    <t>If "Refinance purpose (Y/N)" is equal to 'N', then "Forbearance status" cannot be set as '3 - Forborne: Refinanced debt'</t>
  </si>
  <si>
    <t>LT_R_IN_034_01</t>
  </si>
  <si>
    <t>LT_R_IN_034_05</t>
  </si>
  <si>
    <t>LT_R_IN_034_11</t>
  </si>
  <si>
    <t>If "Accounting portfolio" equals '6 - IFRS: Financial assets at amortised cost', '8 - IFRS: Financial assets at fair value through other comprehensive income' or '14 - IFRS: Cash balances at central banks and other demand deposits', then "Impairment status" cannot be 'Not applicable'</t>
  </si>
  <si>
    <t>LT_R_IN_034_13</t>
  </si>
  <si>
    <t>If "Subportfolio ID" is classified as 'S2 - Stage 2', then "Impairment status" must equal '24 - Stage 2 (IFRS)'</t>
  </si>
  <si>
    <t>LT_R_IN_034_14</t>
  </si>
  <si>
    <t>If "Subportfolio ID" is classified as 'S3 - Stage 3', then "Impairment status" must equal '25 - Stage 3 (IFRS)'</t>
  </si>
  <si>
    <t>LT_R_IN_035_02</t>
  </si>
  <si>
    <t>If "Accounting portfolio" equals '6 - IFRS: Financial assets at amortised cost', '8 - IFRS: Financial assets at fair value through other comprehensive income' or '14 - IFRS: Cash balances at central banks and other demand deposits', then "Previous impairment status" cannot be 'Not applicable'</t>
  </si>
  <si>
    <t>LT_R_IN_036_03</t>
  </si>
  <si>
    <t>If "Date of internal rating" (instrument level) is populated other than default values, then "Internal rating at reference date" (instrument level) cannot be 'Not applicable'</t>
  </si>
  <si>
    <t>LT_R_IN_036_06</t>
  </si>
  <si>
    <t>If "Probability of default according to CRR at reference date" (instrument level) is populated other than default values, then "Internal rating at reference date" (instrument level) cannot be 'Not applicable'</t>
  </si>
  <si>
    <t>LT_R_IN_036_07</t>
  </si>
  <si>
    <t>If "Probability of default according to CRR at reference date" (instrument level) is populated with default values, then "Internal rating at reference date" (instrument level) must be 'Not applicable'</t>
  </si>
  <si>
    <t>LT_R_IN_037_01</t>
  </si>
  <si>
    <t>If "Internal rating at reference date" (instrument level) is populated with 'Not applicable' then "Internal rating at inception" must also be populated with 'Not applicable'</t>
  </si>
  <si>
    <t>LT_R_IN_037_02</t>
  </si>
  <si>
    <t>If "Probability of default according to CRR at inception date" is populated with 'Not applicable', then "Internal rating at inception" must be defaulted</t>
  </si>
  <si>
    <t>LT_R_IN_040_01</t>
  </si>
  <si>
    <t>If "Accounting portfolio" equals '2 - IFRS: Financial assets held for trading', '4 - IFRS: Financial assets designated at fair value through profit or loss', or '41 - IFRS: Non-trading financial assets mandatorily at fair value through profit or loss', then "Low credit risk exemption for SICR assessment" must equal default values</t>
  </si>
  <si>
    <t>LT_R_IN_040_02</t>
  </si>
  <si>
    <t>If "Accounting portfolio" equals 'Not applicable', '6 - IFRS: Financial assets at amortised cost', '8 - IFRS: Financial assets at fair value through other comprehensive income', then "Low credit risk exemption for SICR assessment" cannot be 'Not applicable'</t>
  </si>
  <si>
    <t>LT_R_IN_041_01</t>
  </si>
  <si>
    <t>If "Protection called" is set as 'Y' then "Status of legal proceedings of the instrument" has to be equal to '2 - Under judicial administration, receivership or similar measures', or '3 - Bankruptcy / insolvency', or '4 - Other legal measures'</t>
  </si>
  <si>
    <t>LT_R_IN_041_02</t>
  </si>
  <si>
    <t>If "Legal proceedings status Counterparty (LE)" (Main Entity level) is populated other than default values, then "Status of legal proceedings of the instrument" cannot be 'Not applicable'</t>
  </si>
  <si>
    <t>LT_R_IN_043_01</t>
  </si>
  <si>
    <t>If "Accounting portfolio" equals '2 - IFRS: Financial assets held for trading', '4 - IFRS: Financial assets designated at fair value through profit or loss', '14 -IFRS: Cash balances at central banks and other demand deposits' or '41 - IFRS: Non-trading financial assets mandatorily at fair value through profit or loss', then "Purchased credit-impaired financial asset (POCI)" must equal default values</t>
  </si>
  <si>
    <t>LT_R_IN_043_02</t>
  </si>
  <si>
    <t>If "Accounting portfolio" equals 'Not applicable', '6 - IFRS: Financial assets at amortised cost', '8 - IFRS: Financial assets at fair value through other comprehensive income', then "Purchased credit-impaired financial asset (POCI)" cannot be 'Not applicable'</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</si>
  <si>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</si>
  <si>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</si>
  <si>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</si>
  <si>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</si>
  <si>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</si>
  <si>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</si>
  <si>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</si>
  <si>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</si>
  <si>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</si>
  <si>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</si>
  <si>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LT_R_IN_045_01</t>
  </si>
  <si>
    <t>If "Date of previous performing status" is populated other than default values and other than "Date of inception", then "Previous performing status" cannot be 'Not applicable'</t>
  </si>
  <si>
    <t>LT_R_IN_045_02</t>
  </si>
  <si>
    <t>if "Date of previous performing status" is populated with 'Not Applicable' values then "Previous performing status" must be defaulted</t>
  </si>
  <si>
    <t>LT_R_IN_045_03</t>
  </si>
  <si>
    <t>If "Subportfolio ID" is classified as 'HFT - Held for trading' then "Previous performing status" must be 'Not Applicable'</t>
  </si>
  <si>
    <t>LT_R_IN_046_01</t>
  </si>
  <si>
    <t>If "Subportfolio ID" is classified as 'CASH - Cash and cash balances' or 'VRD - Debt securities', then "Project finance loan" must equal 'Not applicable' or '2 - Non-project finance loan'</t>
  </si>
  <si>
    <t>LT_R_IN_047_01</t>
  </si>
  <si>
    <t>If "Type of CRE operation financed" is populated other than default values, then "Purpose" should equal '13 - Commercial real estate purchase' or '8 - Construction investment'</t>
  </si>
  <si>
    <t>LT_R_IN_047_02</t>
  </si>
  <si>
    <t>If "Subportfolio ID" is classified as 'CASH - Cash and cash balances', then "Purpose" must equal 'Not applicable'</t>
  </si>
  <si>
    <t>LT_R_IN_048_01</t>
  </si>
  <si>
    <t>If "Type of amortisation" is '4 - Bullet', then "Interest only repayment" must equal 'Y'</t>
  </si>
  <si>
    <t>LT_R_IN_048_02</t>
  </si>
  <si>
    <t>If "Reference date" is higher or equal than "Start date of the interest-only period" and lower or equal "End date of the interest-only period", then "Interest only repayment" must equal 'Y'</t>
  </si>
  <si>
    <t>LT_R_IN_048_03</t>
  </si>
  <si>
    <t>If "Reference date" is lower than "Start date of the interest-only period" or higher than "End date of the interest-only period", then "Interest only repayment" must be 'N'</t>
  </si>
  <si>
    <t>LT_R_IN_048_04</t>
  </si>
  <si>
    <t>If both,"Start date of the interest-only period" and "End date of the interest-only period" are 'Not aplicable', then "Interest only repayment" must be 'Not applicable' or 'N'</t>
  </si>
  <si>
    <t>LT_R_IN_051_01</t>
  </si>
  <si>
    <t>If "Purpose" is not equals '8 - Construction investment' nor '12 - Residential real estate purchase' nor '13 - Commercial real estate purchase", then "Speculative immovable property financing (Y/N)" cannot be 'Y'</t>
  </si>
  <si>
    <t>LT_R_IN_051_02</t>
  </si>
  <si>
    <t>If "Purpose" equals '8 - Construction investment' or '12 - Residential real estate purchase' or '13 - Commercial real estate purchase", then "Speculative immovable property financing (Y/N)" cannot be 'Not applicable'</t>
  </si>
  <si>
    <t>LT_R_IN_052_01</t>
  </si>
  <si>
    <t>If "Syndication type" equals '2 - Underwriting', then "Status for underwritten transaction" cannot be 'Not applicable'</t>
  </si>
  <si>
    <t>LT_R_IN_052_02</t>
  </si>
  <si>
    <t>If "Syndication type" does not equal '2 - Underwriting', then "Status for underwritten transaction" must be a default value</t>
  </si>
  <si>
    <t>LT_R_IN_053_01</t>
  </si>
  <si>
    <t>If "Syndicated contract ID" is populated other than default values, then "Tranching / security" cannot be 'Not applicable'</t>
  </si>
  <si>
    <t>LT_R_IN_053_02</t>
  </si>
  <si>
    <t>If "Syndicated contract ID" is set to 'Not applicable', then "Tranching / security" has to be equal to 'Not applicable'</t>
  </si>
  <si>
    <t>LT_R_IN_054_01</t>
  </si>
  <si>
    <t>If "Payment frequency" equals '4 - Bullet' or '22 - Zero-coupon', then "Type of amortisation" must equal '4 - Bullet'</t>
  </si>
  <si>
    <t>LT_R_IN_054_04</t>
  </si>
  <si>
    <t>If "Type of instrument" is '20 - Overdrafts', then "Type of amortisation" must equal '5 - Amortisation types other than French, German, Fixed amortisation schedule or bullet'</t>
  </si>
  <si>
    <t>LT_R_IN_055_01</t>
  </si>
  <si>
    <t>If "Type of facility" is set as 'FCL04 - High yield bond' then "Type of Instrument" should be '1005 - Debt securities'</t>
  </si>
  <si>
    <t>LT_R_IN_055_02</t>
  </si>
  <si>
    <t>If "Type of facility" is set as 'FCL01 - Revolving credit Facilities (RCF)' then "Type of Instrument" should be '1001 - Revolving credit other than overdrafts and credit card debt'</t>
  </si>
  <si>
    <t>LT_R_IN_055_03</t>
  </si>
  <si>
    <t>If "Type of facility" is populated with other than default values or 'FCL04 - High yield bond' then "Type of Instrument" should be '1004 - Loans other than overdrafts, convenience credit, extended credit, credit card credit, revolving credit other than credit card credit, reverse repurchase agreements, trade receivables and financial leases'</t>
  </si>
  <si>
    <t>LT_R_IN_056_01</t>
  </si>
  <si>
    <t>If "Interest rate reset frequency" is populated other than default values, then "Type of interest rate" cannot be 'Not applicable'</t>
  </si>
  <si>
    <t>LT_R_IN_056_02</t>
  </si>
  <si>
    <t>If "Interest rate at the reference date" is populated other than default values, then "Type of interest rate" cannot be 'Not applicable'</t>
  </si>
  <si>
    <t>LT_R_IN_057_01</t>
  </si>
  <si>
    <t>LT_R_IN_057_02</t>
  </si>
  <si>
    <t>LT_R_IN_057_03</t>
  </si>
  <si>
    <t>Any "Instrument ID" linked to a protection which is not a personal guarantee cannot report "Type of Mortgage" as 'Not Applicable' nor '6 - Other - Unsecured Collateral' (We consider "personal guarantee" when "Protection ID" matches the "Protection Provider ID" (Guarantor) or "Tax ID" (Protection level) is populated other than default value and the "Protection type" equals '7 - Other protection')</t>
  </si>
  <si>
    <t>LT_R_IN_057_04</t>
  </si>
  <si>
    <t>Any "Instrument ID" linked to a "Entity ID" which does not have any linked "Protection ID" should inform "Type of Mortgage" as '6 - Other - Unsecured Collateral'</t>
  </si>
  <si>
    <t>LT_R_IN_057_06</t>
  </si>
  <si>
    <t>Any "Instrument ID" linked to only protection which are personal guarantee should inform "Type of Mortgage" as '6 - Other - Unsecured Collateral' (We consider "personal guarantee" when "Protection ID" matches the "Protection Provider ID" (Guarantor) or "Tax ID" (Protection level) is populated other than default value and the "Protection type" equals '7 - Other protection')</t>
  </si>
  <si>
    <t>LT_R_IN_058_01</t>
  </si>
  <si>
    <t>If "Purpose" equals '13 - Commercial real estate purchase", then "Type of CRE operation financed" cannot be 'Not applicable'</t>
  </si>
  <si>
    <t>LT_R_IN_058_02</t>
  </si>
  <si>
    <t>If "Current annual income" is populated other than default values then "Type of CRE operation financed" cannot be 'Not applicable'</t>
  </si>
  <si>
    <t>LT_R_IN_058_03</t>
  </si>
  <si>
    <t>If "Current annual operating expenses" is populated other than default values then "Type of CRE operation financed" cannot be 'Not applicable'</t>
  </si>
  <si>
    <t>LT_R_IN_058_04</t>
  </si>
  <si>
    <t>If "Date of first usage of the building" is populated other than default values then "Type of CRE operation financed" cannot be 'Not applicable'</t>
  </si>
  <si>
    <t>LT_R_IN_059_01</t>
  </si>
  <si>
    <t>"Start date of principal grace period" must be less than "End date of principal grace period"</t>
  </si>
  <si>
    <t>LT_R_IN_059_02</t>
  </si>
  <si>
    <t>"Start date of principal grace period" must be greater or equal than "Date of Inception"</t>
  </si>
  <si>
    <t>LT_R_IN_059_03</t>
  </si>
  <si>
    <t>"Start date of principal grace period" cannot be later than "Reference date"</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</si>
  <si>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</si>
  <si>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</si>
  <si>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</si>
  <si>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</si>
  <si>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</si>
  <si>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</si>
  <si>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</si>
  <si>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LT_R_IN_061_02</t>
  </si>
  <si>
    <t>LT_R_IN_061_03</t>
  </si>
  <si>
    <t>LT_R_IN_061_04</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</si>
  <si>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</si>
  <si>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</si>
  <si>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</si>
  <si>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</si>
  <si>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</si>
  <si>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</si>
  <si>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</si>
  <si>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</si>
  <si>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LT_R_IN_062_05</t>
  </si>
  <si>
    <t xml:space="preserve">If "Balance sheet recognition" is set as 'REC01 - Entirely recognised' or 'REC02 - Recognised to the extent of the institution's continuing involvement' then "Accounting portfolio" cannot be 'Not Applicable' </t>
  </si>
  <si>
    <t>LT_R_IN_063_01</t>
  </si>
  <si>
    <t>If "Gross carrying amount" is 'Not applicable' then "Accrued interest balance as recognised on the balance sheet" must be populated with default values</t>
  </si>
  <si>
    <t>LT_R_IN_064_02</t>
  </si>
  <si>
    <t>If "Type of amortisation" is other than default value and other than '5 - Amortisation types other than French, German, Fixed amortisation schedule or bullet', then "Amount due at the legal final maturity date" cannot be 'Not applicable'</t>
  </si>
  <si>
    <t>LT_R_IN_064_03</t>
  </si>
  <si>
    <t>If "Type of instrument" is populated as '80- Finance leases', '1002 - Credit lines other than revolving credit', '1004 - Loans other than overdrafts, convenience credit, extended credit, credit card credit, revolving credit other than credit card credit, reverse repurchase agreements, trade receivables and financial leases' or '2001 - Guarantees' then "Amount due at the legal final maturity date" cannot be 'Not applicable'</t>
  </si>
  <si>
    <t>INTER_REL_P_IN</t>
  </si>
  <si>
    <t>LT_R_IN_066_01</t>
  </si>
  <si>
    <t>If "Type of instrument" equals '1004 - Loans other than overdrafts, convenience credit, extended credit, credit card credit, revolving credit other than credit card credit, reverse repurchase agreements, trade receivables and financial leases' then "Received amortisation payments within last 12 months prior to reference date" cannot exceed "Commitment amount at inception"</t>
  </si>
  <si>
    <t>LT_R_IN_066_02</t>
  </si>
  <si>
    <t>If "Type of instrument" equals '1004 - Loans other than overdrafts, convenience credit, extended credit, credit card credit, revolving credit other than credit card credit, reverse repurchase agreements, trade receivables and financial leases' then "Received amortisation payments within last 24 months prior to reference date" cannot exceed "Commitment amount at inception"</t>
  </si>
  <si>
    <t>LT_R_IN_069_01</t>
  </si>
  <si>
    <t>LT_R_IN_069_02</t>
  </si>
  <si>
    <t>If "Date of financial statements" (Main Entity Level) is populated with other than default value, then "Debt yield" cannot be 'Not applicable'</t>
  </si>
  <si>
    <t>LT_R_IN_070_01</t>
  </si>
  <si>
    <t>If "Original contractual maturity date (latest repayment date)" is populated other than default values, then "Legal final maturity date (latest repayment date)" cannot be 'Not applicable'</t>
  </si>
  <si>
    <t>LT_R_IN_070_02</t>
  </si>
  <si>
    <t>If "Type of amortisation" equals '1 - French' or '2 - German' or '3 - Fixed amortisation schedule' or '4 - Bullet', then "Legal final maturity date (latest repayment date)" cannot be 'Not applicable'</t>
  </si>
  <si>
    <t>LT_R_IN_070_03</t>
  </si>
  <si>
    <t>"Legal final maturity date (latest repayment date)" must be greater or equal than "Date of Inception"</t>
  </si>
  <si>
    <t>LT_R_IN_071_01</t>
  </si>
  <si>
    <t>If "Interest rate reset frequency" is set as '1 - Annual', then the "Next interest rate reset date" should be lower or equal to the data period plus one year or the "End date of principal grace period" plus one year.</t>
  </si>
  <si>
    <t>LT_R_IN_071_02</t>
  </si>
  <si>
    <t>If "Interest rate reset frequency" is set as '8 - Monthly', then the "Next interest rate reset date" should be lower or equal to the data period plus one month or the "End date of principal grace period" plus one month.</t>
  </si>
  <si>
    <t>LT_R_IN_071_03</t>
  </si>
  <si>
    <t>If "Interest rate reset frequency" is set as 16 - Overnight', then the "Next interest rate reset date" should be lower or equal to the data period plus one day or the "End date of principal grace period" plus one day.</t>
  </si>
  <si>
    <t>LT_R_IN_071_04</t>
  </si>
  <si>
    <t>If "Interest rate reset frequency" is set as '18 - Quarterly', then the "Next interest rate reset date" should be lower or equal to the data period plus three months or the "End date of principal grace period" plus three months.</t>
  </si>
  <si>
    <t>LT_R_IN_071_05</t>
  </si>
  <si>
    <t>If "Interest rate reset frequency" is set as '19 - Semi-annually', then the "Next interest rate reset date" should be lower or equal to the data period plus six months or the "End date of principal grace period" plus six months.</t>
  </si>
  <si>
    <t>LT_R_IN_071_06</t>
  </si>
  <si>
    <t>If "Interest rate reset frequency" is set as '3 - At creditor discretion', then the "Next interest rate reset date" should be populated with default values</t>
  </si>
  <si>
    <t>LT_R_IN_071_07</t>
  </si>
  <si>
    <t>If "Interest rate reset frequency" is set as 'Not applicable', then the "Next interest rate reset date" should be populated with default values</t>
  </si>
  <si>
    <t>LT_R_IN_071_08</t>
  </si>
  <si>
    <t>"Next interest rate reset date" has to be later than "Reference date"</t>
  </si>
  <si>
    <t>LT_R_IN_071_09</t>
  </si>
  <si>
    <t>"Next interest rate reset date" must be earlier than or equal to "Legal final maturity date (latest repayment date)"</t>
  </si>
  <si>
    <t>LT_R_IN_071_10</t>
  </si>
  <si>
    <t>"Next interest rate reset date" must be later than or equal to "Date of inception"</t>
  </si>
  <si>
    <t>LT_R_IN_072_01</t>
  </si>
  <si>
    <t>"Original contractual maturity date (latest repayment date)" must be greater or equal than "Date of Inception"</t>
  </si>
  <si>
    <t>LT_R_IN_075_01</t>
  </si>
  <si>
    <t>If "Off-balance sheet amount" is populated other than default values and other than 0, then "IFRS 9 accounting CCF" cannot be 'Not applicable'</t>
  </si>
  <si>
    <t>LT_R_IN_076_01</t>
  </si>
  <si>
    <t>("Gross carrying amount" + ("Off-balance sheet amount" * "IFRS 9 accounting CCF"))  = "IFRS 9 accounting EAD"</t>
  </si>
  <si>
    <t>LT_R_IN_076_02</t>
  </si>
  <si>
    <t>If "Off-balance sheet amount" is populated other than default values and is greater than 0 then "IFRS 9 accounting EAD" should be greater than 0.</t>
  </si>
  <si>
    <t>LT_R_IN_077_01</t>
  </si>
  <si>
    <t>If "Type of amortisation" equals '1 - French' or '2 - German' or '3 - Fixed amortisation schedule', then "Instalment payable" cannot be 'Not applicable'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</si>
  <si>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</si>
  <si>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</si>
  <si>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</si>
  <si>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</si>
  <si>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</si>
  <si>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</si>
  <si>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</si>
  <si>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</si>
  <si>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LT_R_IN_079_01</t>
  </si>
  <si>
    <t>LT_R_IN_079_02</t>
  </si>
  <si>
    <t>LT_F_IN_080_01</t>
  </si>
  <si>
    <t>"Outstanding gross nominal amount" should have a Format numeric (2 decimal places)</t>
  </si>
  <si>
    <t>LT_R_IN_080_01</t>
  </si>
  <si>
    <t>If "Subportfolio ID" is classified as 'CA - Amortized Cost' or 'VRPN - FVOCI' then "Outstanding gross nominal amount" must equal "Carrying amount" minus "Accrued interest balance as recognised on the balance sheet" plus "Sum of LLPs and other allowances"</t>
  </si>
  <si>
    <t>LT_R_IN_080_02</t>
  </si>
  <si>
    <t>"Outstanding gross nominal amount" must equal "Gross carrying amount" minus "Accrued interest balance as recognised on the balance sheet"</t>
  </si>
  <si>
    <t>LT_R_IN_080_04</t>
  </si>
  <si>
    <t>If Subportfolio ID is classified as 'VRPL - FV with changes in PL' then "Outstanding gross nominal amount" must equal "Carrying amount" minus "Accrued interest balance as recognised on the balance sheet" plus "Accumulated changes in fair value due to credit risk"</t>
  </si>
  <si>
    <t>LT_R_IN_080_05</t>
  </si>
  <si>
    <t>If "Transferred amount" is populated with other than default values or 0 then "Outstanding gross nominal amount" should be greater than "Transferred amount"</t>
  </si>
  <si>
    <t>LT_R_IN_082_01</t>
  </si>
  <si>
    <t>If "Off-balance sheet amount" is populated as 'Not applicable', then "Provisions associated with off-balance sheet exposures" must be a default value</t>
  </si>
  <si>
    <t>LT_R_IN_082_02</t>
  </si>
  <si>
    <t>If "Subportfolio ID" is classified as 'VRPL - Fair value through profit and loss', then "Provisions associated with off-balance sheet exposures" should be 'Not Applicable' or zero</t>
  </si>
  <si>
    <t>LT_R_IN_084_01</t>
  </si>
  <si>
    <t>If "Syndication type" is populated other than 'Not applicable', then "Retention share" cannot be 'Not applicable'</t>
  </si>
  <si>
    <t>LT_R_IN_084_02</t>
  </si>
  <si>
    <t>If "Syndication type" is populated with 'Not applicable', then "Retention share" must be default value</t>
  </si>
  <si>
    <t>LT_R_IN_086_01</t>
  </si>
  <si>
    <t>LT_R_IN_088_01</t>
  </si>
  <si>
    <t>If "Accounting portfolio" 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</si>
  <si>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</si>
  <si>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</si>
  <si>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</si>
  <si>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</si>
  <si>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LT_R_IN_088_04</t>
  </si>
  <si>
    <t>If "Balance sheet recognition" is set as 'REC01 - Entirely recognised' or 'REC02 - Recognised to the extent of the institution's continuing involvement' and "Subportfolio ID" is classified as 'CA - Amortized Cost' or 'VRPN - FVOCI' then "Sum of LLPs and other allowances" cannot be 'Not Applicable'</t>
  </si>
  <si>
    <t>LT_R_IN_089_02</t>
  </si>
  <si>
    <t>If "Date of inception" is less than one year in the past (compared to "Reference date") and product type is other than uncommited overdraft, then "Previous sum of LLPs and other allowances" must equal default values</t>
  </si>
  <si>
    <t>LT_R_IN_091_01</t>
  </si>
  <si>
    <t>If "Total exposure in arrears" is populated other than default values or zero must be lower or equal to "Gross Carrying amount"</t>
  </si>
  <si>
    <t>LT_R_IN_091_02</t>
  </si>
  <si>
    <t>If "Total exposure in arrears" is populated other than default values or zero must be lower or equal to "Highest total exposure in arrears in the last 12 months before the reference date"</t>
  </si>
  <si>
    <t>LT_R_IN_091_03</t>
  </si>
  <si>
    <t>If "Days past due at reference date" is populated other than default values (&gt;0) then "Total exposure in arrears" must be greater than 0</t>
  </si>
  <si>
    <t>LT_R_IN_091_04</t>
  </si>
  <si>
    <t>If "Days past due at reference date" populated with 'Not Applicable' values, then "Total exposure in arrears" must be defaulted or zero</t>
  </si>
  <si>
    <t>LT_R_IN_091_05</t>
  </si>
  <si>
    <t>"Outstanding gross nominal amount" plus "Accumulated write-offs" must be greater or equal to "Total exposure in arrears"</t>
  </si>
  <si>
    <t>LT_R_IN_092_01</t>
  </si>
  <si>
    <t>If "Total exposure in arrears" is populated other than default values or zero then "Highest total exposure in arrears in the last 12 months before the reference date" must be populated other than default values or zero</t>
  </si>
  <si>
    <t>LT_R_IN_092_03</t>
  </si>
  <si>
    <t>If "Highest number of days past due in the last 12 months" is populated other than default values (&gt;0), then "Highest total exposure in arrears in the last 12 months before the reference date" must be greater than 0</t>
  </si>
  <si>
    <t>LT_R_IN_092_04</t>
  </si>
  <si>
    <t>If "Highest number of days past due in the last 12 months" is populated with 'Not Applicable' values, then "Highest total exposure in arrears in the last 12 months before the reference date" must be defaulted or zero</t>
  </si>
  <si>
    <t>LT_R_IN_094_01</t>
  </si>
  <si>
    <t>"Days past due at reference date" must be lower or equal than number of days between "Reference date" and "Date past due"</t>
  </si>
  <si>
    <t>LT_R_IN_094_02</t>
  </si>
  <si>
    <t>If "Protection called" is set as 'Y' then "Days past due at reference date" has to be greater than 0</t>
  </si>
  <si>
    <t>LT_R_IN_095_01</t>
  </si>
  <si>
    <t>If "Days past due at reference date" is populated (&gt;0) then "Highest number of days past due in the last 12 months" must also be populated and should be higher or equal than "Days past due at reference date"</t>
  </si>
  <si>
    <t>LT_R_IN_096_02</t>
  </si>
  <si>
    <t>If "Date of forbearance status" equals to "Date of Inception" or "Date of forbearance status" occured before a period of 24 month preceding the reference date, then "Highest number of days past due in the 12 months prior to the most recent change of the forbearance status" should be default values</t>
  </si>
  <si>
    <t>LT_R_IN_096_03</t>
  </si>
  <si>
    <t xml:space="preserve">If "Highest number of days past due in the 12 months prior to the most recent change of the forbearance status" is populated (other than default values) then it should be lower than or equal to "Highest number of days past due in the 24 months prior to the most recent change of the forbearance status" </t>
  </si>
  <si>
    <t>LT_R_IN_097_02</t>
  </si>
  <si>
    <t>If "Date of performing status" equals to "Date of Inception" or "Date of performing status" occured before a period of 24 month preceding the reference date, then "Highest number of days past due in the 12 months prior to the most recent change of performing status" should be default values</t>
  </si>
  <si>
    <t>LT_R_IN_097_03</t>
  </si>
  <si>
    <t>If "Highest number of days past due in the 12 months prior to the most recent change of performing status" is populated (other than default values) then it should be lower than or equal to "Highest number of days past due in the 24 months before most recent change of performing status"</t>
  </si>
  <si>
    <t>LT_R_IN_097_04</t>
  </si>
  <si>
    <t xml:space="preserve">If "Highest number of days past due in the 12 months prior to the most recent change of performing status" is populated (other than default values) then it should be higher than or equal to "Days past due at the time of the most recent change of the performing status" </t>
  </si>
  <si>
    <t>LT_R_IN_098_02</t>
  </si>
  <si>
    <t>If "Date of forbearance status" equals to "Date of Inception" or "Date of forbearance status" occured before a period of 24 month preceding the reference date, then "Highest number of days past due in the 24 months prior to the most recent change of the forbearance status" should be default values</t>
  </si>
  <si>
    <t>LT_R_IN_098_03</t>
  </si>
  <si>
    <t>If "Highest number of days past due in the 12 months prior to the most recent change of the forbearance status" is populated (other than default values) then "Highest number of days past due in the 24 months prior to the most recent change of the forbearance status" cannot be 'Not applicable'</t>
  </si>
  <si>
    <t>LT_R_IN_098_04</t>
  </si>
  <si>
    <t>If "Highest number of days past due in the 12 months prior to the most recent change of the forbearance status" is populated with 'Not applicable' then "Highest number of days past due in the 24 months prior to the most recent change of the forbearance status" must be populated with default values</t>
  </si>
  <si>
    <t>LT_R_IN_099_01</t>
  </si>
  <si>
    <t>If "Highest number of days past due in the 12 months prior to the most recent change of performing status" is populated (other than default values) then "Highest number of days past due in the 24 months before most recent change of performing status" cannot be 'Not applicable'</t>
  </si>
  <si>
    <t>LT_R_IN_099_02</t>
  </si>
  <si>
    <t>If "Highest number of days past due in the 12 months prior to the most recent change of performing status" is populated with 'Not applicable', then "Highest number of days past due in the 24 months before most recent change of performing status" must be populated with default values</t>
  </si>
  <si>
    <t>LT_R_IN_100_02</t>
  </si>
  <si>
    <t>If "Date of forbearance status" equals to "Date of Inception" or "Date of forbearance status" occured before a period of 24 month preceding the reference date, then "Days past due at the date of the most recent change of the forbearance status" should be default values</t>
  </si>
  <si>
    <t>LT_R_IN_102_01</t>
  </si>
  <si>
    <t>If product type is other than uncommited overdraft then "Date of impairment status" must be greater or equal than "Date of Inception"</t>
  </si>
  <si>
    <t>LT_R_IN_102_02</t>
  </si>
  <si>
    <t>"Date of impairment status" must be earlier or equal than "Reference date"</t>
  </si>
  <si>
    <t>LT_R_IN_103_01</t>
  </si>
  <si>
    <t>"Date of previous impairment status" should be less than "Date of impairment status" unless they are both equal to "Date of inception"</t>
  </si>
  <si>
    <t>LT_R_IN_103_02</t>
  </si>
  <si>
    <t>If product type is other than uncommited overdraft then "Date of previous impairment status" must be greater or equal than "Date of Inception"</t>
  </si>
  <si>
    <t>LT_R_IN_103_03</t>
  </si>
  <si>
    <t>If "Previous impairment status" is populated as 'Not applicable', then "Date of previous impairment status" must equal default value</t>
  </si>
  <si>
    <t>LT_R_IN_104_01</t>
  </si>
  <si>
    <t>If "Days past due at reference date" is 'Not applicable', then "Date past due" should be default values</t>
  </si>
  <si>
    <t>LT_R_IN_104_02</t>
  </si>
  <si>
    <t>If "Days past due at reference date" is populated with values (&gt;0), then "Date past due" cannot be 'Not applicable'</t>
  </si>
  <si>
    <t>LT_R_IN_104_03</t>
  </si>
  <si>
    <t>If "Days past due at reference date" is 0 then "Date past due" should be populated with 'Not applicable' or with 'Reference date'</t>
  </si>
  <si>
    <t>LT_R_IN_104_04</t>
  </si>
  <si>
    <t>"Date past due" must be greater or equal than "Date of Inception"</t>
  </si>
  <si>
    <t>LT_R_IN_104_05</t>
  </si>
  <si>
    <t>"Date past due" must be earlier or equal than "Reference date"</t>
  </si>
  <si>
    <t>LT_R_IN_104_06</t>
  </si>
  <si>
    <t>If "Protection called" is set as 'Y' then "Date past due" has to be populated other than default values</t>
  </si>
  <si>
    <t>LT_R_IN_105_01</t>
  </si>
  <si>
    <t>If "Impairment status" is '23 - Stage 1', then "Impairment assessment method" must equal '1 - Collectively assessed'</t>
  </si>
  <si>
    <t>LT_R_IN_106_01</t>
  </si>
  <si>
    <t>If "Impairment assessment method" equals '1 - Collectively assessed', then "Impairment calculation method" should be '4 - Mixed approaches'</t>
  </si>
  <si>
    <t>LT_R_IN_106_02</t>
  </si>
  <si>
    <t>If "Sum of LLPs and other allowances" is other than default values, then "Impairment calculation method" cannot be 'Not applicable'</t>
  </si>
  <si>
    <t>LT_R_IN_107_01</t>
  </si>
  <si>
    <t>If "Forbearance status" equals to '8 - Not forborne or renegotiated' and "Date of forbearance status" equals "Date of inception", then "Number of historical forbearance" must equal 0 or default values</t>
  </si>
  <si>
    <t>LT_R_IN_107_02</t>
  </si>
  <si>
    <t>If "Forbearance status" equals to '3 - Forborne: Refinanced debt', '4 - Forborne: instruments with other modified terms and conditions' or '5 - Forborne: instruments with modified interest rate below market conditions' and 'Date of forbearance status' corresponds to the last 24 months, then "Number of historical forbearance" must be greater or equal to 1</t>
  </si>
  <si>
    <t>LT_R_IN_110_01</t>
  </si>
  <si>
    <t>If "Loan to value (LTV) at inception" is populated other than default values, then "Loan to value (LTV) at reference date" cannot be 'Not applicable'</t>
  </si>
  <si>
    <t>LT_R_IN_110_02</t>
  </si>
  <si>
    <t>If "Loan to value (LTV) at the date when the instrument was classified as non performing" is populated other than default values, then "Loan to value (LTV) at reference date" cannot be 'Not applicable'</t>
  </si>
  <si>
    <t>LT_R_IN_110_03</t>
  </si>
  <si>
    <t>If "Protection type" is equal to '8 - Residential real estate collateral', '9 - Offices and commercial premises' or '10 - Commercial real estate collateral' and 'Outstanding gross nominal amount' is a non default value greater than 0, then "Loan to value (LTV) at reference date" cannot be 'Not applicable'</t>
  </si>
  <si>
    <t>LT_R_IN_111_01</t>
  </si>
  <si>
    <t>If "Protection type" is equal to '8 - Residential real estate collateral', '9 - Offices and commercial premises' or '10 - Commercial real estate collateral' and 'Outstanding gross nominal amount' is a non default value greater than 0, then "Loan to value (LTV) at inception" cannot be 'Not applicable'</t>
  </si>
  <si>
    <t>LT_R_IN_112_01</t>
  </si>
  <si>
    <t>If "Protection type" is equal to '8 - Residential real estate collateral', '9 - Offices and commercial premises' or '10 - Commercial real estate collateral', "Performing status" equals '1 - Non-performing' and 'Outstanding gross nominal amount' is a non default value greater than 0, then "Loan to value (LTV) at the date when the instrument was classified as non performing" cannot be 'Not applicable'</t>
  </si>
  <si>
    <t>LT_R_IN_113_01</t>
  </si>
  <si>
    <t>If "Probability of default according to CRR at reference date" (instrument level) is populated with 'Not applicable' then "Probability of default according to CRR at inception date" must also be populated with 'Not applicable'</t>
  </si>
  <si>
    <t>LT_R_IN_114_01</t>
  </si>
  <si>
    <t>If "Probability of default according to CRR at reference date" (Main Entity level) is populated other than default values and "RWA calculation method" equals '1 - IRB', then "Probability of default according to CRR at reference date" (instrument level) cannot be 'Not aplicable'</t>
  </si>
  <si>
    <t>LT_R_IN_114_02</t>
  </si>
  <si>
    <t xml:space="preserve">If "Rating method" (instrument level) is populated with 'Not Applicable' values then "Probability of default according to CRR at reference date" (instrument level) must be defaulted </t>
  </si>
  <si>
    <t>LT_R_IN_115_01</t>
  </si>
  <si>
    <t>If instrument originated less than one year previous to "Reference date" and product type is other than uncommited overdraft, then "Probability of default according to CRR one year prior to the reference date" must be default value</t>
  </si>
  <si>
    <t>LT_R_IN_115_02</t>
  </si>
  <si>
    <t>If "Probability of default according to CRR at reference date" (instrument level) is populated with 'Not applicable' then "Probability of default according to CRR one year prior to the reference date" (instrument level) must also be populated with 'Not applicable'</t>
  </si>
  <si>
    <t>LT_R_IN_117_01</t>
  </si>
  <si>
    <t>If "Impairment status" equals '23 - Stage 1' or '24 - Stage 2', then "12-month PD at reporting date according to IFRS 9" cannot be 'Not applicable'</t>
  </si>
  <si>
    <t>LT_R_IN_117_03</t>
  </si>
  <si>
    <t>If "12-month PD at reporting date according to IFRS 9" (Main Entity level) is populated other than default values, then "12-month PD at reporting date according to IFRS 9" (instrument level) cannot be 'Not aplicable'</t>
  </si>
  <si>
    <t>LT_R_IN_118_01</t>
  </si>
  <si>
    <t>If instrument originated less than one year previous to "Reference date" and product type is other than uncommited overdraft, then "12-month PD one year prior to the reporting date according to IFRS 9" must be default value</t>
  </si>
  <si>
    <t>LT_R_IN_121_02</t>
  </si>
  <si>
    <t xml:space="preserve">If "Impairment status" equals '25 - Stage 3' or '24- Stage 2' and "Impairment assessment method" equals '1 - Collectively assessed', then "Remaining lifetime PD at reporting date according to IFRS 9 (cumulative)" cannot be 'Not applicable' </t>
  </si>
  <si>
    <t>LT_R_IN_122_01</t>
  </si>
  <si>
    <t>If "Internal rating at reference date" (instrument level) is populated other than default values, then "Rating method" (instrument level) cannot be 'Not applicable'</t>
  </si>
  <si>
    <t>IN_RTNG_MTHD</t>
  </si>
  <si>
    <t>LT_R_IN_122_02</t>
  </si>
  <si>
    <t>If "Internal rating at reference date" (instrument level) is populated with 'Not applicable', then "Rating method" (instrument level) must also be 'Not applicable'</t>
  </si>
  <si>
    <t>LT_R_IN_122_04</t>
  </si>
  <si>
    <t>If "RWA calculation method" equals '1 - IRB' then "Rating method" (instrument level) cannot be 'Not applicable'</t>
  </si>
  <si>
    <t>LT_R_IN_124_01</t>
  </si>
  <si>
    <t>If "Impairment status" equals '23 - Stage 1' or '24 - Stage 2' then "Significant increase in credit risk assessment approach" cannot be 'Not applicable'</t>
  </si>
  <si>
    <t>LT_R_IN_124_02</t>
  </si>
  <si>
    <t>If "Impairment status" is not equal '23 - Stage 1' nor '24 - Stage 2' then "Significant increase in credit risk assessment approach" must be 'Not applicable'</t>
  </si>
  <si>
    <t>LT_R_IN_126_01</t>
  </si>
  <si>
    <t>"Current effective interest rate for provisioning calculation according to IFRS 9." and "Effective interest rate at inception" should not vary in more than 50% (unless justified)</t>
  </si>
  <si>
    <t>LT_R_IN_126_02</t>
  </si>
  <si>
    <t>"Current effective interest rate for provisioning calculation according to IFRS 9." should be greater or equal than "Interest rate at the reference date" (unless justified)</t>
  </si>
  <si>
    <t>LT_R_IN_126_03</t>
  </si>
  <si>
    <t>If "Impairment status" is populated (other than default values) then "Current effective interest rate for provisioning calculation according to IFRS 9." must be also populated (other than default values)</t>
  </si>
  <si>
    <t>LT_R_IN_126_04</t>
  </si>
  <si>
    <t>If "Impairment status" is not populated (only default values) then "Current effective interest rate for provisioning calculation according to IFRS 9" must not be populated (only default values)</t>
  </si>
  <si>
    <t>LT_R_IN_127_01</t>
  </si>
  <si>
    <t>If "Impairment status" is populated (other than default values) then "Effective interest rate at inception" must be also populated (other than default values)</t>
  </si>
  <si>
    <t>LT_R_IN_127_02</t>
  </si>
  <si>
    <t>If "Impairment status" is not populated (only default values) then "Effective interest rate at inception" must not be populated (only default values)</t>
  </si>
  <si>
    <t>LT_R_IN_128_01</t>
  </si>
  <si>
    <t>If "Type of interest rate" is equal to '2 - Variable' then "Interest rate reset frequency" must be populated other than default values</t>
  </si>
  <si>
    <t>LT_R_IN_128_02</t>
  </si>
  <si>
    <t>If "Type of interest rate" is equal to 'Not applicable' then "Interest rate reset frequency" must be populated with default values</t>
  </si>
  <si>
    <t>LT_R_IN_129_01</t>
  </si>
  <si>
    <t>If "Date of inception" is less than one year in the past (compared to "Reference date"), then "Received amortisation payments within last 12 months prior to reference date" should be equal to "Received amortisation payments within last 24 months prior to reference date"</t>
  </si>
  <si>
    <t>LT_R_IN_129_02</t>
  </si>
  <si>
    <t>"Received amortisation payments within last 12 months prior to reference date" should be lower than or equal to "Received amortisation payments within last 24 months prior to reference date"</t>
  </si>
  <si>
    <t>LT_R_IN_131_01</t>
  </si>
  <si>
    <t>If "Date of inception" is less than one year in the past (compared to "Reference date"), then "Received interest payments within last 12 months prior to reference date" should be equal to "Received interest payments within last 24 months prior to reference date"</t>
  </si>
  <si>
    <t>LT_R_IN_131_02</t>
  </si>
  <si>
    <t>"Received interest payments within last 12 months prior to reference date" should be lower than or equal to "Received interest payments within last 24 months prior to reference date"</t>
  </si>
  <si>
    <t>LT_R_IN_133_01</t>
  </si>
  <si>
    <t>If "Failed syndication (as per definition according to the ECB Guidance on leveraged transactions)" equals 'N', then "Role of the lender in the syndicate" cannot be 'Not applicable'</t>
  </si>
  <si>
    <t>LT_R_IN_133_02</t>
  </si>
  <si>
    <t>If "Syndicated contract ID" is populated other than default values, then "Role of the lender in the syndicate" cannot be 'Not applicable'</t>
  </si>
  <si>
    <t>LT_R_IN_133_03</t>
  </si>
  <si>
    <t>If "Syndicated contract ID" is set to 'Not applicable', then "Role of the lender in the syndicate" has to be equal to 'Not applicable'</t>
  </si>
  <si>
    <t>LT_R_IN_134_01</t>
  </si>
  <si>
    <t>If "Syndicated contract ID" is other than default values, then "Syndicate agent name" cannot be 'Not applicable'</t>
  </si>
  <si>
    <t>LT_R_IN_134_02</t>
  </si>
  <si>
    <t>If "Syndicated contract ID" is set to 'Not applicable', then "Syndicate agent name" has to be default values</t>
  </si>
  <si>
    <t>LT_R_IN_135_01</t>
  </si>
  <si>
    <t>If "Role of the lender in the syndicate" is populated other than default values, then "Syndicated contract ID" cannot be 'Not applicable'</t>
  </si>
  <si>
    <t>LT_R_IN_135_02</t>
  </si>
  <si>
    <t>If "Role of the lender in the syndicate" is set to 'Not applicable', then "Syndicated contract ID" has to be equal to 'Not applicable'</t>
  </si>
  <si>
    <t>LT_R_IN_136_01</t>
  </si>
  <si>
    <t>If "Syndicated contract ID" is populated other than default values, then "Names of the other lenders in the syndicate" cannot be 'Not applicable'</t>
  </si>
  <si>
    <t>LT_R_IN_136_02</t>
  </si>
  <si>
    <t>If "Syndicated contract ID" is set to 'Not applicable', then "Names of the other lenders in the syndicate" has to be equal to 'Not applicable'</t>
  </si>
  <si>
    <t>LT_R_IN_137_01</t>
  </si>
  <si>
    <t>If "Syndicated contract ID" is populated other than default values, then "Share in the syndicate" cannot be 'Not applicable'</t>
  </si>
  <si>
    <t>LT_R_IN_137_02</t>
  </si>
  <si>
    <t>If "Syndicated contract ID" is set to 'Not applicable', then "Share in the syndicate" has to be equal to 'Not applicable'</t>
  </si>
  <si>
    <t>LT_R_IN_138_01</t>
  </si>
  <si>
    <t>If "Failed syndication (as per definition according to the ECB Guidance on leveraged transactions)" equals 'N', then "Syndication type" cannot be 'Not applicable'</t>
  </si>
  <si>
    <t>LT_R_IN_138_02</t>
  </si>
  <si>
    <t>If "Syndicated contract ID" is populated other than default values, then "Syndication type" cannot be 'Not applicable'</t>
  </si>
  <si>
    <t>LT_R_IN_138_03</t>
  </si>
  <si>
    <t>If "Syndicated contract ID" is set to 'Not applicable', then "Syndication type" has to be equal to 'Not applicable'</t>
  </si>
  <si>
    <t>LT_R_IN_158_01</t>
  </si>
  <si>
    <t>"Valuation date" must be earlier than or equal to "Reference date"</t>
  </si>
  <si>
    <t>LT_R_IN_158_02</t>
  </si>
  <si>
    <t>"Valuation date" must be later than or equal to "Date of inception"</t>
  </si>
  <si>
    <t>LT_R_IN_161_01</t>
  </si>
  <si>
    <t>If "Guarantor ID" is populated with other than default values then "Guarantor ID type" cannot be 'Not Applicable'</t>
  </si>
  <si>
    <t>LT_R_IN_177_01</t>
  </si>
  <si>
    <t>If "Coupon rate (if fixed)." is populated with other than default values and "Reference interest rate" is populated with other than default values then "Primary asset classification" cannot be populated as 'Equity' (code E).</t>
  </si>
  <si>
    <t>LT_R_IN_180_01</t>
  </si>
  <si>
    <t>If "Type of interest rate" is set as '1 - Fixed' then "Spread" should be defaulted</t>
  </si>
  <si>
    <t>LT_R_IN_180_02</t>
  </si>
  <si>
    <t>If "Type of interest rate" is set as '2 - Variable' or '3 - Mixed'  then "Spread" cannot be 'Not Applicable'</t>
  </si>
  <si>
    <t>LT_R_IN_185_01</t>
  </si>
  <si>
    <t>If "Enterprise size Counterparty (LE)" (Main Entity level) equal '2 - Medium enterprise' or '3 - Small enterprise' or '4 - Micro enterprise' and "&gt;50% owned by a sponsor as per ECB Guidance on leveraged transactions" is set to 'N' then "Leverage finance flag" cannot equal 'HLT - High Leveraged transaction' or 'LFT - Leveraged finance transaction'</t>
  </si>
  <si>
    <t>LT_R_IN_185_02</t>
  </si>
  <si>
    <t>If "Subportfolio ID" is classified as 'CASH - Cash and cash balances' 'BC - Central Banks' or 'AP - General governments' or 'EC - Credit institutions' or 'OSF - Other financial corporations' or 'HOG - Households' then "Leverage finance flag" cannot equal 'HLT - High Leveraged transaction' or 'LFT - Leveraged finance transaction'</t>
  </si>
  <si>
    <t>LT_R_IN_185_03</t>
  </si>
  <si>
    <t>If "Subportfolio ID" is classified as 'SNF - Non-financial corporations' and "Type of instrument" not in ('1001 - Revolving credit other than overdrafts and credit card debt'; '1002 - Credit lines other than revolving credit'; '1004 - Loans other than overdrafts, convenience credit, extended credit, credit card credit, revolving credit other than credit card credit, reverse repurchase agreements, trade receivables and financial leases', '80 - Finance leases', '2001 - Guarantees') then"Leverage finance flag" cannot equal 'HLT - High Leveraged transaction' or 'LFT - Leveraged finance transaction'</t>
  </si>
  <si>
    <t>LT_R_IN_185_04</t>
  </si>
  <si>
    <t>If "Subportfolio ID" is classified as 'SNF - Non-financial corporations' and "Project finance loan" equals '1 - Project finance loan' then"Leverage finance flag" cannot equal 'HLT - High Leveraged transaction' or 'LFT - Leveraged finance transaction'</t>
  </si>
  <si>
    <t>LT_R_IN_185_05</t>
  </si>
  <si>
    <t>If "Probability of default according to Economic Capital at reference date" is equal or lower than 0,5% (assimilated to investment grade), then "Leverage finance flag" cannot equal 'HLT - High Leveraged transaction' or 'LFT - Leveraged finance transaction'</t>
  </si>
  <si>
    <t>LT_R_IN_185_09</t>
  </si>
  <si>
    <t>If "Excluded Leveraged Transaction Exposures" is equal to 'EXC04 - Trade Finance', 'EXC05 - Specialised Lending', 'EXC06 - SME', 'EXC07 - Companies where Santander exposure is &lt;5MM euros', ' EXC08 - Financial institutions, public sector entities or similar', or 'EXC09 - Investment Grade' then "Leverage finance flag" cannot equal 'HLT - High Leveraged transaction' or 'LFT - Leveraged finance transaction'</t>
  </si>
  <si>
    <t>LT_R_IN_185_10</t>
  </si>
  <si>
    <t>If "Leverage ratio as per ECB Guidance on leveraged transactions; total debt vs EBITDA" is equal or greater than 4 or "&gt;50% owned by a sponsor as per ECB Guidance on leveraged transactions" is set as 'Y' and "Excluded Leveraged Transaction Exposures" is not equal to 'EXC04 - Trade Finance', 'EXC05 - Specialised Lending', 'EXC06 - SME', 'EXC07 - Companies where Santander exposure is &lt;5MM euros', 'EXC08 - Financial institutions, public sector entities or similar' or 'EXC09 - Investment Grade', and "Date of inception" or "Date of contract modification" is in the past 3 months then "Leverage finance flag" must be 'LFT - Leveraged finance transaction' or 'HLT - High Leveraged transaction'</t>
  </si>
  <si>
    <t>LT_R_IN_189_01</t>
  </si>
  <si>
    <t>If "RWA calculation method" equals '2 - STD' then "Coefficient of correlation (R)" must be defaulted</t>
  </si>
  <si>
    <t>LT_R_IN_189_02</t>
  </si>
  <si>
    <t>If "RWA calculation method" equals '1 - IRB' and "Default status of the instrument" equal '14 - Not in default' and "Project finance loan" equal '2 - Non-project finance loan' then "Coefficient of correlation (R)" cannot be 'Not applicable'</t>
  </si>
  <si>
    <t>LT_R_IN_189_03</t>
  </si>
  <si>
    <t>If "RWA calculation method" equals '1 - IRB' and "Default status of the instrument" is other than '14 - Not in default' or "Project finance loan" is other than '2-Non-project finance loan' then "Coefficient of correlation (R)" should be 'Not applicable'</t>
  </si>
  <si>
    <t>LT_R_IN_190_01</t>
  </si>
  <si>
    <t>If "Subportfolio ID" is classified as 'VRD - Debt Securities', "ISIN code of the securitisation bonds and SRT (Y/N)" must be equal to the default value.</t>
  </si>
  <si>
    <t>LT_R_IN_190_02</t>
  </si>
  <si>
    <t>If "Subportfolio ID" is classified as 'COM - Loan Commitments' or 'GUAR - Guarantees' or 'OCOM - Other commitments', "ISIN code of the securitisation bonds and SRT (Y/N)" must be equal to the default value</t>
  </si>
  <si>
    <t>LT_R_IN_198_01</t>
  </si>
  <si>
    <t>If "Gross Interest income distributed to SCIB under the Collabotarion Revenues distribution agreement (YTD)" is populated with other than default values then "Gross Interest income before distribution to SCIB under the Collabotarion Revenues distribution agreement (YTD)" cannot be 'Not Applicable</t>
  </si>
  <si>
    <t>LT_R_IN_198_02</t>
  </si>
  <si>
    <t>If "Gross Interest income distributed to SCIB under the Collabotarion Revenues distribution agreement (YTD)" and "Gross Interest income before distribution to SCIB under the Collabotarion Revenues distribution agreement (YTD)" are populated with other than default values then "Gross Interest income distributed to SCIB under the Collabotarion Revenues distribution agreement (YTD)" must be less or equal to "Gross Interest income before distribution to SCIB under the Collabotarion Revenues distribution agreement (YTD)"</t>
  </si>
  <si>
    <t>LT_R_IN_198_03</t>
  </si>
  <si>
    <t>If "Subportfolio ID" is classified as 'COM - Loan Commitments' or 'GUAR - Guarantees' or 'OCOM - Other commitments', then "Gross Interest income before distribution to SCIB under the Collabotarion Revenues distribution agreement (YTD)" must be 0 or default value</t>
  </si>
  <si>
    <t>LT_R_IN_199_01</t>
  </si>
  <si>
    <t>If "Gross fee and commission income distributed to SCIB under the Collabotarion Revenues distribution agreement (YTD)" is populated with other than default values then "Gross fee and commission income before distribution to SCIB under the Collabotarion Revenues distribution agreement (YTD)" cannot be 'Not Applicable'</t>
  </si>
  <si>
    <t>LT_R_IN_199_02</t>
  </si>
  <si>
    <t>If "Gross fee and commission income distributed to SCIB under the Collabotarion Revenues distribution agreement (YTD)" and "Gross fee and commission income before distribution to SCIB under the Collabotarion Revenues distribution agreement (YTD)" are populated with other than default values then "Gross fee and commission income distributed to SCIB under the Collabotarion Revenues distribution agreement (YTD)" must be less or equal to "Gross fee and commission income before distribution to SCIB under the Collabotarion Revenues distribution agreement (YTD)"</t>
  </si>
  <si>
    <t>LT_R_IN_199_03</t>
  </si>
  <si>
    <t>If "Subportfolio ID" is classified as 'COM - Loan Commitments' or 'GUAR - Guarantees' or 'OCOM - Other commitments', then "Gross fee and commission income before distribution to SCIB under the Collabotarion Revenues distribution agreement (YTD)" must be 0 or default value</t>
  </si>
  <si>
    <t>LT_R_IN_199_04</t>
  </si>
  <si>
    <t>If "Referral Fees (YTD)" is populated with other than default values or different than zero '0', then "Gross fee and commission income before distribution to SCIB under the Collabotarion Revenues distribution agreement (YTD)", "Gross fee and commission expense before distribution to SCIB under the Collabotarion Revenues distribution agreement (YTD)", "Gross fee and commission income corresponding to off balance product before distribution to SCIB under the Collabotarion Revenues distribution agreement (YTD)" or "Gross fee and commission expense corresponding to off balance product before distribution to SCIB under the Collabotarion Revenues distribution agreement (YTD)" cannot be 'Not Applicable' nor zero '0'</t>
  </si>
  <si>
    <t>LT_R_IN_199_05</t>
  </si>
  <si>
    <t>If "Insurance (YTD)" is populated with other than default values or different than zero '0', then "Gross fee and commission income before distribution to SCIB under the Collabotarion Revenues distribution agreement (YTD)", "Gross fee and commission expense before distribution to SCIB under the Collabotarion Revenues distribution agreement (YTD)", "Gross fee and commission income corresponding to off balance product before distribution to SCIB under the Collabotarion Revenues distribution agreement (YTD)" or "Gross fee and commission expense corresponding to off balance product before distribution to SCIB under the Collabotarion Revenues distribution agreement (YTD)" cannot be 'Not Applicable' nor zero '0'</t>
  </si>
  <si>
    <t>LT_R_IN_200_01</t>
  </si>
  <si>
    <t>"Internal transfer rate amount" should be less or equal to "Gross Carrying Amount Instrument"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</si>
  <si>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</si>
  <si>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</si>
  <si>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</si>
  <si>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</si>
  <si>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</si>
  <si>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</si>
  <si>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</si>
  <si>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fee and commission expense distributed to SCIB under the Collabotarion Revenues distribution agreement (YTD)" is populated with other than default values then "Gross fee and commission expense before distribution to SCIB under the Collabotarion Revenues distribution agreement (YTD)" cannot be 'Not Applicable'</t>
  </si>
  <si>
    <t>LT_R_IN_204_02</t>
  </si>
  <si>
    <t>If "Gross fee and commission expense distributed to SCIB under the Collabotarion Revenues distribution agreement (YTD)" and "Gross fee and commission expense before distribution to SCIB under the Collabotarion Revenues distribution agreement (YTD)" are populated with other than default values then "Gross fee and commission expense distributed to SCIB under the Collabotarion Revenues distribution agreement (YTD)" must be less or equal to "Gross fee and commission expense before distribution to SCIB under the Collabotarion Revenues distribution agreement (YTD)"</t>
  </si>
  <si>
    <t>LT_R_IN_204_03</t>
  </si>
  <si>
    <t>If "Subportfolio ID" is classified as 'COM - Loan Commitments' or 'GUAR - Guarantees' or 'OCOM - Other commitments', then "Gross fee and commission expense before distribution to SCIB under the Collabotarion Revenues distribution agreement (YTD)" must be 0 or default value</t>
  </si>
  <si>
    <t>LT_R_IN_205_01</t>
  </si>
  <si>
    <t>If "Gains (Losses) On Financial Transaction (gft) And Exchange Differences distributed to SCIB under the Collabotarion Revenues distribution agreement (YTD)" is populated with other than default values then "Gains (Losses) On Financial Transaction (gft) And Exchange Differences, before distribution to SCIB under the Collabotarion Revenues distribution agreement (YTD)" cannot be 'Not Applicable'</t>
  </si>
  <si>
    <t>LT_R_IN_205_02</t>
  </si>
  <si>
    <t>If "Gains (Losses) On Financial Transaction (gft) And Exchange Differences distributed to SCIB under the Collabotarion Revenues distribution agreement (YTD)" and "Gains (Losses) On Financial Transaction (gft) And Exchange Differences, before distribution to SCIB under the Collabotarion Revenues distribution agreement (YTD)" are populated with other than default values then "Gains (Losses) On Financial Transaction (gft) And Exchange Differences distributed to SCIB under the Collabotarion Revenues distribution agreement (YTD)" must be less or equal to "Gains (Losses) On Financial Transaction (gft) And Exchange Differences, before distribution to SCIB under the Collabotarion Revenues distribution agreement (YTD)"</t>
  </si>
  <si>
    <t>LT_R_IN_205_03</t>
  </si>
  <si>
    <t>If "Subportfolio ID" is classified as 'COM - Loan Commitments' or 'GUAR - Guarantees' or 'OCOM - Other commitments', then "Gains (Losses) On Financial Transaction (gft) And Exchange Differences, before distribution to SCIB under the Collabotarion Revenues distribution agreement (YTD)" must be 0 or default value</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</si>
  <si>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</si>
  <si>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</si>
  <si>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</si>
  <si>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</si>
  <si>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</si>
  <si>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</si>
  <si>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</si>
  <si>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</si>
  <si>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</si>
  <si>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</si>
  <si>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</si>
  <si>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</si>
  <si>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</si>
  <si>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</si>
  <si>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</si>
  <si>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(YTD)" cannot be 'Not applicable'</t>
  </si>
  <si>
    <t>LT_R_IN_211_01</t>
  </si>
  <si>
    <t>If "Management Product" is populated as 'PRDCT0202 - Undrawn balances Committed' or 'PRDCT0201 - Contingent Risk' then "Internal transfer rate due to off balance amounts" cannot be 'Not Applicable'</t>
  </si>
  <si>
    <t>LT_R_IN_211_02</t>
  </si>
  <si>
    <t>"Internal transfer rate due to off balance amounts" should be less or equal to "Off-balance sheet amount"</t>
  </si>
  <si>
    <t>LT_R_IN_212_01</t>
  </si>
  <si>
    <t>If "Management Product" is populated as 'PRDCT0202 - Undrawn balances Committed' or 'PRDCT0201 - Contingent Risk' then "Gross fee and commission income corresponding to off balance product before distribution to SCIB under the Collabotarion Revenues distribution agreement (YTD)" cannot be 'Not Applicable'</t>
  </si>
  <si>
    <t>LT_R_IN_212_02</t>
  </si>
  <si>
    <t>If "Gross fee and commission income corresponding to off balance product distributed to SCIB under the Collabotarion Revenues distribution agreement (YTD)" is populated with other than default values then "Gross fee and commission income corresponding to off balance product before distribution to SCIB under the Collabotarion Revenues distribution agreement (YTD)" cannot be 'Not Applicable</t>
  </si>
  <si>
    <t>LT_R_IN_212_03</t>
  </si>
  <si>
    <t>If "Gross fee and commission income corresponding to off balance product distributed to SCIB under the Collabotarion Revenues distribution agreement (YTD)" and "Gross fee and commission income corresponding to off balance product before distribution to SCIB under the Collabotarion Revenues distribution agreement (YTD)" are populated with other than default values then "Gross fee and commission income corresponding to off balance product distributed to SCIB under the Collabotarion Revenues distribution agreement (YTD)" must be less or equal to "Gross fee and commission income corresponding to off balance product before distribution to SCIB under the Collabotarion Revenues distribution agreement (YTD)"</t>
  </si>
  <si>
    <t>LT_R_IN_213_01</t>
  </si>
  <si>
    <t>If "Management Product" is populated as 'PRDCT0202 - Undrawn balances Committed' or 'PRDCT0201 - Contingent Risk' then "Gross fee and commission expense corresponding to off balance product before distribution to SCIB under the Collabotarion Revenues distribution agreement (YTD)" cannot be 'Not Applicable'</t>
  </si>
  <si>
    <t>LT_R_IN_213_02</t>
  </si>
  <si>
    <t>If "Gross fee and commission expense corresponding to off balance product distributed to SCIB under the Collabotarion Revenues distribution agreement (YTD)" is populated with other than default values then "Gross fee and commission expense corresponding to off balance product before distribution to SCIB under the Collabotarion Revenues distribution agreement (YTD)" cannot be 'Not Applicable'</t>
  </si>
  <si>
    <t>LT_R_IN_213_03</t>
  </si>
  <si>
    <t>If "Gross fee and commission expense corresponding to off balance product distributed to SCIB under the Collabotarion Revenues distribution agreement (YTD)" and "Gross fee and commission expense corresponding to off balance product before distribution to SCIB under the Collabotarion Revenues distribution agreement (YTD)" are populated with other than default values then "Gross fee and commission expense corresponding to off balance product distributed to SCIB under the Collabotarion Revenues distribution agreement (YTD)" must be less or equal to "Gross fee and commission expense corresponding to off balance product before distribution to SCIB under the Collabotarion Revenues distribution agreement (YTD)"</t>
  </si>
  <si>
    <t>LT_R_IN_215_01</t>
  </si>
  <si>
    <t>If "Gross Interest expense distributed to SCIB under the Collabotarion Revenues distribution agreement (YTD)" is populated with other than default values then "Gross Interest expense before distribution to SCIB under the Collabotarion Revenues distribution agreement (YTD)" cannot be 'Not Applicable'</t>
  </si>
  <si>
    <t>LT_R_IN_215_02</t>
  </si>
  <si>
    <t>If "Gross Interest expense distributed to SCIB under the Collabotarion Revenues distribution agreement (YTD)" and "Gross Interest expense before distribution to SCIB under the Collabotarion Revenues distribution agreement (YTD)" are populated with other than default values then "Gross Interest expense distributed to SCIB under the Collabotarion Revenues distribution agreement (YTD)" must be less or equal to "Gross Interest expense before distribution to SCIB under the Collabotarion Revenues distribution agreement (YTD)"</t>
  </si>
  <si>
    <t>LT_R_IN_216_01</t>
  </si>
  <si>
    <t>If "Management Product" is populated as 'PRDCT0202 - Undrawn balances Committed' or 'PRDCT0201 - Contingent Risk' then "Net loan-loss provisions corresponding to off balance exposures (YTD)" cannot be 'Not Applicable'</t>
  </si>
  <si>
    <t>LT_R_IN_217_01</t>
  </si>
  <si>
    <t>If "Subportfolio ID" is classified as 'COM - Loan Commitments' or 'GUAR - Guarantees' or 'OCOM - Other commitments', then "Gross Interest income distributed to SCIB under the Collabotarion Revenues distribution agreement (YTD)" must be 0 or default value</t>
  </si>
  <si>
    <t>LT_R_IN_218_01</t>
  </si>
  <si>
    <t>If "Subportfolio ID" is classified as 'COM - Loan Commitments' or 'GUAR - Guarantees' or 'OCOM - Other commitments', then "Gross Interest expense distributed to SCIB under the Collabotarion Revenues distribution agreement (YTD)" must be 0 or default value</t>
  </si>
  <si>
    <t>LT_R_IN_219_01</t>
  </si>
  <si>
    <t>If "Subportfolio ID" is classified as 'COM - Loan Commitments' or 'GUAR - Guarantees' or 'OCOM - Other commitments', then "Gross fee and commission income distributed to SCIB under the Collabotarion Revenues distribution agreement (YTD)" must be 0 or default value</t>
  </si>
  <si>
    <t>LT_R_IN_220_01</t>
  </si>
  <si>
    <t>If "Subportfolio ID" is classified as 'COM - Loan Commitments' or 'GUAR - Guarantees' or 'OCOM - Other commitments', then "Gross fee and commission expense distributed to SCIB under the Collabotarion Revenues distribution agreement (YTD)" must be 0 or default value</t>
  </si>
  <si>
    <t>LT_R_IN_221_01</t>
  </si>
  <si>
    <t>If "Subportfolio ID" is classified as 'COM - Loan Commitments' or 'GUAR - Guarantees' or 'OCOM - Other commitments', then "Gains (Losses) On Financial Transaction (gft) And Exchange Differences distributed to SCIB under the Collabotarion Revenues distribution agreement (YTD)" must be 0 or default value</t>
  </si>
  <si>
    <t>LT_R_IN_229_01</t>
  </si>
  <si>
    <t>LT_R_IN_229_02</t>
  </si>
  <si>
    <t>LT_R_IN_229_03</t>
  </si>
  <si>
    <t>If for each PROTECTION_ID linked to one INSTRUMENT_ID "Protection Type" is set as '8 - Residential real estate collateral' then "Loans Collateralized Classification" must be 'FMC2 - Real Estate. Residential'</t>
  </si>
  <si>
    <t>LT_R_IN_229_04</t>
  </si>
  <si>
    <t>If for each PROTECTION_ID linked to one INSTRUMENT_ID "Protection Type" is set as '9 - Offices and commercial premises' or '10 - Commercial real estate collateral' then "Loans Collateralized Classification" must be 'FMC1 - Real Estate. Commercial'</t>
  </si>
  <si>
    <t>LT_R_IN_229_05</t>
  </si>
  <si>
    <t>If for each PROTECTION_ID linked to one INSTRUMENT_ID "Protection Type" is populated with other than default values and '8 - Residential Real Estate Collateral' then "Loans Collateralized Classification" cannot be 'FMC2 - Real Estate. Residential'</t>
  </si>
  <si>
    <t>LT_R_IN_229_06</t>
  </si>
  <si>
    <t>If for each PROTECTION_ID linked to one INSTRUMENT_ID "Protection Type" is populated with 'Not Applicable' values or is a "personal guarantee" then "Loans Collateralized Classification" must be 'FMC4 - No Collateral Real' (We consider "personal guarantee" when "Protection ID" matches the "Protection Provider ID" (Guarantor) or "Tax ID" (Protection level) is populated other than default value and the "Protection type" equals '7 - Other protection')</t>
  </si>
  <si>
    <t>LT_R_IN_229_07</t>
  </si>
  <si>
    <t>If for each PROTECTION_ID linked to one INSTRUMENT_ID "Protection Type"  is populated with other than default values, '9 - Offices and commercial premises' and '10 - Commercial real estate collateral' then "Loans Collateralized Classification" cannot be 'FMC1 - Real Estate. Commercial'</t>
  </si>
  <si>
    <t>LT_R_IN_230_02</t>
  </si>
  <si>
    <t>If "Counterparty's emissions scope 1" (Main Entity level) is populated with other than default values then "Financed emissions calculation approach at instrument level scope 1" cannot be 'Not Applicable'</t>
  </si>
  <si>
    <t>LT_R_IN_230_03</t>
  </si>
  <si>
    <t>If "Financed emissions calculation approach at protection level scope 1" is populated with other than default values then "Financed emissions calculation approach at instrument level scope 1" cannot be 'Not Applicable'</t>
  </si>
  <si>
    <t>LT_R_IN_231_02</t>
  </si>
  <si>
    <t>If "Counterparty's emissions scope 2" (Main Entity level) is populated with other than default values then "Financed emissions calculation approach at instrument level scope 2"cannot be 'Not Applicable'</t>
  </si>
  <si>
    <t>LT_R_IN_231_03</t>
  </si>
  <si>
    <t>If "Financed emissions calculation approach at protection level scope 2" is populated with other than default values then "Financed emissions calculation approach at instrument level scope 2" cannot be 'Not Applicable'</t>
  </si>
  <si>
    <t>LT_R_IN_232_02</t>
  </si>
  <si>
    <t>If "Counterparty's emissions scope 3" (Main Entity level) is populated with other than default values then "Financed emissions calculation approach at instrument level scope 3"cannot be 'Not Applicable'</t>
  </si>
  <si>
    <t>LT_R_IN_232_03</t>
  </si>
  <si>
    <t>If "Financed emissions calculation approach at protection level scope 3" is populated with other than default values then "Financed emissions calculation approach at instrument level scope 3" cannot be 'Not Applicable'</t>
  </si>
  <si>
    <t>LT_R_IN_235_01</t>
  </si>
  <si>
    <t xml:space="preserve">If "RWA calculation method" is set as '1 - IRB' then "Expected loss (CRR)" cannot be 'Not Applicable' </t>
  </si>
  <si>
    <t>LT_R_IN_235_02</t>
  </si>
  <si>
    <t xml:space="preserve">If "RWA calculation method" is set as '2 - Standard' then "Expected loss (CRR)" should be 'Not Applicable' </t>
  </si>
  <si>
    <t>LT_R_IN_236_01</t>
  </si>
  <si>
    <t xml:space="preserve">If "Loans collateralized classification" is populated as 'FMC1 - Real Estate. Commercial' or 'FMC2 - Real Estate. Residential' then "LSTI at reference date" cannot be 'Not Applicable' </t>
  </si>
  <si>
    <t>LT_R_IN_237_01</t>
  </si>
  <si>
    <t xml:space="preserve">If "Loans collateralized classification" is populated as 'FMC1 - Real Estate. Commercial' or 'FMC2 - Real Estate. Residential' then "DSTI at reference date" cannot be 'Not Applicable' </t>
  </si>
  <si>
    <t>LT_R_IN_238_01</t>
  </si>
  <si>
    <t xml:space="preserve">If "Loans collateralized classification" is populated as 'FMC1 - Real Estate. Commercial' or 'FMC2 - Real Estate. Residential' then "Loan to income (LTI) at reference date (instrument level)" cannot be 'Not Applicable' </t>
  </si>
  <si>
    <t>LT_R_IN_240_01</t>
  </si>
  <si>
    <t>If "Type of interest rate" is set as '1 - Fixed' then "Interest rate cap" should be defaulted</t>
  </si>
  <si>
    <t>LT_R_IN_240_03</t>
  </si>
  <si>
    <t>"Interest rate cap" should be greater than or equal to "Interest rate at the reference date"</t>
  </si>
  <si>
    <t>LT_R_IN_241_01</t>
  </si>
  <si>
    <t>If "Type of interest rate" is set as '1 - Fixed' then "Interest rate floor" should be defaulted</t>
  </si>
  <si>
    <t>LT_R_IN_241_03</t>
  </si>
  <si>
    <t>"Interest rate floor" should be less than or equal to "Interest rate at the reference date"</t>
  </si>
  <si>
    <t>LT_R_IN_243_01</t>
  </si>
  <si>
    <t>If "Type of interest rate" is set as '1 - Fixed' then "Reference interest rate" should be defaulted</t>
  </si>
  <si>
    <t>LT_R_IN_243_02</t>
  </si>
  <si>
    <t>If "Type of interest rate" is set as '2 - Variable' or '3 - Mixed' then "Reference interest rate" cannot be 'Not Applicable'</t>
  </si>
  <si>
    <t>LT_R_IN_244_01</t>
  </si>
  <si>
    <t>"Settlement date" must be later than or equal to "Date of inception"</t>
  </si>
  <si>
    <t>LT_R_IN_244_02</t>
  </si>
  <si>
    <t>"Settlement date" must be earlier than or equal to "Legal final maturity date (latest repayment date)"</t>
  </si>
  <si>
    <t>LT_R_IN_244_03</t>
  </si>
  <si>
    <t>"Settlement date" must be earlier than or equal to "Next interest rate reset date"</t>
  </si>
  <si>
    <t>LT_R_IN_244_04</t>
  </si>
  <si>
    <t>"Settlement date" must be earlier than or equal to "End date of the interest-only period"</t>
  </si>
  <si>
    <t>LT_R_IN_245_01</t>
  </si>
  <si>
    <t>If "Type of securitization" is set as 'SEC01 - Traditional securitization' then "Transferred amount" should be greater than 0</t>
  </si>
  <si>
    <t>LT_R_IN_247_01</t>
  </si>
  <si>
    <t>If "Off-balance sheet amount" or "Provisions associated with off-balance sheet exposures" are populated with other than default values and distinct from 0 then "Type of off balance product" cannot be 'Not Applicable'</t>
  </si>
  <si>
    <t>LT_R_IN_247_02</t>
  </si>
  <si>
    <t>If "Subportfolio ID" is set as 'COM - Loan commitments (off BS)' then "Type of off balance product" should be 'COM - Loan commitments given'</t>
  </si>
  <si>
    <t>LT_R_IN_247_03</t>
  </si>
  <si>
    <t>If "Subportfolio ID" is set as 'OCOM - Other commitments (off BS)' then "Type of off balance product" should be 'OCOM - Other commitments given'</t>
  </si>
  <si>
    <t>LT_R_IN_247_04</t>
  </si>
  <si>
    <t>If "Subportfolio ID" is set as 'GUAR - Guarantees (off BS)' then "Type of off balance product" should be 'GUAR - Financial guarantees given'</t>
  </si>
  <si>
    <t>LT_R_IN_248_01</t>
  </si>
  <si>
    <t>If "Type of securitization" is set as 'SEC02 - Synthetic securitization' and "Outstanding gross nominal amount" is greater than 0 then "Balance sheet recognition" should be 'REC01 - Entirely recognised' or 'REC02 - Recognised to the extent of the institution's continuing involvement'</t>
  </si>
  <si>
    <t>LT_R_IN_251_01</t>
  </si>
  <si>
    <t>If "Leverage ratio as per ECB Guidance on leveraged transactions; total debt vs EBITDA" is equal or greater than 4 or "&gt;50% owned by a sponsor as per ECB Guidance on leveraged transactions" is set as 'Y' and "Leverage finance flag" is set as 'NLF - Not leveraged finance transaction', then "Excluded Leveraged Transaction Exposures" must be 'EXC04 - Trade Finance', 'EXC05 - Specialised Lending', 'EXC06 - SME', 'EXC07 - Companies where Santander exposure is &lt;5MM euros', 'EXC08 - Financial institutions, public sector entities or similar' or 'EXC09 - Investment Grade'</t>
  </si>
  <si>
    <t>LT_R_IN_251_02</t>
  </si>
  <si>
    <t>If "Subportfolio ID" is classified as 'SNF - Non-financial corporations' and "Type of instrument" in ('1001 - Revolving credit other than overdrafts and credit card debt', '1002 - Credit lines other than revolving credit', '1004 - Loans other than overdrafts, convenience credit, extended credit, credit card credit, revolving credit other than credit card credit, reverse repurchase agreements, trade receivables and financial leases', '80 - Finance leases', '2001 - Guarantees') then "Excluded Leveraged Transaction Exposures" cannot be 'EXC04 -Trade Finance'</t>
  </si>
  <si>
    <t>LT_R_IN_251_03</t>
  </si>
  <si>
    <t>If "Enterprise size Counterparty (LE)" is not classified as '2 - Medium enterprise', '3 - Small enterprise' or '4 - Micro enterprise' then "Excluded Leveraged Transaction Exposures" cannot be 'EXC06 - SME'</t>
  </si>
  <si>
    <t>LT_R_IN_251_04</t>
  </si>
  <si>
    <t>If "Commitment amount at inception" is greater or equal to 5 million euros then "Excluded Leveraged Transaction Exposures" cannot be 'EXC07 - Companies where Santander exposure is &lt;5MM euros'</t>
  </si>
  <si>
    <t>LT_R_IN_251_05</t>
  </si>
  <si>
    <t>If "Gross carrying amount" plus "Off-balance sheet amount" is greater or equal to 5 million euros then "Excluded Leveraged Transaction Exposures" cannot be 'EXC07 - Companies where Santander exposure is &lt;5MM euros'</t>
  </si>
  <si>
    <t>LT_R_IN_251_06</t>
  </si>
  <si>
    <t>If "Subportfolio ID" is classified as 'SNF - Non-financial corporations' then "Excluded Leveraged Transaction Exposures" cannot be 'EXC08 - Financial institutions, public sector entities or similar'</t>
  </si>
  <si>
    <t>LT_R_IN_251_07</t>
  </si>
  <si>
    <t>If "Probability of default according to Economic Capital at reference date" is greater than 0,5% (assimilated to investment grade) then "Excluded Leveraged Transaction Exposures" cannot be like 'EXC09 - Investment Grade'</t>
  </si>
  <si>
    <t>LT_R_IN_251_08</t>
  </si>
  <si>
    <t>If "Primary asset classification" is populated with values other than 'D.12 - Securitisation bond - Securitisation is the issuance of debt securities for which coupon or principal payments are backed by specified assets or by future income streams.', 'D.121 - Traditional securitisation - In case of traditional securitisation, the transfer of credit risk takes place by transferring the assets subject to that risk.', 'D.122 - Synthetic securitisation - In case of synthetic securitisation, the transfer of credit risk takes place by means of instruments that provide insurance against credit losses, without an actual transfer of assets taking place.' or 'D.129 - Other securitisation - A securitisation that is of a type not listed separately.' then "Excluded Leveraged Transaction Exposures" cannot be 'EXC02 - Securitisations'</t>
  </si>
  <si>
    <t>LT_R_IN_253_01</t>
  </si>
  <si>
    <t>"RWA premitigation" should be greater than or equal to "RWA for exposures subject to credit risk mitigation techniques"</t>
  </si>
  <si>
    <t>LT_R_IN_253_02</t>
  </si>
  <si>
    <t>"RWA premitigation" should be greater than or equal to "RWA"</t>
  </si>
  <si>
    <t>LT_R_IN_261_01</t>
  </si>
  <si>
    <t>If "Syndication type" is '1 - Club_deal', '2 - Underwriting' or '3 - Best_effort', then "Type of Deal" must be 'DEL01 - Syndicated loan (includes underwritten, best effort, club deals and other syndicated loans)'</t>
  </si>
  <si>
    <t>LT_R_IN_261_02</t>
  </si>
  <si>
    <t>If "Type of instrument" is '2001 - Guarantees' then "Type of Deal" must be 'DEL05 - Guarantee'</t>
  </si>
  <si>
    <t>LT_R_IN_261_03</t>
  </si>
  <si>
    <t>If "Syndication type" is other than '1 - Club_deal', '2 - Underwriting' or '3 - Best_effort', then "Type of Deal" cannot be 'DEL01 - Syndicated loan (includes underwritten, best effort, club deals and other syndicated loans)'</t>
  </si>
  <si>
    <t>LT_R_IN_263_01</t>
  </si>
  <si>
    <t>If at least one "Sustainable Category" linked to INSTRMNT_ID is populated with other than '6001 - Not sustainable' then "Partner" cannot be 'Not Applicable'</t>
  </si>
  <si>
    <t>LT_R_IN_264_01</t>
  </si>
  <si>
    <t>If at least one "Sustainable Category" linked to INSTRMNT_ID is populated with other than '6001 - Not sustainable' then "Incentives (YTD)" cannot be 'Not Applicable'</t>
  </si>
  <si>
    <t>LT_R_IN_265_01</t>
  </si>
  <si>
    <t>If at least one "Sustainable Category" linked to INSTRMNT_ID is populated with other than '6001 - Not sustainable' then "Other operating income (YTD)" cannot be 'Not Applicable'</t>
  </si>
  <si>
    <t>LT_R_IN_266_02</t>
  </si>
  <si>
    <t>If at least one "Sustainable Category" linked to INSTRMNT_ID is populated with other than '6001 - Not sustainable' then "Referral Fees (YTD)" cannot be 'Not Applicable'</t>
  </si>
  <si>
    <t>LT_R_IN_267_02</t>
  </si>
  <si>
    <t>If at least one "Sustainable Category" linked to INSTRMNT_ID is populated with other than '6001 - Not sustainable' then "Insurance (YTD)" cannot be 'Not Applicable'</t>
  </si>
  <si>
    <t>INSRNC_CMMSSNS</t>
  </si>
  <si>
    <t>LT_R_IN_268_01</t>
  </si>
  <si>
    <t>If at least one "Sustainable Category" linked to INSTRMNT_ID is populated with other than '6001 - Not sustainable' then "Other income and charges (YTD)" cannot be 'Not Applicable'</t>
  </si>
  <si>
    <t>LT_R_IN_269_01</t>
  </si>
  <si>
    <t>If at least one "Sustainable Category" linked to INSTRMNT_ID is populated with other than '6001 - Not sustainable' then "Tax on Profit (YTD)" cannot be 'Not Applicable'</t>
  </si>
  <si>
    <t>LT_R_IN_270_01</t>
  </si>
  <si>
    <t>If "Probability of default according to Economic Capital at reference date" is populated with 'Not applicable' then "Probability of default according to Economic Capital at inception date" must also be populated with 'Not applicable'</t>
  </si>
  <si>
    <t>LT_R_IN_271_01</t>
  </si>
  <si>
    <t>If "Default status of the instrument" is '18 - Default because both unlikely to pay and more than 90/180 days past due', '19 - Default because unlikely to pay', or '20 - Default because more than 90/180 days past due', then "Probability of default according to Economic Capital at reference date" must equal to 1</t>
  </si>
  <si>
    <t>LT_R_IN_272_01</t>
  </si>
  <si>
    <t>If "Leverage finance flag" is not equal to 'HLT - High Leveraged transaction' or 'LFT - Leveraged finance transaction' then "Leverage ratio at inception date for high leveraged transactions" must be 'Not Applicable'</t>
  </si>
  <si>
    <t>LT_R_IN_272_02</t>
  </si>
  <si>
    <t>If "Leverage finance flag" is equal to 'HLT - High Leveraged transaction' or 'LFT - Leveraged finance transaction' then "Leverage ratio at inception date for high leveraged transactions" cannot be 'Not Applicable'</t>
  </si>
  <si>
    <t>LT_R_IN_272_03</t>
  </si>
  <si>
    <t>"Leverage ratio at inception date for high leveraged transactions" must be equal or greater than "Leverage ratio at inception date"</t>
  </si>
  <si>
    <t>LT_R_IN_273_01</t>
  </si>
  <si>
    <t>If "Commitment amount at inception" is different to "Commitment amount at reference date" then "Date of contract modification" cannot be 'Not Applicable'</t>
  </si>
  <si>
    <t>LT_R_IN_273_02</t>
  </si>
  <si>
    <t>"Date of contract modification" must be later or equal to "Date of inception"</t>
  </si>
  <si>
    <t>LT_R_IN_273_03</t>
  </si>
  <si>
    <t>"Date of contract modification" must be earlier or equal to "Reference date"</t>
  </si>
  <si>
    <t>LT_R_IP_008_01</t>
  </si>
  <si>
    <t>If the protection is not a "personal guarantee" then "Group support" must be 'N' (We consider "personal guarantee" when "Protection ID" matches the "Protection Provider ID" (Guarantor) or "Tax ID" (Protection level) is populated other than default value and the "Protection type" equals '7 - Other protection')</t>
  </si>
  <si>
    <t>LT_R_IP</t>
  </si>
  <si>
    <t>LT_R_PR_002_01</t>
  </si>
  <si>
    <t xml:space="preserve">"Maturity date of the protection" has to be earlier or equal to the longest "Legal final maturity date (latest repayment date)" of the Instruments linked </t>
  </si>
  <si>
    <t>LT_R_PR</t>
  </si>
  <si>
    <t>LT_R_PR_002_02</t>
  </si>
  <si>
    <t xml:space="preserve">If the protection is a "personal guarantee" then "Maturity date of the protection" should be 'Not Applicable' (We consider "personal guarantee" when "Protection ID" matches the "Protection Provider ID" (Guarantor) or "Tax ID" (Protection level) is populated other than default value and the "Protection type" equals '7 - Other protection') </t>
  </si>
  <si>
    <t>INTRA_REL_P_PR</t>
  </si>
  <si>
    <t>LT_R_PR_004_01</t>
  </si>
  <si>
    <t>If "Protection type" is equal to '8 - Residential real estate collateral', '9 - Offices and commercial premises' or '10 - Commercial real estate collateral', then "National reference of the property" cannot be 'Not applicable'</t>
  </si>
  <si>
    <t>LT_R_PR_004_02</t>
  </si>
  <si>
    <t>LT_R_PR_007_01</t>
  </si>
  <si>
    <t>If "Protection type" is equal to '8 - Residential real estate collateral', '9 - Offices and commercial premises' or '10 - Commercial real estate collateral', then "Address (street) and number" must be populated other than 'Not applicable'</t>
  </si>
  <si>
    <t>LT_R_PR_007_02</t>
  </si>
  <si>
    <t>If "Protection type" is not equal to '8 - Residential real estate collateral', '9 - Offices and commercial premises' or '10 - Commercial real estate collateral', then "Address (street) and number" must be populated with default values.</t>
  </si>
  <si>
    <t>LT_R_PR_008_01</t>
  </si>
  <si>
    <t>If "Protection type" is equal to '8 - Residential real estate collateral', '9 - Offices and commercial premises' or '10 - Commercial real estate collateral', then "Real estate collateral location" must be populated other than 'Not applicable'</t>
  </si>
  <si>
    <t>LT_R_PR_008_02</t>
  </si>
  <si>
    <t>If "Protection type" is not equal to '8 - Residential real estate collateral', '9 - Offices and commercial premises' or '10 - Commercial real estate collateral', then "Real estate collateral location" must be populated with default values.</t>
  </si>
  <si>
    <t>LT_R_PR_009_01</t>
  </si>
  <si>
    <t>If "Protection type" is equal to '8 - Residential real estate collateral', '9 - Offices and commercial premises' or '10 - Commercial real estate collateral', then then "Real estate asset location according to bank-internal definition" must be populated other than 'Not applicable'</t>
  </si>
  <si>
    <t>LT_R_PR_009_02</t>
  </si>
  <si>
    <t>If "Protection type" is not equal to '8 - Residential real estate collateral' then "Real estate asset location according to bank-internal definition" must be populated with default values.</t>
  </si>
  <si>
    <t>LT_R_PR_010_01</t>
  </si>
  <si>
    <t>If "Protection type" is equal to '8 - Residential real estate collateral', '9 - Offices and commercial premises' or '10 - Commercial real estate collateral', then "City real estate" must be populated other than 'Not applicable'</t>
  </si>
  <si>
    <t>LT_R_PR_010_02</t>
  </si>
  <si>
    <t>If "Protection type" is not equal to '8 - Residential real estate collateral', '9 - Offices and commercial premises' or '10 - Commercial real estate collateral', then "City real estate" must be populated with default values.</t>
  </si>
  <si>
    <t>LT_R_PR_011_01</t>
  </si>
  <si>
    <t>If "Protection type" is equal to '8 - Residential real estate collateral', '9 - Offices and commercial premises' or '10 - Commercial real estate collateral', then "Post code / ZIP" must be populated other than 'Not applicable'</t>
  </si>
  <si>
    <t>LT_R_PR_011_02</t>
  </si>
  <si>
    <t>If "Protection type" is not equal to '8 - Residential real estate collateral', '9 - Offices and commercial premises' or '10 - Commercial real estate collateral', then "Post code / ZIP" must be populated with default values.</t>
  </si>
  <si>
    <t>LT_R_PR_011_03</t>
  </si>
  <si>
    <t>If "Real estate collateral location" belongs to 'IS - Island' then then "Post code / ZIP" should follow the format "123"</t>
  </si>
  <si>
    <t>LT_R_PR_011_04</t>
  </si>
  <si>
    <t>If "Real estate collateral location" belongs to 'AT - Austria', 'BE - Belgium', 'BG - Bulgaria ', 'CH - Switzerland', 'CY - Cyprus', 'DK - Denmark', 'HU - Hungary', 'LI - Liechtenstein', 'LU - Luxembourg', 'MK - Macedonia', 'NO - Norway', 'SI - Slovenia' then "Post code / ZIP" should follow the format "1234"</t>
  </si>
  <si>
    <t>LT_R_PR_011_05</t>
  </si>
  <si>
    <t>If "Real estate collateral location" belongs to 'DE - Germany', 'EE - Estonia', 'ES - Spain', 'FI - Finland', 'FR - France', 'GR - Greece', 'HR - Croatia', 'IT - Italy', 'LT - Lithuania', 'RS - Serbia', 'TR - Turkey' then "Post code / ZIP" should follow the format "12345"</t>
  </si>
  <si>
    <t>LT_R_PR_011_06</t>
  </si>
  <si>
    <t>If "Real estate collateral location" belongs to 'RO - Romania' then "Post code / ZIP" should follow the format "123456"</t>
  </si>
  <si>
    <t>LT_R_PR_011_07</t>
  </si>
  <si>
    <t>If "Real estate collateral location" belongs to 'CZ - Czech', 'SE - Sweden', 'SK - Slovakia' then "Post code / ZIP" should follow the format "123 45"</t>
  </si>
  <si>
    <t>LT_R_PR_011_08</t>
  </si>
  <si>
    <t>If "Real estate collateral location" belongs to 'IE - Ireland' then "Post code / ZIP" should follow the format "A12"</t>
  </si>
  <si>
    <t>LT_R_PR_011_09</t>
  </si>
  <si>
    <t>If "Real estate collateral location" belongs to 'MT - Malta' then "Post code / ZIP" should follow the format "ABC"</t>
  </si>
  <si>
    <t>LT_R_PR_011_10</t>
  </si>
  <si>
    <t>If "Real estate collateral location" belongs to 'NL - The Netherlands' then "Post code / ZIP" should follow the format "1234 AB2"</t>
  </si>
  <si>
    <t>LT_R_PR_011_11</t>
  </si>
  <si>
    <t>If "Real estate collateral location" belongs to 'PL - Poland' then "Post code / ZIP" should follow the format "12-345"</t>
  </si>
  <si>
    <t>LT_R_PR_011_12</t>
  </si>
  <si>
    <t>If "Real estate collateral location" belongs to 'PT - Portugal' then "Post code / ZIP" should follow the format "1234-567"</t>
  </si>
  <si>
    <t>LT_R_PR_011_13</t>
  </si>
  <si>
    <t>If "Real estate collateral location" belongs to 'LV - Latvia' then "Post code / ZIP" should follow the format"LV-1234"</t>
  </si>
  <si>
    <t>LT_R_PR_011_14</t>
  </si>
  <si>
    <t>If "Real estate collateral location" belongs to 'GB - Great Britain' then "Post code / ZIP" should follow the format "AA9A 9AA", "A9A 9AA", "A9 9AA", "A99 9AA", "AA9 9AA" or "AA99 9AA"</t>
  </si>
  <si>
    <t>LT_R_PR_011_15</t>
  </si>
  <si>
    <t xml:space="preserve">If "Real estate collateral location" is populated with other than default values then "Post code / ZIP" cannot be 'Not Applicable' </t>
  </si>
  <si>
    <t>LT_R_PR_013_01</t>
  </si>
  <si>
    <t xml:space="preserve">If the protection is a "personal guarantee" then "Protection called" should be 'Not Applicable' (We consider "personal guarantee" when "Protection ID" matches the "Protection Provider ID" (Guarantor) or "Tax ID" (Protection level) is populated other than default value and the "Protection type" equals '7 - Other protection') </t>
  </si>
  <si>
    <t>LT_R_PR_014_01</t>
  </si>
  <si>
    <t>LT_R_PR_014_02</t>
  </si>
  <si>
    <t>LT_R_PR_014_03</t>
  </si>
  <si>
    <t>If "Type of protection value" is set as '1 - Fair value' then "Protection type" has to be set as '3 - Other physical collaterals', '5 - Types of protection values other than notional amount, market value, fair value or long-term sustainable value', '7 - Other protection', '12 - Securities', '13 - Gold' or '18 - Equity and investment funds shares'</t>
  </si>
  <si>
    <t>LT_R_PR_014_04</t>
  </si>
  <si>
    <t>LT_R_PR_014_05</t>
  </si>
  <si>
    <t>LT_R_PR_014_06</t>
  </si>
  <si>
    <t>LT_R_PR_014_07</t>
  </si>
  <si>
    <t>LT_R_PR_014_08</t>
  </si>
  <si>
    <t>LT_R_PR_014_09</t>
  </si>
  <si>
    <t>LT_R_PR_014_10</t>
  </si>
  <si>
    <t>LT_R_PR_014_11</t>
  </si>
  <si>
    <t>LT_R_PR_014_12</t>
  </si>
  <si>
    <t>LT_R_PR_014_14</t>
  </si>
  <si>
    <t>LT_R_PR_014_15</t>
  </si>
  <si>
    <t>LT_R_PR_014_16</t>
  </si>
  <si>
    <t>If "Flag Chronic Physical Risk at protection level" is set as 'Y - Yes' then "Protection Type" must be '8 - Residential real estate collateral', '9- Offices and commercial premises' or '10 - Commercial real estate collateral'</t>
  </si>
  <si>
    <t>LT_R_PR_014_17</t>
  </si>
  <si>
    <t>LT_R_PR_014_18</t>
  </si>
  <si>
    <t>LT_R_PR_014_19</t>
  </si>
  <si>
    <t>LT_R_PR_014_20</t>
  </si>
  <si>
    <t>LT_R_PR_014_21</t>
  </si>
  <si>
    <t>LT_R_PR_016_01</t>
  </si>
  <si>
    <t>If "Protection valuation approach" is set as '1 - Counterparty estimation' or '3 - Mark-to-market' then "Type of protection value" has to be set as '1 - Fair value'</t>
  </si>
  <si>
    <t>LT_R_PR_016_02</t>
  </si>
  <si>
    <t>If "Protection valuation approach" is set as '2 - Creditor valuation' then "Type of protection value" has to be set as '1 - Fair value', '2 - Long-term sustainable value' or '3 - Market value'</t>
  </si>
  <si>
    <t>LT_R_PR_016_03</t>
  </si>
  <si>
    <t xml:space="preserve">If "Protection valuation approach" is set as '4 - Other type of valuation' and the protection is other than "personal guarantee" then "Type of protection value" has to be set as '4 - Notional amount'. (We consider "personal guarantee" when "Protection ID" matches the "Protection Provider ID" (Guarantor) or "Tax ID" (Protection level) is populated other than default value and the "Protection type" equals '7 - Other protection') </t>
  </si>
  <si>
    <t>LT_R_PR_016_04</t>
  </si>
  <si>
    <t>If "Protection valuation approach" is set as '5 - Third-party valuation' then "Type of protection value" has to be set as '1 - Fair value' or '3 - Market value'</t>
  </si>
  <si>
    <t>LT_R_PR_016_05</t>
  </si>
  <si>
    <t xml:space="preserve">If the protection is a "personal guarantee" then "Type of protection value" should be 'Not Applicable' (We consider "personal guarantee" when "Protection ID" matches the "Protection Provider ID" (Guarantor) or "Tax ID" (Protection level) is populated other than default value and the "Protection type" equals '7 - Other protection') </t>
  </si>
  <si>
    <t>LT_R_PR_017_01</t>
  </si>
  <si>
    <t xml:space="preserve">If "Appraised market value" is a non default value greater than 0 and the protection is other than "personal guarantee", then "Appraisal currency" cannot be 'Not applicable' (We consider "personal guarantee" when "Protection ID" matches the "Protection Provider ID" (Guarantor) or "Tax ID" (Protection level) is populated other than default value and the "Protection type" equals '7 - Other protection') </t>
  </si>
  <si>
    <t>LT_R_PR_017_02</t>
  </si>
  <si>
    <t xml:space="preserve">If the protection is a "personal guarantee" then "Appraisal currency" should be 'Not Applicable' (We consider "personal guarantee" when "Protection ID" matches the "Protection Provider ID" (Guarantor) or "Tax ID" (Protection level) is populated other than default value and the "Protection type" equals '7 - Other protection') </t>
  </si>
  <si>
    <t>LT_R_PR_018_01</t>
  </si>
  <si>
    <t>If the protection is a "personal guarantee" then "Provider of latest valuation (appraiser)" should be 'Not Applicable' (We consider "personal guarantee" when "Protection ID" matches the "Protection Provider ID" (Guarantor) or "Tax ID" (Protection level) is populated other than default value and the "Protection type" equals '7 - Other protection')</t>
  </si>
  <si>
    <t>LT_R_PR_019_01</t>
  </si>
  <si>
    <t>LT_R_PR_019_03</t>
  </si>
  <si>
    <t>LT_R_PR_020_01</t>
  </si>
  <si>
    <t>LT_R_PR_020_03</t>
  </si>
  <si>
    <t>LT_R_PR_020_04</t>
  </si>
  <si>
    <t xml:space="preserve">If the protection is a "personal guarantee" then "Date of original protection value" should be 'Not Applicable' (We consider "personal guarantee" when "Protection ID" matches the "Protection Provider ID" (Guarantor) or "Tax ID" (Protection level) is populated other than default value and the "Protection type" equals '7 - Other protection') </t>
  </si>
  <si>
    <t>LT_R_PR_021_01</t>
  </si>
  <si>
    <t>If "Type of protection value" is set as '4 - Notional Amount' then "Date of Protection Value" should be equal to "Reference Date"</t>
  </si>
  <si>
    <t>LT_R_PR_021_02</t>
  </si>
  <si>
    <t>LT_R_PR_021_03</t>
  </si>
  <si>
    <t>LT_R_PR_021_04</t>
  </si>
  <si>
    <t>LT_R_PR_021_05</t>
  </si>
  <si>
    <t xml:space="preserve">If the protection is a "personal guarantee" then "Date of protection value" should be 'Not Applicable' (We consider "personal guarantee" when "Protection ID" matches the "Protection Provider ID" (Guarantor) or "Tax ID" (Protection level) is populated other than default value and the "Protection type" equals '7 - Other protection') </t>
  </si>
  <si>
    <t>LT_R_PR_022_01</t>
  </si>
  <si>
    <t>LT_R_PR_022_02</t>
  </si>
  <si>
    <t>LT_R_PR_022_03</t>
  </si>
  <si>
    <t xml:space="preserve">If the protection is a "personal guarantee" then "Original protection value (at inception)" must be 'Not applicable' (We consider "personal guarantee" when "Protection ID" matches the "Protection Provider ID" (Guarantor) or "Tax ID" (Protection level) is populated other than default value and the "Protection type" equals '7 - Other protection') </t>
  </si>
  <si>
    <t>LT_R_PR_024_01</t>
  </si>
  <si>
    <t>LT_R_PR_024_02</t>
  </si>
  <si>
    <t>LT_R_PR_024_03</t>
  </si>
  <si>
    <t>LT_R_PR_024_04</t>
  </si>
  <si>
    <t xml:space="preserve">If the protection is a "personal guarantee" then "Appraised market value" cannot be 'Not applicable' (We consider "personal guarantee" when "Protection ID" matches the "Protection Provider ID" (Guarantor) or "Tax ID" (Protection level) is populated other than default value and the "Protection type" equals '7 - Other protection') </t>
  </si>
  <si>
    <t>LT_R_PR_025_01</t>
  </si>
  <si>
    <t>If "Performing status" is '1 - Non-Performing' and "Protection type" is other than default values or other than '7 - Other protection', then "Most recent appraised market value at the time when the instrument was classified as non-performing" cannot be 'Not applicable'</t>
  </si>
  <si>
    <t>LT_R_PR_025_02</t>
  </si>
  <si>
    <t>If the protection is a "personal guarantee" then "Most recent appraised market value at the time when the instrument was classified as non-performing" must be 'Not applicable' (We consider "personal guarantee" when "Protection ID" matches the "Protection Provider ID" (Guarantor) or "Tax ID" (Protection level) is populated other than default value and the "Protection type" equals '7 - Other protection')</t>
  </si>
  <si>
    <t>LT_R_PR_026_01</t>
  </si>
  <si>
    <t xml:space="preserve">If "Appraised market value" is other than default or zero and the protection is other than "personal guarantee" then "Protection valuation approach" cannot be 'Not applicable' (We consider "personal guarantee" when "Protection ID" matches the "Protection Provider ID" (Guarantor) or "Tax ID" (Protection level) is populated other than default value and the "Protection type" equals '7 - Other protection') </t>
  </si>
  <si>
    <t>LT_R_PR_026_02</t>
  </si>
  <si>
    <t xml:space="preserve">If the protection is a "personal guarantee" then "Protection valuation approach" should be 'Not applicable' (We consider "personal guarantee" when "Protection ID" matches the "Protection Provider ID" (Guarantor) or "Tax ID" (Protection level) is populated other than default value and the "Protection type" equals '7 - Other protection') </t>
  </si>
  <si>
    <t>LT_R_PR_027_01</t>
  </si>
  <si>
    <t>LT_R_PR_027_02</t>
  </si>
  <si>
    <t>LT_R_PR_027_03</t>
  </si>
  <si>
    <t>LT_R_PR_027_04</t>
  </si>
  <si>
    <t xml:space="preserve">If the protection is a "personal guarantee" then "Previous appraisal date" should be 'Not Applicable' (We consider "personal guarantee" when "Protection ID" matches the "Protection Provider ID" (Guarantor) or "Tax ID" (Protection level) is populated other than default value and the "Protection type" equals '7 - Other protection') </t>
  </si>
  <si>
    <t>LT_R_PR_028_01</t>
  </si>
  <si>
    <t>If "Previous appraisal date" is populated other than default values then "Previous appraised market value" has to be populated other than default values</t>
  </si>
  <si>
    <t>LT_R_PR_028_02</t>
  </si>
  <si>
    <t xml:space="preserve">If the protection is a "personal guarantee" then "Previous appraised market value" must be 'Not applicable' (We consider "personal guarantee" when "Protection ID" matches the "Protection Provider ID" (Guarantor) or "Tax ID" (Protection level) is populated other than default value and the "Protection type" equals '7 - Other protection') </t>
  </si>
  <si>
    <t>LT_R_PR_029_01</t>
  </si>
  <si>
    <t>If "Protection type" is set as '8 - Residential real estate collateral', '9 - Offices and commercial premises' or '10 - Commercial real estate collateral', then "Construction status" must be populated other than default values</t>
  </si>
  <si>
    <t>LT_R_PR_029_02</t>
  </si>
  <si>
    <t>LT_R_PR_029_03</t>
  </si>
  <si>
    <t>LT_R_PR_029_04</t>
  </si>
  <si>
    <t>LT_R_PR_029_05</t>
  </si>
  <si>
    <t>LT_R_PR_029_06</t>
  </si>
  <si>
    <t>If "Date of first usage of the building" is later than "Reference date", then "Construction status" should be set as '2 - In construction' , '3 - Land bank without zoning permit' or '4 - Land bank building permit'</t>
  </si>
  <si>
    <t>LT_R_PR_029_07</t>
  </si>
  <si>
    <t>LT_R_PR_029_08</t>
  </si>
  <si>
    <t>LT_R_PR_030_01</t>
  </si>
  <si>
    <t>If "Construction status" is populated other than default value then "Date of construction status" cannot be 'Not Applicable'</t>
  </si>
  <si>
    <t>LT_R_PR_030_02</t>
  </si>
  <si>
    <t>If "Construction status" is populated as 'Not applicable' then "Date of construction status" must be populated with default values</t>
  </si>
  <si>
    <t>LT_R_PR_030_03</t>
  </si>
  <si>
    <t>"Date of construction status" cannot be later than "Reference date"</t>
  </si>
  <si>
    <t>LT_R_PR_031_01</t>
  </si>
  <si>
    <t>If  "Protection type" equals '9 - Offices and commercial premises' or '10 - Commercial real estate collateral' then "Date of first usage of the building" cannot be 'Not applicable'</t>
  </si>
  <si>
    <t>LT_R_PR_032_01</t>
  </si>
  <si>
    <t>LT_R_PR_032_02</t>
  </si>
  <si>
    <t>If "Protection type" is not '8 - Residential real estate collateral' or '9 - Offices and commercial premises' or '10 - Commercial real estate collateral', then "Development status" must be default value</t>
  </si>
  <si>
    <t>LT_R_PR_033_01</t>
  </si>
  <si>
    <t>If "Protection type" equals '8 - Residential real estate collateral', then "Main purpose" must be '7 - Residential' or '8 - Mixed'</t>
  </si>
  <si>
    <t>LT_R_PR_033_02</t>
  </si>
  <si>
    <t>If "Protection type" equals '9 - Offices and commercial premises', then "Main purpose" must be '1 - Office' or '8 - Mixed' or '9 - Other'</t>
  </si>
  <si>
    <t>LT_R_PR_033_03</t>
  </si>
  <si>
    <t>If "Protection type" equals '10 - Commercial real estate collateral', then "Main purpose" must be '2 - Hotel', '3 - Shopping' or '4 - Leisure' or '5 - Parking' or '6 - Logistic' or '8 - Mixed' or '9 - Other'</t>
  </si>
  <si>
    <t>LT_R_PR_033_04</t>
  </si>
  <si>
    <t>If "Protection type" is other than '8 - Residential real estate collateral' or '9 - Offices and commercial premises' or '10 - Commercial real estate collateral', then "Main purpose" must be a default value</t>
  </si>
  <si>
    <t>LT_R_PR_034_01</t>
  </si>
  <si>
    <t>If "Protection type" does not equal '8 - Residential real estate collateral' nor '9 - Offices and commercial premises' nor '10 - Commercial real estate collateral' then "Prime location according to bank-internal definition (Y/N)" must be populated with default values</t>
  </si>
  <si>
    <t>LT_R_PR_034_02</t>
  </si>
  <si>
    <t>If "Protection type" equals '8 - Residential real estate collateral' or '9 - Offices and commercial premises' or '10 - Commercial real estate collateral' then "Prime location according to bank-internal definition (Y/N)" cannot be 'Not applicable'</t>
  </si>
  <si>
    <t>LT_R_PR_035_01</t>
  </si>
  <si>
    <t>If "Current annual operating expenses" is populated other than default values then "Currency of annual income and expenses" cannot be 'Not applicable'</t>
  </si>
  <si>
    <t>LT_R_PR_035_02</t>
  </si>
  <si>
    <t>If "Current annual income" is populated other than default values then "Currency of annual income and expenses" cannot be 'Not applicable'</t>
  </si>
  <si>
    <t>LT_R_PR_039_01</t>
  </si>
  <si>
    <t>If the protection is a "personal guarantee" then "Fiscal ID" cannot be 'Not applicable' (We consider "personal guarantee" when "Protection ID" matches the "Protection Provider ID" (Guarantor) or "Tax ID" (Protection level) is populated other than default value and the "Protection type" equals '7 - Other protection')</t>
  </si>
  <si>
    <t>LT_R_PR_040_01</t>
  </si>
  <si>
    <t>If "Protection Type" is populated with other than '8 - Residential real estate collateral', '9- Offices and commercial premises', '10 - Commercial real estate collateral' then "EP Score Data Type" must be 'Not Applicable'</t>
  </si>
  <si>
    <t>LT_R_PR_040_02</t>
  </si>
  <si>
    <t>If "EP Score" is populated with other than default values or 'EPSC7 - Without EP Score' then "EP Score Data Type" cannot be 'Not Applicable'</t>
  </si>
  <si>
    <t>LT_R_PR_040_03</t>
  </si>
  <si>
    <t>If "EP Score" is populated with 'Not Applicable' values or 'EPSC7 - Without EP Score' then "EP Score Data Type" must be 'Not Applicable'</t>
  </si>
  <si>
    <t>LT_R_PR_041_01</t>
  </si>
  <si>
    <t>If "Protection Type" is populated with other than '8 - Residential real estate collateral', '9- Offices and commercial premises', '10 - Commercial real estate collateral' then "EP Score" must be 'Not Applicable'</t>
  </si>
  <si>
    <t>LT_R_PR_042_01</t>
  </si>
  <si>
    <t>If "Protection Type" is populated with other than '8 - Residential real estate collateral', '9- Offices and commercial premises', '10 - Commercial real estate collateral' then "EPC Label Data Type" must be 'Not Applicable'</t>
  </si>
  <si>
    <t>LT_R_PR_042_02</t>
  </si>
  <si>
    <t>If "EPC Label" is populated with other than default values or 'EPCL8 - Without EPC Label' then "EPC Label Data Type" cannot be 'Not Applicable'</t>
  </si>
  <si>
    <t>LT_R_PR_042_03</t>
  </si>
  <si>
    <t>If "EPC Label" is populated with 'Not Applicable' values or 'EPCL8 - Without EPC Label' then "EPC Label Data Type" must be 'Not Applicable'</t>
  </si>
  <si>
    <t>LT_R_PR_043_01</t>
  </si>
  <si>
    <t>If "Protection Type" is populated with other than '8 - Residential real estate collateral', '9- Offices and commercial premises', '10 - Commercial real estate collateral' then "EPC Label" must be 'Not Applicable'</t>
  </si>
  <si>
    <t>LT_R_PR_044_01</t>
  </si>
  <si>
    <t>If "Protection Type" is populated with other than '8 - Residential real estate collateral', '9- Offices and commercial premises', '10 - Commercial real estate collateral' or '51 - Auto Collateral' then "EPC or Vehicle emissions label data type" must be 'Not Applicable'</t>
  </si>
  <si>
    <t>LT_R_PR_044_02</t>
  </si>
  <si>
    <t>If "EPC emissions label" is populated with other than default values or 'EPCL8 - Without EPC Label' then "EPC or Vehicle emissions label data type" cannot be 'Not Applicable'</t>
  </si>
  <si>
    <t>LT_R_PR_044_03</t>
  </si>
  <si>
    <t>If "Vehicle emissions label" is populated with other than default values then "EPC or Vehicle emissions label data type" cannot be 'Not Applicable'</t>
  </si>
  <si>
    <t>LT_R_PR_045_01</t>
  </si>
  <si>
    <t>If "Protection Type" is populated with other than '8 - Residential real estate collateral', '9- Offices and commercial premises' or '10 - Commercial real estate collateral' then "EPC emissions label" must be 'Not Applicable'</t>
  </si>
  <si>
    <t>LT_R_PR_046_01</t>
  </si>
  <si>
    <t>If "Protection Type" is populated with other than '51 - Auto Collateral' then "Vehicle emissions label" must be 'Not Applicable'</t>
  </si>
  <si>
    <t>LT_R_PR_047_01</t>
  </si>
  <si>
    <t>If "Protection Type" is populated with other than '8 - Residential real estate collateral', '9- Offices and commercial premises', '10 - Commercial real estate collateral' or '51 - Auto Collateral' then "Emissions score data type" must be 'Not Applicable'</t>
  </si>
  <si>
    <t>LT_R_PR_047_02</t>
  </si>
  <si>
    <t>If "EPC emissions score" is populated with other than default values then "Emissions score data type" cannot be 'Not Applicable'</t>
  </si>
  <si>
    <t>LT_R_PR_047_03</t>
  </si>
  <si>
    <t>If "Vehicle's emissions score" is populated with other than default values then "Emissions score data type" cannot be 'Not Applicable'</t>
  </si>
  <si>
    <t>LT_R_PR_048_01</t>
  </si>
  <si>
    <t>If "Protection Type" is populated with other than '8 - Residential real estate collateral', '9- Offices and commercial premises' or '10 - Commercial real estate collateral' then "EPC emissions score" must be 'Not Applicable'</t>
  </si>
  <si>
    <t>LT_R_PR_049_01</t>
  </si>
  <si>
    <t>If "Protection Type" is populated with other than '51 - Auto Collateral' then "Vehicle's emissions score" must be 'Not Applicable'</t>
  </si>
  <si>
    <t>LT_R_PR_050_01</t>
  </si>
  <si>
    <t>If "Financed emissions calculation approach at protection level scope 1" is populated with other than default values then "Protection's emissions scope 1" cannot be 'Not Applicable'</t>
  </si>
  <si>
    <t>LT_R_PR_050_02</t>
  </si>
  <si>
    <t>If "Financed emissions calculation approach at protection level scope 1" is populated with 'Not Applicable' values then "Protection's emissions scope 1" must be 'Not Applicable'</t>
  </si>
  <si>
    <t>LT_R_PR_050_03</t>
  </si>
  <si>
    <t>If "Protection Type" is populated with other than '8 - Residential real estate collateral', '9- Offices and commercial premises', '10 - Commercial real estate collateral' or '51 - Auto Collateral' then "Protection's emissions scope 1" must be 'Not Applicable'</t>
  </si>
  <si>
    <t>LT_R_PR_051_01</t>
  </si>
  <si>
    <t>If "Financed emissions calculation approach at protection level scope 2" is populated with other than default values then "Protection's emissions scope 2" cannot be 'Not Applicable'</t>
  </si>
  <si>
    <t>LT_R_PR_051_02</t>
  </si>
  <si>
    <t>If "Financed emissions calculation approach at protection level scope 2" is populated with 'Not Applicable' values then "Protection's emissions scope 2" must be 'Not Applicable'</t>
  </si>
  <si>
    <t>LT_R_PR_051_03</t>
  </si>
  <si>
    <t>If "Protection Type" is populated with other than '8 - Residential real estate collateral', '9- Offices and commercial premises', '10 - Commercial real estate collateral' or '51 - Auto Collateral' then "Protection's emissions scope 2" must be 'Not Applicable'</t>
  </si>
  <si>
    <t>LT_R_PR_052_01</t>
  </si>
  <si>
    <t>If "Financed emissions calculation approach at protection level scope 3" is populated with other than default values then "Protection's emissions scope 3" cannot be 'Not Applicable'</t>
  </si>
  <si>
    <t>LT_R_PR_052_02</t>
  </si>
  <si>
    <t>If "Financed emissions calculation approach at protection level scope 3" is populated with 'Not Applicable' values then "Protection's emissions scope 3" must be 'Not Applicable'</t>
  </si>
  <si>
    <t>LT_R_PR_052_03</t>
  </si>
  <si>
    <t>If "Protection Type" is populated with other than '8 - Residential real estate collateral', '9- Offices and commercial premises', '10 - Commercial real estate collateral' or '51 - Auto Collateral' then "Protection's emissions scope 3" must be 'Not Applicable'</t>
  </si>
  <si>
    <t>LT_R_PR_053_01</t>
  </si>
  <si>
    <t>If "Financed emissions calculation approach at instrument level scope 1" is set as 'IM15 - Based on Financed assets - Motor vehicle loans' then at least one PROTECTION_ID linked to INSTRUMENT_ID "Financed emissions calculation approach at protection level scope 1" must be populated as 'PM01 - Based on fuel consumption', 'PM02 - Based on vehicle distance', 'PM03 - Average distance per province/state', 'PM04 - Average distance per country', 'PM05 - Distance by country/state - known vehicle type' or 'PM06 - Distance by country/state - unknown vehicle type'</t>
  </si>
  <si>
    <t>LT_R_PR_053_02</t>
  </si>
  <si>
    <t>If "Financed emissions calculation approach at instrument level scope 1" is set as 'IM16 - Based on financed assets - Commercial real estate loans' then at least one PROTECTION_ID linked to INSTRUMENT_ID "Financed emissions calculation approach at protection level scope 1" must be populated as 'PM07 - Supplier specific factors and energy consumption', 'PM08 - Average emission factors and energy consumption', 'PM09 - Average based on EPC label and floor area', 'PM10 - Average based on location/building statistical and floor area' or 'PM11 - Average based on number of buildings'</t>
  </si>
  <si>
    <t>LT_R_PR_054_01</t>
  </si>
  <si>
    <t>If "Financed emissions calculation approach at instrument level scope 2" is set as 'IM15 - Based on Financed assets - Motor vehicle loans' then at least one PROTECTION_ID linked to INSTRUMENT_ID "Financed emissions calculation approach at protection level scope 2" must be populated as 'PM01 - Based on fuel consumption', 'PM02 - Based on vehicle distance', 'PM03 - Average distance per province/state', 'PM04 - Average distance per country', 'PM05 - Distance by country/state - known vehicle type' or 'PM06 - Distance by country/state - unknown vehicle type'</t>
  </si>
  <si>
    <t>LT_R_PR_054_02</t>
  </si>
  <si>
    <t>If "Financed emissions calculation approach at instrument level scope 2" is set as 'IM16 - Based on financed assets - Commercial real estate loans' then at least one PROTECTION_ID linked to INSTRUMENT_ID "Financed emissions calculation approach at protection level scope 2" must be populated as 'PM07 - Supplier specific factors and energy consumption', 'PM08 - Average emission factors and energy consumption', 'PM09 - Average based on EPC label and floor area', 'PM10 - Average based on location/building statistical and floor area' or 'PM11 - Average based on number of buildings'</t>
  </si>
  <si>
    <t>LT_R_PR_055_01</t>
  </si>
  <si>
    <t>If "Financed emissions calculation approach at instrument level scope 3" is set as 'IM15 - Based on Financed assets - Motor vehicle loans' then at least one PROTECTION_ID linked to INSTRUMENT_ID "Financed emissions calculation approach at protection level scope 3" must be populated as 'PM01 - Based on fuel consumption', 'PM02 - Based on vehicle distance', 'PM03 - Average distance per province/state', 'PM04 - Average distance per country', 'PM05 - Distance by country/state - known vehicle type' or 'PM06 - Distance by country/state - unknown vehicle type'</t>
  </si>
  <si>
    <t>LT_R_PR_055_02</t>
  </si>
  <si>
    <t>If "Financed emissions calculation approach at instrument level scope 3" is set as 'IM16 - Based on financed assets - Commercial real estate loans' then at least one PROTECTION_ID linked to INSTRUMENT_ID "Financed emissions calculation approach at protection level scope 3" must be populated as 'PM07 - Supplier specific factors and energy consumption', 'PM08 - Average emission factors and energy consumption', 'PM09 - Average based on EPC label and floor area', 'PM10 - Average based on location/building statistical and floor area' or 'PM11 - Average based on number of buildings'</t>
  </si>
  <si>
    <t>LT_R_PR_056_01</t>
  </si>
  <si>
    <t>If "Protection Type" is populated with other than '8 - Residential real estate collateral', '9- Offices and commercial premises' or '10 - Commercial real estate collateral' then "Flag Acute Physical Risk at protection level" must be 'N - No'</t>
  </si>
  <si>
    <t>LT_R_PR_057_01</t>
  </si>
  <si>
    <t>If "Protection Type" is populated with other than '8 - Residential real estate collateral', '9- Offices and commercial premises' or '10 - Commercial real estate collateral' then "Flag Chronic Physical Risk at protection level" must be 'N - No'</t>
  </si>
  <si>
    <t>LT_R_PR_059_01</t>
  </si>
  <si>
    <t>If "Insurance ID" is populated with other than default values then "Type of hazards insured" cannot be 'Not Applicable'</t>
  </si>
  <si>
    <t>LT_R_PR_059_02</t>
  </si>
  <si>
    <t>If "Insurance ID" is populated with 'Not Applicable' values then "Type of hazards insured" must be defaulted</t>
  </si>
  <si>
    <t>LT_R_PR_060_01</t>
  </si>
  <si>
    <t>If "Insurance ID" is populated with other than default values then "Total amount covered by the insurance" cannot be 'Not Applicable'</t>
  </si>
  <si>
    <t>LT_R_PR_060_02</t>
  </si>
  <si>
    <t>If "Insurance ID" is populated with 'Not Applicable' values then "Total amount covered by the insurance" must be defaulted</t>
  </si>
  <si>
    <t>LT_R_PR_061_01</t>
  </si>
  <si>
    <t>If "Insurance ID" is populated with other than default values then "Maturity date of the insurance" cannot be 'Not Applicable'</t>
  </si>
  <si>
    <t>LT_R_PR_061_02</t>
  </si>
  <si>
    <t>If "Insurance ID" is populated with 'Not Applicable' values then "Maturity date of the insurance" must be defaulted</t>
  </si>
  <si>
    <t>LT_R_PR_062_01</t>
  </si>
  <si>
    <t>If "Protection Type" is populated with other than '8 - Residential real estate collateral', '9- Offices and commercial premises' or '10 - Commercial real estate collateral' then "Flag first home" must be 'N - No'</t>
  </si>
  <si>
    <t>LT_R_PR_063_01</t>
  </si>
  <si>
    <t>If "Construction status" is set as '1 - Built' then "Year of Construction" cannot be 'Not Applicable'</t>
  </si>
  <si>
    <t>LT_R_PR_063_02</t>
  </si>
  <si>
    <t>If "Date of first usage of the building" is lower than or equal to "Reference Date" then "Year of Construction" cannot be 'Not Applicable'</t>
  </si>
  <si>
    <t>LT_R_PR_064_01</t>
  </si>
  <si>
    <t>If "Protection Type" is set as '8 - Residential real estate collateral', '9- Offices and commercial premises', '10 - Commercial real estate collateral' then "Building Area (M2)" cannot be 'Not applicable'</t>
  </si>
  <si>
    <t>LT_R_PR_064_02</t>
  </si>
  <si>
    <t>If "Protection Type" is populated with other values than '8 - Residential real estate collateral', '9- Offices and commercial premises', '10 - Commercial real estate collateral' then "Building Area (M2)" must be default a default value</t>
  </si>
  <si>
    <t>LT_R_PR_065_01</t>
  </si>
  <si>
    <t>If "Protection Type" is set as '8 - Residential real estate collateral', '9- Offices and commercial premises', '10 - Commercial real estate collateral' then "Land Area (M2)" cannot be 'Not applicable'</t>
  </si>
  <si>
    <t>LT_R_PR_065_02</t>
  </si>
  <si>
    <t>If "Protection Type" is populated with other values than '8 - Residential real estate collateral', '9- Offices and commercial premises', '10 - Commercial real estate collateral' then "Land Area (M2)" must be default a default value</t>
  </si>
  <si>
    <t>LT_R_PR_065_03</t>
  </si>
  <si>
    <t>The sum of "Land Area (M2)" and "Building Area (M2)" must be greater than 30</t>
  </si>
  <si>
    <t>LT_R_PR_067_01</t>
  </si>
  <si>
    <t>If "Protection type" is '8 - Residential real estate collateral', '9 - Offices and commercial premises' or '10 - Commercial real estate collateral', then "Real estate sustainable certifications" cannot be 'Not Applicable'</t>
  </si>
  <si>
    <t>LT_R_PR_067_02</t>
  </si>
  <si>
    <t>If "Protection type" is not '8 - Residential real estate collateral', '9 - Offices and commercial premises' or '10 - Commercial real estate collateral', then "Real estate sustainable certifications" must be 'Not Applicable'</t>
  </si>
  <si>
    <t>LT_R_PR_068_01</t>
  </si>
  <si>
    <t>If "Protection type" is '51 - Auto collateral' then "Type of vehicle" cannot be 'Not Applicable'</t>
  </si>
  <si>
    <t>LT_R_PR_068_02</t>
  </si>
  <si>
    <t>If "Protection type" is populated with other than '51 - Auto collateral' then "Type of vehicle" must be 'Not Applicable'</t>
  </si>
  <si>
    <t>LT_R_PR_069_01</t>
  </si>
  <si>
    <t>If "Protection type" is '51 - Auto collateral' then "Registration date of the vehicle" cannot be 'Not Applicable'</t>
  </si>
  <si>
    <t>LT_R_PR_069_02</t>
  </si>
  <si>
    <t>If "Protection type" is populated with other than '51 - Auto collateral' then "Registration date of the vehicle" must be 'Not Applicable'</t>
  </si>
  <si>
    <t>LT_R_PR_069_03</t>
  </si>
  <si>
    <t>"Registration date of the vehicle" must be earlier than "Date of original protection value"</t>
  </si>
  <si>
    <t>LT_R_PR_070_01</t>
  </si>
  <si>
    <t>If "Real estate collateral location" is populated with other than 'ES - Spain', then "Actual annual primary energy demand from non-renewable sources of the building" must be 'Not Applicable'</t>
  </si>
  <si>
    <t>LT_R_PR_070_02</t>
  </si>
  <si>
    <t>If "Real estate collateral location" is set as 'ES - Spain', then "Actual annual primary energy demand from non-renewable sources of the building" cannot be 'Not Applicable'</t>
  </si>
  <si>
    <t>LT_R_PR_071_01</t>
  </si>
  <si>
    <t>If "Real estate collateral location" is set as 'ES - Spain', then "Actual annual primary energy demand of the building" must be 'Not Applicable'</t>
  </si>
  <si>
    <t>LT_R_PR_071_02</t>
  </si>
  <si>
    <t>If "Real estate collateral location" is populated with other than 'ES - Spain', then "Actual annual primary energy demand of the building" cannot be 'Not Applicable'</t>
  </si>
  <si>
    <t>LT_R_PR_072_01</t>
  </si>
  <si>
    <t>If "Real estate collateral location" is populated with other than 'PT - Portugal', then "Annual primary energy demand of reference" must be 'Not Applicable'</t>
  </si>
  <si>
    <t>LT_R_PR_072_02</t>
  </si>
  <si>
    <t>If "Real estate collateral location" is set as 'PT - Portugal', then "Annual primary energy demand of reference" cannot be 'Not Applicable'</t>
  </si>
  <si>
    <t>LT_R_PR_073_01</t>
  </si>
  <si>
    <t>If "Real estate collateral location" is populated with other than 'ES - Spain', then "Climatic zone of the building" must be 'Not Applicable'</t>
  </si>
  <si>
    <t>LT_R_PR_073_02</t>
  </si>
  <si>
    <t>If "Real estate collateral location" is set as 'ES - Spain', then "Climatic zone of the building" cannot be 'Not Applicable'</t>
  </si>
  <si>
    <t>LT_R_PR_074_01</t>
  </si>
  <si>
    <t>If "Protection type" is '8 - Residential real estate collateral', '9 - Offices and commercial premises' or '10 - Commercial real estate collateral', then "Real estate longitude" cannot be 'Not Applicable'</t>
  </si>
  <si>
    <t>LT_R_PR_074_02</t>
  </si>
  <si>
    <t>If "Protection type" is populated with other than '8 - Residential real estate collateral', '9 - Offices and commercial premises' or '10 - Commercial real estate collateral', then "Real estate longitude" must be 'Not Applicable'</t>
  </si>
  <si>
    <t>LT_R_PR_075_01</t>
  </si>
  <si>
    <t>If "Protection type" is '8 - Residential real estate collateral', '9 - Offices and commercial premises' or '10 - Commercial real estate collateral', then "Real estate latitude" cannot be 'Not Applicable'</t>
  </si>
  <si>
    <t>LT_R_PR_075_02</t>
  </si>
  <si>
    <t>If "Protection type" is populated with other than '8 - Residential real estate collateral', '9 - Offices and commercial premises' or '10 - Commercial real estate collateral', then "Real estate latitude" must be 'Not Applicable'</t>
  </si>
  <si>
    <t>LT_R_PR_076_01</t>
  </si>
  <si>
    <t>If "Protection type" is '51 - Auto collateral' then "Flag of electric vehicle" cannot be 'Not Applicable'</t>
  </si>
  <si>
    <t>LT_R_PR_076_02</t>
  </si>
  <si>
    <t>If "Protection type" is populated with other than '51 - Auto collateral' then "Flag of electric vehicle" must be 'No'</t>
  </si>
  <si>
    <t>LT_S_AC_000_01</t>
  </si>
  <si>
    <t>Missing critical fields: file does not contain some of the key fields required</t>
  </si>
  <si>
    <t>STRUCTURE</t>
  </si>
  <si>
    <t>LT_S_AC</t>
  </si>
  <si>
    <t>LT_S_AC_000_02</t>
  </si>
  <si>
    <t>Received field names not expected: file contains field names not requested</t>
  </si>
  <si>
    <t>LT_S_AC_000_03</t>
  </si>
  <si>
    <t>Missing field names: file does not contain some of the required field names</t>
  </si>
  <si>
    <t>LT_S_AC_001_01</t>
  </si>
  <si>
    <t>"Entity code of the informing society" can only be informed as one value in INSTR_ACTIVITY table</t>
  </si>
  <si>
    <t>LT_S_AC_002_01</t>
  </si>
  <si>
    <t>"Reference date" can only be informed as one value in INSTR_ACTIVITY table</t>
  </si>
  <si>
    <t>LT_S_EN_000_01</t>
  </si>
  <si>
    <t>LT_S_EN</t>
  </si>
  <si>
    <t>LT_S_EN_000_02</t>
  </si>
  <si>
    <t>LT_S_EN_000_03</t>
  </si>
  <si>
    <t>LT_S_EN_001_01</t>
  </si>
  <si>
    <t>"Entity code of the informing society" can only be informed as one value in ENTITY table</t>
  </si>
  <si>
    <t>LT_S_EN_009_01</t>
  </si>
  <si>
    <t>"Reference date" can only be informed as one value in ENTITY table</t>
  </si>
  <si>
    <t>LT_S_IE_000_01</t>
  </si>
  <si>
    <t>LT_S_IE</t>
  </si>
  <si>
    <t>LT_S_IE_000_02</t>
  </si>
  <si>
    <t>LT_S_IE_000_03</t>
  </si>
  <si>
    <t>LT_S_IE_001_01</t>
  </si>
  <si>
    <t>"Entity code of the informing society" can only be informed as one value in INSTR_ENTITY table</t>
  </si>
  <si>
    <t>LT_S_IE_002_01</t>
  </si>
  <si>
    <t>"Reference date" can only be informed as one value in INSTR_ENTITY table</t>
  </si>
  <si>
    <t>LT_S_IN_000_01</t>
  </si>
  <si>
    <t>LT_S_IN</t>
  </si>
  <si>
    <t>LT_S_IN_000_02</t>
  </si>
  <si>
    <t>LT_S_IN_000_03</t>
  </si>
  <si>
    <t>LT_S_IN_000_04</t>
  </si>
  <si>
    <t>Missing critical data: no record contains a valid "Subportfolio ID"/"IDCMB". At least one record with valid "Subportfolio ID"/"IDCMB" is required.</t>
  </si>
  <si>
    <t>SUBPORTFOLIOID</t>
  </si>
  <si>
    <t>LT_S_IN_001_01</t>
  </si>
  <si>
    <t>"Entity code of the informing society" can only be informed as one value in INSTRUMENT table</t>
  </si>
  <si>
    <t>LT_S_IN_007_01</t>
  </si>
  <si>
    <t>"Reference date" can only be informed as one value in INSTRUMENT table</t>
  </si>
  <si>
    <t>LT_S_IP_000_01</t>
  </si>
  <si>
    <t>LT_S_IP</t>
  </si>
  <si>
    <t>LT_S_IP_000_02</t>
  </si>
  <si>
    <t>LT_S_IP_000_03</t>
  </si>
  <si>
    <t>LT_S_IP_001_01</t>
  </si>
  <si>
    <t>"Entity code of the informing society" can only be informed as one value in INSTR_PROTECTION table</t>
  </si>
  <si>
    <t>LT_S_IP_002_01</t>
  </si>
  <si>
    <t>"Reference date" can only be informed as one value in INSTR_PROTECTION table</t>
  </si>
  <si>
    <t>LT_S_PR_000_01</t>
  </si>
  <si>
    <t>LT_S_PR</t>
  </si>
  <si>
    <t>LT_S_PR_000_02</t>
  </si>
  <si>
    <t>LT_S_PR_000_03</t>
  </si>
  <si>
    <t>LT_S_PR_001_01</t>
  </si>
  <si>
    <t>"Entity code of the informing society" can only be informed as one value in PROTECTION table</t>
  </si>
  <si>
    <t>LT_S_PR_003_01</t>
  </si>
  <si>
    <t>"Reference date" can only be informed as one value in PROTECTION table</t>
  </si>
  <si>
    <t>FLAG Controlo Ficheiro PDS</t>
  </si>
  <si>
    <t>STREAM LF</t>
  </si>
  <si>
    <t xml:space="preserve"> </t>
  </si>
  <si>
    <t>Campos não concluídos</t>
  </si>
  <si>
    <t>Campos</t>
  </si>
  <si>
    <t>O campo apresenta um controlo NOK — LT_R_PR_022_01 (validado na sheet PRO_LT_SCORECARD_FLEX_VALIDATIO). Este controlo está a falhar devido à existência de garantias sem avaliação inicial. Na última revisão deste tema, o Nuno Alves da equipa de CDO estava a acompanhar um projeto liderado pelo Henrique Amaral, com o objetivo de levantar toda a documentação dos imóveis e, assim, reportar o valor da avaliação inicial. A data definida para esta correção foi outubro. É necessário verificar na Loan Tape se esta questão foi efetivamente resolvida e, caso contrário, identificar possíveis soluções.</t>
  </si>
  <si>
    <t>O campo apresenta quatro controlos NOK, que podem ser verificados na sheet PRO_LT_SCORECARD_FLEX_VALIDATIO. Dois desses controlos comparam o campo com DFLT_STTS_INSTRMNT, o qual apresenta incidências que podem estar a marcar incorretamente o contrato como em default. Após a correção deste campo, espera-se uma redução nas incidências, uma vez que a validação de coerência entre o stage de imparidade e a marcação de default por capital tem sido acompanhada no Fórum de Consistência Regulatória. Este tema é também monitorizado pela Máquina de Controlos, através dos controlos específicos STAGE_VS_DEFAULT_KPI_001, STAGE_VS_DEFAULT_KPI_002 e STAGE_VS_DEFAULT_KPI_003. Os dois controlos NOK adicionais estão relacionados com o campo WTCH_LST, que deve ser validado para garantir que está corretamente especificado. Em reunião, o LCM sugeriu contactar o Paulo Silvério para esclarecimentos sobre este tema. O outro controlo compara o campo com subportfolio_id, sendo necessário analisar essa relação para garantir consistência.</t>
  </si>
  <si>
    <t>O campo apresenta quatro controlos NOK. Um deles comparam com o campo DFLT_STTS_INSTRMNT, e outro com subportfolio_id, à semelhança do que acontece com o campo IMPRMNT_STTS. O terceiro controlo está relacionado com o campo PRTCTN_CLLD, para o qual o Luís solicitou uma nova validação junto da área responsável, a fim de confirmar se o valor está corretamente preenchido. Caso se confirme que os erros persistem mesmo após essa validação, uma possível solução — ainda não decidida — seria descartar a garantia no MUG a partir do momento em que foi executada.
Por fim, o controlo LT_R_IN_044_12 continua a ser sinalizado, mas deverá ser descontinuado, uma vez que está incorreto, conforme indicado no email trocado entre a Luísa e a Zeneida a 2 de junho de 2025.</t>
  </si>
  <si>
    <t>Existe um controlo NOK : If "Accounting portfolio" equals '2 - IFRS: Financial assets held for trading', '4 - IFRS: Financial assets designated at fair value through profit or loss' or '41 - IFRS: Non-trading financial assets mandatorily at fair value through profit or loss', then "Previous impairment status" must equal default values que valida para os seguintes campos:
- ACCMLTD_IMPRMNT_INSTRMNT
- ACCMLTD_IMPRMNT_INSTRMNT_PRVS
- IMPRMNT_STTS
- IMPRMNT_STTS_PRVS
Em PdS o Luis pediu para adicionarmos a condição de N/A quando carteira_contabilistica in (LOWER('ATIVOS FINANCEIROS AO JUSTO VALOR  ATRAVES DE RESULTADOS'),LOWER('ATIVOS FINANCEIROS DETIDOS PARA NEGOCIACAO'), LOWER('ATIVOS FINANCEIROS MANDATORIAMENTE AO JUSTO VALOR ATRAVES DE RESULTADOS')) 
Antes de aplicar esta especificação, é necessário atualizar a tabela LT001. Atualmente, nos casos em que existem linhas adicionais com saldos PRVS, apenas estão a ser reportados os contratos, as contas contabilísticas e os valores dos saldos.
Para que a nova regra funcione corretamente, é essencial que também seja reportada a carteira contabilística nessas linhas.</t>
  </si>
  <si>
    <t>O campo tem um controlo NOK e portanto é necessário atualizar a especificação para incluir uma nova condição: Quando o campo prsn_typ for igual a 'L', os campos relevantes devem ser marcados como "N/A".</t>
  </si>
  <si>
    <t>O campo tem um controlo NOK. É necessário rever a especificação do campo.</t>
  </si>
  <si>
    <t>O campo tem um controlo NOK onde compara com o DFLT_STTS_INSTRMNT necessário analisar</t>
  </si>
  <si>
    <t>SELECT *
FROM 
(
SELECT DISTINCT instrmnt_id,
       CASE WHEN instrmnt_id like 'SS%' OR instrmnt_id like 'SNCN%' OR intrnl_sgmnt not in ('outras instituicoes financeiras','outras empresas nao financeiras') Then 'N/A'
       ELSE 
    --   CASE WHEN replace(replace(coalesce(excldd_lf,concat(excldd_aux_1,',',excldd_aux_2,',',coalesce(case when excldd_aux_4='N/A' then null else excldd_aux_4 end,excldd_aux_3),',',excldd_aux_5,',',excldd_aux_6,',',excldd_aux_7,',',excldd_aux_8)),"N/A,",""),",N/A","") = 'N/A' THEN 'MISS' 
    --   ELSE 
       replace(replace(coalesce(excldd_lf,concat(excldd_aux_1,',',excldd_aux_2,',',coalesce(case when excldd_aux_4='N/A' then null else excldd_aux_4 end,excldd_aux_3),',',excldd_aux_5,',',excldd_aux_6,',',excldd_aux_7,',',excldd_aux_8)),"N/A,",""),",N/A","") END  AS campo_auxiliar 
       , excldd_lf_lt002, intrnl_sgmnt
FROM
  (SELECT 
  DISTINCT lt002.instrmnt_id,
          lt601.excldd_lf,
          lt002.excldd_lf as excldd_lf_lt002, lt001.cod_empr_pme, intrnl_sgmnt,
          CASE
              WHEN TRIM(ct003.csector_inst) IN('S123',
                                         'S124',
                                         'S1240001',a
                                         'S1240002',
                                         'S1240003',
                                         'S2023',
                                         'S20231',
                                         'S20232',
                                         'S2024',
                                         'S401341') THEN 'EXC01'
              ELSE 'N/A'
          END AS excldd_aux_1,
          CASE
              WHEN ct610.tipo_titulo='Titularizacao' THEN 'EXC02'
              ELSE 'N/A'
          END AS excldd_aux_2,
          CASE
              WHEN tat.ind_exc='S' THEN 'EXC04'
              ELSE 'N/A'
          END AS excldd_aux_3,
          CASE
              WHEN ct003.cseg_risc LIKE'9%' THEN 'EXC05'
              ELSE 'N/A'
          END AS excldd_aux_4,
          CASE
              WHEN lt001.cod_empr_pme IN('1',
                                         '2',
                                         '3') THEN 'EXC06'
              ELSE 'N/A'
          END AS excldd_aux_5,
            CASE
                WHEN auxiliar.company_exposure&lt;5000000 THEN 'EXC07'
                ELSE 'N/A'
            END AS excldd_aux_6,          CASE
              WHEN lt002.intrnl_sgmnt IN('setor publico',
                                         'banco centrais',
                                         'instituicoes de credito')THEN 'EXC08'
              ELSE 'N/A'
          END AS excldd_aux_7,
          CASE
              WHEN lt002.pd_ec_rd&lt;=0.500000 THEN 'EXC09'
              ELSE 'N/A'--
-- WHEN TRIM(cast(lt002.pd_ec_rd as string)='NULL' or lt002.pd_ec_rd IS NULL THEN '0'
          END AS excldd_aux_8 -- count(*)-- 2110768
-- 2145008
FROM
     (SELECT instrmnt_id,
             prdct,
             intrnl_sgmnt,
             pd_ec_rd, excldd_lf
      FROM cd_loan_tapes_bce.lt002_instrument
      WHERE ref_date='${date}'
        AND ambito='PM'
        AND nome_perimetro='Individual IDComb'
        AND entidade='00100'
        AND segmento='ESTR'
        AND cod_visao=1 )lt002
   LEFT JOIN
     (SELECT instrmnt_id,
             entty_id
      FROM cd_loan_tapes_bce.lt005_instr_ent
      WHERE ref_date='${date}'
        AND ambito='PM'
        AND nome_perimetro='Individual IDComb'
        AND entidade='00100'
        AND segmento='ESTR'
        AND cod_visao=1
        AND mn_entty_id='Y')lt005 ON lt002.instrmnt_id=lt005.instrmnt_id
   LEFT JOIN
     (SELECT DISTINCT entty_id
      FROM cd_loan_tapes_bce.lt003_entity
      WHERE ref_date='${date}'
        AND ambito='PM'
        AND nome_perimetro='Individual IDComb'
        AND entidade='00100'
        AND segmento='ESTR'
        AND cod_visao=1)lt003 ON lt005.entty_id=lt003.entty_id
   LEFT JOIN
     (SELECT cempresa,
             cbalcao,
             cnumecta,
             zdeposit,
             excldd_lf
      FROM cd_loan_tapes_bce.lt601_lev_fin
      WHERE REF_DATE BETWEEN add_months('2025-06-30',-3) AND '2025-06-30')lt601 ON lt002.instrmnt_id=concat(lt601.cempresa,lt601.cbalcao,lt601.cnumecta,lt601.zdeposit)
   LEFT JOIN
     (SELECT *
      FROM cd_loan_tapes_bce.kt_chaves_lt
      WHERE ref_date='${date}'
        AND ambito='PM'
        AND nome_perimetro='Individual IDComb'
        AND entidade='00100'
        AND segmento='ESTR'
        AND cod_visao=1)chaves_lt ON lt002.instrmnt_id=chaves_lt.instrmnt_id
   LEFT JOIN
     (SELECT cempresa,
             cbalcao,
             cnumecta,
             zdeposit,
             max(cod_empr_pme) AS cod_empr_pme
      FROM cd_loan_tapes_bce.lt001_univ_oper
      WHERE ref_date='${date}'
        AND ambito='PM'
        AND nome_perimetro='Individual IDComb'
        AND entidade='00100'
        AND segmento='ESTR'
        AND cod_visao=1
      GROUP BY 1,
               2,
               3,
               4)lt001 ON concat(chaves_lt.cempresa,chaves_lt.cbalcao,chaves_lt.cnumecta,chaves_lt.zdeposit)=concat(lt001.cempresa,lt001.cbalcao,lt001.cnumecta,lt001.zdeposit)
   LEFT JOIN
     (SELECT *
      FROM cd_captools.kt_chaves_finrep
      WHERE ref_date='${date}'
        AND cod_visao=1)chaves_fr ON lt002.instrmnt_id=concat(chaves_fr.cempresa_fr,chaves_fr.cbalcao_fr,chaves_fr.cnumecta_fr,chaves_fr.zdeposit_fr)
   LEFT JOIN
     (SELECT cempresa,
             cbalcao,
             cnumecta,
             zdeposit,
             tipo_titulo
      FROM cd_captools.ct610_titulos
      WHERE ref_date='${date}')ct610 ON concat(chaves_fr.cempresa,chaves_fr.cbalcao,chaves_fr.cnumecta,chaves_fr.zdeposit)=concat(ct610.cempresa,ct610.cbalcao,ct610.cnumecta,ct610.zdeposit)
   LEFT JOIN
     (SELECT tayd91c0_celemtab,
             substr(tayd91c0_nelemc01,14,1) AS ind_exc
      FROM cd_estruturais.tat91_tabelas
      WHERE data_date_part='${date}'
        AND tayd91c0_ctabela='925')tat ON substr(lt002.prdct,1,6)=trim(tat.tayd91c0_celemtab)
   LEFT JOIN
     (SELECT zcliente,
             cseg_risc,
             csector_inst
      FROM cd_captools.ct003_univ_cli
      WHERE ref_date='${date}')ct003 ON lt003.entty_id=ct003.zcliente
     LEFT JOIN (SELECT lt003.entty_id,
          sum(lt002.grss_crryng_amnt_instrmnt+lt002.off_blnc_sht_amnt_instrmnt) over(partition BY ct003.ccli_grupo) AS company_exposure
   FROM
     (SELECT DISTINCT entty_id
      FROM cd_loan_tapes_bce.lt003_entity
      WHERE ref_date='${date}'
        AND ambito='PM'
        AND nome_perimetro='Individual IDComb'
        AND entidade='00100'
        AND segmento='ESTR'
        AND cod_visao=1)lt003
   LEFT JOIN
     (SELECT DISTINCT instrmnt_id,
                      entty_id
      FROM cd_loan_tapes_bce.lt005_instr_ent
      WHERE ref_date='${date}'
        AND ambito='PM'
        AND nome_perimetro='Individual IDComb'
        AND entidade='00100'
        AND segmento='ESTR'
        AND cod_visao=1
        AND mn_entty_id='Y')lt005 ON lt003.entty_id=lt005.entty_id
   LEFT JOIN
     (SELECT DISTINCT grss_crryng_amnt_instrmnt,
                      off_blnc_sht_amnt_instrmnt,
                      instrmnt_id
      FROM cd_loan_tapes_bce.lt002_instrument
      WHERE ref_date='${date}'
        AND ambito='PM'
        AND nome_perimetro='Individual IDComb'
        AND entidade='00100'
        AND segmento='ESTR'
        AND cod_visao=1)lt002 ON lt005.instrmnt_id=lt002.instrmnt_id
   LEFT JOIN
     (SELECT ccli_grupo,
             zcliente
      FROM cd_captools.ct003_univ_cli
      WHERE ref_date='${date}')ct003 ON lt003.entty_id=ct003.zcliente) auxiliar
      on lt003.entty_id=auxiliar.entty_id
      ) X
      ) Y
      Where campo_auxiliar &lt;&gt; excldd_lf_lt002;</t>
  </si>
  <si>
    <r>
      <t xml:space="preserve">O campo não se encontra de acordo com o especificado ver simulação na </t>
    </r>
    <r>
      <rPr>
        <i/>
        <sz val="15"/>
        <color theme="1"/>
        <rFont val="Santander Text"/>
        <family val="2"/>
      </rPr>
      <t>sheet</t>
    </r>
    <r>
      <rPr>
        <sz val="15"/>
        <color theme="1"/>
        <rFont val="Santander Text"/>
        <family val="2"/>
      </rPr>
      <t xml:space="preserve"> caderno testes linha 277</t>
    </r>
  </si>
  <si>
    <t>Os campos estão incorretamente especificados porque estão a utilizar a tabela LT005 do ano anterior, que não existe para o perímetro Individual IDComb. Como resultado, todos os contratos estão a ser reportados como "N/A".
É necessário corrigir esta situação e garantir que, em todo o processo de geração da Loan Tape, não existe qualquer dependência de execuções anteriores. Ou seja, a geração da Loan Tape deve ser totalmente autónoma e capaz de produzir os valores corretos para qualquer data, independentemente de ter sido corrida previamente.</t>
  </si>
  <si>
    <t>SELECT LT002.instrmnt_id,
       LT002.INSTLMNT_PAY,
       INSTLMNT_PAY.INSTRMNT_ID,
       INSTLMNT_PAY_SIM
FROM
  (SELECT *
   FROM cd_loan_tapes_bce.lt002_instrument
   WHERE ref_date = '${date}'
     AND nome_perimetro ='Individual IDComb'
     AND ambito ='PM'
     AND segmento ='ESTR') LT002 
------------------------------------------------------------------------------------
-- Campo INSTLMNT_PAY
------------------------------------------------------------------------------------
LEFT JOIN
  (SELECT CONCAT(ept06.CEMPRESA_FR, ept06.CBALCAO_FR, ept06.CNUMECTA_FR, ept06.ZDEPOSIT_FR) AS INSTRMNT_ID,
          COALESCE(ept06.mquota, CUOTAS_01.part_acuotas) AS INSTLMNT_PAY_SIM
   FROM
     (SELECT *
      FROM
        (SELECT epyr5040_cempresa,
                epyr5040_ckbalcao,
                epyr5040_cknumcta,
                epyr5040_ept06_dinivali,
                epyr5040_ept06_dfimvali,
                CAST(substr(epyr5040_ept06_mquota, 2, length(epyr5040_ept06_mquota)-1) AS DECIMAL(15,2)) AS mquota,
                DATA_DATE_PART
         FROM cd_alm.ept06
         WHERE data_date_part = '${date}'
           AND epyr5040_ept06_dinivali &lt; '${date}'
           AND epyr5040_ept06_dfimvali &gt;= '${date}') EPT_06 ---- estas condições garantem que estamos a reportar o mquota em rigor no momento do relatório
      INNER JOIN
        (SELECT cempresa AS cempresa_master,
                cbalcao AS cbalcao_master,
                cnumecta AS cnumecta_master,
                zdeposit AS zdeposit_master,
                CEMPRESA_FR,
                CBALCAO_FR,
                CNUMECTA_FR,
                ZDEPOSIT_FR
         FROM cd_captools.kt_chaves_finrep
         WHERE ref_date = '${date}') KT_finrep ON EPT_06.epyr5040_cempresa = KT_finrep.CEMPRESA_FR
      AND EPT_06.epyr5040_ckbalcao = KT_finrep.CBALCAO_FR
      AND EPT_06.epyr5040_cknumcta = KT_finrep.CNUMECTA_FR) ept06
   LEFT JOIN
     (SELECT *
      FROM
        (SELECT part_acuotas,
                sint_empresa,
                sint_ckbalcao,
                sint_cknumcta,
                DATA_DATE_PART
         FROM cd_alm.cuotas_prtm
         WHERE DATA_DATE_PART = '${date}') CUOTAS
      INNER JOIN
        (SELECT cempresa AS cempresa_master,
                cbalcao AS cbalcao_master,
                cnumecta AS cnumecta_master,
                zdeposit AS zdeposit_master,
                cempresa_fr,
                cbalcao_fr,
                cnumecta_fr,
                zdeposit_fr
         FROM cd_captools.kt_chaves_finrep
         WHERE ref_Date = '${date}') kt_alm ON concat(kt_alm.cbalcao_master, kt_alm.cnumecta_master, kt_alm.zdeposit_master) = concat(sint_ckbalcao, sint_cknumcta, '000000000000000')) CUOTAS_01 ON CUOTAS_01.cempresa_master = ept06.cempresa_master
   AND CUOTAS_01.cbalcao_master = ept06.cbalcao_master
   AND CUOTAS_01.cnumecta_master = ept06.cnumecta_master
   AND CUOTAS_01.zdeposit_master = ept06.ZDEPOSIT_master) INSTLMNT_PAY ON LT002.instrmnt_id = INSTLMNT_PAY.INSTRMNT_ID
WHERE INSTLMNT_PAY_SIM &lt;&gt; INSTLMNT_PAY</t>
  </si>
  <si>
    <t>Não implementado</t>
  </si>
  <si>
    <t>15/09/2025</t>
  </si>
  <si>
    <t>Adicionado tratamento para um conjunto de campos onde no perímetro Individual IDComb na CT020, deve ser filtrada pelo perímetro Individual Corporativo quando a data de referência (REF_DATE) for anterior a 30 de abril de 2025. A partir dessa data (inclusive), deve ser filtrada pelo perímetro Individual IDComb.</t>
  </si>
  <si>
    <t>23/09/2025</t>
  </si>
  <si>
    <t>Alteração do campo TYP_OFF_BLNC_PRDCT passando a utilizar o campo IDCOMB_LT_INICIAL da tabela LT001.Adicionalmente, na tabela LT831, o valor de origem passou igualmente a corresponder ao campo IDCOMB_LT_INICIAL. Foram ainda adicionadas novas linhas de parametrização associadas a esta alteração.</t>
  </si>
  <si>
    <t>Foram alterados vários campos que anteriormente obtinham dados das tabelas IFRS9_OUT_EXPECTED_LOSS_REPORTING e IFRS9_OUT_STAGING_REPORTING.
Agora, esses campos passam a utilizar as tabelas IFRS9_OUT_EXPECTED_LOSS_8_7 e IFRS9_OUT_STAGING_8_7, respetivamente, devido à descontinuação das tabelas reporting.</t>
  </si>
  <si>
    <t>20/10/2025</t>
  </si>
  <si>
    <t>Tipo de Interação</t>
  </si>
  <si>
    <t>28/10/2025</t>
  </si>
  <si>
    <t>Testes Regressivos</t>
  </si>
  <si>
    <t>1. Inclusão de contratos cancelados
No universo da tabela Instrument (versão de produção) foram incluídos contratos cancelados. Estes contratos mantêm traçabilidade com a tabela LT005, originando novas relações e, em alguns casos, novas entidades. Solicitamos a exclusão do universo de contratos cancelados para corrigir esta situação
2. Ajustes duplicados na tabela Instrument
Foram detetados ajustes duplicados, em que o campo COD_SOC_INTRGRP assume dois valores distintos para o mesmo instrmnt_id
3. Registos diferentes nos testes regressivos da Loan Tape
Relativamente aos testes regressivos efetuados aos campos da Loan Tape, identificámos diferenças entre a versão de trabalho (bu) e a versão de produção (cd). Foi solicitada a análise para as divergências que não se encontram justificadas.</t>
  </si>
  <si>
    <t>Especificações e incidências enviadas</t>
  </si>
  <si>
    <t>Especificações e incidências pendentes</t>
  </si>
  <si>
    <t>Enviar Especificação dos zdeposit</t>
  </si>
  <si>
    <t>Alterações Tabelas de Capital</t>
  </si>
  <si>
    <t>O Campo necessita de ser respecificado 
É a quota mensal a pagar pelo devedor quando existe um plano de amortização, ou seja, a prestação que inclui capital e juros. Esta quota é determinada com base na taxa de amortização aplicável ao instrumento no momento do relatório.
A quota pode alterar ao longo do tempo, porque é uma prestação que varia em função do capital e dos juros. Por exemplo, se eu contratar um crédito com juro fixo a 12 meses, em janeiro desse ano calculo e pago um valor X, mas em janeiro do ano seguinte esse valor é recalculado com a nova taxa, e a quota pode mudar. Neste campo, deve ser considerada a quota no momento em que o relatório está a ser gerado.
O campo Ref_Date normalmente assume valores mensais, correspondendo ao último dia do mês (30 ou 31), e não valores diários. Já o campo Data_date_part assume valores diários ao longo do mês, como 01/02/25, 02/02/25, etc. Para garantir consistência, devemos aplicar um filtro que considere apenas os registos onde Data_date_part é igual ao Ref_Date.
Este campo apresenta valores em falta (missings) e “N/A”, e é necessário recolher mais informação para eliminar o máximo possível desses casos. Até agora tínhamos a média da quota, mas vamos passar a ter a quota ao dia. Para isso, será necessário consultar a tabela CUOTAS, para buscar as quotas dos contratos que estão em falta, e analisar como ficam os missings e os “N/A”. Esta abordagem não vai preencher todos os casos, porque os contratos vêm de duas fontes diferentes e, neste momento, só estamos a considerar uma delas.
A lógica a aplicar será: fazer um Coalesce para ir buscar a quota à tabela EPT06; se não existir, usar o campo acuotas da tabela partner cuotas. No final, queremos reduzir os valores em falta, validar os dados recolhidos e verificar os contratos que continuam com missings, analisando o tipo de produto e confirmando se está de acordo com a granular tool.
Na sheet Caderno de Testes na linha 279 existe uma simulação do campo com a nova metodologia</t>
  </si>
  <si>
    <t xml:space="preserve">Infra apresentamos as seguintes alterações:
•	Acrescentar na tabela CT013 os campos RWA_PREM_SF e RWA_PREM_CF imediatamente antes do campo RWA_FINAL_SF. Estes campos devem ser calculados da mesma maneira que os campos homólogos na CT047. Após isto, alterar os campos RWA_PREM_SF e RWA_PREM_CF da CT047 para irem buscar os valores diretamente à tabela CT013
•	Adicionar na tabela CT014 o campo CRRLTN_CFFCNT imediatamente após o campo IN_PDINI. Este campo deve ser aprovisionado diretamente do campo O9209_IMPORTE7 da tabela CD_CAPTOOLS. BDR_JM_CTO_AJ_REG. Após isto, adicionar o campo CRRLTN_CFFCNT, imediatamente antes do RW_PREM_FINAL_SF, na tabela CT047. Este deve ser aprovisionado a partir do campo homólogo criado na tabela CT014
•	Adicionar na tabela CT047: 
o	Os campos EAD_FINAL_BRUTA e EAD_FINAL_LIQUIDA imediatamente antes do campo RWA_PREM_SF. Estes campos devem vir diretamente da tabela CT013
o	Os campos LGDINICI e IN_PDINI, imediatamente antes do campo CRRLTN_CFFCNT, estes campos devem vir diretamente da CT014 
Notas: 
(1)	Os campos RWA_PREM_SF, RWA_PREM_CF, EAD_FINAL_BRUTA e EAD_FINAL_LIQUIDA  devem ser rateados de acordo com a mesma metodologia usada para o campo RWA_FINAL da CT047. 
(2)	Os campos LGDINICI, IN_PDINI e CRRLTN_CFFCNT devem seguir as seguintes regras em caso de duplicações de chave master:
a.	Se CHAVE_FR com produtos de estruturas e diferente de estruturas (id_prod = 47) então escolher CHAVE_CAP onde  id_prod &lt;&gt; 47 (diferente de estruturas)
b.	Se COUNT(DISTINCT RWA_MTHD) &gt; 1 então escolher PD_CRR_RD onde RWA_MTHD = '1'
c.	Caso contrário (Ponderador * EAD de CHAVE_CAP)/SUM(EAD de CHAVE_FR)
(3)	É necessário garantir que a linha do contrato respeita a seguinte validação
•	EAD = SALDO_ON *K1 + SALDO_OFF*K2
•	RWA = EAD * RW
Após todas estas alterações estarem implementadas e devidamente testadas, a equipa de IT responsável pelo projeto Loan Tape deve reapontar diretamente à tabela CT047 os seguintes campos do Loan Tape:
•	CCF 
•	CRRLTN_CFFCNT 
•	RWA
•	EAD 
•	LGD 
•	PD_CRR_RD 
Nota: Só estamos a incluir os campos do segmento estrutural nesta lista (RWA_PRMTGTN e RWA_MTGTN pertencem ao âmbito de Leverage Finance)
</t>
  </si>
  <si>
    <t>SELECT *
FROM
(
SELECT prtctn_id, prtctn_prvdr_id, 
CASE WHEN prtctn_id like 'P%' THEN STRRIGHT (PRTCTN_ID, 10)
WHEN  prtctn_id like 'F%' THEN CL001.zcliente 
WHEN  prtctn_id like 'I%' THEN GT009.detentor_bem
WHEN  prtctn_id like 'M%' THEN GT013.detentor_bem
ELSE 'NULL' END AS prtctn_prvdr_id_sim
FROM
(SELECT prtctn_id, prtctn_prvdr_id
FROM cd_loan_tapes_bce.lt004_protection
Where ref_date = '${date}'
AND ambito ='PM'
AND segmento ='ESTR'
AND nome_perimetro ='Individual IDComb'
AND cod_visao =1) LT004
LEFT JOIN
(SELECT *
FROM cd_garantias.gt009_bens_imov
Where ref_date = '${date}') GT009
ON LT004.PRTCTN_ID = CONCAT('I_', GT009.CKBALBEM, '_', GT009.CKCTABEM, '_', GT009.CKREFBEM)
LEFT JOIN 
(SELECT *
FROM cd_garantias.gt013_bens_mob
Where ref_date = '${date}') GT013
ON LT004.PRTCTN_ID = CONCAT('M_', GT013.CKBALBEM, '_', GT013.CKCTABEM, '_', GT013.CKREFBEM)
LEFT JOIN 
(SELECT *
FROM cd_clientes.cl001_interv_cto
Where ref_date = '${date}'
AND CRELACAO_CL_CNT = '1' AND CSEQUENCIA_REL = '00001') CL001
ON PRTCTN_ID = CONCAT ('F_', CL001.CBALCAO,'_', CL001.CNUMECTA, '_', CL001.ZDEPOSIT)
) X
WHERE prtctn_prvdr_id &lt;&gt; prtctn_prvdr_id_sim</t>
  </si>
  <si>
    <t>FR001</t>
  </si>
  <si>
    <t>SELECT *
FROM
(
SELECT prtctn_id, typ_prtctn_intrnl,
CASE WHEN prtctn_id like 'P%' THEN 'PESSOAL'
WHEN  prtctn_id not like 'P%' THEN TAT91.TAYD91C0_GELEMTAB
ELSE 'NULL' END AS typ_prtctn_intrnl_sim
FROM
(SELECT prtctn_id, typ_prtctn_intrnl
FROM cd_loan_tapes_bce.lt004_protection
Where ref_date = '${date}'
AND ambito ='PM'
AND segmento ='ESTR'
AND nome_perimetro ='Individual IDComb'
AND cod_visao =1) LT004
LEFT JOIN
(SELECT * 
FROM cd_garantias.gt018_rateio_aval
Where ref_date = '${date}') GT018
ON LT004.PRTCTN_ID = CONCAT(substr(Tipologia,1,1), '_', GT018.CKBALBEM, '_', GT018.CKCTABEM, '_', GT018.CKREFBEM)
LEFT JOIN 
(SELECT *
FROM cd_estruturais.tat91_tabelas
Where data_date_part = '${date}'
AND tayd91c0_ctabela='236') TAT91
ON GT018.CGARANT_BEM = TAT91.TAYD91C0_CELEMTAB
) X
WHERE typ_prtctn_intrnl_sim &lt;&gt; typ_prtctn_intrnl</t>
  </si>
  <si>
    <t>SELECT 
prtctn_id, PRTCTN_VL_NPE,
CASE WHEN prtctn_id like 'P%'THEN 11111111111
WHEN dt_orgnl_prtctn_vl ='1111-11-11' OR dt_orgnl_prtctn_vl &gt; DT_NPE OR DT_NPE iS NULL THEN 11111111111
WHEN dt_orgnl_prtctn_vl ='0000-00-00' THEN 99999999999
WHEN prtctn_id like 'F%' THEN SUM(mvalcat) 
WHEN prtctn_id like 'I%' THEN SUM(mavalia_i) 
WHEN prtctn_id like 'M%' THEN SUM(mavalia_m) ELSE 99999999999 END AS PRTCTN_VL_NPE_SIM
FROM
(
SELECT 
X.prtctn_id,
      X.PRTCTN_VL_NPE,
      X.dt_orgnl_prtctn_vl,
      X.instrmnt_id,
      X.chave_fr,
      X.dt_npe,
      GT003b.mvalcat,
      X.max_ref_date_f,
      GT009b.mavalia as mavalia_i,
      max_ref_date_i,
      GT013b.mavalia as mavalia_m,
      max_ref_date_m
FROM
  (SELECT LT004.prtctn_id,
          LT004.PRTCTN_VL_NPE,
          LT004.dt_orgnl_prtctn_vl,
          LT006.instrmnt_id,
          PRFR.chave_fr,
          PRFR.dt_npe,
          MAX(GT003.ref_date) AS max_ref_date_f,
          MAX(GT009.ref_date) AS max_ref_date_i,
          MAX(GT013.ref_date) AS max_ref_date_m
   FROM
     (SELECT prtctn_id,
             PRTCTN_VL_NPE,
             dt_orgnl_prtctn_vl
      FROM cd_loan_tapes_bce.lt004_protection
      WHERE ref_date = '${date}'
        AND ambito ='PM'
        AND segmento ='ESTR'
        AND nome_perimetro ='Individual IDComb'
        AND cod_visao =1 -- AND prtctn_vl_npe not in (99999999999,11111111111)
) LT004
   LEFT JOIN
     (SELECT prtctn_id,
             instrmnt_id
      FROM cd_loan_tapes_bce.lt006_instr_prot
      WHERE ref_date = '${date}'
        AND ambito ='PM'
        AND segmento ='ESTR'
        AND nome_perimetro ='Individual IDComb'
        AND cod_visao =1) LT006 ON LT006.prtctn_id = LT004.prtctn_id
   LEFT JOIN
     (SELECT chave_fr,
             max(ref_date) AS DT_NPE
      FROM bu_captools_work.bce_lt_tmp_stage_final
      WHERE prfrmng_stts ='1'
      GROUP BY chave_fr) PRFR ON PRFR.chave_fr = LT006.instrmnt_id
   LEFT JOIN
     (SELECT CKBALBEM,
             CKCTABEM,
             CKREFBEM,
             mvalcat,
             ref_date
      FROM cd_garantias.gt003_trz_gt_fin) GT003 ON LT006.PRTCTN_ID = CONCAT('F_', GT003.CKBALBEM, '_', GT003.CKCTABEM, '_', GT003.CKREFBEM)
   LEFT JOIN
     (SELECT CKBALBEM,
             CKCTABEM,
             CKREFBEM,
             mavalia,
             ref_date
      FROM cd_garantias.gt009_bens_imov) GT009 ON LT006.PRTCTN_ID = CONCAT('I_', GT009.CKBALBEM, '_', GT009.CKCTABEM, '_', GT009.CKREFBEM)
   LEFT JOIN
     (SELECT CKBALBEM,
             CKCTABEM,
             CKREFBEM,
             mavalia,
             ref_date
      FROM cd_garantias.gt013_bens_mob) GT013 ON LT006.PRTCTN_ID = CONCAT('M_', GT013.CKBALBEM, '_', GT013.CKCTABEM, '_', GT013.CKREFBEM)
   WHERE 1=1
   AND (GT003.ref_date&gt;=LT004.dt_orgnl_prtctn_vl
     AND GT003.ref_date&lt;=DT_NPE)
    OR (GT009.ref_date&gt;=LT004.dt_orgnl_prtctn_vl
     AND GT009.ref_date&lt;=DT_NPE)
    OR (GT013.ref_date&gt;=LT004.dt_orgnl_prtctn_vl
     AND GT013.ref_date&lt;=DT_NPE)
     -- AND LT004.prtctn_id ='F_0003_08648151005_000000000000000'
   GROUP BY LT004.prtctn_id,
          LT004.PRTCTN_VL_NPE,
          LT004.dt_orgnl_prtctn_vl,
          LT006.instrmnt_id,
          PRFR.chave_fr,
          PRFR.dt_npe) X
LEFT JOIN
  (SELECT CKBALBEM,
          CKCTABEM,
          CKREFBEM,
          mvalcat,
          ref_date
   FROM cd_garantias.gt003_trz_gt_fin) GT003b ON X.PRTCTN_ID = CONCAT('F_', GT003b.CKBALBEM, '_', GT003b.CKCTABEM, '_', GT003b.CKREFBEM)
AND GT003b.ref_date = max_ref_date_f
LEFT JOIN
  (SELECT CKBALBEM,
          CKCTABEM,
          CKREFBEM,
          mavalia,
          ref_date
   FROM cd_garantias.gt009_bens_imov) GT009b ON X.PRTCTN_ID = CONCAT('I_', GT009b.CKBALBEM, '_', GT009b.CKCTABEM, '_', GT009b.CKREFBEM)
AND GT009b.ref_date = max_ref_date_i
LEFT JOIN
  (SELECT CKBALBEM,
          CKCTABEM,
          CKREFBEM,
          mavalia,
          ref_date
   FROM cd_garantias.gt013_bens_mob) GT013b ON X.PRTCTN_ID = CONCAT('M_', GT013b.CKBALBEM, '_', GT013b.CKCTABEM, '_', GT013b.CKREFBEM)
AND GT013b.ref_date = max_ref_date_m) Y
GROUP BY prtctn_id, PRTCTN_VL_NPE,dt_orgnl_prtctn_vl,DT_NPE
Having PRTCTN_VL_NPE &lt;&gt; PRTCTN_VL_NPE_SIM</t>
  </si>
  <si>
    <t>Enviado na especificação de dezembro de 2025</t>
  </si>
  <si>
    <t xml:space="preserve">1. Alteração da lógica de agregação dos contratos na LT001, garantindo que seja efetuada com base no plano de contas correspondente ao perímetro em análise.
2. Adicionar o campo CARTEIRA_CONTABILISTICA nas linhas adicionais PRVS da LT001
3. Adicionar de campos COD_SOC_INTRGP e COD_SOC na LT001
4. Parametrizar o campo JUROS_CORRIDOS e JUROS_CORRIDOS_PRVS da LT001
5. Alterações nos campos da LT004 de forma a reportar corretamente as Garantias Móveis
6. Alguns campos que necessitavam de correções presentes no ficheiro de especificação </t>
  </si>
  <si>
    <t>Notas</t>
  </si>
  <si>
    <t>SELECT  LT004.prtctn_id, prtctn_vl_prvs,
        CASE WHEN LT004.prtctn_id LIKE 'P%' THEN 11111111111 
        WHEN LT004.prtctn_id LIKE 'I%' THEN GT011.mavalia
        WHEN LT004.prtctn_id LIKE 'M%' THEN GT013.mavalia
        WHEN LT004.prtctn_id LIKE 'F%' THEN GT003.PRTCTN_VL_PRVS_FIN  
        ELSE 99999999999
        END AS PRTCTN_VL_PRVS_sim
FROM
        (SELECT prtctn_id, prtctn_vl_prvs
        FROM cd_loan_tapes_bce.lt004_protection 
        WHERE ref_date='${date}' 
            AND nome_perimetro='Individual IDComb' 
            AND segmento='ESTR' 
            AND ambito='PM'
            AND cod_visao =1
        ) LT004
    LEFT JOIN
        (SELECT prtctn_id_GT011, davalia,mavalia, ranking
        FROM 
            (SELECT *, RANK() OVER (PARTITION BY prtctn_id_GT011 ORDER BY davalia DESC) AS ranking
                FROM 
                (SELECT DISTINCT CONCAT('I_', CKBALBEM, '_', CKCTABEM, '_', CKREFBEM) AS prtctn_id_GT011,
                       davalia, mavalia
                FROM cd_garantias.gt011_avalc_imov
                WHERE 1=1 
                AND ref_date='${date}'
                ) GT011
             )GT011
              WHERE ranking = 2
        )GT011
    ON prtctn_id_GT011 = prtctn_id
    LEFT JOIN 
    (SELECT prtctn_id_GT013, davalia,mavalia, ranking
        FROM 
            (SELECT *, RANK() OVER (PARTITION BY prtctn_id_GT013 ORDER BY davalia DESC) AS ranking
                FROM 
                (SELECT DISTINCT CONCAT('M_', CKBALBEM, '_', CKCTABEM, '_', CKREFBEM) AS prtctn_id_GT013,davalia, mavalia
                FROM cd_garantias.gt013_bens_mob
                Where ref_date &lt;= '${date}') GT013
                )GT013
              WHERE ranking = 2
              ) GT013
ON prtctn_id_GT013 = prtctn_id
LEFT JOIN
(SELECT prtctn_id_GT003, 
case WHEN GT003.ctratcta in ('01','03') THEN 11111111111
WHEN GT003.ctratcta in ('10') AND TTT35.icotacao ='N' THEN 11111111111
ELSE SUM(mvalcat) END AS PRTCTN_VL_PRVS_FIN
FROM
(SELECT prtctn_id_GT003, ctratcta, mvalcat, ranking
FROM
(SELECT *, RANK() OVER (PARTITION BY prtctn_id_GT003 ORDER BY ref_date DESC) AS ranking
FROM
(SELECT DISTINCT CONCAT('F_', CKBALBEM, '_', CKCTABEM, '_', CKREFBEM) AS prtctn_id_GT003, ctratcta, mvalcat, ref_date
FROM cd_garantias.gt003_trz_gt_fin
Where ref_date &lt;= '${date}') GT003) GT003 
WHERE ranking = 2) GT003
LEFT JOIN 
(SELECT ztitulo, icotacao
FROM cd_mercados.ttt35_titlgru
Where data_date_part='${date}'
) TTT35
ON STRRIGHT(prtctn_id_GT003,15) = CONCAT(CAST(TTT35.ZTITULO AS STRING), '00000') 
GROUP BY prtctn_id_GT003, GT003.ctratcta, TTT35.icotacao) GT003
ON prtctn_id_GT003 = prtctn_id</t>
  </si>
  <si>
    <t>SELECT *
FROM 
(
SELECT  LT004.prtctn_id, prtctn_vl_prvs,
        CASE WHEN LT004.prtctn_id LIKE 'P%' THEN 11111111111 
        WHEN LT004.prtctn_id LIKE 'I%' THEN GT011.mavalia
        WHEN LT004.prtctn_id LIKE 'M%' THEN GT013.mavalia
        WHEN LT004.prtctn_id LIKE 'F%' THEN GT003.PRTCTN_VL_PRVS_FIN  
        ELSE 99999999999
        END AS PRTCTN_VL_PRVS_sim
FROM
        (SELECT prtctn_id, prtctn_vl_prvs
        FROM cd_loan_tapes_bce.lt004_protection 
        WHERE ref_date='${date}' 
            AND nome_perimetro='Individual IDComb' 
            AND segmento='ESTR' 
            AND ambito='PM'
            AND cod_visao =1
        ) LT004
    LEFT JOIN
        (SELECT prtctn_id_GT011, davalia,mavalia, ranking
        FROM 
            (SELECT *, RANK() OVER (PARTITION BY prtctn_id_GT011 ORDER BY davalia DESC) AS ranking
                FROM 
                (SELECT DISTINCT CONCAT('I_', CKBALBEM, '_', CKCTABEM, '_', CKREFBEM) AS prtctn_id_GT011,
                       davalia, mavalia
                FROM cd_garantias.gt011_avalc_imov
                WHERE 1=1 
                AND ref_date='${date}'
                ) GT011
             )GT011
              WHERE ranking = 2
        )GT011
    ON prtctn_id_GT011 = prtctn_id
    LEFT JOIN 
    (SELECT prtctn_id_GT013, davalia,mavalia, ranking
        FROM 
            (SELECT *, RANK() OVER (PARTITION BY prtctn_id_GT013 ORDER BY davalia DESC) AS ranking
                FROM 
                (SELECT DISTINCT CONCAT('M_', CKBALBEM, '_', CKCTABEM, '_', CKREFBEM) AS prtctn_id_GT013,davalia, mavalia
                FROM cd_garantias.gt013_bens_mob
                Where ref_date &lt;= '${date}') GT013
                )GT013
              WHERE ranking = 2
              ) GT013
ON prtctn_id_GT013 = prtctn_id
LEFT JOIN
(SELECT prtctn_id_GT003, 
case WHEN GT003.ctratcta in ('01','03') THEN 11111111111
WHEN GT003.ctratcta in ('10') AND TTT35.icotacao ='N' THEN 11111111111
ELSE SUM(mvalcat) END AS PRTCTN_VL_PRVS_FIN
FROM
(SELECT prtctn_id_GT003, ctratcta, mvalcat, ranking
FROM
(SELECT *, RANK() OVER (PARTITION BY prtctn_id_GT003 ORDER BY ref_date DESC) AS ranking
FROM
(SELECT DISTINCT CONCAT('F_', CKBALBEM, '_', CKCTABEM, '_', CKREFBEM) AS prtctn_id_GT003, ctratcta, mvalcat, ref_date
FROM cd_garantias.gt003_trz_gt_fin
Where ref_date &lt;= '${date}') GT003) GT003 
WHERE ranking = 2) GT003
LEFT JOIN 
(SELECT ztitulo, icotacao
FROM cd_mercados.ttt35_titlgru
Where data_date_part='${date}'
) TTT35
ON STRRIGHT(prtctn_id_GT003,15) = CONCAT(CAST(TTT35.ZTITULO AS STRING), '00000') 
GROUP BY prtctn_id_GT003, GT003.ctratcta, TTT35.icotacao) GT003
ON prtctn_id_GT003 = prtctn_id
) X
Where cast(PRTCTN_VL_PRVS_sim as VARCHAR) NOT LIKE '%.__'</t>
  </si>
  <si>
    <t>SELECT *
FROM 
(
SELECT  LT004.prtctn_id, prtctn_vl_prvs,
        CASE WHEN LT004.prtctn_id LIKE 'P%' THEN 11111111111 
        WHEN LT004.prtctn_id LIKE 'I%' THEN GT011.mavalia
        WHEN LT004.prtctn_id LIKE 'M%' THEN GT013.mavalia
        WHEN LT004.prtctn_id LIKE 'F%' THEN GT003.PRTCTN_VL_PRVS_FIN  
        ELSE 99999999999
        END AS PRTCTN_VL_PRVS_sim
FROM
        (SELECT prtctn_id, prtctn_vl_prvs
        FROM cd_loan_tapes_bce.lt004_protection 
        WHERE ref_date='${date}' 
            AND nome_perimetro='Individual IDComb' 
            AND segmento='ESTR' 
            AND ambito='PM'
            AND cod_visao =1
        ) LT004
    LEFT JOIN
        (SELECT prtctn_id_GT011, davalia,mavalia, ranking
        FROM 
            (SELECT *, RANK() OVER (PARTITION BY prtctn_id_GT011 ORDER BY davalia DESC) AS ranking
                FROM 
                (SELECT DISTINCT CONCAT('I_', CKBALBEM, '_', CKCTABEM, '_', CKREFBEM) AS prtctn_id_GT011,
                       davalia, mavalia
                FROM cd_garantias.gt011_avalc_imov
                WHERE 1=1 
                AND ref_date='${date}'
                ) GT011
             )GT011
              WHERE ranking = 2
        )GT011
    ON prtctn_id_GT011 = prtctn_id
    LEFT JOIN 
    (SELECT prtctn_id_GT013, davalia,mavalia, ranking
        FROM 
            (SELECT *, RANK() OVER (PARTITION BY prtctn_id_GT013 ORDER BY davalia DESC) AS ranking
                FROM 
                (SELECT DISTINCT CONCAT('M_', CKBALBEM, '_', CKCTABEM, '_', CKREFBEM) AS prtctn_id_GT013,davalia, mavalia
                FROM cd_garantias.gt013_bens_mob
                Where ref_date &lt;= '${date}') GT013
                )GT013
              WHERE ranking = 2
              ) GT013
ON prtctn_id_GT013 = prtctn_id
LEFT JOIN
(SELECT prtctn_id_GT003, 
case WHEN GT003.ctratcta in ('01','03') THEN 11111111111
WHEN GT003.ctratcta in ('10') AND TTT35.icotacao ='N' THEN 11111111111
ELSE SUM(mvalcat) END AS PRTCTN_VL_PRVS_FIN
FROM
(SELECT prtctn_id_GT003, ctratcta, mvalcat, ranking
FROM
(SELECT *, RANK() OVER (PARTITION BY prtctn_id_GT003 ORDER BY ref_date DESC) AS ranking
FROM
(SELECT DISTINCT CONCAT('F_', CKBALBEM, '_', CKCTABEM, '_', CKREFBEM) AS prtctn_id_GT003, ctratcta, mvalcat, ref_date
FROM cd_garantias.gt003_trz_gt_fin
Where ref_date &lt;= '${date}') GT003) GT003 
WHERE ranking = 2) GT003
LEFT JOIN 
(SELECT ztitulo, icotacao
FROM cd_mercados.ttt35_titlgru
Where data_date_part='${date}'
) TTT35
ON STRRIGHT(prtctn_id_GT003,15) = CONCAT(CAST(TTT35.ZTITULO AS STRING), '00000') 
GROUP BY prtctn_id_GT003, GT003.ctratcta, TTT35.icotacao) GT003
ON prtctn_id_GT003 = prtctn_id
) X
Where PRTCTN_VL_PRVS_sim &lt;0</t>
  </si>
  <si>
    <t>SELECT *
FROM 
(
SELECT  LT004.prtctn_id, prtctn_vl_prvs, dt_apprsl_prvs,
        CASE WHEN LT004.prtctn_id LIKE 'P%' THEN 11111111111 
        WHEN LT004.prtctn_id LIKE 'I%' THEN GT011.mavalia
        WHEN LT004.prtctn_id LIKE 'M%' THEN GT013.mavalia
        WHEN LT004.prtctn_id LIKE 'F%' THEN GT003.PRTCTN_VL_PRVS_FIN  
        ELSE 99999999999
        END AS PRTCTN_VL_PRVS_sim
FROM
        (SELECT prtctn_id, prtctn_vl_prvs, dt_apprsl_prvs
        FROM cd_loan_tapes_bce.lt004_protection 
        WHERE ref_date='${date}' 
            AND nome_perimetro='Individual IDComb' 
            AND segmento='ESTR' 
            AND ambito='PM'
            AND cod_visao =1
        ) LT004
    LEFT JOIN
        (SELECT prtctn_id_GT011, davalia,mavalia, ranking
        FROM 
            (SELECT *, RANK() OVER (PARTITION BY prtctn_id_GT011 ORDER BY davalia DESC) AS ranking
                FROM 
                (SELECT DISTINCT CONCAT('I_', CKBALBEM, '_', CKCTABEM, '_', CKREFBEM) AS prtctn_id_GT011,
                       davalia, mavalia
                FROM cd_garantias.gt011_avalc_imov
                WHERE 1=1 
                AND ref_date='${date}'
                ) GT011
             )GT011
              WHERE ranking = 2
        )GT011
    ON prtctn_id_GT011 = prtctn_id
    LEFT JOIN 
    (SELECT prtctn_id_GT013, davalia,mavalia, ranking
        FROM 
            (SELECT *, RANK() OVER (PARTITION BY prtctn_id_GT013 ORDER BY davalia DESC) AS ranking
                FROM 
                (SELECT DISTINCT CONCAT('M_', CKBALBEM, '_', CKCTABEM, '_', CKREFBEM) AS prtctn_id_GT013,davalia, mavalia
                FROM cd_garantias.gt013_bens_mob
                Where ref_date &lt;= '${date}') GT013
                )GT013
              WHERE ranking = 2
              ) GT013
ON prtctn_id_GT013 = prtctn_id
LEFT JOIN
(SELECT prtctn_id_GT003, 
case WHEN GT003.ctratcta in ('01','03') THEN 11111111111
WHEN GT003.ctratcta in ('10') AND TTT35.icotacao ='N' THEN 11111111111
ELSE SUM(mvalcat) END AS PRTCTN_VL_PRVS_FIN
FROM
(SELECT prtctn_id_GT003, ctratcta, mvalcat, ranking
FROM
(SELECT *, RANK() OVER (PARTITION BY prtctn_id_GT003 ORDER BY ref_date DESC) AS ranking
FROM
(SELECT DISTINCT CONCAT('F_', CKBALBEM, '_', CKCTABEM, '_', CKREFBEM) AS prtctn_id_GT003, ctratcta, mvalcat, ref_date
FROM cd_garantias.gt003_trz_gt_fin
Where ref_date &lt;= '${date}') GT003) GT003 
WHERE ranking = 2) GT003
LEFT JOIN 
(SELECT ztitulo, icotacao
FROM cd_mercados.ttt35_titlgru
Where data_date_part='${date}'
) TTT35
ON STRRIGHT(prtctn_id_GT003,15) = CONCAT(CAST(TTT35.ZTITULO AS STRING), '00000') 
GROUP BY prtctn_id_GT003, GT003.ctratcta, TTT35.icotacao) GT003
ON prtctn_id_GT003 = prtctn_id
) X
Where dt_apprsl_prvs not in ('1111-11-11','0000-00-00')
AND PRTCTN_VL_PRVS_sim in (11111111111,99999999999)</t>
  </si>
  <si>
    <t>SELECT *
FROM 
(
SELECT  LT004.prtctn_id, prtctn_vl_prvs, dt_apprsl_prvs,
        CASE WHEN LT004.prtctn_id LIKE 'P%' THEN 11111111111 
        WHEN LT004.prtctn_id LIKE 'I%' THEN GT011.mavalia
        WHEN LT004.prtctn_id LIKE 'M%' THEN GT013.mavalia
        WHEN LT004.prtctn_id LIKE 'F%' THEN GT003.PRTCTN_VL_PRVS_FIN  
        ELSE 99999999999
        END AS PRTCTN_VL_PRVS_sim
FROM
        (SELECT prtctn_id, prtctn_vl_prvs, dt_apprsl_prvs
        FROM cd_loan_tapes_bce.lt004_protection 
        WHERE ref_date='${date}' 
            AND nome_perimetro='Individual IDComb' 
            AND segmento='ESTR' 
            AND ambito='PM'
            AND cod_visao =1
        ) LT004
    LEFT JOIN
        (SELECT prtctn_id_GT011, davalia,mavalia, ranking
        FROM 
            (SELECT *, RANK() OVER (PARTITION BY prtctn_id_GT011 ORDER BY davalia DESC) AS ranking
                FROM 
                (SELECT DISTINCT CONCAT('I_', CKBALBEM, '_', CKCTABEM, '_', CKREFBEM) AS prtctn_id_GT011,
                       davalia, mavalia
                FROM cd_garantias.gt011_avalc_imov
                WHERE 1=1 
                AND ref_date='${date}'
                ) GT011
             )GT011
              WHERE ranking = 2
        )GT011
    ON prtctn_id_GT011 = prtctn_id
    LEFT JOIN 
    (SELECT prtctn_id_GT013, davalia,mavalia, ranking
        FROM 
            (SELECT *, RANK() OVER (PARTITION BY prtctn_id_GT013 ORDER BY davalia DESC) AS ranking
                FROM 
                (SELECT DISTINCT CONCAT('M_', CKBALBEM, '_', CKCTABEM, '_', CKREFBEM) AS prtctn_id_GT013,davalia, mavalia
                FROM cd_garantias.gt013_bens_mob
                Where ref_date &lt;= '${date}') GT013
                )GT013
              WHERE ranking = 2
              ) GT013
ON prtctn_id_GT013 = prtctn_id
LEFT JOIN
(SELECT prtctn_id_GT003, 
case WHEN GT003.ctratcta in ('01','03') THEN 11111111111
WHEN GT003.ctratcta in ('10') AND TTT35.icotacao ='N' THEN 11111111111
ELSE SUM(mvalcat) END AS PRTCTN_VL_PRVS_FIN
FROM
(SELECT prtctn_id_GT003, ctratcta, mvalcat, ranking
FROM
(SELECT *, RANK() OVER (PARTITION BY prtctn_id_GT003 ORDER BY ref_date DESC) AS ranking
FROM
(SELECT DISTINCT CONCAT('F_', CKBALBEM, '_', CKCTABEM, '_', CKREFBEM) AS prtctn_id_GT003, ctratcta, mvalcat, ref_date
FROM cd_garantias.gt003_trz_gt_fin
Where ref_date &lt;= '${date}') GT003) GT003 
WHERE ranking = 2) GT003
LEFT JOIN 
(SELECT ztitulo, icotacao
FROM cd_mercados.ttt35_titlgru
Where data_date_part='${date}'
) TTT35
ON STRRIGHT(prtctn_id_GT003,15) = CONCAT(CAST(TTT35.ZTITULO AS STRING), '00000') 
GROUP BY prtctn_id_GT003, GT003.ctratcta, TTT35.icotacao) GT003
ON prtctn_id_GT003 = prtctn_id
) X
Where prtctn_id like 'P%'
AND PRTCTN_VL_PRVS_sim &lt;&gt; 11111111111</t>
  </si>
  <si>
    <r>
      <t xml:space="preserve">Contexto
Para os cartões do produto 011, a partir de 27 de julho foi implementada uma normalização do campo Zdeposit. Antes dessa data, sempre que um cartão físico expirava e era substituído, o Zdeposit mudava, como se fosse um novo contrato.
Antes da Normalização
O mesmo cartão podia ter os primeiros 7 dígitos (Pan7) diferentes:
	• Zdeposit → 2345678 + 0000 + 0001
	• Zdeposit → 8765432 + 0000 + 0001
Depois da Normalização
Os primeiros 7 dígitos passaram a ser reportados como zeros:
	• Zdeposit → 0000000 + 0000 + 0001
	• Zdeposit → 0000000 + 0000 + 0001
Impacto: Quando o cartão é alterado, não conseguimos distinguir os valores anteriores, pois os contratos aparecem com os Zdeposit antigos não fazendo match.
Especificação Técnica
Independentemente da data de referência, para cartões nos valores PRVS é necessário:
	1. Adicionar um tratamento para:
		○ Pegar no contrato atual e substituir os primeiros 7 dígitos por zeros.
		○ Ir ao ano anterior, identificar o contrato anterior (que aparece com números sem normalização) e aplicar também a substituição por 7 zeros nos primeiros dígitos.
	2. Atenção aos tradutores de chaves, pois esta transformação pode impactar a lógica de correspondência.
Nota
Existe uma alternativa: aplicar esta regra apenas para datas de referência superiores a 30 de julho. No entanto, a abordagem escolhida (aplicar sempre) é mais coerente, apesar de gerar diferenças em relação aos reportes anteriores.
- Validar processo para imparidade e capital, ter em conta os campos atuais, incptn e prvs
</t>
    </r>
    <r>
      <rPr>
        <b/>
        <sz val="15"/>
        <color theme="1"/>
        <rFont val="Santander Text"/>
        <family val="2"/>
      </rPr>
      <t>Existe uma análise no documento General - BS _ Loan Tape BCE\03. Loan Tape\02. Documentação Trabalho\03. Testes BAU no documento "BS_Testes LT"</t>
    </r>
  </si>
  <si>
    <t>left join</t>
  </si>
  <si>
    <t>FR802</t>
  </si>
  <si>
    <t>inner join</t>
  </si>
  <si>
    <t xml:space="preserve"> inner join FR005 inner joint  CT828….</t>
  </si>
  <si>
    <t>FR802_juros</t>
  </si>
  <si>
    <r>
      <rPr>
        <b/>
        <sz val="15"/>
        <color theme="1"/>
        <rFont val="Santander Text"/>
        <family val="2"/>
      </rPr>
      <t>FR001</t>
    </r>
    <r>
      <rPr>
        <sz val="15"/>
        <color theme="1"/>
        <rFont val="Santander Text"/>
        <family val="2"/>
      </rPr>
      <t xml:space="preserve"> - Contrato, Contas contabilisticas e saldo
</t>
    </r>
    <r>
      <rPr>
        <b/>
        <sz val="15"/>
        <color theme="1"/>
        <rFont val="Santander Text"/>
        <family val="2"/>
      </rPr>
      <t>FR005</t>
    </r>
    <r>
      <rPr>
        <sz val="15"/>
        <color theme="1"/>
        <rFont val="Santander Text"/>
        <family val="2"/>
      </rPr>
      <t xml:space="preserve"> -nome_perimetro, entidade
</t>
    </r>
    <r>
      <rPr>
        <b/>
        <sz val="15"/>
        <color theme="1"/>
        <rFont val="Santander Text"/>
        <family val="2"/>
      </rPr>
      <t>FR802</t>
    </r>
    <r>
      <rPr>
        <sz val="15"/>
        <color theme="1"/>
        <rFont val="Santander Text"/>
        <family val="2"/>
      </rPr>
      <t xml:space="preserve"> - conta, carteira contabilistica, instrumento financeiro....
+
CASE
WHEN trim(FR802_juros.COD_PLANO) = 'BST_IND'
AND trim(FR001.CCONTAB_FINAL_PCSB) NOT LIKE '28%'
AND trim(FR802_juros.COMPOSICAO_VALOR) = 'juros/rendimentos a receber'
AND trim(FR802_juros.TIPO_CONTA) = 'A'
AND trim(FR802_juros.CARTEIRA_CONTABILISTICA) IN ('ativos financeiros ao custo amortizado','ativos financeiros ao justo valor atraves de outro rendimento integral','ativos financeiros ao justo valor atraves de resultados' THEN 1
WHEN trim(FR802_juros.COD_PLANO) = 'BST_IND'
AND trim(FR802_juros.COMPOSICAO_VALOR) = 'juros/encargos a pagar'
AND trim(FR802_juros.TIPO_CONTA) = 'P'
AND trim(FR802_juros.CARTEIRA_CONTABILISTICA) IN ('passivos financeiros ao custo amortizado')
THEN 1 ELSE 0 END AS</t>
    </r>
    <r>
      <rPr>
        <b/>
        <sz val="15"/>
        <color theme="1"/>
        <rFont val="Santander Text"/>
        <family val="2"/>
      </rPr>
      <t xml:space="preserve"> flg_juros_corridos</t>
    </r>
  </si>
  <si>
    <t>EXEMPLO PARA PERIMETRO INDIVIDUAL LOCAL:</t>
  </si>
  <si>
    <r>
      <rPr>
        <b/>
        <sz val="15"/>
        <color theme="1"/>
        <rFont val="Santander Text"/>
        <family val="2"/>
      </rPr>
      <t>ON</t>
    </r>
    <r>
      <rPr>
        <sz val="15"/>
        <color theme="1"/>
        <rFont val="Santander Text"/>
        <family val="2"/>
      </rPr>
      <t xml:space="preserve"> (CT828.cod_plano = FR802.cod_plano
AND CASE  WHEN FR005.nome_perimetro = 'Individual Local' THEN FR001.ccontab_final_ifrs  END  = FR802.conta)
          </t>
    </r>
  </si>
  <si>
    <r>
      <rPr>
        <b/>
        <sz val="15"/>
        <color theme="1"/>
        <rFont val="Santander Text"/>
        <family val="2"/>
      </rPr>
      <t>ON</t>
    </r>
    <r>
      <rPr>
        <sz val="15"/>
        <color theme="1"/>
        <rFont val="Santander Text"/>
        <family val="2"/>
      </rPr>
      <t xml:space="preserve"> FR001.ccontab_final_ifrs = FR802_juros.conta</t>
    </r>
  </si>
  <si>
    <t>Calculo dos saldos:</t>
  </si>
  <si>
    <t>CT873</t>
  </si>
  <si>
    <t>CT872</t>
  </si>
  <si>
    <t>UNIVERSO</t>
  </si>
  <si>
    <r>
      <t xml:space="preserve">CASE DE TODOS OS CAMPOS DE SALDOS:
</t>
    </r>
    <r>
      <rPr>
        <b/>
        <sz val="15"/>
        <color theme="1"/>
        <rFont val="Santander Text"/>
        <family val="2"/>
      </rPr>
      <t xml:space="preserve">VALOR_BRUTO_ON
VALOR_BRUTO_OFF
PROVISAO_ON
PROVISAO_OFF
</t>
    </r>
    <r>
      <rPr>
        <sz val="15"/>
        <color theme="1"/>
        <rFont val="Santander Text"/>
        <family val="2"/>
      </rPr>
      <t xml:space="preserve">+
CASE WHEN flg_juros_corridos = 1 THEN msaldo_final ELSE 0 END AS </t>
    </r>
    <r>
      <rPr>
        <b/>
        <sz val="15"/>
        <color theme="1"/>
        <rFont val="Santander Text"/>
        <family val="2"/>
      </rPr>
      <t>juros_corridos</t>
    </r>
  </si>
  <si>
    <t>FR802_flag</t>
  </si>
  <si>
    <r>
      <rPr>
        <b/>
        <sz val="15"/>
        <color theme="1"/>
        <rFont val="Santander Text"/>
        <family val="2"/>
      </rPr>
      <t>ON</t>
    </r>
    <r>
      <rPr>
        <sz val="15"/>
        <color theme="1"/>
        <rFont val="Santander Text"/>
        <family val="2"/>
      </rPr>
      <t xml:space="preserve"> </t>
    </r>
    <r>
      <rPr>
        <sz val="15"/>
        <color rgb="FFFF0000"/>
        <rFont val="Santander Text"/>
        <family val="2"/>
      </rPr>
      <t>FR001.ccontab_final_pcsb = FR802_flag.conta</t>
    </r>
  </si>
  <si>
    <r>
      <rPr>
        <b/>
        <sz val="15"/>
        <color theme="1"/>
        <rFont val="Santander Text"/>
        <family val="2"/>
      </rPr>
      <t>FR001</t>
    </r>
    <r>
      <rPr>
        <sz val="15"/>
        <color theme="1"/>
        <rFont val="Santander Text"/>
        <family val="2"/>
      </rPr>
      <t xml:space="preserve"> - Contrato, Contas contabilisticas e saldo
</t>
    </r>
    <r>
      <rPr>
        <b/>
        <sz val="15"/>
        <color theme="1"/>
        <rFont val="Santander Text"/>
        <family val="2"/>
      </rPr>
      <t>FR005</t>
    </r>
    <r>
      <rPr>
        <sz val="15"/>
        <color theme="1"/>
        <rFont val="Santander Text"/>
        <family val="2"/>
      </rPr>
      <t xml:space="preserve"> -nome_perimetro, entidade
</t>
    </r>
    <r>
      <rPr>
        <b/>
        <sz val="15"/>
        <color theme="1"/>
        <rFont val="Santander Text"/>
        <family val="2"/>
      </rPr>
      <t>FR802</t>
    </r>
    <r>
      <rPr>
        <sz val="15"/>
        <color theme="1"/>
        <rFont val="Santander Text"/>
        <family val="2"/>
      </rPr>
      <t xml:space="preserve"> - conta, carteira contabilistica, instrumento financeiro....
</t>
    </r>
    <r>
      <rPr>
        <b/>
        <sz val="15"/>
        <color theme="1"/>
        <rFont val="Santander Text"/>
        <family val="2"/>
      </rPr>
      <t xml:space="preserve">FR802_flag - </t>
    </r>
    <r>
      <rPr>
        <sz val="15"/>
        <color rgb="FFFF0000"/>
        <rFont val="Santander Text"/>
        <family val="2"/>
      </rPr>
      <t>flag_vencido</t>
    </r>
    <r>
      <rPr>
        <sz val="15"/>
        <color theme="1"/>
        <rFont val="Santander Text"/>
        <family val="2"/>
      </rPr>
      <t xml:space="preserve">
</t>
    </r>
  </si>
  <si>
    <r>
      <rPr>
        <b/>
        <sz val="15"/>
        <color theme="1"/>
        <rFont val="Santander Text"/>
        <family val="2"/>
      </rPr>
      <t>ON</t>
    </r>
    <r>
      <rPr>
        <sz val="15"/>
        <color theme="1"/>
        <rFont val="Santander Text"/>
        <family val="2"/>
      </rPr>
      <t xml:space="preserve"> CT873.dominio_conceito_saldo = CT872.dominio
AND CT873.conceito_saldo = CT872.conceito_saldo</t>
    </r>
  </si>
  <si>
    <t>Adicionar o campo flag_vencido na tabela FR802</t>
  </si>
  <si>
    <t>Adicionar o campo flag_vencido na tabela de parametrização</t>
  </si>
  <si>
    <r>
      <t xml:space="preserve">CASE DE TODOS OS CAMPOS DE SALDOS:
</t>
    </r>
    <r>
      <rPr>
        <b/>
        <sz val="15"/>
        <color theme="1"/>
        <rFont val="Santander Text"/>
        <family val="2"/>
      </rPr>
      <t xml:space="preserve">VALOR_BRUTO_ON
VALOR_BRUTO_OFF
PROVISAO_ON
PROVISAO_OFF
</t>
    </r>
    <r>
      <rPr>
        <sz val="15"/>
        <color theme="1"/>
        <rFont val="Santander Text"/>
        <family val="2"/>
      </rPr>
      <t xml:space="preserve">+
</t>
    </r>
    <r>
      <rPr>
        <sz val="15"/>
        <color rgb="FFFF0000"/>
        <rFont val="Santander Text"/>
        <family val="2"/>
      </rPr>
      <t>Parametrização do campo JUROS_CORRIDOS</t>
    </r>
  </si>
  <si>
    <t>PROPOSTA</t>
  </si>
  <si>
    <t>PROCESSO ATUAL</t>
  </si>
  <si>
    <t>Universo</t>
  </si>
  <si>
    <t>22/12/2025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</si>
</sst>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Aptos Narrow"/>
      <family val="2"/>
      <scheme val="minor"/>
    </font>
    <font>
      <b/>
      <sz val="11"/>
      <color theme="1"/>
      <name val="Aptos Narrow"/>
      <family val="2"/>
      <scheme val="minor"/>
    </font>
    <font>
      <sz val="11"/>
      <color theme="1"/>
      <name val="Aptos Narrow"/>
      <family val="2"/>
      <scheme val="minor"/>
    </font>
    <font>
      <sz val="8"/>
      <color theme="1"/>
      <name val="Arial"/>
      <family val="2"/>
    </font>
    <font>
      <b/>
      <sz val="11"/>
      <color theme="0"/>
      <name val="Aptos Narrow"/>
      <family val="2"/>
      <scheme val="minor"/>
    </font>
    <font>
      <b/>
      <sz val="11"/>
      <color theme="0"/>
      <name val="Calibri"/>
      <family val="2"/>
    </font>
    <font>
      <sz val="11"/>
      <color rgb="FF000000"/>
      <name val="Calibri"/>
      <family val="2"/>
    </font>
    <font>
      <b/>
      <sz val="11"/>
      <name val="Aptos Narrow"/>
      <family val="2"/>
      <scheme val="minor"/>
    </font>
    <font>
      <sz val="11"/>
      <color theme="0"/>
      <name val="Aptos Narrow"/>
      <family val="2"/>
      <scheme val="minor"/>
    </font>
    <font>
      <sz val="11"/>
      <name val="Calibri"/>
      <family val="2"/>
    </font>
    <font>
      <b/>
      <sz val="11"/>
      <color theme="0" tint="-0.249977111117893"/>
      <name val="Aptos Narrow"/>
      <family val="2"/>
      <scheme val="minor"/>
    </font>
    <font>
      <b/>
      <u/>
      <sz val="11"/>
      <color theme="1"/>
      <name val="Aptos Narrow"/>
      <family val="2"/>
      <scheme val="minor"/>
    </font>
    <font>
      <sz val="12"/>
      <color theme="1"/>
      <name val="Aptos Narrow"/>
      <family val="2"/>
      <scheme val="minor"/>
    </font>
    <font>
      <sz val="11"/>
      <color theme="1"/>
      <name val="Santander Text"/>
      <family val="2"/>
    </font>
    <font>
      <b/>
      <sz val="12"/>
      <color theme="1"/>
      <name val="Aptos Narrow"/>
      <family val="2"/>
      <scheme val="minor"/>
    </font>
    <font>
      <b/>
      <sz val="12"/>
      <color theme="0"/>
      <name val="Aptos Narrow"/>
      <family val="2"/>
      <scheme val="minor"/>
    </font>
    <font>
      <b/>
      <u/>
      <sz val="12"/>
      <color theme="1"/>
      <name val="Aptos Narrow"/>
      <family val="2"/>
      <scheme val="minor"/>
    </font>
    <font>
      <b/>
      <sz val="36"/>
      <color theme="0"/>
      <name val="Aptos Narrow"/>
      <family val="2"/>
      <scheme val="minor"/>
    </font>
    <font>
      <sz val="14"/>
      <color theme="1"/>
      <name val="Aptos Narrow"/>
      <family val="2"/>
      <scheme val="minor"/>
    </font>
    <font>
      <sz val="14"/>
      <color rgb="FF000000"/>
      <name val="Aptos Narrow"/>
      <family val="2"/>
      <scheme val="minor"/>
    </font>
    <font>
      <sz val="15"/>
      <color theme="1"/>
      <name val="Aptos Narrow"/>
      <family val="2"/>
      <scheme val="minor"/>
    </font>
    <font>
      <b/>
      <sz val="15"/>
      <color theme="0"/>
      <name val="Aptos Narrow"/>
      <family val="2"/>
      <scheme val="minor"/>
    </font>
    <font>
      <sz val="15"/>
      <name val="Aptos Narrow"/>
      <family val="2"/>
      <scheme val="minor"/>
    </font>
    <font>
      <b/>
      <sz val="15"/>
      <color theme="1"/>
      <name val="Aptos Narrow"/>
      <family val="2"/>
      <scheme val="minor"/>
    </font>
    <font>
      <sz val="15"/>
      <color rgb="FF000000"/>
      <name val="Aptos Narrow"/>
      <family val="2"/>
      <scheme val="minor"/>
    </font>
    <font>
      <sz val="15"/>
      <color rgb="FF000000"/>
      <name val="Calibri"/>
      <family val="2"/>
    </font>
    <font>
      <sz val="15"/>
      <color theme="0" tint="-0.34998626667073579"/>
      <name val="Aptos Narrow"/>
      <family val="2"/>
      <scheme val="minor"/>
    </font>
    <font>
      <sz val="15"/>
      <color theme="1"/>
      <name val="Santander Text"/>
      <family val="2"/>
    </font>
    <font>
      <sz val="14"/>
      <color theme="1"/>
      <name val="Santander Text"/>
      <family val="2"/>
    </font>
    <font>
      <b/>
      <sz val="15"/>
      <color theme="0"/>
      <name val="Santander Text"/>
      <family val="2"/>
    </font>
    <font>
      <i/>
      <sz val="15"/>
      <color theme="1"/>
      <name val="Santander Text"/>
      <family val="2"/>
    </font>
    <font>
      <b/>
      <sz val="15"/>
      <color theme="1"/>
      <name val="Santander Text"/>
      <family val="2"/>
    </font>
    <font>
      <b/>
      <sz val="20"/>
      <color theme="1"/>
      <name val="Santander Text"/>
      <family val="2"/>
    </font>
    <font>
      <b/>
      <sz val="22"/>
      <color theme="1"/>
      <name val="Santander Text"/>
      <family val="2"/>
    </font>
    <font>
      <b/>
      <sz val="20"/>
      <color rgb="FF000000"/>
      <name val="Santander Text"/>
      <family val="2"/>
    </font>
    <font>
      <b/>
      <u/>
      <sz val="26"/>
      <color theme="1"/>
      <name val="Santander Text"/>
      <family val="2"/>
    </font>
    <font>
      <b/>
      <u/>
      <sz val="15"/>
      <color theme="1"/>
      <name val="Santander Text"/>
      <family val="2"/>
    </font>
    <font>
      <b/>
      <u/>
      <sz val="20"/>
      <color theme="1"/>
      <name val="Santander Text"/>
      <family val="2"/>
    </font>
    <font>
      <b/>
      <sz val="24"/>
      <color theme="0"/>
      <name val="Santander Text"/>
      <family val="2"/>
    </font>
    <font>
      <b/>
      <u/>
      <sz val="20"/>
      <color rgb="FFFF0000"/>
      <name val="Santander Text"/>
      <family val="2"/>
    </font>
    <font>
      <sz val="15"/>
      <color rgb="FFFF0000"/>
      <name val="Santander Text"/>
      <family val="2"/>
    </font>
  </fonts>
  <fills count="24">
    <fill>
      <patternFill patternType="none"/>
    </fill>
    <fill>
      <patternFill patternType="gray125"/>
    </fill>
    <fill>
      <patternFill patternType="solid">
        <fgColor rgb="FFFF0000"/>
        <bgColor indexed="64"/>
      </patternFill>
    </fill>
    <fill>
      <patternFill patternType="solid">
        <fgColor rgb="FFC00000"/>
        <bgColor indexed="64"/>
      </patternFill>
    </fill>
    <fill>
      <patternFill patternType="solid">
        <fgColor theme="9"/>
        <bgColor indexed="64"/>
      </patternFill>
    </fill>
    <fill>
      <patternFill patternType="solid">
        <fgColor theme="9" tint="0.79998168889431442"/>
        <bgColor indexed="64"/>
      </patternFill>
    </fill>
    <fill>
      <patternFill patternType="solid">
        <fgColor theme="5"/>
        <bgColor indexed="64"/>
      </patternFill>
    </fill>
    <fill>
      <patternFill patternType="solid">
        <fgColor rgb="FFFFFF00"/>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C000"/>
        <bgColor indexed="64"/>
      </patternFill>
    </fill>
    <fill>
      <patternFill patternType="solid">
        <fgColor theme="7" tint="0.39997558519241921"/>
        <bgColor indexed="64"/>
      </patternFill>
    </fill>
    <fill>
      <patternFill patternType="solid">
        <fgColor theme="2"/>
        <bgColor indexed="64"/>
      </patternFill>
    </fill>
    <fill>
      <patternFill patternType="solid">
        <fgColor theme="2" tint="-0.499984740745262"/>
        <bgColor indexed="64"/>
      </patternFill>
    </fill>
    <fill>
      <patternFill patternType="solid">
        <fgColor theme="0"/>
        <bgColor indexed="64"/>
      </patternFill>
    </fill>
    <fill>
      <patternFill patternType="solid">
        <fgColor rgb="FFFFE181"/>
        <bgColor indexed="64"/>
      </patternFill>
    </fill>
    <fill>
      <patternFill patternType="solid">
        <fgColor rgb="FFFF8989"/>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1"/>
        <bgColor indexed="64"/>
      </patternFill>
    </fill>
  </fills>
  <borders count="26">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hair">
        <color indexed="64"/>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ck">
        <color rgb="FFFF0000"/>
      </bottom>
      <diagonal/>
    </border>
  </borders>
  <cellStyleXfs count="3">
    <xf numFmtId="0" fontId="0" fillId="0" borderId="0"/>
    <xf numFmtId="9" fontId="2" fillId="0" borderId="0" applyFont="0" applyFill="0" applyBorder="0" applyAlignment="0" applyProtection="0"/>
    <xf numFmtId="0" fontId="12" fillId="0" borderId="0"/>
  </cellStyleXfs>
  <cellXfs count="229">
    <xf numFmtId="0" fontId="0" fillId="0" borderId="0" xfId="0"/>
    <xf numFmtId="0" fontId="0" fillId="0" borderId="0" xfId="0" applyAlignment="1">
      <alignment vertical="center"/>
    </xf>
    <xf numFmtId="0" fontId="1" fillId="0" borderId="0" xfId="0" applyFont="1"/>
    <xf numFmtId="0" fontId="1" fillId="0" borderId="0" xfId="0" applyFont="1" applyAlignment="1">
      <alignment vertical="center"/>
    </xf>
    <xf numFmtId="0" fontId="0" fillId="0" borderId="0" xfId="0" applyAlignment="1">
      <alignment vertical="center" wrapText="1"/>
    </xf>
    <xf numFmtId="0" fontId="3" fillId="2" borderId="0" xfId="0" applyFont="1" applyFill="1" applyAlignment="1">
      <alignment vertical="center"/>
    </xf>
    <xf numFmtId="9" fontId="0" fillId="0" borderId="0" xfId="1" applyFont="1"/>
    <xf numFmtId="0" fontId="0" fillId="0" borderId="0" xfId="0" applyAlignment="1">
      <alignment horizontal="left"/>
    </xf>
    <xf numFmtId="0" fontId="5" fillId="3" borderId="0" xfId="0" applyFont="1" applyFill="1" applyAlignment="1">
      <alignment horizontal="center" vertical="center"/>
    </xf>
    <xf numFmtId="0" fontId="6" fillId="0" borderId="0" xfId="0" applyFont="1" applyAlignment="1">
      <alignment vertical="center" wrapText="1"/>
    </xf>
    <xf numFmtId="0" fontId="0" fillId="4" borderId="0" xfId="0" applyFill="1"/>
    <xf numFmtId="0" fontId="0" fillId="5" borderId="0" xfId="0" applyFill="1"/>
    <xf numFmtId="0" fontId="0" fillId="0" borderId="0" xfId="0" applyAlignment="1">
      <alignment horizontal="left" indent="1"/>
    </xf>
    <xf numFmtId="0" fontId="0" fillId="0" borderId="0" xfId="0" applyAlignment="1">
      <alignment horizontal="left" vertical="center" indent="1"/>
    </xf>
    <xf numFmtId="0" fontId="3" fillId="2" borderId="0" xfId="0" applyFont="1" applyFill="1" applyAlignment="1">
      <alignment horizontal="left" vertical="center" indent="1"/>
    </xf>
    <xf numFmtId="14" fontId="0" fillId="0" borderId="0" xfId="0" applyNumberFormat="1"/>
    <xf numFmtId="0" fontId="5" fillId="6" borderId="0" xfId="0" applyFont="1" applyFill="1" applyAlignment="1">
      <alignment horizontal="center" vertical="center"/>
    </xf>
    <xf numFmtId="0" fontId="0" fillId="0" borderId="0" xfId="0" applyAlignment="1">
      <alignment horizontal="left" indent="2"/>
    </xf>
    <xf numFmtId="0" fontId="0" fillId="7" borderId="0" xfId="0" applyFill="1"/>
    <xf numFmtId="0" fontId="5" fillId="6" borderId="0" xfId="0" applyFont="1" applyFill="1" applyAlignment="1">
      <alignment horizontal="center" vertical="center" wrapText="1"/>
    </xf>
    <xf numFmtId="0" fontId="4" fillId="3" borderId="0" xfId="0" applyFont="1" applyFill="1" applyAlignment="1">
      <alignment vertical="center"/>
    </xf>
    <xf numFmtId="0" fontId="4" fillId="8" borderId="0" xfId="0" applyFont="1" applyFill="1" applyAlignment="1">
      <alignment vertical="center"/>
    </xf>
    <xf numFmtId="0" fontId="0" fillId="0" borderId="0" xfId="0" pivotButton="1"/>
    <xf numFmtId="0" fontId="0" fillId="5" borderId="0" xfId="0" applyFill="1" applyAlignment="1">
      <alignment horizontal="left" indent="1"/>
    </xf>
    <xf numFmtId="0" fontId="0" fillId="0" borderId="0" xfId="0" applyAlignment="1">
      <alignment wrapText="1"/>
    </xf>
    <xf numFmtId="0" fontId="0" fillId="10" borderId="0" xfId="0" applyFill="1"/>
    <xf numFmtId="0" fontId="0" fillId="10" borderId="1" xfId="0" applyFill="1" applyBorder="1" applyAlignment="1">
      <alignment horizontal="center"/>
    </xf>
    <xf numFmtId="0" fontId="0" fillId="10" borderId="1" xfId="1" applyNumberFormat="1" applyFont="1" applyFill="1" applyBorder="1" applyAlignment="1">
      <alignment horizontal="center"/>
    </xf>
    <xf numFmtId="0" fontId="0" fillId="9" borderId="1" xfId="0" applyFill="1" applyBorder="1" applyAlignment="1">
      <alignment horizontal="center"/>
    </xf>
    <xf numFmtId="0" fontId="0" fillId="11" borderId="1" xfId="0" applyFill="1" applyBorder="1" applyAlignment="1">
      <alignment horizontal="center"/>
    </xf>
    <xf numFmtId="0" fontId="7" fillId="10" borderId="1" xfId="0" applyFont="1" applyFill="1" applyBorder="1"/>
    <xf numFmtId="0" fontId="1" fillId="10" borderId="0" xfId="0" applyFont="1" applyFill="1"/>
    <xf numFmtId="0" fontId="0" fillId="10" borderId="0" xfId="0" applyFill="1" applyAlignment="1">
      <alignment horizontal="left" indent="2"/>
    </xf>
    <xf numFmtId="0" fontId="0" fillId="0" borderId="0" xfId="0" applyAlignment="1">
      <alignment horizontal="center"/>
    </xf>
    <xf numFmtId="0" fontId="7" fillId="10" borderId="1" xfId="0" applyFont="1" applyFill="1" applyBorder="1" applyAlignment="1">
      <alignment vertical="center" wrapText="1"/>
    </xf>
    <xf numFmtId="0" fontId="7" fillId="10" borderId="0" xfId="0" applyFont="1" applyFill="1" applyAlignment="1">
      <alignment vertical="center" wrapText="1"/>
    </xf>
    <xf numFmtId="0" fontId="0" fillId="10" borderId="0" xfId="0" applyFill="1" applyAlignment="1">
      <alignment horizontal="center"/>
    </xf>
    <xf numFmtId="0" fontId="0" fillId="10" borderId="0" xfId="1" applyNumberFormat="1" applyFont="1" applyFill="1" applyBorder="1" applyAlignment="1">
      <alignment horizontal="center"/>
    </xf>
    <xf numFmtId="0" fontId="8" fillId="3" borderId="0" xfId="0" applyFont="1" applyFill="1" applyAlignment="1">
      <alignment vertical="center"/>
    </xf>
    <xf numFmtId="0" fontId="9" fillId="0" borderId="0" xfId="0" applyFont="1"/>
    <xf numFmtId="0" fontId="10" fillId="0" borderId="0" xfId="0" applyFont="1" applyAlignment="1">
      <alignment horizontal="center" vertical="center"/>
    </xf>
    <xf numFmtId="0" fontId="11" fillId="10" borderId="0" xfId="0" applyFont="1" applyFill="1"/>
    <xf numFmtId="0" fontId="7" fillId="10" borderId="2" xfId="0" applyFont="1" applyFill="1" applyBorder="1" applyAlignment="1">
      <alignment vertical="center" wrapText="1"/>
    </xf>
    <xf numFmtId="0" fontId="0" fillId="10" borderId="11" xfId="0" applyFill="1" applyBorder="1"/>
    <xf numFmtId="0" fontId="0" fillId="10" borderId="2" xfId="0" applyFill="1" applyBorder="1" applyAlignment="1">
      <alignment horizontal="left"/>
    </xf>
    <xf numFmtId="0" fontId="0" fillId="10" borderId="12" xfId="0" applyFill="1" applyBorder="1"/>
    <xf numFmtId="0" fontId="0" fillId="10" borderId="13" xfId="0" applyFill="1" applyBorder="1" applyAlignment="1">
      <alignment horizontal="left"/>
    </xf>
    <xf numFmtId="0" fontId="0" fillId="10" borderId="14" xfId="0" applyFill="1" applyBorder="1"/>
    <xf numFmtId="0" fontId="0" fillId="10" borderId="15" xfId="0" applyFill="1" applyBorder="1" applyAlignment="1">
      <alignment horizontal="left"/>
    </xf>
    <xf numFmtId="0" fontId="0" fillId="10" borderId="16" xfId="0" applyFill="1" applyBorder="1"/>
    <xf numFmtId="0" fontId="0" fillId="10" borderId="17" xfId="0" applyFill="1" applyBorder="1"/>
    <xf numFmtId="0" fontId="0" fillId="10" borderId="18" xfId="0" applyFill="1" applyBorder="1"/>
    <xf numFmtId="0" fontId="7" fillId="10" borderId="13" xfId="0" applyFont="1" applyFill="1" applyBorder="1" applyAlignment="1">
      <alignment vertical="center" wrapText="1"/>
    </xf>
    <xf numFmtId="0" fontId="0" fillId="10" borderId="2" xfId="0" applyFill="1" applyBorder="1"/>
    <xf numFmtId="0" fontId="0" fillId="0" borderId="19" xfId="0" pivotButton="1" applyBorder="1"/>
    <xf numFmtId="0" fontId="0" fillId="0" borderId="20" xfId="0" applyBorder="1"/>
    <xf numFmtId="0" fontId="0" fillId="0" borderId="3" xfId="0" applyBorder="1"/>
    <xf numFmtId="0" fontId="0" fillId="0" borderId="4" xfId="0" pivotButton="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6" xfId="0" pivotButton="1" applyBorder="1"/>
    <xf numFmtId="0" fontId="0" fillId="0" borderId="6" xfId="0" applyBorder="1" applyAlignment="1">
      <alignment horizontal="left"/>
    </xf>
    <xf numFmtId="0" fontId="0" fillId="0" borderId="8" xfId="0" applyBorder="1" applyAlignment="1">
      <alignment horizontal="left"/>
    </xf>
    <xf numFmtId="0" fontId="1" fillId="0" borderId="19" xfId="0" pivotButton="1" applyFont="1" applyBorder="1"/>
    <xf numFmtId="0" fontId="0" fillId="0" borderId="3" xfId="0" pivotButton="1" applyBorder="1"/>
    <xf numFmtId="0" fontId="1" fillId="0" borderId="20" xfId="0" applyFont="1" applyBorder="1"/>
    <xf numFmtId="9" fontId="0" fillId="0" borderId="0" xfId="0" applyNumberFormat="1" applyAlignment="1">
      <alignment horizontal="center"/>
    </xf>
    <xf numFmtId="9" fontId="0" fillId="0" borderId="7" xfId="0" applyNumberFormat="1" applyBorder="1" applyAlignment="1">
      <alignment horizontal="center"/>
    </xf>
    <xf numFmtId="0" fontId="0" fillId="0" borderId="9" xfId="0" applyBorder="1" applyAlignment="1">
      <alignment horizontal="center"/>
    </xf>
    <xf numFmtId="9" fontId="0" fillId="0" borderId="9" xfId="0" applyNumberFormat="1" applyBorder="1" applyAlignment="1">
      <alignment horizontal="center"/>
    </xf>
    <xf numFmtId="9" fontId="0" fillId="0" borderId="10" xfId="0" applyNumberFormat="1" applyBorder="1" applyAlignment="1">
      <alignment horizontal="center"/>
    </xf>
    <xf numFmtId="0" fontId="0" fillId="0" borderId="7" xfId="0" applyBorder="1" applyAlignment="1">
      <alignment horizontal="center"/>
    </xf>
    <xf numFmtId="0" fontId="0" fillId="0" borderId="9" xfId="0" applyBorder="1"/>
    <xf numFmtId="0" fontId="0" fillId="0" borderId="10" xfId="0" applyBorder="1"/>
    <xf numFmtId="0" fontId="0" fillId="14" borderId="0" xfId="0" applyFill="1"/>
    <xf numFmtId="0" fontId="12" fillId="0" borderId="0" xfId="0" applyFont="1"/>
    <xf numFmtId="0" fontId="14" fillId="0" borderId="0" xfId="0" applyFont="1"/>
    <xf numFmtId="0" fontId="12" fillId="10" borderId="4" xfId="0" applyFont="1" applyFill="1" applyBorder="1"/>
    <xf numFmtId="0" fontId="12" fillId="10" borderId="5" xfId="0" applyFont="1" applyFill="1" applyBorder="1"/>
    <xf numFmtId="0" fontId="12" fillId="10" borderId="6" xfId="0" applyFont="1" applyFill="1" applyBorder="1"/>
    <xf numFmtId="0" fontId="12" fillId="10" borderId="0" xfId="0" applyFont="1" applyFill="1"/>
    <xf numFmtId="0" fontId="12" fillId="10" borderId="7" xfId="0" applyFont="1" applyFill="1" applyBorder="1"/>
    <xf numFmtId="0" fontId="12" fillId="10" borderId="8" xfId="0" applyFont="1" applyFill="1" applyBorder="1"/>
    <xf numFmtId="0" fontId="12" fillId="10" borderId="9" xfId="0" applyFont="1" applyFill="1" applyBorder="1"/>
    <xf numFmtId="0" fontId="12" fillId="10" borderId="10" xfId="0" applyFont="1" applyFill="1" applyBorder="1"/>
    <xf numFmtId="0" fontId="12" fillId="0" borderId="0" xfId="0" applyFont="1" applyAlignment="1">
      <alignment horizontal="left"/>
    </xf>
    <xf numFmtId="0" fontId="14" fillId="0" borderId="21" xfId="0" applyFont="1" applyBorder="1" applyAlignment="1">
      <alignment horizontal="left"/>
    </xf>
    <xf numFmtId="0" fontId="14" fillId="0" borderId="21" xfId="0" applyFont="1" applyBorder="1" applyAlignment="1">
      <alignment horizontal="center"/>
    </xf>
    <xf numFmtId="14" fontId="12" fillId="0" borderId="21" xfId="0" applyNumberFormat="1" applyFont="1" applyBorder="1" applyAlignment="1">
      <alignment horizontal="center" vertical="center"/>
    </xf>
    <xf numFmtId="0" fontId="14" fillId="0" borderId="0" xfId="0" applyFont="1" applyAlignment="1">
      <alignment horizontal="center"/>
    </xf>
    <xf numFmtId="0" fontId="14" fillId="0" borderId="0" xfId="0" applyFont="1" applyAlignment="1">
      <alignment horizontal="left"/>
    </xf>
    <xf numFmtId="9" fontId="12" fillId="0" borderId="0" xfId="1" applyFont="1"/>
    <xf numFmtId="0" fontId="12" fillId="0" borderId="0" xfId="0" applyFont="1" applyAlignment="1">
      <alignment horizontal="center" vertical="center"/>
    </xf>
    <xf numFmtId="0" fontId="16" fillId="10" borderId="3" xfId="0" applyFont="1" applyFill="1" applyBorder="1"/>
    <xf numFmtId="0" fontId="14" fillId="10" borderId="6" xfId="0" applyFont="1" applyFill="1" applyBorder="1"/>
    <xf numFmtId="0" fontId="16" fillId="10" borderId="6" xfId="0" applyFont="1" applyFill="1" applyBorder="1"/>
    <xf numFmtId="0" fontId="13" fillId="10" borderId="25" xfId="0" applyFont="1" applyFill="1" applyBorder="1" applyAlignment="1">
      <alignment horizontal="left"/>
    </xf>
    <xf numFmtId="0" fontId="13" fillId="10" borderId="25" xfId="0" applyFont="1" applyFill="1" applyBorder="1" applyAlignment="1">
      <alignment horizontal="left" wrapText="1"/>
    </xf>
    <xf numFmtId="0" fontId="15" fillId="2" borderId="21" xfId="0" applyFont="1" applyFill="1" applyBorder="1" applyAlignment="1">
      <alignment horizontal="center" vertical="center"/>
    </xf>
    <xf numFmtId="0" fontId="11" fillId="10" borderId="3" xfId="0" applyFont="1" applyFill="1" applyBorder="1"/>
    <xf numFmtId="0" fontId="0" fillId="10" borderId="4" xfId="0" applyFill="1" applyBorder="1"/>
    <xf numFmtId="0" fontId="0" fillId="10" borderId="5" xfId="0" applyFill="1" applyBorder="1"/>
    <xf numFmtId="0" fontId="11" fillId="10" borderId="6" xfId="0" applyFont="1" applyFill="1" applyBorder="1"/>
    <xf numFmtId="0" fontId="0" fillId="10" borderId="7" xfId="0" applyFill="1" applyBorder="1"/>
    <xf numFmtId="0" fontId="1" fillId="10" borderId="6" xfId="0" applyFont="1" applyFill="1" applyBorder="1"/>
    <xf numFmtId="0" fontId="0" fillId="10" borderId="6" xfId="0" applyFill="1" applyBorder="1"/>
    <xf numFmtId="0" fontId="0" fillId="10" borderId="8" xfId="0" applyFill="1" applyBorder="1"/>
    <xf numFmtId="0" fontId="0" fillId="10" borderId="9" xfId="0" applyFill="1" applyBorder="1"/>
    <xf numFmtId="0" fontId="0" fillId="10" borderId="10" xfId="0" applyFill="1" applyBorder="1"/>
    <xf numFmtId="0" fontId="0" fillId="10" borderId="0" xfId="0" applyFill="1" applyAlignment="1">
      <alignment vertical="top" wrapText="1"/>
    </xf>
    <xf numFmtId="0" fontId="0" fillId="10" borderId="7" xfId="0" applyFill="1" applyBorder="1" applyAlignment="1">
      <alignment vertical="top" wrapText="1"/>
    </xf>
    <xf numFmtId="0" fontId="0" fillId="10" borderId="6" xfId="0" applyFill="1" applyBorder="1" applyAlignment="1">
      <alignment vertical="top"/>
    </xf>
    <xf numFmtId="0" fontId="0" fillId="0" borderId="0" xfId="0" quotePrefix="1"/>
    <xf numFmtId="0" fontId="18" fillId="0" borderId="0" xfId="0" applyFont="1" applyAlignment="1">
      <alignment vertical="center"/>
    </xf>
    <xf numFmtId="9" fontId="18" fillId="0" borderId="0" xfId="1" applyFont="1" applyAlignment="1">
      <alignment vertical="center"/>
    </xf>
    <xf numFmtId="0" fontId="19" fillId="0" borderId="21" xfId="0" applyFont="1" applyBorder="1" applyAlignment="1">
      <alignment vertical="center"/>
    </xf>
    <xf numFmtId="0" fontId="18" fillId="0" borderId="21" xfId="0" applyFont="1" applyBorder="1" applyAlignment="1">
      <alignment vertical="center"/>
    </xf>
    <xf numFmtId="0" fontId="18" fillId="0" borderId="21" xfId="0" applyFont="1" applyBorder="1" applyAlignment="1">
      <alignment horizontal="center" vertical="center"/>
    </xf>
    <xf numFmtId="0" fontId="20" fillId="10" borderId="25" xfId="0" applyFont="1" applyFill="1" applyBorder="1" applyAlignment="1">
      <alignment horizontal="left" vertical="center"/>
    </xf>
    <xf numFmtId="0" fontId="20" fillId="0" borderId="0" xfId="0" applyFont="1" applyAlignment="1">
      <alignment vertical="center"/>
    </xf>
    <xf numFmtId="9" fontId="20" fillId="0" borderId="0" xfId="1" applyFont="1" applyAlignment="1">
      <alignment vertical="center"/>
    </xf>
    <xf numFmtId="0" fontId="21" fillId="2" borderId="21" xfId="0" applyFont="1" applyFill="1" applyBorder="1" applyAlignment="1">
      <alignment horizontal="center" vertical="center"/>
    </xf>
    <xf numFmtId="14" fontId="20" fillId="0" borderId="21" xfId="1" applyNumberFormat="1" applyFont="1" applyBorder="1" applyAlignment="1">
      <alignment horizontal="center" vertical="center"/>
    </xf>
    <xf numFmtId="0" fontId="21" fillId="2" borderId="21" xfId="0" applyFont="1" applyFill="1" applyBorder="1" applyAlignment="1">
      <alignment horizontal="left" vertical="center"/>
    </xf>
    <xf numFmtId="9" fontId="21" fillId="2" borderId="21" xfId="1" applyFont="1" applyFill="1" applyBorder="1" applyAlignment="1">
      <alignment horizontal="center" vertical="center"/>
    </xf>
    <xf numFmtId="0" fontId="20" fillId="0" borderId="21" xfId="1" applyNumberFormat="1" applyFont="1" applyBorder="1" applyAlignment="1">
      <alignment horizontal="center" vertical="center"/>
    </xf>
    <xf numFmtId="9" fontId="20" fillId="0" borderId="21" xfId="1" applyFont="1" applyBorder="1" applyAlignment="1">
      <alignment horizontal="center" vertical="center"/>
    </xf>
    <xf numFmtId="0" fontId="21" fillId="2" borderId="21" xfId="1" applyNumberFormat="1" applyFont="1" applyFill="1" applyBorder="1" applyAlignment="1">
      <alignment horizontal="center" vertical="center"/>
    </xf>
    <xf numFmtId="0" fontId="20" fillId="0" borderId="0" xfId="0" applyFont="1" applyAlignment="1">
      <alignment horizontal="left" vertical="center"/>
    </xf>
    <xf numFmtId="14" fontId="20" fillId="0" borderId="0" xfId="1" applyNumberFormat="1" applyFont="1" applyBorder="1" applyAlignment="1">
      <alignment horizontal="center" vertical="center"/>
    </xf>
    <xf numFmtId="0" fontId="24" fillId="0" borderId="21" xfId="0" applyFont="1" applyBorder="1" applyAlignment="1">
      <alignment horizontal="center" vertical="center"/>
    </xf>
    <xf numFmtId="0" fontId="24" fillId="0" borderId="21" xfId="0" applyFont="1" applyBorder="1" applyAlignment="1">
      <alignment vertical="center"/>
    </xf>
    <xf numFmtId="0" fontId="20" fillId="0" borderId="20" xfId="0" applyFont="1" applyBorder="1" applyAlignment="1">
      <alignment vertical="center"/>
    </xf>
    <xf numFmtId="0" fontId="20" fillId="0" borderId="21" xfId="0" applyFont="1" applyBorder="1" applyAlignment="1">
      <alignment horizontal="center" vertical="center"/>
    </xf>
    <xf numFmtId="0" fontId="20" fillId="0" borderId="20" xfId="0" applyFont="1" applyBorder="1" applyAlignment="1">
      <alignment vertical="center" wrapText="1"/>
    </xf>
    <xf numFmtId="0" fontId="20" fillId="11" borderId="21" xfId="0" applyFont="1" applyFill="1" applyBorder="1" applyAlignment="1">
      <alignment horizontal="center" vertical="center"/>
    </xf>
    <xf numFmtId="0" fontId="20" fillId="0" borderId="21" xfId="0" applyFont="1" applyBorder="1" applyAlignment="1">
      <alignment vertical="center"/>
    </xf>
    <xf numFmtId="0" fontId="20" fillId="0" borderId="21" xfId="0" applyFont="1" applyBorder="1" applyAlignment="1">
      <alignment vertical="center" wrapText="1"/>
    </xf>
    <xf numFmtId="0" fontId="20" fillId="11" borderId="19" xfId="0" applyFont="1" applyFill="1" applyBorder="1" applyAlignment="1">
      <alignment horizontal="left" vertical="center"/>
    </xf>
    <xf numFmtId="0" fontId="20" fillId="0" borderId="19" xfId="0" applyFont="1" applyBorder="1" applyAlignment="1">
      <alignment horizontal="left" vertical="center"/>
    </xf>
    <xf numFmtId="0" fontId="25" fillId="0" borderId="0" xfId="0" applyFont="1" applyAlignment="1">
      <alignment vertical="center"/>
    </xf>
    <xf numFmtId="0" fontId="21" fillId="2" borderId="23" xfId="0" applyFont="1" applyFill="1" applyBorder="1" applyAlignment="1">
      <alignment horizontal="center" vertical="center"/>
    </xf>
    <xf numFmtId="0" fontId="26" fillId="17" borderId="0" xfId="0" applyFont="1" applyFill="1" applyAlignment="1">
      <alignment vertical="center"/>
    </xf>
    <xf numFmtId="0" fontId="22" fillId="0" borderId="21" xfId="0" applyFont="1" applyBorder="1" applyAlignment="1">
      <alignment horizontal="left" vertical="center"/>
    </xf>
    <xf numFmtId="0" fontId="26" fillId="17" borderId="0" xfId="0" applyFont="1" applyFill="1" applyAlignment="1">
      <alignment horizontal="center" vertical="center"/>
    </xf>
    <xf numFmtId="0" fontId="21" fillId="2" borderId="23" xfId="0" applyFont="1" applyFill="1" applyBorder="1" applyAlignment="1">
      <alignment horizontal="center" vertical="center" wrapText="1"/>
    </xf>
    <xf numFmtId="0" fontId="12" fillId="0" borderId="0" xfId="2"/>
    <xf numFmtId="0" fontId="27" fillId="10" borderId="25" xfId="0" applyFont="1" applyFill="1" applyBorder="1" applyAlignment="1">
      <alignment horizontal="left" vertical="center"/>
    </xf>
    <xf numFmtId="0" fontId="27" fillId="0" borderId="0" xfId="0" applyFont="1" applyAlignment="1">
      <alignment vertical="center"/>
    </xf>
    <xf numFmtId="9" fontId="27" fillId="0" borderId="0" xfId="1" applyFont="1" applyAlignment="1">
      <alignment vertical="center"/>
    </xf>
    <xf numFmtId="9" fontId="28" fillId="0" borderId="0" xfId="1" applyFont="1" applyAlignment="1">
      <alignment vertical="center"/>
    </xf>
    <xf numFmtId="0" fontId="28" fillId="0" borderId="0" xfId="0" applyFont="1" applyAlignment="1">
      <alignment vertical="center"/>
    </xf>
    <xf numFmtId="0" fontId="29" fillId="2" borderId="21" xfId="0" applyFont="1" applyFill="1" applyBorder="1" applyAlignment="1">
      <alignment vertical="center"/>
    </xf>
    <xf numFmtId="49" fontId="27" fillId="0" borderId="0" xfId="1" applyNumberFormat="1" applyFont="1" applyAlignment="1">
      <alignment vertical="center"/>
    </xf>
    <xf numFmtId="49" fontId="29" fillId="2" borderId="21" xfId="1" applyNumberFormat="1" applyFont="1" applyFill="1" applyBorder="1" applyAlignment="1">
      <alignment vertical="center"/>
    </xf>
    <xf numFmtId="49" fontId="27" fillId="0" borderId="21" xfId="1" applyNumberFormat="1" applyFont="1" applyBorder="1" applyAlignment="1">
      <alignment horizontal="center" vertical="center"/>
    </xf>
    <xf numFmtId="49" fontId="32" fillId="0" borderId="21" xfId="1" applyNumberFormat="1" applyFont="1" applyBorder="1" applyAlignment="1">
      <alignment vertical="center" wrapText="1"/>
    </xf>
    <xf numFmtId="9" fontId="32" fillId="0" borderId="21" xfId="1" applyFont="1" applyBorder="1" applyAlignment="1">
      <alignment vertical="center"/>
    </xf>
    <xf numFmtId="0" fontId="34" fillId="0" borderId="21" xfId="0" applyFont="1" applyBorder="1" applyAlignment="1">
      <alignment vertical="center"/>
    </xf>
    <xf numFmtId="9" fontId="35" fillId="0" borderId="0" xfId="1" applyFont="1" applyAlignment="1">
      <alignment vertical="center"/>
    </xf>
    <xf numFmtId="49" fontId="35" fillId="0" borderId="0" xfId="1" applyNumberFormat="1" applyFont="1" applyAlignment="1">
      <alignment vertical="center"/>
    </xf>
    <xf numFmtId="0" fontId="27" fillId="10" borderId="25" xfId="0" applyFont="1" applyFill="1" applyBorder="1" applyAlignment="1">
      <alignment horizontal="left" vertical="top"/>
    </xf>
    <xf numFmtId="9" fontId="27" fillId="0" borderId="0" xfId="1" applyFont="1" applyAlignment="1">
      <alignment vertical="top"/>
    </xf>
    <xf numFmtId="49" fontId="33" fillId="0" borderId="0" xfId="1" applyNumberFormat="1" applyFont="1" applyAlignment="1">
      <alignment vertical="top"/>
    </xf>
    <xf numFmtId="49" fontId="27" fillId="0" borderId="0" xfId="1" applyNumberFormat="1" applyFont="1" applyAlignment="1">
      <alignment vertical="top"/>
    </xf>
    <xf numFmtId="49" fontId="29" fillId="2" borderId="21" xfId="1" applyNumberFormat="1" applyFont="1" applyFill="1" applyBorder="1" applyAlignment="1">
      <alignment vertical="top"/>
    </xf>
    <xf numFmtId="49" fontId="27" fillId="0" borderId="21" xfId="1" applyNumberFormat="1" applyFont="1" applyBorder="1" applyAlignment="1">
      <alignment vertical="top" wrapText="1"/>
    </xf>
    <xf numFmtId="49" fontId="31" fillId="0" borderId="21" xfId="1" applyNumberFormat="1" applyFont="1" applyBorder="1" applyAlignment="1">
      <alignment horizontal="center" vertical="center"/>
    </xf>
    <xf numFmtId="9" fontId="27" fillId="0" borderId="21" xfId="1" applyFont="1" applyBorder="1" applyAlignment="1">
      <alignment vertical="center"/>
    </xf>
    <xf numFmtId="0" fontId="29" fillId="2" borderId="21" xfId="0" applyFont="1" applyFill="1" applyBorder="1" applyAlignment="1">
      <alignment vertical="top"/>
    </xf>
    <xf numFmtId="9" fontId="27" fillId="0" borderId="21" xfId="1" applyFont="1" applyBorder="1" applyAlignment="1">
      <alignment vertical="center" wrapText="1"/>
    </xf>
    <xf numFmtId="0" fontId="27" fillId="0" borderId="0" xfId="0" applyFont="1" applyAlignment="1">
      <alignment horizontal="center" vertical="center"/>
    </xf>
    <xf numFmtId="0" fontId="27" fillId="0" borderId="0" xfId="0" applyFont="1" applyAlignment="1">
      <alignment vertical="center" wrapText="1"/>
    </xf>
    <xf numFmtId="0" fontId="27" fillId="0" borderId="21" xfId="0" applyFont="1" applyBorder="1" applyAlignment="1">
      <alignment vertical="top" wrapText="1"/>
    </xf>
    <xf numFmtId="0" fontId="27" fillId="0" borderId="21" xfId="0" applyFont="1" applyBorder="1" applyAlignment="1">
      <alignment vertical="center" wrapText="1"/>
    </xf>
    <xf numFmtId="0" fontId="31" fillId="0" borderId="0" xfId="0" applyFont="1" applyAlignment="1">
      <alignment horizontal="center" vertical="center"/>
    </xf>
    <xf numFmtId="0" fontId="32" fillId="6" borderId="21" xfId="0" applyFont="1" applyFill="1" applyBorder="1" applyAlignment="1">
      <alignment horizontal="center" vertical="center"/>
    </xf>
    <xf numFmtId="0" fontId="32" fillId="20" borderId="21" xfId="0" applyFont="1" applyFill="1" applyBorder="1" applyAlignment="1">
      <alignment horizontal="center" vertical="center"/>
    </xf>
    <xf numFmtId="0" fontId="36" fillId="0" borderId="0" xfId="0" applyFont="1" applyAlignment="1">
      <alignment vertical="center"/>
    </xf>
    <xf numFmtId="0" fontId="32" fillId="13" borderId="21" xfId="0" applyFont="1" applyFill="1" applyBorder="1" applyAlignment="1">
      <alignment horizontal="center" vertical="center"/>
    </xf>
    <xf numFmtId="0" fontId="32" fillId="21" borderId="21" xfId="0" applyFont="1" applyFill="1" applyBorder="1" applyAlignment="1">
      <alignment horizontal="center" vertical="center"/>
    </xf>
    <xf numFmtId="0" fontId="32" fillId="22" borderId="21" xfId="0" applyFont="1" applyFill="1" applyBorder="1" applyAlignment="1">
      <alignment horizontal="center" vertical="center"/>
    </xf>
    <xf numFmtId="0" fontId="37" fillId="0" borderId="0" xfId="0" applyFont="1" applyAlignment="1">
      <alignment vertical="center"/>
    </xf>
    <xf numFmtId="0" fontId="38" fillId="23" borderId="21" xfId="0" applyFont="1" applyFill="1" applyBorder="1" applyAlignment="1">
      <alignment horizontal="center" vertical="center"/>
    </xf>
    <xf numFmtId="0" fontId="39" fillId="0" borderId="0" xfId="0" applyFont="1" applyAlignment="1">
      <alignment horizontal="center" vertical="center"/>
    </xf>
    <xf numFmtId="0" fontId="37" fillId="0" borderId="0" xfId="0" applyFont="1" applyAlignment="1">
      <alignment horizontal="center" vertical="center"/>
    </xf>
    <xf numFmtId="0" fontId="0" fillId="0" borderId="0" xfId="0" applyAlignment="1">
      <alignment horizontal="left"/>
    </xf>
    <xf numFmtId="0" fontId="0" fillId="0" borderId="0" xfId="0" applyAlignment="1">
      <alignment horizontal="center"/>
    </xf>
    <xf numFmtId="0" fontId="23" fillId="15" borderId="21" xfId="0" applyFont="1" applyFill="1" applyBorder="1" applyAlignment="1">
      <alignment horizontal="center" vertical="center"/>
    </xf>
    <xf numFmtId="9" fontId="21" fillId="16" borderId="21" xfId="1" applyFont="1" applyFill="1" applyBorder="1" applyAlignment="1">
      <alignment horizontal="center" vertical="center"/>
    </xf>
    <xf numFmtId="0" fontId="38" fillId="2" borderId="21" xfId="0" applyFont="1" applyFill="1" applyBorder="1" applyAlignment="1">
      <alignment horizontal="center" vertical="center"/>
    </xf>
    <xf numFmtId="0" fontId="27" fillId="0" borderId="21" xfId="0" applyFont="1" applyBorder="1" applyAlignment="1">
      <alignment horizontal="left" vertical="center" wrapText="1"/>
    </xf>
    <xf numFmtId="0" fontId="27" fillId="0" borderId="23" xfId="0" applyFont="1" applyBorder="1" applyAlignment="1">
      <alignment horizontal="left" vertical="top" wrapText="1"/>
    </xf>
    <xf numFmtId="0" fontId="27" fillId="0" borderId="22" xfId="0" applyFont="1" applyBorder="1" applyAlignment="1">
      <alignment horizontal="left" vertical="top" wrapText="1"/>
    </xf>
    <xf numFmtId="0" fontId="27" fillId="0" borderId="24" xfId="0" applyFont="1" applyBorder="1" applyAlignment="1">
      <alignment horizontal="left" vertical="top" wrapText="1"/>
    </xf>
    <xf numFmtId="0" fontId="40" fillId="0" borderId="23" xfId="0" applyFont="1" applyBorder="1" applyAlignment="1">
      <alignment horizontal="center" vertical="center" wrapText="1"/>
    </xf>
    <xf numFmtId="0" fontId="40" fillId="0" borderId="24" xfId="0" applyFont="1" applyBorder="1" applyAlignment="1">
      <alignment horizontal="center" vertical="center" wrapText="1"/>
    </xf>
    <xf numFmtId="0" fontId="40" fillId="0" borderId="21" xfId="0" applyFont="1" applyBorder="1" applyAlignment="1">
      <alignment horizontal="center" vertical="center" wrapText="1"/>
    </xf>
    <xf numFmtId="0" fontId="27" fillId="0" borderId="0" xfId="0" applyFont="1" applyAlignment="1">
      <alignment horizontal="left" vertical="center" wrapText="1"/>
    </xf>
    <xf numFmtId="0" fontId="27" fillId="0" borderId="0" xfId="0" applyFont="1" applyAlignment="1">
      <alignment horizontal="left" vertical="center"/>
    </xf>
    <xf numFmtId="0" fontId="27" fillId="0" borderId="21" xfId="0" applyFont="1" applyBorder="1" applyAlignment="1">
      <alignment horizontal="left" vertical="center"/>
    </xf>
    <xf numFmtId="0" fontId="29" fillId="2" borderId="21" xfId="0" applyFont="1" applyFill="1" applyBorder="1" applyAlignment="1">
      <alignment horizontal="left" vertical="top"/>
    </xf>
    <xf numFmtId="9" fontId="27" fillId="0" borderId="21" xfId="1" applyFont="1" applyBorder="1" applyAlignment="1">
      <alignment horizontal="left" vertical="top" wrapText="1"/>
    </xf>
    <xf numFmtId="49" fontId="29" fillId="2" borderId="19" xfId="1" applyNumberFormat="1" applyFont="1" applyFill="1" applyBorder="1" applyAlignment="1">
      <alignment horizontal="left" vertical="top"/>
    </xf>
    <xf numFmtId="49" fontId="29" fillId="2" borderId="20" xfId="1" applyNumberFormat="1" applyFont="1" applyFill="1" applyBorder="1" applyAlignment="1">
      <alignment horizontal="left" vertical="top"/>
    </xf>
    <xf numFmtId="9" fontId="27" fillId="12" borderId="21" xfId="1" applyFont="1" applyFill="1" applyBorder="1" applyAlignment="1">
      <alignment horizontal="left" vertical="top" wrapText="1"/>
    </xf>
    <xf numFmtId="9" fontId="27" fillId="0" borderId="21" xfId="1" applyFont="1" applyBorder="1" applyAlignment="1">
      <alignment horizontal="left" vertical="top"/>
    </xf>
    <xf numFmtId="9" fontId="27" fillId="0" borderId="23" xfId="1" applyFont="1" applyBorder="1" applyAlignment="1">
      <alignment horizontal="left" vertical="center" wrapText="1"/>
    </xf>
    <xf numFmtId="9" fontId="27" fillId="0" borderId="24" xfId="1" applyFont="1" applyBorder="1" applyAlignment="1">
      <alignment horizontal="left" vertical="center" wrapText="1"/>
    </xf>
    <xf numFmtId="0" fontId="27" fillId="18" borderId="21" xfId="0" applyFont="1" applyFill="1" applyBorder="1" applyAlignment="1">
      <alignment horizontal="left" vertical="top" wrapText="1"/>
    </xf>
    <xf numFmtId="9" fontId="27" fillId="19" borderId="21" xfId="1" applyFont="1" applyFill="1" applyBorder="1" applyAlignment="1">
      <alignment horizontal="left" vertical="top" wrapText="1"/>
    </xf>
    <xf numFmtId="0" fontId="0" fillId="10" borderId="6" xfId="0" quotePrefix="1" applyFill="1" applyBorder="1" applyAlignment="1">
      <alignment horizontal="left" vertical="top" wrapText="1"/>
    </xf>
    <xf numFmtId="0" fontId="0" fillId="10" borderId="0" xfId="0" quotePrefix="1" applyFill="1" applyAlignment="1">
      <alignment horizontal="left" vertical="top" wrapText="1"/>
    </xf>
    <xf numFmtId="0" fontId="0" fillId="10" borderId="7" xfId="0" quotePrefix="1" applyFill="1" applyBorder="1" applyAlignment="1">
      <alignment horizontal="left" vertical="top" wrapText="1"/>
    </xf>
    <xf numFmtId="0" fontId="0" fillId="10" borderId="6" xfId="0" applyFill="1" applyBorder="1" applyAlignment="1">
      <alignment horizontal="left" vertical="top" wrapText="1"/>
    </xf>
    <xf numFmtId="0" fontId="0" fillId="10" borderId="0" xfId="0" applyFill="1" applyAlignment="1">
      <alignment horizontal="left" vertical="top" wrapText="1"/>
    </xf>
    <xf numFmtId="0" fontId="0" fillId="10" borderId="7" xfId="0" applyFill="1" applyBorder="1" applyAlignment="1">
      <alignment horizontal="left" vertical="top" wrapText="1"/>
    </xf>
    <xf numFmtId="0" fontId="12" fillId="10" borderId="6" xfId="0" quotePrefix="1" applyFont="1" applyFill="1" applyBorder="1" applyAlignment="1">
      <alignment horizontal="left" vertical="top" wrapText="1"/>
    </xf>
    <xf numFmtId="0" fontId="12" fillId="10" borderId="0" xfId="0" quotePrefix="1" applyFont="1" applyFill="1" applyAlignment="1">
      <alignment horizontal="left" vertical="top" wrapText="1"/>
    </xf>
    <xf numFmtId="0" fontId="12" fillId="10" borderId="7" xfId="0" quotePrefix="1" applyFont="1" applyFill="1" applyBorder="1" applyAlignment="1">
      <alignment horizontal="left" vertical="top" wrapText="1"/>
    </xf>
    <xf numFmtId="0" fontId="12" fillId="10" borderId="6" xfId="0" applyFont="1" applyFill="1" applyBorder="1" applyAlignment="1">
      <alignment horizontal="left" vertical="top" wrapText="1"/>
    </xf>
    <xf numFmtId="0" fontId="12" fillId="10" borderId="0" xfId="0" applyFont="1" applyFill="1" applyAlignment="1">
      <alignment horizontal="left" vertical="top" wrapText="1"/>
    </xf>
    <xf numFmtId="0" fontId="12" fillId="10" borderId="7" xfId="0" applyFont="1" applyFill="1" applyBorder="1" applyAlignment="1">
      <alignment horizontal="left" vertical="top" wrapText="1"/>
    </xf>
    <xf numFmtId="0" fontId="17" fillId="13" borderId="21" xfId="0" applyFont="1" applyFill="1" applyBorder="1" applyAlignment="1">
      <alignment horizontal="center" vertical="center" textRotation="90"/>
    </xf>
    <xf numFmtId="0" fontId="17" fillId="12" borderId="23" xfId="0" applyFont="1" applyFill="1" applyBorder="1" applyAlignment="1">
      <alignment horizontal="center" vertical="center" textRotation="90"/>
    </xf>
    <xf numFmtId="0" fontId="17" fillId="12" borderId="22" xfId="0" applyFont="1" applyFill="1" applyBorder="1" applyAlignment="1">
      <alignment horizontal="center" vertical="center" textRotation="90"/>
    </xf>
    <xf numFmtId="0" fontId="17" fillId="12" borderId="24" xfId="0" applyFont="1" applyFill="1" applyBorder="1" applyAlignment="1">
      <alignment horizontal="center" vertical="center" textRotation="90"/>
    </xf>
  </cellXfs>
  <cellStyles count="3">
    <cellStyle name="Normal" xfId="0" builtinId="0"/>
    <cellStyle name="Normal 2" xfId="2" xr:uid="{41BC24D2-8269-4FD2-83B8-CC2634779C50}"/>
    <cellStyle name="Percent" xfId="1" builtinId="5"/>
  </cellStyles>
  <dxfs count="84">
    <dxf>
      <fill>
        <patternFill>
          <bgColor theme="9" tint="0.59996337778862885"/>
        </patternFill>
      </fill>
    </dxf>
    <dxf>
      <fill>
        <patternFill>
          <bgColor rgb="FFFF7C80"/>
        </patternFill>
      </fill>
    </dxf>
    <dxf>
      <fill>
        <patternFill>
          <bgColor theme="9" tint="0.59996337778862885"/>
        </patternFill>
      </fill>
    </dxf>
    <dxf>
      <fill>
        <patternFill>
          <bgColor theme="9" tint="0.59996337778862885"/>
        </patternFill>
      </fill>
    </dxf>
    <dxf>
      <fill>
        <patternFill>
          <bgColor rgb="FFFFE181"/>
        </patternFill>
      </fill>
    </dxf>
    <dxf>
      <fill>
        <patternFill>
          <bgColor theme="9" tint="0.59996337778862885"/>
        </patternFill>
      </fill>
    </dxf>
    <dxf>
      <fill>
        <patternFill patternType="solid">
          <bgColor rgb="FFFF7C80"/>
        </patternFill>
      </fill>
    </dxf>
    <dxf>
      <fill>
        <patternFill>
          <bgColor rgb="FFFF8989"/>
        </patternFill>
      </fill>
    </dxf>
    <dxf>
      <fill>
        <patternFill>
          <bgColor rgb="FFFF8989"/>
        </patternFill>
      </fill>
    </dxf>
    <dxf>
      <fill>
        <patternFill patternType="solid">
          <bgColor rgb="FFFF7C80"/>
        </patternFill>
      </fill>
    </dxf>
    <dxf>
      <fill>
        <patternFill>
          <bgColor rgb="FFFF7C80"/>
        </patternFill>
      </fill>
    </dxf>
    <dxf>
      <fill>
        <patternFill patternType="solid">
          <bgColor rgb="FFFF7C80"/>
        </patternFill>
      </fill>
    </dxf>
    <dxf>
      <fill>
        <patternFill>
          <bgColor rgb="FFFF8989"/>
        </patternFill>
      </fill>
    </dxf>
    <dxf>
      <fill>
        <patternFill>
          <bgColor rgb="FFFF8989"/>
        </patternFill>
      </fill>
    </dxf>
    <dxf>
      <fill>
        <patternFill>
          <bgColor rgb="FFFF7C80"/>
        </patternFill>
      </fill>
    </dxf>
    <dxf>
      <fill>
        <patternFill patternType="solid">
          <bgColor rgb="FFFF7C80"/>
        </patternFill>
      </fill>
    </dxf>
    <dxf>
      <fill>
        <patternFill>
          <bgColor rgb="FFFF7C80"/>
        </patternFill>
      </fill>
    </dxf>
    <dxf>
      <fill>
        <patternFill patternType="solid">
          <bgColor rgb="FFFF7C80"/>
        </patternFill>
      </fill>
    </dxf>
    <dxf>
      <fill>
        <patternFill>
          <bgColor theme="9" tint="0.59996337778862885"/>
        </patternFill>
      </fill>
    </dxf>
    <dxf>
      <fill>
        <patternFill>
          <bgColor rgb="FFFF7C80"/>
        </patternFill>
      </fill>
    </dxf>
    <dxf>
      <fill>
        <patternFill>
          <bgColor rgb="FFFF7C80"/>
        </patternFill>
      </fill>
    </dxf>
    <dxf>
      <fill>
        <patternFill patternType="solid">
          <bgColor rgb="FFFF7C80"/>
        </patternFill>
      </fill>
    </dxf>
    <dxf>
      <fill>
        <patternFill patternType="solid">
          <bgColor rgb="FFFF7C80"/>
        </patternFill>
      </fill>
    </dxf>
    <dxf>
      <fill>
        <patternFill>
          <bgColor rgb="FFFF8989"/>
        </patternFill>
      </fill>
    </dxf>
    <dxf>
      <fill>
        <patternFill>
          <bgColor theme="9" tint="0.59996337778862885"/>
        </patternFill>
      </fill>
    </dxf>
    <dxf>
      <fill>
        <patternFill patternType="solid">
          <bgColor rgb="FFFF7C80"/>
        </patternFill>
      </fill>
    </dxf>
    <dxf>
      <fill>
        <patternFill>
          <bgColor theme="9" tint="0.59996337778862885"/>
        </patternFill>
      </fill>
    </dxf>
    <dxf>
      <fill>
        <patternFill patternType="solid">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theme="9" tint="0.59996337778862885"/>
        </patternFill>
      </fill>
    </dxf>
    <dxf>
      <fill>
        <patternFill>
          <bgColor rgb="FFFFE181"/>
        </patternFill>
      </fill>
    </dxf>
    <dxf>
      <fill>
        <patternFill>
          <bgColor theme="9" tint="0.59996337778862885"/>
        </patternFill>
      </fill>
    </dxf>
    <dxf>
      <fill>
        <patternFill patternType="solid">
          <bgColor rgb="FFFF7C80"/>
        </patternFill>
      </fill>
    </dxf>
    <dxf>
      <fill>
        <patternFill>
          <bgColor rgb="FFFF7C80"/>
        </patternFill>
      </fill>
    </dxf>
    <dxf>
      <fill>
        <patternFill patternType="solid">
          <bgColor rgb="FFFF7C80"/>
        </patternFill>
      </fill>
    </dxf>
    <dxf>
      <fill>
        <patternFill>
          <bgColor rgb="FFFF8989"/>
        </patternFill>
      </fill>
    </dxf>
    <dxf>
      <fill>
        <patternFill>
          <bgColor rgb="FFFF8989"/>
        </patternFill>
      </fill>
    </dxf>
    <dxf>
      <fill>
        <patternFill>
          <bgColor rgb="FFFF7C80"/>
        </patternFill>
      </fill>
    </dxf>
    <dxf>
      <fill>
        <patternFill>
          <bgColor rgb="FFFF8989"/>
        </patternFill>
      </fill>
    </dxf>
    <dxf>
      <fill>
        <patternFill>
          <bgColor rgb="FFFF8989"/>
        </patternFill>
      </fill>
    </dxf>
    <dxf>
      <fill>
        <patternFill patternType="solid">
          <bgColor rgb="FFFF7C80"/>
        </patternFill>
      </fill>
    </dxf>
    <dxf>
      <fill>
        <patternFill>
          <bgColor rgb="FFFF7C80"/>
        </patternFill>
      </fill>
    </dxf>
    <dxf>
      <fill>
        <patternFill>
          <bgColor rgb="FFFF8989"/>
        </patternFill>
      </fill>
    </dxf>
    <dxf>
      <fill>
        <patternFill>
          <bgColor rgb="FFFF7C80"/>
        </patternFill>
      </fill>
    </dxf>
    <dxf>
      <fill>
        <patternFill>
          <bgColor rgb="FFFF8989"/>
        </patternFill>
      </fill>
    </dxf>
    <dxf>
      <fill>
        <patternFill patternType="solid">
          <bgColor rgb="FFFF7C80"/>
        </patternFill>
      </fill>
    </dxf>
    <dxf>
      <fill>
        <patternFill>
          <bgColor rgb="FFFF8989"/>
        </patternFill>
      </fill>
    </dxf>
    <dxf>
      <fill>
        <patternFill>
          <bgColor rgb="FFFF7C80"/>
        </patternFill>
      </fill>
    </dxf>
    <dxf>
      <fill>
        <patternFill patternType="solid">
          <bgColor rgb="FFFF7C80"/>
        </patternFill>
      </fill>
    </dxf>
    <dxf>
      <fill>
        <patternFill>
          <bgColor rgb="FFFF7C80"/>
        </patternFill>
      </fill>
    </dxf>
    <dxf>
      <fill>
        <patternFill>
          <bgColor rgb="FFFF7C80"/>
        </patternFill>
      </fill>
    </dxf>
    <dxf>
      <fill>
        <patternFill>
          <bgColor theme="9" tint="0.59996337778862885"/>
        </patternFill>
      </fill>
    </dxf>
    <dxf>
      <fill>
        <patternFill>
          <bgColor rgb="FFFF7C80"/>
        </patternFill>
      </fill>
    </dxf>
    <dxf>
      <fill>
        <patternFill patternType="solid">
          <bgColor rgb="FFFF7C80"/>
        </patternFill>
      </fill>
    </dxf>
    <dxf>
      <fill>
        <patternFill>
          <bgColor rgb="FFFF8989"/>
        </patternFill>
      </fill>
    </dxf>
    <dxf>
      <fill>
        <patternFill patternType="solid">
          <bgColor rgb="FFFF7C80"/>
        </patternFill>
      </fill>
    </dxf>
    <dxf>
      <font>
        <b val="0"/>
      </font>
    </dxf>
    <dxf>
      <font>
        <b val="0"/>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9"/>
        </patternFill>
      </fill>
    </dxf>
    <dxf>
      <fill>
        <patternFill patternType="solid">
          <bgColor theme="9"/>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numFmt numFmtId="13" formatCode="0%"/>
    </dxf>
    <dxf>
      <numFmt numFmtId="13" formatCode="0%"/>
    </dxf>
    <dxf>
      <numFmt numFmtId="13" formatCode="0%"/>
    </dxf>
    <dxf>
      <font>
        <b/>
      </font>
    </dxf>
    <dxf>
      <border>
        <left style="thin">
          <color indexed="64"/>
        </left>
        <right style="thin">
          <color indexed="64"/>
        </right>
        <top style="thin">
          <color indexed="64"/>
        </top>
        <bottom style="thin">
          <color indexed="64"/>
        </bottom>
      </border>
    </dxf>
    <dxf>
      <font>
        <b/>
      </font>
    </dxf>
  </dxfs>
  <tableStyles count="0" defaultTableStyle="TableStyleMedium2" defaultPivotStyle="PivotStyleLight16"/>
  <colors>
    <mruColors>
      <color rgb="FFFFE181"/>
      <color rgb="FFFF8989"/>
      <color rgb="FFFF7C80"/>
      <color rgb="FF1DC8D1"/>
      <color rgb="FF159197"/>
      <color rgb="FF105E6E"/>
      <color rgb="FF11787D"/>
      <color rgb="FFFF7575"/>
      <color rgb="FFFF6699"/>
      <color rgb="FFFF89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51179457869731"/>
          <c:y val="4.4569020488277933E-2"/>
          <c:w val="0.65956938946899579"/>
          <c:h val="0.87929653259705065"/>
        </c:manualLayout>
      </c:layout>
      <c:barChart>
        <c:barDir val="bar"/>
        <c:grouping val="clustered"/>
        <c:varyColors val="0"/>
        <c:ser>
          <c:idx val="0"/>
          <c:order val="0"/>
          <c:tx>
            <c:strRef>
              <c:f>Aux.!$E$2</c:f>
              <c:strCache>
                <c:ptCount val="1"/>
                <c:pt idx="0">
                  <c:v>Status Atual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Aux.!$E$3:$E$13</c:f>
              <c:numCache>
                <c:formatCode>General</c:formatCode>
                <c:ptCount val="11"/>
                <c:pt idx="0">
                  <c:v>8</c:v>
                </c:pt>
                <c:pt idx="1">
                  <c:v>17</c:v>
                </c:pt>
                <c:pt idx="2">
                  <c:v>2</c:v>
                </c:pt>
                <c:pt idx="3">
                  <c:v>1</c:v>
                </c:pt>
                <c:pt idx="4">
                  <c:v>3</c:v>
                </c:pt>
                <c:pt idx="5">
                  <c:v>6</c:v>
                </c:pt>
                <c:pt idx="6">
                  <c:v>3</c:v>
                </c:pt>
                <c:pt idx="7">
                  <c:v>0</c:v>
                </c:pt>
                <c:pt idx="8">
                  <c:v>43</c:v>
                </c:pt>
                <c:pt idx="9">
                  <c:v>7</c:v>
                </c:pt>
                <c:pt idx="10">
                  <c:v>171</c:v>
                </c:pt>
              </c:numCache>
            </c:numRef>
          </c:val>
          <c:extLst>
            <c:ext xmlns:c16="http://schemas.microsoft.com/office/drawing/2014/chart" uri="{C3380CC4-5D6E-409C-BE32-E72D297353CC}">
              <c16:uniqueId val="{00000000-89A7-4EA6-9357-F56977281457}"/>
            </c:ext>
          </c:extLst>
        </c:ser>
        <c:ser>
          <c:idx val="1"/>
          <c:order val="1"/>
          <c:tx>
            <c:strRef>
              <c:f>Aux.!$C$2</c:f>
              <c:strCache>
                <c:ptCount val="1"/>
                <c:pt idx="0">
                  <c:v>Status Inicial</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Aux.!$C$3:$C$13</c:f>
              <c:numCache>
                <c:formatCode>General</c:formatCode>
                <c:ptCount val="11"/>
                <c:pt idx="0">
                  <c:v>10</c:v>
                </c:pt>
                <c:pt idx="1">
                  <c:v>18</c:v>
                </c:pt>
                <c:pt idx="2">
                  <c:v>11</c:v>
                </c:pt>
                <c:pt idx="3">
                  <c:v>4</c:v>
                </c:pt>
                <c:pt idx="4">
                  <c:v>0</c:v>
                </c:pt>
                <c:pt idx="5">
                  <c:v>11</c:v>
                </c:pt>
                <c:pt idx="6">
                  <c:v>11</c:v>
                </c:pt>
                <c:pt idx="7">
                  <c:v>0</c:v>
                </c:pt>
                <c:pt idx="8">
                  <c:v>42</c:v>
                </c:pt>
                <c:pt idx="9">
                  <c:v>7</c:v>
                </c:pt>
                <c:pt idx="10">
                  <c:v>147</c:v>
                </c:pt>
              </c:numCache>
            </c:numRef>
          </c:val>
          <c:extLst>
            <c:ext xmlns:c16="http://schemas.microsoft.com/office/drawing/2014/chart" uri="{C3380CC4-5D6E-409C-BE32-E72D297353CC}">
              <c16:uniqueId val="{00000001-89A7-4EA6-9357-F56977281457}"/>
            </c:ext>
          </c:extLst>
        </c:ser>
        <c:dLbls>
          <c:showLegendKey val="0"/>
          <c:showVal val="0"/>
          <c:showCatName val="0"/>
          <c:showSerName val="0"/>
          <c:showPercent val="0"/>
          <c:showBubbleSize val="0"/>
        </c:dLbls>
        <c:gapWidth val="100"/>
        <c:axId val="1355518095"/>
        <c:axId val="1701600159"/>
      </c:barChart>
      <c:catAx>
        <c:axId val="1355518095"/>
        <c:scaling>
          <c:orientation val="minMax"/>
        </c:scaling>
        <c:delete val="0"/>
        <c:axPos val="l"/>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antander Text" panose="020B0504020201020104" pitchFamily="34" charset="0"/>
                <a:ea typeface="+mn-ea"/>
                <a:cs typeface="+mn-cs"/>
              </a:defRPr>
            </a:pPr>
            <a:endParaRPr lang="pt-PT"/>
          </a:p>
        </c:txPr>
        <c:crossAx val="1701600159"/>
        <c:crosses val="autoZero"/>
        <c:auto val="1"/>
        <c:lblAlgn val="ctr"/>
        <c:lblOffset val="100"/>
        <c:noMultiLvlLbl val="0"/>
      </c:catAx>
      <c:valAx>
        <c:axId val="1701600159"/>
        <c:scaling>
          <c:orientation val="minMax"/>
        </c:scaling>
        <c:delete val="1"/>
        <c:axPos val="b"/>
        <c:numFmt formatCode="General" sourceLinked="1"/>
        <c:majorTickMark val="none"/>
        <c:minorTickMark val="none"/>
        <c:tickLblPos val="nextTo"/>
        <c:crossAx val="1355518095"/>
        <c:crosses val="autoZero"/>
        <c:crossBetween val="between"/>
      </c:valAx>
      <c:spPr>
        <a:noFill/>
        <a:ln>
          <a:noFill/>
        </a:ln>
        <a:effectLst/>
      </c:spPr>
    </c:plotArea>
    <c:legend>
      <c:legendPos val="b"/>
      <c:layout>
        <c:manualLayout>
          <c:xMode val="edge"/>
          <c:yMode val="edge"/>
          <c:x val="0.58478393579920418"/>
          <c:y val="0.92906947036056264"/>
          <c:w val="0.27115762226025114"/>
          <c:h val="4.970541250552144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ntander Text" panose="020B0504020201020104" pitchFamily="34" charset="0"/>
              <a:ea typeface="+mn-ea"/>
              <a:cs typeface="+mn-cs"/>
            </a:defRPr>
          </a:pPr>
          <a:endParaRPr lang="pt-PT"/>
        </a:p>
      </c:txPr>
    </c:legend>
    <c:plotVisOnly val="1"/>
    <c:dispBlanksAs val="gap"/>
    <c:showDLblsOverMax val="0"/>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873740142371323E-2"/>
          <c:y val="4.0424139451687574E-2"/>
          <c:w val="0.49223487928522108"/>
          <c:h val="0.91708295217975233"/>
        </c:manualLayout>
      </c:layout>
      <c:doughnutChart>
        <c:varyColors val="1"/>
        <c:ser>
          <c:idx val="0"/>
          <c:order val="0"/>
          <c:tx>
            <c:strRef>
              <c:f>Aux.!$F$2</c:f>
              <c:strCache>
                <c:ptCount val="1"/>
                <c:pt idx="0">
                  <c:v>Status Atual (%)</c:v>
                </c:pt>
              </c:strCache>
            </c:strRef>
          </c:tx>
          <c:spPr>
            <a:ln>
              <a:solidFill>
                <a:schemeClr val="bg1"/>
              </a:solidFill>
            </a:ln>
          </c:spPr>
          <c:dPt>
            <c:idx val="0"/>
            <c:bubble3D val="0"/>
            <c:spPr>
              <a:solidFill>
                <a:srgbClr val="BDDBE3"/>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0A8-4F26-BB07-73280CFFBFEF}"/>
              </c:ext>
            </c:extLst>
          </c:dPt>
          <c:dPt>
            <c:idx val="1"/>
            <c:bubble3D val="0"/>
            <c:spPr>
              <a:solidFill>
                <a:srgbClr val="1DC8D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0A8-4F26-BB07-73280CFFBFEF}"/>
              </c:ext>
            </c:extLst>
          </c:dPt>
          <c:dPt>
            <c:idx val="2"/>
            <c:bubble3D val="0"/>
            <c:spPr>
              <a:solidFill>
                <a:schemeClr val="bg2">
                  <a:lumMod val="9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0A8-4F26-BB07-73280CFFBFEF}"/>
              </c:ext>
            </c:extLst>
          </c:dPt>
          <c:dPt>
            <c:idx val="3"/>
            <c:bubble3D val="0"/>
            <c:spPr>
              <a:solidFill>
                <a:srgbClr val="159197"/>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0A8-4F26-BB07-73280CFFBFEF}"/>
              </c:ext>
            </c:extLst>
          </c:dPt>
          <c:dPt>
            <c:idx val="4"/>
            <c:bubble3D val="0"/>
            <c:spPr>
              <a:solidFill>
                <a:srgbClr val="105E6E"/>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0A8-4F26-BB07-73280CFFBFEF}"/>
              </c:ext>
            </c:extLst>
          </c:dPt>
          <c:dPt>
            <c:idx val="5"/>
            <c:bubble3D val="0"/>
            <c:spPr>
              <a:solidFill>
                <a:srgbClr val="FF7575"/>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0A8-4F26-BB07-73280CFFBFEF}"/>
              </c:ext>
            </c:extLst>
          </c:dPt>
          <c:dPt>
            <c:idx val="6"/>
            <c:bubble3D val="0"/>
            <c:spPr>
              <a:solidFill>
                <a:srgbClr val="FF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0A8-4F26-BB07-73280CFFBFEF}"/>
              </c:ext>
            </c:extLst>
          </c:dPt>
          <c:dPt>
            <c:idx val="7"/>
            <c:bubble3D val="0"/>
            <c:spPr>
              <a:solidFill>
                <a:schemeClr val="tx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30A8-4F26-BB07-73280CFFBFEF}"/>
              </c:ext>
            </c:extLst>
          </c:dPt>
          <c:dPt>
            <c:idx val="8"/>
            <c:bubble3D val="0"/>
            <c:spPr>
              <a:solidFill>
                <a:schemeClr val="tx1">
                  <a:lumMod val="50000"/>
                  <a:lumOff val="5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30A8-4F26-BB07-73280CFFBFEF}"/>
              </c:ext>
            </c:extLst>
          </c:dPt>
          <c:dPt>
            <c:idx val="9"/>
            <c:bubble3D val="0"/>
            <c:spPr>
              <a:solidFill>
                <a:schemeClr val="bg1">
                  <a:lumMod val="75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30A8-4F26-BB07-73280CFFBFEF}"/>
              </c:ext>
            </c:extLst>
          </c:dPt>
          <c:dPt>
            <c:idx val="10"/>
            <c:bubble3D val="0"/>
            <c:spPr>
              <a:solidFill>
                <a:srgbClr val="C0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81AB-4571-BA28-B678C87DE851}"/>
              </c:ext>
            </c:extLst>
          </c:dPt>
          <c:dLbls>
            <c:dLbl>
              <c:idx val="2"/>
              <c:layout>
                <c:manualLayout>
                  <c:x val="7.5360653141484324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0A8-4F26-BB07-73280CFFBFEF}"/>
                </c:ext>
              </c:extLst>
            </c:dLbl>
            <c:dLbl>
              <c:idx val="4"/>
              <c:layout>
                <c:manualLayout>
                  <c:x val="7.5360653141484324E-2"/>
                  <c:y val="-8.7578518272413704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0A8-4F26-BB07-73280CFFBFEF}"/>
                </c:ext>
              </c:extLst>
            </c:dLbl>
            <c:dLbl>
              <c:idx val="6"/>
              <c:layout>
                <c:manualLayout>
                  <c:x val="6.0288522513187517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30A8-4F26-BB07-73280CFFBFEF}"/>
                </c:ext>
              </c:extLst>
            </c:dLbl>
            <c:dLbl>
              <c:idx val="10"/>
              <c:layout>
                <c:manualLayout>
                  <c:x val="-3.1914897436146013E-2"/>
                  <c:y val="4.2492908368560066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81AB-4571-BA28-B678C87DE851}"/>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Aux.!$F$3:$F$13</c:f>
              <c:numCache>
                <c:formatCode>0%</c:formatCode>
                <c:ptCount val="11"/>
                <c:pt idx="0">
                  <c:v>3.0651340996168581E-2</c:v>
                </c:pt>
                <c:pt idx="1">
                  <c:v>6.5134099616858232E-2</c:v>
                </c:pt>
                <c:pt idx="2">
                  <c:v>7.6628352490421452E-3</c:v>
                </c:pt>
                <c:pt idx="3">
                  <c:v>3.8314176245210726E-3</c:v>
                </c:pt>
                <c:pt idx="4">
                  <c:v>1.1494252873563218E-2</c:v>
                </c:pt>
                <c:pt idx="5">
                  <c:v>2.2988505747126436E-2</c:v>
                </c:pt>
                <c:pt idx="6">
                  <c:v>1.1494252873563218E-2</c:v>
                </c:pt>
                <c:pt idx="7">
                  <c:v>0</c:v>
                </c:pt>
                <c:pt idx="8">
                  <c:v>0.16475095785440613</c:v>
                </c:pt>
                <c:pt idx="9">
                  <c:v>2.681992337164751E-2</c:v>
                </c:pt>
                <c:pt idx="10">
                  <c:v>0.65517241379310343</c:v>
                </c:pt>
              </c:numCache>
            </c:numRef>
          </c:val>
          <c:extLst>
            <c:ext xmlns:c16="http://schemas.microsoft.com/office/drawing/2014/chart" uri="{C3380CC4-5D6E-409C-BE32-E72D297353CC}">
              <c16:uniqueId val="{00000014-30A8-4F26-BB07-73280CFFBFE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5200560965372167"/>
          <c:y val="0"/>
          <c:w val="0.33794539903789655"/>
          <c:h val="1"/>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11554219622962067"/>
          <c:y val="0.15515485564304463"/>
          <c:w val="0.46352969895913404"/>
          <c:h val="0.74756491874685882"/>
        </c:manualLayout>
      </c:layout>
      <c:doughnutChart>
        <c:varyColors val="1"/>
        <c:ser>
          <c:idx val="0"/>
          <c:order val="0"/>
          <c:tx>
            <c:strRef>
              <c:f>Aux.!$F$2</c:f>
              <c:strCache>
                <c:ptCount val="1"/>
                <c:pt idx="0">
                  <c:v>Status Atual (%)</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D94-4ABF-952A-8D08AF33ADE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D94-4ABF-952A-8D08AF33ADE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D94-4ABF-952A-8D08AF33ADE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D94-4ABF-952A-8D08AF33ADE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D94-4ABF-952A-8D08AF33ADE6}"/>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DD94-4ABF-952A-8D08AF33ADE6}"/>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DD94-4ABF-952A-8D08AF33ADE6}"/>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DD94-4ABF-952A-8D08AF33ADE6}"/>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DD94-4ABF-952A-8D08AF33ADE6}"/>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DD94-4ABF-952A-8D08AF33ADE6}"/>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D6F4-450A-8ECC-61912C9698C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Aux.!$F$3:$F$13</c:f>
              <c:numCache>
                <c:formatCode>0%</c:formatCode>
                <c:ptCount val="11"/>
                <c:pt idx="0">
                  <c:v>3.0651340996168581E-2</c:v>
                </c:pt>
                <c:pt idx="1">
                  <c:v>6.5134099616858232E-2</c:v>
                </c:pt>
                <c:pt idx="2">
                  <c:v>7.6628352490421452E-3</c:v>
                </c:pt>
                <c:pt idx="3">
                  <c:v>3.8314176245210726E-3</c:v>
                </c:pt>
                <c:pt idx="4">
                  <c:v>1.1494252873563218E-2</c:v>
                </c:pt>
                <c:pt idx="5">
                  <c:v>2.2988505747126436E-2</c:v>
                </c:pt>
                <c:pt idx="6">
                  <c:v>1.1494252873563218E-2</c:v>
                </c:pt>
                <c:pt idx="7">
                  <c:v>0</c:v>
                </c:pt>
                <c:pt idx="8">
                  <c:v>0.16475095785440613</c:v>
                </c:pt>
                <c:pt idx="9">
                  <c:v>2.681992337164751E-2</c:v>
                </c:pt>
                <c:pt idx="10">
                  <c:v>0.65517241379310343</c:v>
                </c:pt>
              </c:numCache>
            </c:numRef>
          </c:val>
          <c:extLst>
            <c:ext xmlns:c16="http://schemas.microsoft.com/office/drawing/2014/chart" uri="{C3380CC4-5D6E-409C-BE32-E72D297353CC}">
              <c16:uniqueId val="{00000000-328B-44A9-A1E6-87B492E982B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63615945701311827"/>
          <c:y val="0.11024822695035463"/>
          <c:w val="0.33927250448160839"/>
          <c:h val="0.759309767130172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51179457869731"/>
          <c:y val="4.4569020488277933E-2"/>
          <c:w val="0.65956938946899579"/>
          <c:h val="0.87929653259705065"/>
        </c:manualLayout>
      </c:layout>
      <c:barChart>
        <c:barDir val="bar"/>
        <c:grouping val="clustered"/>
        <c:varyColors val="0"/>
        <c:ser>
          <c:idx val="0"/>
          <c:order val="0"/>
          <c:tx>
            <c:strRef>
              <c:f>Aux.!$E$2</c:f>
              <c:strCache>
                <c:ptCount val="1"/>
                <c:pt idx="0">
                  <c:v>Status Atual</c:v>
                </c:pt>
              </c:strCache>
            </c:strRef>
          </c:tx>
          <c:spPr>
            <a:solidFill>
              <a:srgbClr val="C00000"/>
            </a:solidFill>
            <a:ln>
              <a:noFill/>
            </a:ln>
            <a:effectLst/>
          </c:spPr>
          <c:invertIfNegative val="0"/>
          <c:dLbls>
            <c:dLbl>
              <c:idx val="1"/>
              <c:layout>
                <c:manualLayout>
                  <c:x val="0"/>
                  <c:y val="8.11325594224113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6AD-448D-9AB4-63200B0C83D0}"/>
                </c:ext>
              </c:extLst>
            </c:dLbl>
            <c:dLbl>
              <c:idx val="4"/>
              <c:layout>
                <c:manualLayout>
                  <c:x val="0"/>
                  <c:y val="4.056627971120567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6AD-448D-9AB4-63200B0C83D0}"/>
                </c:ext>
              </c:extLst>
            </c:dLbl>
            <c:dLbl>
              <c:idx val="7"/>
              <c:layout>
                <c:manualLayout>
                  <c:x val="-3.3861424021993884E-17"/>
                  <c:y val="8.11325594224121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6AD-448D-9AB4-63200B0C83D0}"/>
                </c:ext>
              </c:extLst>
            </c:dLbl>
            <c:dLbl>
              <c:idx val="8"/>
              <c:layout>
                <c:manualLayout>
                  <c:x val="0"/>
                  <c:y val="4.05662797112064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AD-448D-9AB4-63200B0C83D0}"/>
                </c:ext>
              </c:extLst>
            </c:dLbl>
            <c:dLbl>
              <c:idx val="9"/>
              <c:layout>
                <c:manualLayout>
                  <c:x val="0"/>
                  <c:y val="8.113255942241265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AD-448D-9AB4-63200B0C83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Aux.!$E$3:$E$13</c:f>
              <c:numCache>
                <c:formatCode>General</c:formatCode>
                <c:ptCount val="11"/>
                <c:pt idx="0">
                  <c:v>8</c:v>
                </c:pt>
                <c:pt idx="1">
                  <c:v>17</c:v>
                </c:pt>
                <c:pt idx="2">
                  <c:v>2</c:v>
                </c:pt>
                <c:pt idx="3">
                  <c:v>1</c:v>
                </c:pt>
                <c:pt idx="4">
                  <c:v>3</c:v>
                </c:pt>
                <c:pt idx="5">
                  <c:v>6</c:v>
                </c:pt>
                <c:pt idx="6">
                  <c:v>3</c:v>
                </c:pt>
                <c:pt idx="7">
                  <c:v>0</c:v>
                </c:pt>
                <c:pt idx="8">
                  <c:v>43</c:v>
                </c:pt>
                <c:pt idx="9">
                  <c:v>7</c:v>
                </c:pt>
                <c:pt idx="10">
                  <c:v>171</c:v>
                </c:pt>
              </c:numCache>
            </c:numRef>
          </c:val>
          <c:extLst>
            <c:ext xmlns:c16="http://schemas.microsoft.com/office/drawing/2014/chart" uri="{C3380CC4-5D6E-409C-BE32-E72D297353CC}">
              <c16:uniqueId val="{00000000-B6AD-448D-9AB4-63200B0C83D0}"/>
            </c:ext>
          </c:extLst>
        </c:ser>
        <c:ser>
          <c:idx val="1"/>
          <c:order val="1"/>
          <c:tx>
            <c:strRef>
              <c:f>Aux.!$C$2</c:f>
              <c:strCache>
                <c:ptCount val="1"/>
                <c:pt idx="0">
                  <c:v>Status Inicial</c:v>
                </c:pt>
              </c:strCache>
            </c:strRef>
          </c:tx>
          <c:spPr>
            <a:solidFill>
              <a:schemeClr val="tx1">
                <a:lumMod val="50000"/>
                <a:lumOff val="50000"/>
              </a:schemeClr>
            </a:solidFill>
            <a:ln>
              <a:noFill/>
            </a:ln>
            <a:effectLst/>
          </c:spPr>
          <c:invertIfNegative val="0"/>
          <c:dLbls>
            <c:dLbl>
              <c:idx val="0"/>
              <c:layout>
                <c:manualLayout>
                  <c:x val="0"/>
                  <c:y val="-8.11325594224128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6AD-448D-9AB4-63200B0C83D0}"/>
                </c:ext>
              </c:extLst>
            </c:dLbl>
            <c:dLbl>
              <c:idx val="1"/>
              <c:layout>
                <c:manualLayout>
                  <c:x val="-7.388032405539055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6AD-448D-9AB4-63200B0C83D0}"/>
                </c:ext>
              </c:extLst>
            </c:dLbl>
            <c:dLbl>
              <c:idx val="3"/>
              <c:layout>
                <c:manualLayout>
                  <c:x val="0"/>
                  <c:y val="-4.05662797112079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6AD-448D-9AB4-63200B0C83D0}"/>
                </c:ext>
              </c:extLst>
            </c:dLbl>
            <c:dLbl>
              <c:idx val="4"/>
              <c:layout>
                <c:manualLayout>
                  <c:x val="3.6940162027694263E-3"/>
                  <c:y val="-7.437065366774096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6AD-448D-9AB4-63200B0C83D0}"/>
                </c:ext>
              </c:extLst>
            </c:dLbl>
            <c:dLbl>
              <c:idx val="5"/>
              <c:layout>
                <c:manualLayout>
                  <c:x val="-1.847008101384747E-3"/>
                  <c:y val="-4.05662797112064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6AD-448D-9AB4-63200B0C83D0}"/>
                </c:ext>
              </c:extLst>
            </c:dLbl>
            <c:dLbl>
              <c:idx val="7"/>
              <c:layout>
                <c:manualLayout>
                  <c:x val="-3.3861424021993884E-17"/>
                  <c:y val="-4.05662797112064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6AD-448D-9AB4-63200B0C83D0}"/>
                </c:ext>
              </c:extLst>
            </c:dLbl>
            <c:dLbl>
              <c:idx val="8"/>
              <c:layout>
                <c:manualLayout>
                  <c:x val="0"/>
                  <c:y val="-8.11325594224128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6AD-448D-9AB4-63200B0C83D0}"/>
                </c:ext>
              </c:extLst>
            </c:dLbl>
            <c:dLbl>
              <c:idx val="10"/>
              <c:layout>
                <c:manualLayout>
                  <c:x val="-5.5410243041542412E-3"/>
                  <c:y val="-4.056627971120646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AD-448D-9AB4-63200B0C83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Aux.!$C$3:$C$13</c:f>
              <c:numCache>
                <c:formatCode>General</c:formatCode>
                <c:ptCount val="11"/>
                <c:pt idx="0">
                  <c:v>10</c:v>
                </c:pt>
                <c:pt idx="1">
                  <c:v>18</c:v>
                </c:pt>
                <c:pt idx="2">
                  <c:v>11</c:v>
                </c:pt>
                <c:pt idx="3">
                  <c:v>4</c:v>
                </c:pt>
                <c:pt idx="4">
                  <c:v>0</c:v>
                </c:pt>
                <c:pt idx="5">
                  <c:v>11</c:v>
                </c:pt>
                <c:pt idx="6">
                  <c:v>11</c:v>
                </c:pt>
                <c:pt idx="7">
                  <c:v>0</c:v>
                </c:pt>
                <c:pt idx="8">
                  <c:v>42</c:v>
                </c:pt>
                <c:pt idx="9">
                  <c:v>7</c:v>
                </c:pt>
                <c:pt idx="10">
                  <c:v>147</c:v>
                </c:pt>
              </c:numCache>
            </c:numRef>
          </c:val>
          <c:extLst>
            <c:ext xmlns:c16="http://schemas.microsoft.com/office/drawing/2014/chart" uri="{C3380CC4-5D6E-409C-BE32-E72D297353CC}">
              <c16:uniqueId val="{00000001-B6AD-448D-9AB4-63200B0C83D0}"/>
            </c:ext>
          </c:extLst>
        </c:ser>
        <c:dLbls>
          <c:showLegendKey val="0"/>
          <c:showVal val="0"/>
          <c:showCatName val="0"/>
          <c:showSerName val="0"/>
          <c:showPercent val="0"/>
          <c:showBubbleSize val="0"/>
        </c:dLbls>
        <c:gapWidth val="100"/>
        <c:axId val="1355518095"/>
        <c:axId val="1701600159"/>
      </c:barChart>
      <c:catAx>
        <c:axId val="1355518095"/>
        <c:scaling>
          <c:orientation val="minMax"/>
        </c:scaling>
        <c:delete val="0"/>
        <c:axPos val="l"/>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antander Text" panose="020B0504020201020104" pitchFamily="34" charset="0"/>
                <a:ea typeface="+mn-ea"/>
                <a:cs typeface="+mn-cs"/>
              </a:defRPr>
            </a:pPr>
            <a:endParaRPr lang="pt-PT"/>
          </a:p>
        </c:txPr>
        <c:crossAx val="1701600159"/>
        <c:crosses val="autoZero"/>
        <c:auto val="1"/>
        <c:lblAlgn val="ctr"/>
        <c:lblOffset val="100"/>
        <c:noMultiLvlLbl val="0"/>
      </c:catAx>
      <c:valAx>
        <c:axId val="1701600159"/>
        <c:scaling>
          <c:orientation val="minMax"/>
        </c:scaling>
        <c:delete val="1"/>
        <c:axPos val="b"/>
        <c:numFmt formatCode="General" sourceLinked="1"/>
        <c:majorTickMark val="none"/>
        <c:minorTickMark val="none"/>
        <c:tickLblPos val="nextTo"/>
        <c:crossAx val="1355518095"/>
        <c:crosses val="autoZero"/>
        <c:crossBetween val="between"/>
      </c:valAx>
      <c:spPr>
        <a:noFill/>
        <a:ln>
          <a:noFill/>
        </a:ln>
        <a:effectLst/>
      </c:spPr>
    </c:plotArea>
    <c:legend>
      <c:legendPos val="b"/>
      <c:layout>
        <c:manualLayout>
          <c:xMode val="edge"/>
          <c:yMode val="edge"/>
          <c:x val="0.58478393579920418"/>
          <c:y val="0.92906947036056264"/>
          <c:w val="0.27115762226025114"/>
          <c:h val="4.970541250552144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ntander Text" panose="020B0504020201020104" pitchFamily="34" charset="0"/>
              <a:ea typeface="+mn-ea"/>
              <a:cs typeface="+mn-cs"/>
            </a:defRPr>
          </a:pPr>
          <a:endParaRPr lang="pt-PT"/>
        </a:p>
      </c:txPr>
    </c:legend>
    <c:plotVisOnly val="1"/>
    <c:dispBlanksAs val="gap"/>
    <c:showDLblsOverMax val="0"/>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873740142371323E-2"/>
          <c:y val="4.0424139451687574E-2"/>
          <c:w val="0.49223487928522108"/>
          <c:h val="0.91708295217975233"/>
        </c:manualLayout>
      </c:layout>
      <c:doughnutChart>
        <c:varyColors val="1"/>
        <c:ser>
          <c:idx val="0"/>
          <c:order val="0"/>
          <c:tx>
            <c:strRef>
              <c:f>Aux.!$F$2</c:f>
              <c:strCache>
                <c:ptCount val="1"/>
                <c:pt idx="0">
                  <c:v>Status Atual (%)</c:v>
                </c:pt>
              </c:strCache>
            </c:strRef>
          </c:tx>
          <c:spPr>
            <a:ln>
              <a:solidFill>
                <a:schemeClr val="bg1"/>
              </a:solidFill>
            </a:ln>
          </c:spPr>
          <c:dPt>
            <c:idx val="0"/>
            <c:bubble3D val="0"/>
            <c:spPr>
              <a:solidFill>
                <a:srgbClr val="BDDBE3"/>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F79-4052-9DDA-E02D1793420C}"/>
              </c:ext>
            </c:extLst>
          </c:dPt>
          <c:dPt>
            <c:idx val="1"/>
            <c:bubble3D val="0"/>
            <c:spPr>
              <a:solidFill>
                <a:srgbClr val="1DC8D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F79-4052-9DDA-E02D1793420C}"/>
              </c:ext>
            </c:extLst>
          </c:dPt>
          <c:dPt>
            <c:idx val="2"/>
            <c:bubble3D val="0"/>
            <c:spPr>
              <a:solidFill>
                <a:schemeClr val="bg2">
                  <a:lumMod val="9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F79-4052-9DDA-E02D1793420C}"/>
              </c:ext>
            </c:extLst>
          </c:dPt>
          <c:dPt>
            <c:idx val="3"/>
            <c:bubble3D val="0"/>
            <c:spPr>
              <a:solidFill>
                <a:srgbClr val="159197"/>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F79-4052-9DDA-E02D1793420C}"/>
              </c:ext>
            </c:extLst>
          </c:dPt>
          <c:dPt>
            <c:idx val="4"/>
            <c:bubble3D val="0"/>
            <c:spPr>
              <a:solidFill>
                <a:srgbClr val="105E6E"/>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F79-4052-9DDA-E02D1793420C}"/>
              </c:ext>
            </c:extLst>
          </c:dPt>
          <c:dPt>
            <c:idx val="5"/>
            <c:bubble3D val="0"/>
            <c:spPr>
              <a:solidFill>
                <a:srgbClr val="FF7575"/>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F79-4052-9DDA-E02D1793420C}"/>
              </c:ext>
            </c:extLst>
          </c:dPt>
          <c:dPt>
            <c:idx val="6"/>
            <c:bubble3D val="0"/>
            <c:spPr>
              <a:solidFill>
                <a:srgbClr val="FF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F79-4052-9DDA-E02D1793420C}"/>
              </c:ext>
            </c:extLst>
          </c:dPt>
          <c:dPt>
            <c:idx val="7"/>
            <c:bubble3D val="0"/>
            <c:spPr>
              <a:solidFill>
                <a:schemeClr val="tx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CF79-4052-9DDA-E02D1793420C}"/>
              </c:ext>
            </c:extLst>
          </c:dPt>
          <c:dPt>
            <c:idx val="8"/>
            <c:bubble3D val="0"/>
            <c:spPr>
              <a:solidFill>
                <a:schemeClr val="tx1">
                  <a:lumMod val="50000"/>
                  <a:lumOff val="5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CF79-4052-9DDA-E02D1793420C}"/>
              </c:ext>
            </c:extLst>
          </c:dPt>
          <c:dPt>
            <c:idx val="9"/>
            <c:bubble3D val="0"/>
            <c:spPr>
              <a:solidFill>
                <a:schemeClr val="bg1">
                  <a:lumMod val="75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CF79-4052-9DDA-E02D1793420C}"/>
              </c:ext>
            </c:extLst>
          </c:dPt>
          <c:dPt>
            <c:idx val="10"/>
            <c:bubble3D val="0"/>
            <c:spPr>
              <a:solidFill>
                <a:srgbClr val="C0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CF79-4052-9DDA-E02D1793420C}"/>
              </c:ext>
            </c:extLst>
          </c:dPt>
          <c:dLbls>
            <c:dLbl>
              <c:idx val="2"/>
              <c:layout>
                <c:manualLayout>
                  <c:x val="7.5360653141484324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F79-4052-9DDA-E02D1793420C}"/>
                </c:ext>
              </c:extLst>
            </c:dLbl>
            <c:dLbl>
              <c:idx val="4"/>
              <c:layout>
                <c:manualLayout>
                  <c:x val="7.5360653141484324E-2"/>
                  <c:y val="-8.7578518272413704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F79-4052-9DDA-E02D1793420C}"/>
                </c:ext>
              </c:extLst>
            </c:dLbl>
            <c:dLbl>
              <c:idx val="6"/>
              <c:layout>
                <c:manualLayout>
                  <c:x val="6.0288522513187517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CF79-4052-9DDA-E02D1793420C}"/>
                </c:ext>
              </c:extLst>
            </c:dLbl>
            <c:dLbl>
              <c:idx val="10"/>
              <c:layout>
                <c:manualLayout>
                  <c:x val="-3.1914897436146013E-2"/>
                  <c:y val="4.2492908368560066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CF79-4052-9DDA-E02D1793420C}"/>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Aux.!$F$3:$F$13</c:f>
              <c:numCache>
                <c:formatCode>0%</c:formatCode>
                <c:ptCount val="11"/>
                <c:pt idx="0">
                  <c:v>3.0651340996168581E-2</c:v>
                </c:pt>
                <c:pt idx="1">
                  <c:v>6.5134099616858232E-2</c:v>
                </c:pt>
                <c:pt idx="2">
                  <c:v>7.6628352490421452E-3</c:v>
                </c:pt>
                <c:pt idx="3">
                  <c:v>3.8314176245210726E-3</c:v>
                </c:pt>
                <c:pt idx="4">
                  <c:v>1.1494252873563218E-2</c:v>
                </c:pt>
                <c:pt idx="5">
                  <c:v>2.2988505747126436E-2</c:v>
                </c:pt>
                <c:pt idx="6">
                  <c:v>1.1494252873563218E-2</c:v>
                </c:pt>
                <c:pt idx="7">
                  <c:v>0</c:v>
                </c:pt>
                <c:pt idx="8">
                  <c:v>0.16475095785440613</c:v>
                </c:pt>
                <c:pt idx="9">
                  <c:v>2.681992337164751E-2</c:v>
                </c:pt>
                <c:pt idx="10">
                  <c:v>0.65517241379310343</c:v>
                </c:pt>
              </c:numCache>
            </c:numRef>
          </c:val>
          <c:extLst>
            <c:ext xmlns:c16="http://schemas.microsoft.com/office/drawing/2014/chart" uri="{C3380CC4-5D6E-409C-BE32-E72D297353CC}">
              <c16:uniqueId val="{00000016-CF79-4052-9DDA-E02D1793420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5200560965372167"/>
          <c:y val="0"/>
          <c:w val="0.33794539903789655"/>
          <c:h val="1"/>
        </c:manualLayout>
      </c:layout>
      <c:overlay val="0"/>
      <c:spPr>
        <a:solidFill>
          <a:schemeClr val="bg1"/>
        </a:solidFill>
        <a:ln>
          <a:noFill/>
        </a:ln>
        <a:effectLst/>
      </c:spPr>
      <c:txPr>
        <a:bodyPr rot="0" spcFirstLastPara="1" vertOverflow="ellipsis" vert="horz" wrap="square" anchor="ctr" anchorCtr="1"/>
        <a:lstStyle/>
        <a:p>
          <a:pPr>
            <a:defRPr sz="10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148590</xdr:colOff>
      <xdr:row>0</xdr:row>
      <xdr:rowOff>129540</xdr:rowOff>
    </xdr:from>
    <xdr:to>
      <xdr:col>2</xdr:col>
      <xdr:colOff>1349196</xdr:colOff>
      <xdr:row>1</xdr:row>
      <xdr:rowOff>281940</xdr:rowOff>
    </xdr:to>
    <xdr:pic>
      <xdr:nvPicPr>
        <xdr:cNvPr id="2" name="Gráfico 10">
          <a:extLst>
            <a:ext uri="{FF2B5EF4-FFF2-40B4-BE49-F238E27FC236}">
              <a16:creationId xmlns:a16="http://schemas.microsoft.com/office/drawing/2014/main" id="{F05960C4-6ED2-49C8-874C-7FE04DBD02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590" y="129540"/>
          <a:ext cx="1772106" cy="350520"/>
        </a:xfrm>
        <a:prstGeom prst="rect">
          <a:avLst/>
        </a:prstGeom>
      </xdr:spPr>
    </xdr:pic>
    <xdr:clientData/>
  </xdr:twoCellAnchor>
  <xdr:twoCellAnchor>
    <xdr:from>
      <xdr:col>1</xdr:col>
      <xdr:colOff>325756</xdr:colOff>
      <xdr:row>5</xdr:row>
      <xdr:rowOff>59055</xdr:rowOff>
    </xdr:from>
    <xdr:to>
      <xdr:col>2</xdr:col>
      <xdr:colOff>2040256</xdr:colOff>
      <xdr:row>7</xdr:row>
      <xdr:rowOff>57361</xdr:rowOff>
    </xdr:to>
    <xdr:sp macro="" textlink="">
      <xdr:nvSpPr>
        <xdr:cNvPr id="3" name="Rectangle: Rounded Corners 23">
          <a:extLst>
            <a:ext uri="{FF2B5EF4-FFF2-40B4-BE49-F238E27FC236}">
              <a16:creationId xmlns:a16="http://schemas.microsoft.com/office/drawing/2014/main" id="{E727F581-D24A-491E-895D-2F692B2880F5}"/>
            </a:ext>
          </a:extLst>
        </xdr:cNvPr>
        <xdr:cNvSpPr/>
      </xdr:nvSpPr>
      <xdr:spPr>
        <a:xfrm>
          <a:off x="544831" y="1078230"/>
          <a:ext cx="2066925" cy="360256"/>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0">
              <a:latin typeface="Santander Text" panose="020B0504020201020104" pitchFamily="34" charset="0"/>
            </a:rPr>
            <a:t>Status Campos LT</a:t>
          </a:r>
        </a:p>
      </xdr:txBody>
    </xdr:sp>
    <xdr:clientData/>
  </xdr:twoCellAnchor>
  <xdr:twoCellAnchor>
    <xdr:from>
      <xdr:col>7</xdr:col>
      <xdr:colOff>554355</xdr:colOff>
      <xdr:row>5</xdr:row>
      <xdr:rowOff>45720</xdr:rowOff>
    </xdr:from>
    <xdr:to>
      <xdr:col>13</xdr:col>
      <xdr:colOff>135255</xdr:colOff>
      <xdr:row>7</xdr:row>
      <xdr:rowOff>53551</xdr:rowOff>
    </xdr:to>
    <xdr:sp macro="" textlink="">
      <xdr:nvSpPr>
        <xdr:cNvPr id="4" name="Rectangle: Rounded Corners 23">
          <a:extLst>
            <a:ext uri="{FF2B5EF4-FFF2-40B4-BE49-F238E27FC236}">
              <a16:creationId xmlns:a16="http://schemas.microsoft.com/office/drawing/2014/main" id="{CF83756B-99B2-4C4A-A724-D8F57406C47C}"/>
            </a:ext>
          </a:extLst>
        </xdr:cNvPr>
        <xdr:cNvSpPr/>
      </xdr:nvSpPr>
      <xdr:spPr>
        <a:xfrm>
          <a:off x="5850255" y="1064895"/>
          <a:ext cx="3752850" cy="369781"/>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0">
              <a:latin typeface="Santander Text" panose="020B0504020201020104" pitchFamily="34" charset="0"/>
            </a:rPr>
            <a:t>Status Campos Quick-Win LT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7622</xdr:colOff>
      <xdr:row>5</xdr:row>
      <xdr:rowOff>0</xdr:rowOff>
    </xdr:from>
    <xdr:to>
      <xdr:col>2</xdr:col>
      <xdr:colOff>1554480</xdr:colOff>
      <xdr:row>6</xdr:row>
      <xdr:rowOff>110065</xdr:rowOff>
    </xdr:to>
    <xdr:sp macro="" textlink="">
      <xdr:nvSpPr>
        <xdr:cNvPr id="164" name="Rectangle: Rounded Corners 23">
          <a:extLst>
            <a:ext uri="{FF2B5EF4-FFF2-40B4-BE49-F238E27FC236}">
              <a16:creationId xmlns:a16="http://schemas.microsoft.com/office/drawing/2014/main" id="{B6FE388C-EDF8-492B-8AFE-A99A80FE6962}"/>
            </a:ext>
          </a:extLst>
        </xdr:cNvPr>
        <xdr:cNvSpPr/>
      </xdr:nvSpPr>
      <xdr:spPr>
        <a:xfrm>
          <a:off x="608755" y="1032933"/>
          <a:ext cx="1546858" cy="29633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20/09/2024</a:t>
          </a:r>
        </a:p>
      </xdr:txBody>
    </xdr:sp>
    <xdr:clientData/>
  </xdr:twoCellAnchor>
  <xdr:twoCellAnchor editAs="absolute">
    <xdr:from>
      <xdr:col>0</xdr:col>
      <xdr:colOff>209549</xdr:colOff>
      <xdr:row>1</xdr:row>
      <xdr:rowOff>135042</xdr:rowOff>
    </xdr:from>
    <xdr:to>
      <xdr:col>2</xdr:col>
      <xdr:colOff>439843</xdr:colOff>
      <xdr:row>1</xdr:row>
      <xdr:rowOff>322640</xdr:rowOff>
    </xdr:to>
    <xdr:pic>
      <xdr:nvPicPr>
        <xdr:cNvPr id="593" name="Gráfico 10">
          <a:extLst>
            <a:ext uri="{FF2B5EF4-FFF2-40B4-BE49-F238E27FC236}">
              <a16:creationId xmlns:a16="http://schemas.microsoft.com/office/drawing/2014/main" id="{3325F014-00A4-4E2B-8DAB-3755B5082B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5739" y="321732"/>
          <a:ext cx="954194" cy="195218"/>
        </a:xfrm>
        <a:prstGeom prst="rect">
          <a:avLst/>
        </a:prstGeom>
      </xdr:spPr>
    </xdr:pic>
    <xdr:clientData/>
  </xdr:twoCellAnchor>
  <xdr:twoCellAnchor>
    <xdr:from>
      <xdr:col>4</xdr:col>
      <xdr:colOff>9527</xdr:colOff>
      <xdr:row>5</xdr:row>
      <xdr:rowOff>12277</xdr:rowOff>
    </xdr:from>
    <xdr:to>
      <xdr:col>4</xdr:col>
      <xdr:colOff>1579245</xdr:colOff>
      <xdr:row>6</xdr:row>
      <xdr:rowOff>122342</xdr:rowOff>
    </xdr:to>
    <xdr:sp macro="" textlink="">
      <xdr:nvSpPr>
        <xdr:cNvPr id="206" name="Rectangle: Rounded Corners 23">
          <a:extLst>
            <a:ext uri="{FF2B5EF4-FFF2-40B4-BE49-F238E27FC236}">
              <a16:creationId xmlns:a16="http://schemas.microsoft.com/office/drawing/2014/main" id="{F233DCD2-1F20-4B05-96F6-2AA2A229CFF4}"/>
            </a:ext>
          </a:extLst>
        </xdr:cNvPr>
        <xdr:cNvSpPr/>
      </xdr:nvSpPr>
      <xdr:spPr>
        <a:xfrm>
          <a:off x="3387727" y="1045210"/>
          <a:ext cx="1569718" cy="29633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27/09/2024</a:t>
          </a:r>
        </a:p>
      </xdr:txBody>
    </xdr:sp>
    <xdr:clientData/>
  </xdr:twoCellAnchor>
  <xdr:twoCellAnchor>
    <xdr:from>
      <xdr:col>14</xdr:col>
      <xdr:colOff>853919</xdr:colOff>
      <xdr:row>8</xdr:row>
      <xdr:rowOff>19897</xdr:rowOff>
    </xdr:from>
    <xdr:to>
      <xdr:col>19</xdr:col>
      <xdr:colOff>1464130</xdr:colOff>
      <xdr:row>23</xdr:row>
      <xdr:rowOff>58420</xdr:rowOff>
    </xdr:to>
    <xdr:graphicFrame macro="">
      <xdr:nvGraphicFramePr>
        <xdr:cNvPr id="58" name="Chart 18">
          <a:extLst>
            <a:ext uri="{FF2B5EF4-FFF2-40B4-BE49-F238E27FC236}">
              <a16:creationId xmlns:a16="http://schemas.microsoft.com/office/drawing/2014/main" id="{1B7F7943-45D5-9980-0EBF-70223FAE6A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16750</xdr:colOff>
      <xdr:row>8</xdr:row>
      <xdr:rowOff>20744</xdr:rowOff>
    </xdr:from>
    <xdr:to>
      <xdr:col>13</xdr:col>
      <xdr:colOff>11398</xdr:colOff>
      <xdr:row>23</xdr:row>
      <xdr:rowOff>10375</xdr:rowOff>
    </xdr:to>
    <xdr:graphicFrame macro="">
      <xdr:nvGraphicFramePr>
        <xdr:cNvPr id="38" name="Chart 1">
          <a:extLst>
            <a:ext uri="{FF2B5EF4-FFF2-40B4-BE49-F238E27FC236}">
              <a16:creationId xmlns:a16="http://schemas.microsoft.com/office/drawing/2014/main" id="{18D503FE-B9F2-47E6-B32F-B395FE318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297395</xdr:colOff>
      <xdr:row>5</xdr:row>
      <xdr:rowOff>12278</xdr:rowOff>
    </xdr:from>
    <xdr:to>
      <xdr:col>10</xdr:col>
      <xdr:colOff>685799</xdr:colOff>
      <xdr:row>6</xdr:row>
      <xdr:rowOff>122343</xdr:rowOff>
    </xdr:to>
    <xdr:sp macro="" textlink="">
      <xdr:nvSpPr>
        <xdr:cNvPr id="559" name="Rectangle: Rounded Corners 23">
          <a:extLst>
            <a:ext uri="{FF2B5EF4-FFF2-40B4-BE49-F238E27FC236}">
              <a16:creationId xmlns:a16="http://schemas.microsoft.com/office/drawing/2014/main" id="{8AB3760D-1153-416E-ABFF-738936303D6C}"/>
            </a:ext>
          </a:extLst>
        </xdr:cNvPr>
        <xdr:cNvSpPr/>
      </xdr:nvSpPr>
      <xdr:spPr>
        <a:xfrm>
          <a:off x="6257928" y="1045211"/>
          <a:ext cx="2411938" cy="29633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de</a:t>
          </a:r>
          <a:r>
            <a:rPr lang="pt-PT" sz="1200" b="1" i="0" baseline="0">
              <a:latin typeface="Santander Text" panose="020B0504020201020104" pitchFamily="34" charset="0"/>
            </a:rPr>
            <a:t> Desenvolvimento</a:t>
          </a:r>
          <a:endParaRPr lang="pt-PT" sz="1200" b="1" i="0">
            <a:latin typeface="Santander Text" panose="020B0504020201020104" pitchFamily="34" charset="0"/>
          </a:endParaRPr>
        </a:p>
      </xdr:txBody>
    </xdr:sp>
    <xdr:clientData/>
  </xdr:twoCellAnchor>
  <xdr:twoCellAnchor>
    <xdr:from>
      <xdr:col>14</xdr:col>
      <xdr:colOff>1153771</xdr:colOff>
      <xdr:row>5</xdr:row>
      <xdr:rowOff>12278</xdr:rowOff>
    </xdr:from>
    <xdr:to>
      <xdr:col>16</xdr:col>
      <xdr:colOff>1482909</xdr:colOff>
      <xdr:row>6</xdr:row>
      <xdr:rowOff>122343</xdr:rowOff>
    </xdr:to>
    <xdr:sp macro="" textlink="">
      <xdr:nvSpPr>
        <xdr:cNvPr id="586" name="Rectangle: Rounded Corners 23">
          <a:extLst>
            <a:ext uri="{FF2B5EF4-FFF2-40B4-BE49-F238E27FC236}">
              <a16:creationId xmlns:a16="http://schemas.microsoft.com/office/drawing/2014/main" id="{CC4D65E4-C75E-4359-A1E4-77F7905F2E44}"/>
            </a:ext>
          </a:extLst>
        </xdr:cNvPr>
        <xdr:cNvSpPr/>
      </xdr:nvSpPr>
      <xdr:spPr>
        <a:xfrm>
          <a:off x="16872742" y="1035535"/>
          <a:ext cx="3355367" cy="284237"/>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Evolução de Desenvolvimento</a:t>
          </a:r>
        </a:p>
      </xdr:txBody>
    </xdr:sp>
    <xdr:clientData/>
  </xdr:twoCellAnchor>
  <xdr:twoCellAnchor editAs="absolute">
    <xdr:from>
      <xdr:col>8</xdr:col>
      <xdr:colOff>0</xdr:colOff>
      <xdr:row>1</xdr:row>
      <xdr:rowOff>168487</xdr:rowOff>
    </xdr:from>
    <xdr:to>
      <xdr:col>8</xdr:col>
      <xdr:colOff>969222</xdr:colOff>
      <xdr:row>1</xdr:row>
      <xdr:rowOff>378945</xdr:rowOff>
    </xdr:to>
    <xdr:pic>
      <xdr:nvPicPr>
        <xdr:cNvPr id="2" name="Gráfico 10">
          <a:extLst>
            <a:ext uri="{FF2B5EF4-FFF2-40B4-BE49-F238E27FC236}">
              <a16:creationId xmlns:a16="http://schemas.microsoft.com/office/drawing/2014/main" id="{C0DCAB47-AABA-43A1-A36D-8F0F9C4BDCB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79583" y="366607"/>
          <a:ext cx="969222" cy="2028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655320</xdr:colOff>
      <xdr:row>3</xdr:row>
      <xdr:rowOff>91440</xdr:rowOff>
    </xdr:from>
    <xdr:to>
      <xdr:col>16</xdr:col>
      <xdr:colOff>381000</xdr:colOff>
      <xdr:row>23</xdr:row>
      <xdr:rowOff>45720</xdr:rowOff>
    </xdr:to>
    <xdr:graphicFrame macro="">
      <xdr:nvGraphicFramePr>
        <xdr:cNvPr id="25" name="Chart 2">
          <a:extLst>
            <a:ext uri="{FF2B5EF4-FFF2-40B4-BE49-F238E27FC236}">
              <a16:creationId xmlns:a16="http://schemas.microsoft.com/office/drawing/2014/main" id="{7E616239-964C-D285-FF6F-6361EEFB3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7622</xdr:colOff>
      <xdr:row>5</xdr:row>
      <xdr:rowOff>0</xdr:rowOff>
    </xdr:from>
    <xdr:to>
      <xdr:col>2</xdr:col>
      <xdr:colOff>1554480</xdr:colOff>
      <xdr:row>6</xdr:row>
      <xdr:rowOff>110065</xdr:rowOff>
    </xdr:to>
    <xdr:sp macro="" textlink="">
      <xdr:nvSpPr>
        <xdr:cNvPr id="2" name="Rectangle: Rounded Corners 23">
          <a:extLst>
            <a:ext uri="{FF2B5EF4-FFF2-40B4-BE49-F238E27FC236}">
              <a16:creationId xmlns:a16="http://schemas.microsoft.com/office/drawing/2014/main" id="{D675AB53-D9B5-4BD8-8AE8-454016569FA2}"/>
            </a:ext>
          </a:extLst>
        </xdr:cNvPr>
        <xdr:cNvSpPr/>
      </xdr:nvSpPr>
      <xdr:spPr>
        <a:xfrm>
          <a:off x="746762" y="1021080"/>
          <a:ext cx="1546858"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20/09/2024</a:t>
          </a:r>
        </a:p>
      </xdr:txBody>
    </xdr:sp>
    <xdr:clientData/>
  </xdr:twoCellAnchor>
  <xdr:twoCellAnchor editAs="absolute">
    <xdr:from>
      <xdr:col>0</xdr:col>
      <xdr:colOff>209549</xdr:colOff>
      <xdr:row>1</xdr:row>
      <xdr:rowOff>135042</xdr:rowOff>
    </xdr:from>
    <xdr:to>
      <xdr:col>2</xdr:col>
      <xdr:colOff>439843</xdr:colOff>
      <xdr:row>1</xdr:row>
      <xdr:rowOff>322640</xdr:rowOff>
    </xdr:to>
    <xdr:pic>
      <xdr:nvPicPr>
        <xdr:cNvPr id="3" name="Gráfico 10">
          <a:extLst>
            <a:ext uri="{FF2B5EF4-FFF2-40B4-BE49-F238E27FC236}">
              <a16:creationId xmlns:a16="http://schemas.microsoft.com/office/drawing/2014/main" id="{9C18FD94-18B7-4266-9357-96071C642F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49" y="325542"/>
          <a:ext cx="969434" cy="187598"/>
        </a:xfrm>
        <a:prstGeom prst="rect">
          <a:avLst/>
        </a:prstGeom>
      </xdr:spPr>
    </xdr:pic>
    <xdr:clientData/>
  </xdr:twoCellAnchor>
  <xdr:twoCellAnchor>
    <xdr:from>
      <xdr:col>4</xdr:col>
      <xdr:colOff>9527</xdr:colOff>
      <xdr:row>5</xdr:row>
      <xdr:rowOff>12277</xdr:rowOff>
    </xdr:from>
    <xdr:to>
      <xdr:col>4</xdr:col>
      <xdr:colOff>1579245</xdr:colOff>
      <xdr:row>6</xdr:row>
      <xdr:rowOff>122342</xdr:rowOff>
    </xdr:to>
    <xdr:sp macro="" textlink="">
      <xdr:nvSpPr>
        <xdr:cNvPr id="4" name="Rectangle: Rounded Corners 23">
          <a:extLst>
            <a:ext uri="{FF2B5EF4-FFF2-40B4-BE49-F238E27FC236}">
              <a16:creationId xmlns:a16="http://schemas.microsoft.com/office/drawing/2014/main" id="{90DB99AF-3A0B-4405-BECD-EC9FCE79B232}"/>
            </a:ext>
          </a:extLst>
        </xdr:cNvPr>
        <xdr:cNvSpPr/>
      </xdr:nvSpPr>
      <xdr:spPr>
        <a:xfrm>
          <a:off x="2912747" y="1033357"/>
          <a:ext cx="1569718"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27/09/2024</a:t>
          </a:r>
        </a:p>
      </xdr:txBody>
    </xdr:sp>
    <xdr:clientData/>
  </xdr:twoCellAnchor>
  <xdr:twoCellAnchor>
    <xdr:from>
      <xdr:col>14</xdr:col>
      <xdr:colOff>853919</xdr:colOff>
      <xdr:row>8</xdr:row>
      <xdr:rowOff>19896</xdr:rowOff>
    </xdr:from>
    <xdr:to>
      <xdr:col>19</xdr:col>
      <xdr:colOff>915865</xdr:colOff>
      <xdr:row>25</xdr:row>
      <xdr:rowOff>36633</xdr:rowOff>
    </xdr:to>
    <xdr:graphicFrame macro="">
      <xdr:nvGraphicFramePr>
        <xdr:cNvPr id="5" name="Chart 18">
          <a:extLst>
            <a:ext uri="{FF2B5EF4-FFF2-40B4-BE49-F238E27FC236}">
              <a16:creationId xmlns:a16="http://schemas.microsoft.com/office/drawing/2014/main" id="{190A39D5-2B21-4812-9C86-91DDFF79B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16750</xdr:colOff>
      <xdr:row>8</xdr:row>
      <xdr:rowOff>20744</xdr:rowOff>
    </xdr:from>
    <xdr:to>
      <xdr:col>13</xdr:col>
      <xdr:colOff>11398</xdr:colOff>
      <xdr:row>24</xdr:row>
      <xdr:rowOff>87923</xdr:rowOff>
    </xdr:to>
    <xdr:graphicFrame macro="">
      <xdr:nvGraphicFramePr>
        <xdr:cNvPr id="6" name="Chart 1">
          <a:extLst>
            <a:ext uri="{FF2B5EF4-FFF2-40B4-BE49-F238E27FC236}">
              <a16:creationId xmlns:a16="http://schemas.microsoft.com/office/drawing/2014/main" id="{40514E50-3854-48FC-971B-55B870653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297395</xdr:colOff>
      <xdr:row>5</xdr:row>
      <xdr:rowOff>12278</xdr:rowOff>
    </xdr:from>
    <xdr:to>
      <xdr:col>10</xdr:col>
      <xdr:colOff>685799</xdr:colOff>
      <xdr:row>6</xdr:row>
      <xdr:rowOff>122343</xdr:rowOff>
    </xdr:to>
    <xdr:sp macro="" textlink="">
      <xdr:nvSpPr>
        <xdr:cNvPr id="7" name="Rectangle: Rounded Corners 23">
          <a:extLst>
            <a:ext uri="{FF2B5EF4-FFF2-40B4-BE49-F238E27FC236}">
              <a16:creationId xmlns:a16="http://schemas.microsoft.com/office/drawing/2014/main" id="{510965BF-43CD-4E99-9D25-525E70EF2165}"/>
            </a:ext>
          </a:extLst>
        </xdr:cNvPr>
        <xdr:cNvSpPr/>
      </xdr:nvSpPr>
      <xdr:spPr>
        <a:xfrm>
          <a:off x="6256235" y="1033358"/>
          <a:ext cx="3131604"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de</a:t>
          </a:r>
          <a:r>
            <a:rPr lang="pt-PT" sz="1200" b="1" i="0" baseline="0">
              <a:latin typeface="Santander Text" panose="020B0504020201020104" pitchFamily="34" charset="0"/>
            </a:rPr>
            <a:t> Desenvolvimento</a:t>
          </a:r>
          <a:endParaRPr lang="pt-PT" sz="1200" b="1" i="0">
            <a:latin typeface="Santander Text" panose="020B0504020201020104" pitchFamily="34" charset="0"/>
          </a:endParaRPr>
        </a:p>
      </xdr:txBody>
    </xdr:sp>
    <xdr:clientData/>
  </xdr:twoCellAnchor>
  <xdr:twoCellAnchor>
    <xdr:from>
      <xdr:col>14</xdr:col>
      <xdr:colOff>1153771</xdr:colOff>
      <xdr:row>5</xdr:row>
      <xdr:rowOff>12278</xdr:rowOff>
    </xdr:from>
    <xdr:to>
      <xdr:col>16</xdr:col>
      <xdr:colOff>1482909</xdr:colOff>
      <xdr:row>6</xdr:row>
      <xdr:rowOff>122343</xdr:rowOff>
    </xdr:to>
    <xdr:sp macro="" textlink="">
      <xdr:nvSpPr>
        <xdr:cNvPr id="8" name="Rectangle: Rounded Corners 23">
          <a:extLst>
            <a:ext uri="{FF2B5EF4-FFF2-40B4-BE49-F238E27FC236}">
              <a16:creationId xmlns:a16="http://schemas.microsoft.com/office/drawing/2014/main" id="{986A7A2E-153F-456E-B739-16E49DE80C79}"/>
            </a:ext>
          </a:extLst>
        </xdr:cNvPr>
        <xdr:cNvSpPr/>
      </xdr:nvSpPr>
      <xdr:spPr>
        <a:xfrm>
          <a:off x="15311731" y="1033358"/>
          <a:ext cx="2935178"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Evolução de Desenvolvimento</a:t>
          </a:r>
        </a:p>
      </xdr:txBody>
    </xdr:sp>
    <xdr:clientData/>
  </xdr:twoCellAnchor>
  <xdr:twoCellAnchor editAs="absolute">
    <xdr:from>
      <xdr:col>7</xdr:col>
      <xdr:colOff>1</xdr:colOff>
      <xdr:row>1</xdr:row>
      <xdr:rowOff>97693</xdr:rowOff>
    </xdr:from>
    <xdr:to>
      <xdr:col>8</xdr:col>
      <xdr:colOff>738295</xdr:colOff>
      <xdr:row>1</xdr:row>
      <xdr:rowOff>285291</xdr:rowOff>
    </xdr:to>
    <xdr:pic>
      <xdr:nvPicPr>
        <xdr:cNvPr id="10" name="Gráfico 10">
          <a:extLst>
            <a:ext uri="{FF2B5EF4-FFF2-40B4-BE49-F238E27FC236}">
              <a16:creationId xmlns:a16="http://schemas.microsoft.com/office/drawing/2014/main" id="{B1360AB1-EADA-4012-B51C-D7732D7CA2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15001" y="293078"/>
          <a:ext cx="972756" cy="18759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191979</xdr:colOff>
      <xdr:row>0</xdr:row>
      <xdr:rowOff>56984</xdr:rowOff>
    </xdr:from>
    <xdr:to>
      <xdr:col>2</xdr:col>
      <xdr:colOff>1291725</xdr:colOff>
      <xdr:row>0</xdr:row>
      <xdr:rowOff>512673</xdr:rowOff>
    </xdr:to>
    <xdr:pic>
      <xdr:nvPicPr>
        <xdr:cNvPr id="4" name="Gráfico 10">
          <a:extLst>
            <a:ext uri="{FF2B5EF4-FFF2-40B4-BE49-F238E27FC236}">
              <a16:creationId xmlns:a16="http://schemas.microsoft.com/office/drawing/2014/main" id="{D24F1CB4-CB7A-401D-9863-07977D44EA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1979" y="52539"/>
          <a:ext cx="2380591" cy="46203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191979</xdr:colOff>
      <xdr:row>0</xdr:row>
      <xdr:rowOff>60794</xdr:rowOff>
    </xdr:from>
    <xdr:to>
      <xdr:col>2</xdr:col>
      <xdr:colOff>740497</xdr:colOff>
      <xdr:row>0</xdr:row>
      <xdr:rowOff>516483</xdr:rowOff>
    </xdr:to>
    <xdr:pic>
      <xdr:nvPicPr>
        <xdr:cNvPr id="2" name="Gráfico 10">
          <a:extLst>
            <a:ext uri="{FF2B5EF4-FFF2-40B4-BE49-F238E27FC236}">
              <a16:creationId xmlns:a16="http://schemas.microsoft.com/office/drawing/2014/main" id="{36CA52C2-29E5-4560-92DE-B28A480F5C5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1979" y="56984"/>
          <a:ext cx="2420680" cy="455689"/>
        </a:xfrm>
        <a:prstGeom prst="rect">
          <a:avLst/>
        </a:prstGeom>
      </xdr:spPr>
    </xdr:pic>
    <xdr:clientData/>
  </xdr:twoCellAnchor>
  <xdr:twoCellAnchor>
    <xdr:from>
      <xdr:col>6</xdr:col>
      <xdr:colOff>107045</xdr:colOff>
      <xdr:row>9</xdr:row>
      <xdr:rowOff>368301</xdr:rowOff>
    </xdr:from>
    <xdr:to>
      <xdr:col>6</xdr:col>
      <xdr:colOff>1638301</xdr:colOff>
      <xdr:row>9</xdr:row>
      <xdr:rowOff>622300</xdr:rowOff>
    </xdr:to>
    <xdr:sp macro="" textlink="">
      <xdr:nvSpPr>
        <xdr:cNvPr id="3" name="Arrow: Right 2">
          <a:extLst>
            <a:ext uri="{FF2B5EF4-FFF2-40B4-BE49-F238E27FC236}">
              <a16:creationId xmlns:a16="http://schemas.microsoft.com/office/drawing/2014/main" id="{4991085F-8B14-549E-85D1-26DF20687FD2}"/>
            </a:ext>
          </a:extLst>
        </xdr:cNvPr>
        <xdr:cNvSpPr/>
      </xdr:nvSpPr>
      <xdr:spPr>
        <a:xfrm>
          <a:off x="13530945" y="38620701"/>
          <a:ext cx="1531256" cy="25399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4</xdr:col>
      <xdr:colOff>189592</xdr:colOff>
      <xdr:row>18</xdr:row>
      <xdr:rowOff>298450</xdr:rowOff>
    </xdr:from>
    <xdr:to>
      <xdr:col>4</xdr:col>
      <xdr:colOff>1931307</xdr:colOff>
      <xdr:row>18</xdr:row>
      <xdr:rowOff>556985</xdr:rowOff>
    </xdr:to>
    <xdr:sp macro="" textlink="">
      <xdr:nvSpPr>
        <xdr:cNvPr id="5" name="Arrow: Right 4">
          <a:extLst>
            <a:ext uri="{FF2B5EF4-FFF2-40B4-BE49-F238E27FC236}">
              <a16:creationId xmlns:a16="http://schemas.microsoft.com/office/drawing/2014/main" id="{B58DE7D0-FECA-4850-8167-AB098B065810}"/>
            </a:ext>
          </a:extLst>
        </xdr:cNvPr>
        <xdr:cNvSpPr/>
      </xdr:nvSpPr>
      <xdr:spPr>
        <a:xfrm>
          <a:off x="8914492" y="45485050"/>
          <a:ext cx="1741715" cy="25853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6</xdr:col>
      <xdr:colOff>165100</xdr:colOff>
      <xdr:row>31</xdr:row>
      <xdr:rowOff>88900</xdr:rowOff>
    </xdr:from>
    <xdr:to>
      <xdr:col>6</xdr:col>
      <xdr:colOff>1696356</xdr:colOff>
      <xdr:row>31</xdr:row>
      <xdr:rowOff>342899</xdr:rowOff>
    </xdr:to>
    <xdr:sp macro="" textlink="">
      <xdr:nvSpPr>
        <xdr:cNvPr id="8" name="Arrow: Right 7">
          <a:extLst>
            <a:ext uri="{FF2B5EF4-FFF2-40B4-BE49-F238E27FC236}">
              <a16:creationId xmlns:a16="http://schemas.microsoft.com/office/drawing/2014/main" id="{D49C244F-4960-4B9B-B523-279A173BD11F}"/>
            </a:ext>
          </a:extLst>
        </xdr:cNvPr>
        <xdr:cNvSpPr/>
      </xdr:nvSpPr>
      <xdr:spPr>
        <a:xfrm>
          <a:off x="13360400" y="49745900"/>
          <a:ext cx="1531256" cy="25399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3</xdr:col>
      <xdr:colOff>1286328</xdr:colOff>
      <xdr:row>32</xdr:row>
      <xdr:rowOff>85274</xdr:rowOff>
    </xdr:from>
    <xdr:to>
      <xdr:col>3</xdr:col>
      <xdr:colOff>1460499</xdr:colOff>
      <xdr:row>34</xdr:row>
      <xdr:rowOff>25403</xdr:rowOff>
    </xdr:to>
    <xdr:sp macro="" textlink="">
      <xdr:nvSpPr>
        <xdr:cNvPr id="10" name="Arrow: Right 9">
          <a:extLst>
            <a:ext uri="{FF2B5EF4-FFF2-40B4-BE49-F238E27FC236}">
              <a16:creationId xmlns:a16="http://schemas.microsoft.com/office/drawing/2014/main" id="{B3D8BB1A-007F-4D36-AFC6-272E42ADAE3C}"/>
            </a:ext>
          </a:extLst>
        </xdr:cNvPr>
        <xdr:cNvSpPr/>
      </xdr:nvSpPr>
      <xdr:spPr>
        <a:xfrm rot="5400000">
          <a:off x="7397749" y="50996853"/>
          <a:ext cx="1286329" cy="174171"/>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3</xdr:col>
      <xdr:colOff>1210128</xdr:colOff>
      <xdr:row>43</xdr:row>
      <xdr:rowOff>186874</xdr:rowOff>
    </xdr:from>
    <xdr:to>
      <xdr:col>3</xdr:col>
      <xdr:colOff>1384299</xdr:colOff>
      <xdr:row>46</xdr:row>
      <xdr:rowOff>254003</xdr:rowOff>
    </xdr:to>
    <xdr:sp macro="" textlink="">
      <xdr:nvSpPr>
        <xdr:cNvPr id="11" name="Arrow: Right 10">
          <a:extLst>
            <a:ext uri="{FF2B5EF4-FFF2-40B4-BE49-F238E27FC236}">
              <a16:creationId xmlns:a16="http://schemas.microsoft.com/office/drawing/2014/main" id="{4A0422DA-D3C4-47DA-BE33-199B2327AF9C}"/>
            </a:ext>
          </a:extLst>
        </xdr:cNvPr>
        <xdr:cNvSpPr/>
      </xdr:nvSpPr>
      <xdr:spPr>
        <a:xfrm rot="5400000">
          <a:off x="7321549" y="55454553"/>
          <a:ext cx="1286329" cy="174171"/>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4</xdr:col>
      <xdr:colOff>240392</xdr:colOff>
      <xdr:row>42</xdr:row>
      <xdr:rowOff>31750</xdr:rowOff>
    </xdr:from>
    <xdr:to>
      <xdr:col>4</xdr:col>
      <xdr:colOff>1982107</xdr:colOff>
      <xdr:row>42</xdr:row>
      <xdr:rowOff>290285</xdr:rowOff>
    </xdr:to>
    <xdr:sp macro="" textlink="">
      <xdr:nvSpPr>
        <xdr:cNvPr id="12" name="Arrow: Right 11">
          <a:extLst>
            <a:ext uri="{FF2B5EF4-FFF2-40B4-BE49-F238E27FC236}">
              <a16:creationId xmlns:a16="http://schemas.microsoft.com/office/drawing/2014/main" id="{D8E6BD07-DEC8-49FA-ADE2-72204BAF969F}"/>
            </a:ext>
          </a:extLst>
        </xdr:cNvPr>
        <xdr:cNvSpPr/>
      </xdr:nvSpPr>
      <xdr:spPr>
        <a:xfrm>
          <a:off x="9587592" y="54349650"/>
          <a:ext cx="1741715" cy="25853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191979</xdr:colOff>
      <xdr:row>0</xdr:row>
      <xdr:rowOff>60794</xdr:rowOff>
    </xdr:from>
    <xdr:to>
      <xdr:col>1</xdr:col>
      <xdr:colOff>2361199</xdr:colOff>
      <xdr:row>0</xdr:row>
      <xdr:rowOff>516483</xdr:rowOff>
    </xdr:to>
    <xdr:pic>
      <xdr:nvPicPr>
        <xdr:cNvPr id="2" name="Gráfico 10">
          <a:extLst>
            <a:ext uri="{FF2B5EF4-FFF2-40B4-BE49-F238E27FC236}">
              <a16:creationId xmlns:a16="http://schemas.microsoft.com/office/drawing/2014/main" id="{07586B0C-C9CC-46E3-B933-1D494693B17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1979" y="56984"/>
          <a:ext cx="2418006" cy="45568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44824</xdr:colOff>
      <xdr:row>2</xdr:row>
      <xdr:rowOff>21695</xdr:rowOff>
    </xdr:from>
    <xdr:to>
      <xdr:col>52</xdr:col>
      <xdr:colOff>423333</xdr:colOff>
      <xdr:row>4</xdr:row>
      <xdr:rowOff>84666</xdr:rowOff>
    </xdr:to>
    <xdr:sp macro="" textlink="">
      <xdr:nvSpPr>
        <xdr:cNvPr id="2" name="Right Arrow 1">
          <a:extLst>
            <a:ext uri="{FF2B5EF4-FFF2-40B4-BE49-F238E27FC236}">
              <a16:creationId xmlns:a16="http://schemas.microsoft.com/office/drawing/2014/main" id="{41002B47-F2B4-424E-A2FA-0995D7E87FF4}"/>
            </a:ext>
          </a:extLst>
        </xdr:cNvPr>
        <xdr:cNvSpPr/>
      </xdr:nvSpPr>
      <xdr:spPr>
        <a:xfrm>
          <a:off x="4193491" y="868362"/>
          <a:ext cx="52617842" cy="458082"/>
        </a:xfrm>
        <a:prstGeom prst="rightArrow">
          <a:avLst>
            <a:gd name="adj1" fmla="val 70290"/>
            <a:gd name="adj2" fmla="val 50000"/>
          </a:avLst>
        </a:prstGeom>
        <a:solidFill>
          <a:srgbClr val="FF0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2000" b="1">
              <a:latin typeface="Arial" panose="020B0604020202020204" pitchFamily="34" charset="0"/>
              <a:cs typeface="Arial" panose="020B0604020202020204" pitchFamily="34" charset="0"/>
            </a:rPr>
            <a:t>Tempo</a:t>
          </a:r>
          <a:endParaRPr lang="pt-PT" sz="1800" b="1">
            <a:latin typeface="Arial" panose="020B0604020202020204" pitchFamily="34" charset="0"/>
            <a:cs typeface="Arial" panose="020B0604020202020204" pitchFamily="34" charset="0"/>
          </a:endParaRPr>
        </a:p>
      </xdr:txBody>
    </xdr:sp>
    <xdr:clientData/>
  </xdr:twoCellAnchor>
  <xdr:twoCellAnchor editAs="absolute">
    <xdr:from>
      <xdr:col>0</xdr:col>
      <xdr:colOff>211029</xdr:colOff>
      <xdr:row>0</xdr:row>
      <xdr:rowOff>74951</xdr:rowOff>
    </xdr:from>
    <xdr:to>
      <xdr:col>2</xdr:col>
      <xdr:colOff>1065873</xdr:colOff>
      <xdr:row>0</xdr:row>
      <xdr:rowOff>536990</xdr:rowOff>
    </xdr:to>
    <xdr:pic>
      <xdr:nvPicPr>
        <xdr:cNvPr id="10" name="Gráfico 10">
          <a:extLst>
            <a:ext uri="{FF2B5EF4-FFF2-40B4-BE49-F238E27FC236}">
              <a16:creationId xmlns:a16="http://schemas.microsoft.com/office/drawing/2014/main" id="{4B8BE632-0A0F-4A55-A2E2-826CDECBDBA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7219" y="74951"/>
          <a:ext cx="2391076" cy="462039"/>
        </a:xfrm>
        <a:prstGeom prst="rect">
          <a:avLst/>
        </a:prstGeom>
      </xdr:spPr>
    </xdr:pic>
    <xdr:clientData/>
  </xdr:twoCellAnchor>
  <xdr:twoCellAnchor>
    <xdr:from>
      <xdr:col>8</xdr:col>
      <xdr:colOff>63500</xdr:colOff>
      <xdr:row>30</xdr:row>
      <xdr:rowOff>63500</xdr:rowOff>
    </xdr:from>
    <xdr:to>
      <xdr:col>8</xdr:col>
      <xdr:colOff>850900</xdr:colOff>
      <xdr:row>35</xdr:row>
      <xdr:rowOff>139700</xdr:rowOff>
    </xdr:to>
    <xdr:cxnSp macro="">
      <xdr:nvCxnSpPr>
        <xdr:cNvPr id="13" name="Straight Arrow Connector 12">
          <a:extLst>
            <a:ext uri="{FF2B5EF4-FFF2-40B4-BE49-F238E27FC236}">
              <a16:creationId xmlns:a16="http://schemas.microsoft.com/office/drawing/2014/main" id="{24D6E046-175A-DDA4-FC3C-7219451E2DB4}"/>
            </a:ext>
          </a:extLst>
        </xdr:cNvPr>
        <xdr:cNvCxnSpPr/>
      </xdr:nvCxnSpPr>
      <xdr:spPr>
        <a:xfrm>
          <a:off x="6565900" y="6007100"/>
          <a:ext cx="787400" cy="1092200"/>
        </a:xfrm>
        <a:prstGeom prst="straightConnector1">
          <a:avLst/>
        </a:prstGeom>
        <a:ln w="762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30662</xdr:colOff>
      <xdr:row>30</xdr:row>
      <xdr:rowOff>2948</xdr:rowOff>
    </xdr:from>
    <xdr:to>
      <xdr:col>14</xdr:col>
      <xdr:colOff>835207</xdr:colOff>
      <xdr:row>35</xdr:row>
      <xdr:rowOff>79148</xdr:rowOff>
    </xdr:to>
    <xdr:cxnSp macro="">
      <xdr:nvCxnSpPr>
        <xdr:cNvPr id="3" name="Straight Arrow Connector 2">
          <a:extLst>
            <a:ext uri="{FF2B5EF4-FFF2-40B4-BE49-F238E27FC236}">
              <a16:creationId xmlns:a16="http://schemas.microsoft.com/office/drawing/2014/main" id="{4EB166E2-19C1-497E-A947-74262C6ECD26}"/>
            </a:ext>
          </a:extLst>
        </xdr:cNvPr>
        <xdr:cNvCxnSpPr/>
      </xdr:nvCxnSpPr>
      <xdr:spPr>
        <a:xfrm>
          <a:off x="23060751" y="11211832"/>
          <a:ext cx="804545" cy="1096736"/>
        </a:xfrm>
        <a:prstGeom prst="straightConnector1">
          <a:avLst/>
        </a:prstGeom>
        <a:ln w="762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1401536</xdr:colOff>
      <xdr:row>30</xdr:row>
      <xdr:rowOff>40821</xdr:rowOff>
    </xdr:from>
    <xdr:to>
      <xdr:col>21</xdr:col>
      <xdr:colOff>66085</xdr:colOff>
      <xdr:row>35</xdr:row>
      <xdr:rowOff>84047</xdr:rowOff>
    </xdr:to>
    <xdr:cxnSp macro="">
      <xdr:nvCxnSpPr>
        <xdr:cNvPr id="5" name="Straight Arrow Connector 4">
          <a:extLst>
            <a:ext uri="{FF2B5EF4-FFF2-40B4-BE49-F238E27FC236}">
              <a16:creationId xmlns:a16="http://schemas.microsoft.com/office/drawing/2014/main" id="{83908BBA-9DC4-4050-AB04-06AE07C3A348}"/>
            </a:ext>
          </a:extLst>
        </xdr:cNvPr>
        <xdr:cNvCxnSpPr/>
      </xdr:nvCxnSpPr>
      <xdr:spPr>
        <a:xfrm>
          <a:off x="31024286" y="15725321"/>
          <a:ext cx="680674" cy="995726"/>
        </a:xfrm>
        <a:prstGeom prst="straightConnector1">
          <a:avLst/>
        </a:prstGeom>
        <a:ln w="762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20411</xdr:colOff>
      <xdr:row>30</xdr:row>
      <xdr:rowOff>88446</xdr:rowOff>
    </xdr:from>
    <xdr:to>
      <xdr:col>27</xdr:col>
      <xdr:colOff>97835</xdr:colOff>
      <xdr:row>35</xdr:row>
      <xdr:rowOff>131672</xdr:rowOff>
    </xdr:to>
    <xdr:cxnSp macro="">
      <xdr:nvCxnSpPr>
        <xdr:cNvPr id="4" name="Straight Arrow Connector 3">
          <a:extLst>
            <a:ext uri="{FF2B5EF4-FFF2-40B4-BE49-F238E27FC236}">
              <a16:creationId xmlns:a16="http://schemas.microsoft.com/office/drawing/2014/main" id="{79C5795B-3399-40AF-852F-C6BC9BDF8801}"/>
            </a:ext>
          </a:extLst>
        </xdr:cNvPr>
        <xdr:cNvCxnSpPr/>
      </xdr:nvCxnSpPr>
      <xdr:spPr>
        <a:xfrm>
          <a:off x="40231786" y="15772946"/>
          <a:ext cx="680674" cy="995726"/>
        </a:xfrm>
        <a:prstGeom prst="straightConnector1">
          <a:avLst/>
        </a:prstGeom>
        <a:ln w="762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santandernet.sharepoint.com/sites/BSLoanTapeBCE/Shared%20Documents/General/03.%20Loan%20Tape/01.%20Documenta&#231;&#227;o%20Final/01.%20Loan%20Tape/02.%20Especifica&#231;&#227;o/Especifica&#231;&#227;o%20Final%20LF/BS%20-%20Esp.%20&amp;%20Certifica&#231;&#227;o%20LF%20-%20Implementa&#231;&#227;o_20250808.xlsx" TargetMode="External"/><Relationship Id="rId2" Type="http://schemas.microsoft.com/office/2019/04/relationships/externalLinkLongPath" Target="/sites/BSLoanTapeBCE/Shared%20Documents/General/03.%20Loan%20Tape/01.%20Documenta&#231;&#227;o%20Final/01.%20Loan%20Tape/02.%20Especifica&#231;&#227;o/Especifica&#231;&#227;o%20Final%20LF/BS%20-%20Esp.%20&amp;%20Certifica&#231;&#227;o%20LF%20-%20Implementa&#231;&#227;o_20250808.xlsx?D61C1DD6" TargetMode="External"/><Relationship Id="rId1" Type="http://schemas.openxmlformats.org/officeDocument/2006/relationships/externalLinkPath" Target="file:///\\D61C1DD6\BS%20-%20Esp.%20&amp;%20Certifica&#231;&#227;o%20LF%20-%20Implementa&#231;&#227;o_20250808.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antandernet.sharepoint.com/sites/StructuralLoanTape/Shared%20Documents/General/Fields%20applicability/Structure%20Available%20from%20November/Granular%20Tool%20-%20Fields%20Applicability_20250912.xlsx" TargetMode="External"/><Relationship Id="rId1" Type="http://schemas.openxmlformats.org/officeDocument/2006/relationships/externalLinkPath" Target="/sites/StructuralLoanTape/Shared%20Documents/General/Fields%20applicability/Structure%20Available%20from%20November/Granular%20Tool%20-%20Fields%20Applicability_202509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apa"/>
      <sheetName val="Metodologia"/>
      <sheetName val="Especificação"/>
      <sheetName val="Especificação outros campos"/>
      <sheetName val="lt805_conf_exp "/>
      <sheetName val="lt804_conf_dflt"/>
      <sheetName val="lt831_param_conceitos"/>
      <sheetName val="Code List"/>
      <sheetName val="AUX"/>
    </sheetNames>
    <sheetDataSet>
      <sheetData sheetId="0"/>
      <sheetData sheetId="1"/>
      <sheetData sheetId="2">
        <row r="1">
          <cell r="C1"/>
          <cell r="G1"/>
        </row>
        <row r="2">
          <cell r="C2"/>
          <cell r="G2"/>
        </row>
        <row r="3">
          <cell r="C3">
            <v>45987</v>
          </cell>
          <cell r="G3"/>
        </row>
        <row r="4">
          <cell r="C4"/>
          <cell r="G4"/>
        </row>
        <row r="5">
          <cell r="C5"/>
          <cell r="G5"/>
        </row>
        <row r="6">
          <cell r="C6"/>
          <cell r="G6"/>
        </row>
        <row r="7">
          <cell r="C7" t="str">
            <v>1. Especificação</v>
          </cell>
          <cell r="G7"/>
        </row>
        <row r="8">
          <cell r="C8"/>
          <cell r="G8"/>
        </row>
        <row r="9">
          <cell r="C9" t="str">
            <v>Outros</v>
          </cell>
          <cell r="G9"/>
        </row>
        <row r="10">
          <cell r="C10" t="str">
            <v xml:space="preserve">Stream </v>
          </cell>
          <cell r="G10" t="str">
            <v>Column_name</v>
          </cell>
        </row>
        <row r="11">
          <cell r="C11" t="str">
            <v>A. Novos Campos</v>
          </cell>
          <cell r="G11" t="str">
            <v>us_prcds</v>
          </cell>
        </row>
        <row r="12">
          <cell r="C12" t="str">
            <v>A. Novos Campos</v>
          </cell>
          <cell r="G12" t="str">
            <v>typ_off_blnc_prdct</v>
          </cell>
        </row>
        <row r="13">
          <cell r="C13" t="str">
            <v>A. Novos Campos</v>
          </cell>
          <cell r="G13" t="str">
            <v>typ_fclty</v>
          </cell>
        </row>
        <row r="14">
          <cell r="C14" t="str">
            <v>A. Novos Campos</v>
          </cell>
          <cell r="G14" t="str">
            <v>typ_dl</v>
          </cell>
        </row>
        <row r="15">
          <cell r="C15" t="str">
            <v>A. Novos Campos</v>
          </cell>
          <cell r="G15" t="str">
            <v>typ_cl</v>
          </cell>
        </row>
        <row r="16">
          <cell r="C16" t="str">
            <v>A. Novos Campos</v>
          </cell>
          <cell r="G16" t="str">
            <v>ttl_prmssbl_dbt_blnc</v>
          </cell>
        </row>
        <row r="17">
          <cell r="C17" t="str">
            <v>A. Novos Campos</v>
          </cell>
          <cell r="G17" t="str">
            <v>ttl_lvrg_rt_incptn_hlt</v>
          </cell>
        </row>
        <row r="18">
          <cell r="C18" t="str">
            <v>A. Novos Campos</v>
          </cell>
          <cell r="G18" t="str">
            <v>ttl_lvrg_rt_incptn</v>
          </cell>
        </row>
        <row r="19">
          <cell r="C19" t="str">
            <v>A. Novos Campos</v>
          </cell>
          <cell r="G19" t="str">
            <v>scan</v>
          </cell>
        </row>
        <row r="20">
          <cell r="C20" t="str">
            <v>A. Novos Campos</v>
          </cell>
          <cell r="G20" t="str">
            <v>rwa_prmtgtn</v>
          </cell>
        </row>
        <row r="21">
          <cell r="C21" t="str">
            <v>A. Novos Campos</v>
          </cell>
          <cell r="G21" t="str">
            <v>rwa_mtgtn</v>
          </cell>
        </row>
        <row r="22">
          <cell r="C22" t="str">
            <v>A. Novos Campos</v>
          </cell>
          <cell r="G22" t="str">
            <v>rorwa</v>
          </cell>
        </row>
        <row r="23">
          <cell r="C23" t="str">
            <v>A. Novos Campos</v>
          </cell>
          <cell r="G23" t="str">
            <v>rorwa</v>
          </cell>
        </row>
        <row r="24">
          <cell r="C24" t="str">
            <v>A. Novos Campos</v>
          </cell>
          <cell r="G24" t="str">
            <v>rorac</v>
          </cell>
        </row>
        <row r="25">
          <cell r="C25" t="str">
            <v>A. Novos Campos</v>
          </cell>
          <cell r="G25" t="str">
            <v>rorac</v>
          </cell>
        </row>
        <row r="26">
          <cell r="C26" t="str">
            <v>A. Novos Campos</v>
          </cell>
          <cell r="G26" t="str">
            <v>pd_ec_rd</v>
          </cell>
        </row>
        <row r="27">
          <cell r="C27" t="str">
            <v>A. Novos Campos</v>
          </cell>
          <cell r="G27" t="str">
            <v>pd_ec_incptn</v>
          </cell>
        </row>
        <row r="28">
          <cell r="C28" t="str">
            <v>A. Novos Campos</v>
          </cell>
          <cell r="G28" t="str">
            <v>grp_spprt</v>
          </cell>
        </row>
        <row r="29">
          <cell r="C29" t="str">
            <v>A. Novos Campos</v>
          </cell>
          <cell r="G29" t="str">
            <v>grp_rorwa</v>
          </cell>
        </row>
        <row r="30">
          <cell r="C30" t="str">
            <v>A. Novos Campos</v>
          </cell>
          <cell r="G30" t="str">
            <v>grp_rorac</v>
          </cell>
        </row>
        <row r="31">
          <cell r="C31" t="str">
            <v>A. Novos Campos</v>
          </cell>
          <cell r="G31" t="str">
            <v>flln_angl_nrrw_dfntn</v>
          </cell>
        </row>
        <row r="32">
          <cell r="C32" t="str">
            <v>A. Novos Campos</v>
          </cell>
          <cell r="G32" t="str">
            <v>flln_angl_extndd_dfntn</v>
          </cell>
        </row>
        <row r="33">
          <cell r="C33" t="str">
            <v>A. Novos Campos</v>
          </cell>
          <cell r="G33" t="str">
            <v>flg_rqst_emrgncy_fndng</v>
          </cell>
        </row>
        <row r="34">
          <cell r="C34" t="str">
            <v>A. Novos Campos</v>
          </cell>
          <cell r="G34" t="str">
            <v>excldd_lf</v>
          </cell>
        </row>
        <row r="35">
          <cell r="C35" t="str">
            <v>A. Novos Campos</v>
          </cell>
          <cell r="G35" t="str">
            <v>dt_mdfctn</v>
          </cell>
        </row>
        <row r="36">
          <cell r="C36" t="str">
            <v>A. Novos Campos</v>
          </cell>
          <cell r="G36" t="str">
            <v>dstntn_fnds</v>
          </cell>
        </row>
        <row r="37">
          <cell r="C37" t="str">
            <v>B1. Re-especificação de campos complexos | Sindicados</v>
          </cell>
          <cell r="G37" t="str">
            <v>zcliente_lndrs</v>
          </cell>
        </row>
        <row r="38">
          <cell r="C38" t="str">
            <v>B1. Re-especificação de campos complexos | Sindicados</v>
          </cell>
          <cell r="G38" t="str">
            <v>zcliente_agnt</v>
          </cell>
        </row>
        <row r="39">
          <cell r="C39" t="str">
            <v>B1. Re-especificação de campos complexos | Sindicados</v>
          </cell>
          <cell r="G39" t="str">
            <v>trnch</v>
          </cell>
        </row>
        <row r="40">
          <cell r="C40" t="str">
            <v>B1. Re-especificação de campos complexos | Sindicados</v>
          </cell>
          <cell r="G40" t="str">
            <v>syndctn_typ</v>
          </cell>
        </row>
        <row r="41">
          <cell r="C41" t="str">
            <v>B1. Re-especificação de campos complexos | Sindicados</v>
          </cell>
          <cell r="G41" t="str">
            <v>syndctd_shr</v>
          </cell>
        </row>
        <row r="42">
          <cell r="C42" t="str">
            <v>B1. Re-especificação de campos complexos | Sindicados</v>
          </cell>
          <cell r="G42" t="str">
            <v>syndctd_lndrs</v>
          </cell>
        </row>
        <row r="43">
          <cell r="C43" t="str">
            <v>B1. Re-especificação de campos complexos | Sindicados</v>
          </cell>
          <cell r="G43" t="str">
            <v>syndctd_cntrct_id</v>
          </cell>
        </row>
        <row r="44">
          <cell r="C44" t="str">
            <v>B1. Re-especificação de campos complexos | Sindicados</v>
          </cell>
          <cell r="G44" t="str">
            <v>syndctd_agnt</v>
          </cell>
        </row>
        <row r="45">
          <cell r="C45" t="str">
            <v>B1. Re-especificação de campos complexos | Sindicados</v>
          </cell>
          <cell r="G45" t="str">
            <v>syndct_rl</v>
          </cell>
        </row>
        <row r="46">
          <cell r="C46" t="str">
            <v>B1. Re-especificação de campos complexos | Sindicados</v>
          </cell>
          <cell r="G46" t="str">
            <v>stts_undrwrttn_trnsctn</v>
          </cell>
        </row>
        <row r="47">
          <cell r="C47" t="str">
            <v>B1. Re-especificação de campos complexos | Sindicados</v>
          </cell>
          <cell r="G47" t="str">
            <v>rtntn_shr</v>
          </cell>
        </row>
        <row r="48">
          <cell r="C48" t="str">
            <v>B1. Re-especificação de campos complexos | Sindicados</v>
          </cell>
          <cell r="G48" t="str">
            <v>fld_syndctn</v>
          </cell>
        </row>
        <row r="49">
          <cell r="C49" t="str">
            <v>B2. Re-especificação de campos complexos - Resto</v>
          </cell>
          <cell r="G49" t="str">
            <v>typ_instrmnt</v>
          </cell>
        </row>
        <row r="50">
          <cell r="C50" t="str">
            <v>B2. Re-especificação de campos complexos - Resto</v>
          </cell>
          <cell r="G50" t="str">
            <v>fr_csh_flw_t3</v>
          </cell>
        </row>
        <row r="51">
          <cell r="C51" t="str">
            <v>B2. Re-especificação de campos complexos - Resto</v>
          </cell>
          <cell r="G51" t="str">
            <v>fr_csh_flw_t2</v>
          </cell>
        </row>
        <row r="52">
          <cell r="C52" t="str">
            <v>B2. Re-especificação de campos complexos - Resto</v>
          </cell>
          <cell r="G52" t="str">
            <v>fr_csh_flw_t1</v>
          </cell>
        </row>
        <row r="53">
          <cell r="C53" t="str">
            <v>B2. Re-especificação de campos complexos - Resto</v>
          </cell>
          <cell r="G53" t="str">
            <v>fr_csh_flw</v>
          </cell>
        </row>
        <row r="54">
          <cell r="C54" t="str">
            <v>B2. Re-especificação de campos complexos - Resto</v>
          </cell>
          <cell r="G54" t="str">
            <v>dbt_rpymnt_cpcty_ttl</v>
          </cell>
        </row>
        <row r="55">
          <cell r="C55" t="str">
            <v>B2. Re-especificação de campos complexos - Resto</v>
          </cell>
          <cell r="G55" t="str">
            <v>dbt_rpymnt_cpcty_snr_dbt</v>
          </cell>
        </row>
        <row r="56">
          <cell r="C56" t="str">
            <v>B2. Re-especificação de campos complexos - Resto</v>
          </cell>
          <cell r="G56" t="str">
            <v>amnt_d_at_mtrty</v>
          </cell>
        </row>
        <row r="57">
          <cell r="C57" t="str">
            <v>B2. Re-especificação de campos complexos - Resto</v>
          </cell>
          <cell r="G57" t="str">
            <v>accrd_intrst_instrmnt</v>
          </cell>
        </row>
        <row r="58">
          <cell r="C58" t="str">
            <v>B2. Re-especificação de campos complexos - Resto</v>
          </cell>
          <cell r="G58" t="str">
            <v>ttl_intrst_pd</v>
          </cell>
        </row>
        <row r="59">
          <cell r="C59" t="str">
            <v>B2. Re-especificação de campos complexos - Resto</v>
          </cell>
          <cell r="G59" t="str">
            <v>rtng_scl</v>
          </cell>
        </row>
        <row r="60">
          <cell r="C60" t="str">
            <v>B2. Re-especificação de campos complexos - Resto</v>
          </cell>
          <cell r="G60" t="str">
            <v>rcvd_intrst_24m</v>
          </cell>
        </row>
        <row r="61">
          <cell r="C61" t="str">
            <v>B2. Re-especificação de campos complexos - Resto</v>
          </cell>
          <cell r="G61" t="str">
            <v>rcvd_intrst_12m</v>
          </cell>
        </row>
        <row r="62">
          <cell r="C62" t="str">
            <v>B2. Re-especificação de campos complexos - Resto</v>
          </cell>
          <cell r="G62" t="str">
            <v>prfrmng_stts_prvs</v>
          </cell>
        </row>
        <row r="63">
          <cell r="C63" t="str">
            <v>B2. Re-especificação de campos complexos - Resto</v>
          </cell>
          <cell r="G63" t="str">
            <v>lvrg_fnnc_flg</v>
          </cell>
        </row>
        <row r="64">
          <cell r="C64" t="str">
            <v>B2. Re-especificação de campos complexos - Resto</v>
          </cell>
          <cell r="G64" t="str">
            <v>frbrnc_stts_instrmnt</v>
          </cell>
        </row>
        <row r="65">
          <cell r="C65" t="str">
            <v>B2. Re-especificação de campos complexos - Resto</v>
          </cell>
          <cell r="G65" t="str">
            <v>flg_lbo</v>
          </cell>
        </row>
        <row r="66">
          <cell r="C66" t="str">
            <v>B2. Re-especificação de campos complexos - Resto</v>
          </cell>
          <cell r="G66" t="str">
            <v>extrnl_rtng_prvs</v>
          </cell>
        </row>
        <row r="67">
          <cell r="C67" t="str">
            <v>B2. Re-especificação de campos complexos - Resto</v>
          </cell>
          <cell r="G67" t="str">
            <v>extrnl_rtng_nm</v>
          </cell>
        </row>
        <row r="68">
          <cell r="C68" t="str">
            <v>B2. Re-especificação de campos complexos - Resto</v>
          </cell>
          <cell r="G68" t="str">
            <v>extrnl_rtng</v>
          </cell>
        </row>
        <row r="69">
          <cell r="C69" t="str">
            <v>B2. Re-especificação de campos complexos - Resto</v>
          </cell>
          <cell r="G69" t="str">
            <v>ecnmc_actvty</v>
          </cell>
        </row>
        <row r="70">
          <cell r="C70" t="str">
            <v>B2. Re-especificação de campos complexos - Resto</v>
          </cell>
          <cell r="G70" t="str">
            <v>ec_grp_nm</v>
          </cell>
        </row>
        <row r="71">
          <cell r="C71" t="str">
            <v>B2. Re-especificação de campos complexos - Resto</v>
          </cell>
          <cell r="G71" t="str">
            <v>ec_grp_id</v>
          </cell>
        </row>
        <row r="72">
          <cell r="C72" t="str">
            <v>B2. Re-especificação de campos complexos - Resto</v>
          </cell>
          <cell r="G72" t="str">
            <v>dt_frbrnc_stts</v>
          </cell>
        </row>
        <row r="73">
          <cell r="C73" t="str">
            <v>B2. Re-especificação de campos complexos - Resto</v>
          </cell>
          <cell r="G73" t="str">
            <v>dt_extrnl_rtng</v>
          </cell>
        </row>
        <row r="74">
          <cell r="C74" t="str">
            <v>B2. Re-especificação de campos complexos - Resto</v>
          </cell>
          <cell r="G74" t="str">
            <v>dflt_stts_instrmnt</v>
          </cell>
        </row>
        <row r="75">
          <cell r="C75" t="str">
            <v>B2. Re-especificação de campos complexos - Resto</v>
          </cell>
          <cell r="G75" t="str">
            <v>cntry</v>
          </cell>
        </row>
        <row r="76">
          <cell r="C76" t="str">
            <v>C. Campos em testes ou c/ incidências</v>
          </cell>
          <cell r="G76" t="str">
            <v>rwa</v>
          </cell>
        </row>
        <row r="77">
          <cell r="C77" t="str">
            <v>C. Campos em testes ou c/ incidências</v>
          </cell>
          <cell r="G77" t="str">
            <v>rtng_mthd</v>
          </cell>
        </row>
        <row r="78">
          <cell r="C78" t="str">
            <v>C. Campos em testes ou c/ incidências</v>
          </cell>
          <cell r="G78" t="str">
            <v>rtng_mthd</v>
          </cell>
        </row>
        <row r="79">
          <cell r="C79" t="str">
            <v>C. Campos em testes ou c/ incidências</v>
          </cell>
          <cell r="G79" t="str">
            <v>pd_crr_incptn</v>
          </cell>
        </row>
        <row r="80">
          <cell r="C80" t="str">
            <v>C. Campos em testes ou c/ incidências</v>
          </cell>
          <cell r="G80" t="str">
            <v>mn_entty_id</v>
          </cell>
        </row>
        <row r="81">
          <cell r="C81" t="str">
            <v>C. Campos em testes ou c/ incidências</v>
          </cell>
          <cell r="G81" t="str">
            <v>intrnl_rtng_prvs</v>
          </cell>
        </row>
        <row r="82">
          <cell r="C82" t="str">
            <v>C. Campos em testes ou c/ incidências</v>
          </cell>
          <cell r="G82" t="str">
            <v>intrnl_rtng_incptn</v>
          </cell>
        </row>
        <row r="83">
          <cell r="C83" t="str">
            <v>C. Campos em testes ou c/ incidências</v>
          </cell>
          <cell r="G83" t="str">
            <v>intrnl_rtng</v>
          </cell>
        </row>
        <row r="84">
          <cell r="C84" t="str">
            <v>C. Campos em testes ou c/ incidências</v>
          </cell>
          <cell r="G84" t="str">
            <v>intrnl_rtng</v>
          </cell>
        </row>
        <row r="85">
          <cell r="C85" t="str">
            <v>C. Campos em testes ou c/ incidências</v>
          </cell>
          <cell r="G85" t="str">
            <v>idcmb</v>
          </cell>
        </row>
        <row r="86">
          <cell r="C86" t="str">
            <v>C. Campos em testes ou c/ incidências</v>
          </cell>
          <cell r="G86" t="str">
            <v>ead</v>
          </cell>
        </row>
        <row r="87">
          <cell r="C87" t="str">
            <v>C. Campos em testes ou c/ incidências</v>
          </cell>
          <cell r="G87" t="str">
            <v>dt_lgl_fnl_mtrty</v>
          </cell>
        </row>
        <row r="88">
          <cell r="C88" t="str">
            <v>C. Campos em testes ou c/ incidências</v>
          </cell>
          <cell r="G88" t="str">
            <v>dt_intrnl_rtng</v>
          </cell>
        </row>
        <row r="89">
          <cell r="C89" t="str">
            <v>C. Campos em testes ou c/ incidências</v>
          </cell>
          <cell r="G89" t="str">
            <v>dt_intrnl_rtng</v>
          </cell>
        </row>
        <row r="90">
          <cell r="C90" t="str">
            <v>C. Campos em testes ou c/ incidências</v>
          </cell>
          <cell r="G90" t="str">
            <v>dt_dflt_stts_instrmnt</v>
          </cell>
        </row>
        <row r="91">
          <cell r="C91" t="str">
            <v>C. Campos em testes ou c/ incidências</v>
          </cell>
          <cell r="G91" t="str">
            <v>accmltd_imprmnt_instrmnt_prvs</v>
          </cell>
        </row>
        <row r="92">
          <cell r="C92" t="str">
            <v>D. Campos com NOK controlos Corporativos</v>
          </cell>
          <cell r="G92" t="str">
            <v>rcvd_amrtstn_12m</v>
          </cell>
        </row>
        <row r="93">
          <cell r="C93" t="str">
            <v>D. Campos com NOK controlos Corporativos</v>
          </cell>
          <cell r="G93" t="str">
            <v>pd_ifrs9_12m_rd</v>
          </cell>
        </row>
        <row r="94">
          <cell r="C94" t="str">
            <v>D. Campos com NOK controlos Corporativos</v>
          </cell>
          <cell r="G94" t="str">
            <v>pd_crr_rd</v>
          </cell>
        </row>
        <row r="95">
          <cell r="C95" t="str">
            <v>D. Campos com NOK controlos Corporativos</v>
          </cell>
          <cell r="G95" t="str">
            <v>pd_crr_rd</v>
          </cell>
        </row>
        <row r="96">
          <cell r="C96" t="str">
            <v>D. Campos com NOK controlos Corporativos</v>
          </cell>
          <cell r="G96" t="str">
            <v>otstndng_nmnl_amnt_instrmnt</v>
          </cell>
        </row>
        <row r="97">
          <cell r="C97" t="str">
            <v>D. Campos com NOK controlos Corporativos</v>
          </cell>
          <cell r="G97" t="str">
            <v>off_blnc_sht_amnt_instrmnt</v>
          </cell>
        </row>
        <row r="98">
          <cell r="C98" t="str">
            <v>D. Campos com NOK controlos Corporativos</v>
          </cell>
          <cell r="G98" t="str">
            <v>lgl_prcdng_stts_le</v>
          </cell>
        </row>
        <row r="99">
          <cell r="C99" t="str">
            <v>D. Campos com NOK controlos Corporativos</v>
          </cell>
          <cell r="G99" t="str">
            <v>entty_id</v>
          </cell>
        </row>
        <row r="100">
          <cell r="C100" t="str">
            <v>D. Campos com NOK controlos Corporativos</v>
          </cell>
          <cell r="G100" t="str">
            <v>entty_id</v>
          </cell>
        </row>
        <row r="101">
          <cell r="C101" t="str">
            <v>D. Campos com NOK controlos Corporativos</v>
          </cell>
          <cell r="G101" t="str">
            <v>eir</v>
          </cell>
        </row>
        <row r="102">
          <cell r="C102" t="str">
            <v>D. Campos com NOK controlos Corporativos</v>
          </cell>
          <cell r="G102" t="str">
            <v>dt_pst_d</v>
          </cell>
        </row>
        <row r="103">
          <cell r="C103" t="str">
            <v>D. Campos com NOK controlos Corporativos</v>
          </cell>
          <cell r="G103" t="str">
            <v>dt_orgnl_mtrty</v>
          </cell>
        </row>
        <row r="104">
          <cell r="C104" t="str">
            <v>D. Campos com NOK controlos Corporativos</v>
          </cell>
          <cell r="G104" t="str">
            <v>dt_incptn</v>
          </cell>
        </row>
        <row r="105">
          <cell r="C105" t="str">
            <v>D. Campos com NOK controlos Corporativos</v>
          </cell>
          <cell r="G105" t="str">
            <v>dpd</v>
          </cell>
        </row>
        <row r="106">
          <cell r="C106" t="str">
            <v>D. Campos com NOK controlos Corporativos</v>
          </cell>
          <cell r="G106" t="str">
            <v>arrrs_instrmnt</v>
          </cell>
        </row>
        <row r="107">
          <cell r="C107" t="str">
            <v xml:space="preserve">E. Campos com outras possíveis alterações - Dependente de decisões OSI </v>
          </cell>
          <cell r="G107" t="str">
            <v>typ_amrtstn</v>
          </cell>
        </row>
        <row r="108">
          <cell r="C108" t="str">
            <v xml:space="preserve">E. Campos com outras possíveis alterações - Dependente de decisões OSI </v>
          </cell>
          <cell r="G108" t="str">
            <v>pymnt_intrst_only</v>
          </cell>
        </row>
        <row r="109">
          <cell r="C109" t="str">
            <v xml:space="preserve">E. Campos com outras possíveis alterações - Dependente de decisões OSI </v>
          </cell>
          <cell r="G109" t="str">
            <v>pd_ifrs9_12m_rd</v>
          </cell>
        </row>
        <row r="110">
          <cell r="C110" t="str">
            <v xml:space="preserve">E. Campos com outras possíveis alterações - Dependente de decisões OSI </v>
          </cell>
          <cell r="G110" t="str">
            <v>dt_prfrmng_stts_le</v>
          </cell>
        </row>
        <row r="111">
          <cell r="C111" t="str">
            <v xml:space="preserve">E. Campos com outras possíveis alterações - Dependente de decisões OSI </v>
          </cell>
          <cell r="G111" t="str">
            <v>dt_dflt_stts</v>
          </cell>
        </row>
        <row r="112">
          <cell r="C112" t="str">
            <v xml:space="preserve">E. Campos com outras possíveis alterações - Dependente de decisões OSI </v>
          </cell>
          <cell r="G112" t="str">
            <v>dflt_stts</v>
          </cell>
        </row>
        <row r="113">
          <cell r="C113" t="str">
            <v>F1. Fora âmbito | Campos concluídos - Sem necessidade de espec.</v>
          </cell>
          <cell r="G113" t="str">
            <v>wtch_lst</v>
          </cell>
        </row>
        <row r="114">
          <cell r="C114" t="str">
            <v>F1. Fora âmbito | Campos concluídos - Sem necessidade de espec.</v>
          </cell>
          <cell r="G114" t="str">
            <v>ttl_lvrg_rt_prvs</v>
          </cell>
        </row>
        <row r="115">
          <cell r="C115" t="str">
            <v>F1. Fora âmbito | Campos concluídos - Sem necessidade de espec.</v>
          </cell>
          <cell r="G115" t="str">
            <v>ttl_lvrg_rt</v>
          </cell>
        </row>
        <row r="116">
          <cell r="C116" t="str">
            <v>F1. Fora âmbito | Campos concluídos - Sem necessidade de espec.</v>
          </cell>
          <cell r="G116" t="str">
            <v>subportfolio_id</v>
          </cell>
        </row>
        <row r="117">
          <cell r="C117" t="str">
            <v>F1. Fora âmbito | Campos concluídos - Sem necessidade de espec.</v>
          </cell>
          <cell r="G117" t="str">
            <v>sicr_assssmnt_mthd</v>
          </cell>
        </row>
        <row r="118">
          <cell r="C118" t="str">
            <v>F1. Fora âmbito | Campos concluídos - Sem necessidade de espec.</v>
          </cell>
          <cell r="G118" t="str">
            <v>rwa_mthd</v>
          </cell>
        </row>
        <row r="119">
          <cell r="C119" t="str">
            <v>F1. Fora âmbito | Campos concluídos - Sem necessidade de espec.</v>
          </cell>
          <cell r="G119" t="str">
            <v>rtng_scl</v>
          </cell>
        </row>
        <row r="120">
          <cell r="C120" t="str">
            <v>F1. Fora âmbito | Campos concluídos - Sem necessidade de espec.</v>
          </cell>
          <cell r="G120" t="str">
            <v>rcvd_amrtstn_24m</v>
          </cell>
        </row>
        <row r="121">
          <cell r="C121" t="str">
            <v>F1. Fora âmbito | Campos concluídos - Sem necessidade de espec.</v>
          </cell>
          <cell r="G121" t="str">
            <v>prps</v>
          </cell>
        </row>
        <row r="122">
          <cell r="C122" t="str">
            <v>F1. Fora âmbito | Campos concluídos - Sem necessidade de espec.</v>
          </cell>
          <cell r="G122" t="str">
            <v>prfrmng_stts_le</v>
          </cell>
        </row>
        <row r="123">
          <cell r="C123" t="str">
            <v>F1. Fora âmbito | Campos concluídos - Sem necessidade de espec.</v>
          </cell>
          <cell r="G123" t="str">
            <v>prdntl_prtfl</v>
          </cell>
        </row>
        <row r="124">
          <cell r="C124" t="str">
            <v>F1. Fora âmbito | Campos concluídos - Sem necessidade de espec.</v>
          </cell>
          <cell r="G124" t="str">
            <v>pd_ifrs9_rmnng_lftm_rd</v>
          </cell>
        </row>
        <row r="125">
          <cell r="C125" t="str">
            <v>F1. Fora âmbito | Campos concluídos - Sem necessidade de espec.</v>
          </cell>
          <cell r="G125" t="str">
            <v>pd_ifrs9_rmnng_lftm_incptn</v>
          </cell>
        </row>
        <row r="126">
          <cell r="C126" t="str">
            <v>F1. Fora âmbito | Campos concluídos - Sem necessidade de espec.</v>
          </cell>
          <cell r="G126" t="str">
            <v>pd_ifrs9_lftm_incptn</v>
          </cell>
        </row>
        <row r="127">
          <cell r="C127" t="str">
            <v>F1. Fora âmbito | Campos concluídos - Sem necessidade de espec.</v>
          </cell>
          <cell r="G127" t="str">
            <v>pd_ifrs9_12m_incptn</v>
          </cell>
        </row>
        <row r="128">
          <cell r="C128" t="str">
            <v>F1. Fora âmbito | Campos concluídos - Sem necessidade de espec.</v>
          </cell>
          <cell r="G128" t="str">
            <v>osi_id</v>
          </cell>
        </row>
        <row r="129">
          <cell r="C129" t="str">
            <v>F1. Fora âmbito | Campos concluídos - Sem necessidade de espec.</v>
          </cell>
          <cell r="G129" t="str">
            <v>obsrvd_agnt_nm</v>
          </cell>
        </row>
        <row r="130">
          <cell r="C130" t="str">
            <v>F1. Fora âmbito | Campos concluídos - Sem necessidade de espec.</v>
          </cell>
          <cell r="G130" t="str">
            <v>obsrvd_agnt_id</v>
          </cell>
        </row>
        <row r="131">
          <cell r="C131" t="str">
            <v>F1. Fora âmbito | Campos concluídos - Sem necessidade de espec.</v>
          </cell>
          <cell r="G131" t="str">
            <v>nmbr_frbrnc_msrs</v>
          </cell>
        </row>
        <row r="132">
          <cell r="C132" t="str">
            <v>F1. Fora âmbito | Campos concluídos - Sem necessidade de espec.</v>
          </cell>
          <cell r="G132" t="str">
            <v>lvrg_prvs</v>
          </cell>
        </row>
        <row r="133">
          <cell r="C133" t="str">
            <v>F1. Fora âmbito | Campos concluídos - Sem necessidade de espec.</v>
          </cell>
          <cell r="G133" t="str">
            <v>lvrg</v>
          </cell>
        </row>
        <row r="134">
          <cell r="C134" t="str">
            <v>F1. Fora âmbito | Campos concluídos - Sem necessidade de espec.</v>
          </cell>
          <cell r="G134" t="str">
            <v>lgd</v>
          </cell>
        </row>
        <row r="135">
          <cell r="C135" t="str">
            <v>F1. Fora âmbito | Campos concluídos - Sem necessidade de espec.</v>
          </cell>
          <cell r="G135" t="str">
            <v>lei</v>
          </cell>
        </row>
        <row r="136">
          <cell r="C136" t="str">
            <v>F1. Fora âmbito | Campos concluídos - Sem necessidade de espec.</v>
          </cell>
          <cell r="G136" t="str">
            <v>jnt_lblty_amnt</v>
          </cell>
        </row>
        <row r="137">
          <cell r="C137" t="str">
            <v>F1. Fora âmbito | Campos concluídos - Sem necessidade de espec.</v>
          </cell>
          <cell r="G137" t="str">
            <v>intrnl_unt</v>
          </cell>
        </row>
        <row r="138">
          <cell r="C138" t="str">
            <v>F1. Fora âmbito | Campos concluídos - Sem necessidade de espec.</v>
          </cell>
          <cell r="G138" t="str">
            <v>intrnl_unt</v>
          </cell>
        </row>
        <row r="139">
          <cell r="C139" t="str">
            <v>F1. Fora âmbito | Campos concluídos - Sem necessidade de espec.</v>
          </cell>
          <cell r="G139" t="str">
            <v>intrnl_sgmnt</v>
          </cell>
        </row>
        <row r="140">
          <cell r="C140" t="str">
            <v>F1. Fora âmbito | Campos concluídos - Sem necessidade de espec.</v>
          </cell>
          <cell r="G140" t="str">
            <v>intrnl_sgmnt</v>
          </cell>
        </row>
        <row r="141">
          <cell r="C141" t="str">
            <v>F1. Fora âmbito | Campos concluídos - Sem necessidade de espec.</v>
          </cell>
          <cell r="G141" t="str">
            <v>instrmnt_id</v>
          </cell>
        </row>
        <row r="142">
          <cell r="C142" t="str">
            <v>F1. Fora âmbito | Campos concluídos - Sem necessidade de espec.</v>
          </cell>
          <cell r="G142" t="str">
            <v>instrmnt_id</v>
          </cell>
        </row>
        <row r="143">
          <cell r="C143" t="str">
            <v>F1. Fora âmbito | Campos concluídos - Sem necessidade de espec.</v>
          </cell>
          <cell r="G143" t="str">
            <v>instr_snrty_clss</v>
          </cell>
        </row>
        <row r="144">
          <cell r="C144" t="str">
            <v>F1. Fora âmbito | Campos concluídos - Sem necessidade de espec.</v>
          </cell>
          <cell r="G144" t="str">
            <v>imprmnt_assssmnt_mthd</v>
          </cell>
        </row>
        <row r="145">
          <cell r="C145" t="str">
            <v>F1. Fora âmbito | Campos concluídos - Sem necessidade de espec.</v>
          </cell>
          <cell r="G145" t="str">
            <v>grss_crryng_amnt_instrmnt</v>
          </cell>
        </row>
        <row r="146">
          <cell r="C146" t="str">
            <v>F1. Fora âmbito | Campos concluídos - Sem necessidade de espec.</v>
          </cell>
          <cell r="G146" t="str">
            <v>grp_nt_dbt</v>
          </cell>
        </row>
        <row r="147">
          <cell r="C147" t="str">
            <v>F1. Fora âmbito | Campos concluídos - Sem necessidade de espec.</v>
          </cell>
          <cell r="G147" t="str">
            <v>grp_eqty</v>
          </cell>
        </row>
        <row r="148">
          <cell r="C148" t="str">
            <v>F1. Fora âmbito | Campos concluídos - Sem necessidade de espec.</v>
          </cell>
          <cell r="G148" t="str">
            <v>grp_ebitda</v>
          </cell>
        </row>
        <row r="149">
          <cell r="C149" t="str">
            <v>F1. Fora âmbito | Campos concluídos - Sem necessidade de espec.</v>
          </cell>
          <cell r="G149" t="str">
            <v>gcc_prnt_nm</v>
          </cell>
        </row>
        <row r="150">
          <cell r="C150" t="str">
            <v>F1. Fora âmbito | Campos concluídos - Sem necessidade de espec.</v>
          </cell>
          <cell r="G150" t="str">
            <v>gcc_prnt_id</v>
          </cell>
        </row>
        <row r="151">
          <cell r="C151" t="str">
            <v>F1. Fora âmbito | Campos concluídos - Sem necessidade de espec.</v>
          </cell>
          <cell r="G151" t="str">
            <v>expsr_in_scp</v>
          </cell>
        </row>
        <row r="152">
          <cell r="C152" t="str">
            <v>F1. Fora âmbito | Campos concluídos - Sem necessidade de espec.</v>
          </cell>
          <cell r="G152" t="str">
            <v>entty_nm</v>
          </cell>
        </row>
        <row r="153">
          <cell r="C153" t="str">
            <v>F1. Fora âmbito | Campos concluídos - Sem necessidade de espec.</v>
          </cell>
          <cell r="G153" t="str">
            <v>dt_rfrnc</v>
          </cell>
        </row>
        <row r="154">
          <cell r="C154" t="str">
            <v>F1. Fora âmbito | Campos concluídos - Sem necessidade de espec.</v>
          </cell>
          <cell r="G154" t="str">
            <v>dt_rfrnc</v>
          </cell>
        </row>
        <row r="155">
          <cell r="C155" t="str">
            <v>F1. Fora âmbito | Campos concluídos - Sem necessidade de espec.</v>
          </cell>
          <cell r="G155" t="str">
            <v>dt_rfrnc</v>
          </cell>
        </row>
        <row r="156">
          <cell r="C156" t="str">
            <v>F1. Fora âmbito | Campos concluídos - Sem necessidade de espec.</v>
          </cell>
          <cell r="G156" t="str">
            <v>dt_inttn_lgl_prcdngs_le</v>
          </cell>
        </row>
        <row r="157">
          <cell r="C157" t="str">
            <v>F1. Fora âmbito | Campos concluídos - Sem necessidade de espec.</v>
          </cell>
          <cell r="G157" t="str">
            <v>csh_swp_trp</v>
          </cell>
        </row>
        <row r="158">
          <cell r="C158" t="str">
            <v>F1. Fora âmbito | Campos concluídos - Sem necessidade de espec.</v>
          </cell>
          <cell r="G158" t="str">
            <v>crryng_amnt_instrmnt</v>
          </cell>
        </row>
        <row r="159">
          <cell r="C159" t="str">
            <v>F1. Fora âmbito | Campos concluídos - Sem necessidade de espec.</v>
          </cell>
          <cell r="G159" t="str">
            <v>crrncy_dnmntn</v>
          </cell>
        </row>
        <row r="160">
          <cell r="C160" t="str">
            <v>F1. Fora âmbito | Campos concluídos - Sem necessidade de espec.</v>
          </cell>
          <cell r="G160" t="str">
            <v>cod_soc</v>
          </cell>
        </row>
        <row r="161">
          <cell r="C161" t="str">
            <v>F1. Fora âmbito | Campos concluídos - Sem necessidade de espec.</v>
          </cell>
          <cell r="G161" t="str">
            <v>cod_soc</v>
          </cell>
        </row>
        <row r="162">
          <cell r="C162" t="str">
            <v>F1. Fora âmbito | Campos concluídos - Sem necessidade de espec.</v>
          </cell>
          <cell r="G162" t="str">
            <v>cod_soc</v>
          </cell>
        </row>
        <row r="163">
          <cell r="C163" t="str">
            <v>F1. Fora âmbito | Campos concluídos - Sem necessidade de espec.</v>
          </cell>
          <cell r="G163" t="str">
            <v>ccf</v>
          </cell>
        </row>
        <row r="164">
          <cell r="C164" t="str">
            <v>F1. Fora âmbito | Campos concluídos - Sem necessidade de espec.</v>
          </cell>
          <cell r="G164" t="str">
            <v>brchd_cvnnts</v>
          </cell>
        </row>
        <row r="165">
          <cell r="C165" t="str">
            <v>F1. Fora âmbito | Campos concluídos - Sem necessidade de espec.</v>
          </cell>
          <cell r="G165" t="str">
            <v>accntng_clssfctn</v>
          </cell>
        </row>
        <row r="166">
          <cell r="C166" t="str">
            <v>F1. Fora âmbito | Campos concluídos - Sem necessidade de espec.</v>
          </cell>
          <cell r="G166" t="str">
            <v>accmltd_wrtffs_instrmnt</v>
          </cell>
        </row>
        <row r="167">
          <cell r="C167" t="str">
            <v>F1. Fora âmbito | Campos concluídos - Sem necessidade de espec.</v>
          </cell>
          <cell r="G167" t="str">
            <v>accmltd_imprmnt_instrmnt</v>
          </cell>
        </row>
        <row r="168">
          <cell r="C168" t="str">
            <v>F2. Fora âmbito | Campos em testes ou c/ incidências (LT - PM)</v>
          </cell>
          <cell r="G168" t="str">
            <v>prfrmng_stts</v>
          </cell>
        </row>
        <row r="169">
          <cell r="C169" t="str">
            <v>F2. Fora âmbito | Campos em testes ou c/ incidências (LT - PM)</v>
          </cell>
          <cell r="G169" t="str">
            <v>imprmnt_stts_prvs</v>
          </cell>
        </row>
        <row r="170">
          <cell r="C170" t="str">
            <v>F2. Fora âmbito | Campos em testes ou c/ incidências (LT - PM)</v>
          </cell>
          <cell r="G170" t="str">
            <v>imprmnt_stts</v>
          </cell>
        </row>
        <row r="171">
          <cell r="C171" t="str">
            <v>F2. Fora âmbito | Campos em testes ou c/ incidências (LT - PM)</v>
          </cell>
          <cell r="G171" t="str">
            <v>ifrs9_bhvrl_mtrty</v>
          </cell>
        </row>
        <row r="172">
          <cell r="C172" t="str">
            <v>F2. Fora âmbito | Campos em testes ou c/ incidências (LT - PM)</v>
          </cell>
          <cell r="G172" t="str">
            <v>dt_prfrmng_stts_prvs</v>
          </cell>
        </row>
        <row r="173">
          <cell r="C173" t="str">
            <v>F2. Fora âmbito | Campos em testes ou c/ incidências (LT - PM)</v>
          </cell>
          <cell r="G173" t="str">
            <v>dt_prfrmng_stts</v>
          </cell>
        </row>
        <row r="174">
          <cell r="C174" t="str">
            <v>F2. Fora âmbito | Campos em testes ou c/ incidências (LT - PM)</v>
          </cell>
          <cell r="G174" t="str">
            <v>dt_imprmnt_stts</v>
          </cell>
        </row>
        <row r="175">
          <cell r="C175" t="str">
            <v>F3. Fora âmbito | Fonte Manual LF</v>
          </cell>
          <cell r="G175" t="str">
            <v>spnsr_nm</v>
          </cell>
        </row>
        <row r="176">
          <cell r="C176" t="str">
            <v>F3. Fora âmbito | Fonte Manual LF</v>
          </cell>
          <cell r="G176" t="str">
            <v>ownd_by_spnsr</v>
          </cell>
        </row>
        <row r="177">
          <cell r="C177" t="str">
            <v>F3. Fora âmbito | Fonte Manual LF</v>
          </cell>
          <cell r="G177" t="str">
            <v>cvnnt_typ</v>
          </cell>
        </row>
        <row r="178">
          <cell r="C178" t="str">
            <v>F3. Fora âmbito | Fonte Manual LF</v>
          </cell>
          <cell r="G178" t="str">
            <v>cvnnt_stts</v>
          </cell>
        </row>
        <row r="179">
          <cell r="C179" t="str">
            <v>F4. Fora âmbito | Re-especificação de campos complexos - Dem. Fin. CIB</v>
          </cell>
          <cell r="G179" t="str">
            <v>ttl_dbt_prvs</v>
          </cell>
        </row>
        <row r="180">
          <cell r="C180" t="str">
            <v>F4. Fora âmbito | Re-especificação de campos complexos - Dem. Fin. CIB</v>
          </cell>
          <cell r="G180" t="str">
            <v>ttl_dbt</v>
          </cell>
        </row>
        <row r="181">
          <cell r="C181" t="str">
            <v>F4. Fora âmbito | Re-especificação de campos complexos - Dem. Fin. CIB</v>
          </cell>
          <cell r="G181" t="str">
            <v>nt_incm_prvs</v>
          </cell>
        </row>
        <row r="182">
          <cell r="C182" t="str">
            <v>F4. Fora âmbito | Re-especificação de campos complexos - Dem. Fin. CIB</v>
          </cell>
          <cell r="G182" t="str">
            <v>nt_incm</v>
          </cell>
        </row>
        <row r="183">
          <cell r="C183" t="str">
            <v>F4. Fora âmbito | Re-especificação de campos complexos - Dem. Fin. CIB</v>
          </cell>
          <cell r="G183" t="str">
            <v>eqty_prvs</v>
          </cell>
        </row>
        <row r="184">
          <cell r="C184" t="str">
            <v>F4. Fora âmbito | Re-especificação de campos complexos - Dem. Fin. CIB</v>
          </cell>
          <cell r="G184" t="str">
            <v>eqty</v>
          </cell>
        </row>
        <row r="185">
          <cell r="C185" t="str">
            <v>F4. Fora âmbito | Re-especificação de campos complexos - Dem. Fin. CIB</v>
          </cell>
          <cell r="G185" t="str">
            <v>ebitda_prvs</v>
          </cell>
        </row>
        <row r="186">
          <cell r="C186" t="str">
            <v>F4. Fora âmbito | Re-especificação de campos complexos - Dem. Fin. CIB</v>
          </cell>
          <cell r="G186" t="str">
            <v>ebitda</v>
          </cell>
        </row>
        <row r="187">
          <cell r="C187" t="str">
            <v>F4. Fora âmbito | Re-especificação de campos complexos - Dem. Fin. CIB</v>
          </cell>
          <cell r="G187" t="str">
            <v>dt_fnncl_sttmts_prvs</v>
          </cell>
        </row>
        <row r="188">
          <cell r="C188" t="str">
            <v>F4. Fora âmbito | Re-especificação de campos complexos - Dem. Fin. CIB</v>
          </cell>
          <cell r="G188" t="str">
            <v>dt_fnncl_sttmts</v>
          </cell>
        </row>
        <row r="189">
          <cell r="C189" t="str">
            <v>F4. Fora âmbito | Re-especificação de campos complexos - Dem. Fin. CIB</v>
          </cell>
          <cell r="G189" t="str">
            <v>annl_trnvr_prvs</v>
          </cell>
        </row>
        <row r="190">
          <cell r="C190" t="str">
            <v>F4. Fora âmbito | Re-especificação de campos complexos - Dem. Fin. CIB</v>
          </cell>
          <cell r="G190" t="str">
            <v>annl_trnvr_le</v>
          </cell>
        </row>
        <row r="191">
          <cell r="C191" t="str">
            <v>F4. Fora âmbito | Re-especificação de campos complexos - Dem. Fin. CIB</v>
          </cell>
          <cell r="G191" t="str">
            <v>accntng_frmwrk_sl</v>
          </cell>
        </row>
      </sheetData>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READ ME - APPLICABILITY"/>
      <sheetName val="Overview"/>
      <sheetName val="CodeList"/>
      <sheetName val="Hoja1"/>
      <sheetName val="SUBPORTFOLIO_ID - Code List"/>
      <sheetName val="BDR - Code List"/>
      <sheetName val="Conversion Codes Subportfolio"/>
    </sheetNames>
    <sheetDataSet>
      <sheetData sheetId="0"/>
      <sheetData sheetId="1"/>
      <sheetData sheetId="2">
        <row r="1">
          <cell r="E1" t="str">
            <v>Data field</v>
          </cell>
          <cell r="Z1" t="str">
            <v>Structural 
ECB Loan Tape</v>
          </cell>
          <cell r="AA1" t="str">
            <v>Green 
Dashboard</v>
          </cell>
          <cell r="AB1" t="str">
            <v>Pillar III ESG &amp; CSRD</v>
          </cell>
          <cell r="AC1" t="str">
            <v>Green Finance</v>
          </cell>
          <cell r="AD1" t="str">
            <v>ESG Risks</v>
          </cell>
          <cell r="AE1" t="str">
            <v>Leveraged Finance</v>
          </cell>
        </row>
        <row r="2">
          <cell r="E2" t="str">
            <v>COD_SOC</v>
          </cell>
          <cell r="Z2" t="str">
            <v>Y</v>
          </cell>
          <cell r="AA2" t="str">
            <v>N</v>
          </cell>
          <cell r="AB2" t="str">
            <v>Y</v>
          </cell>
          <cell r="AC2" t="str">
            <v>Y</v>
          </cell>
          <cell r="AD2" t="str">
            <v>Y</v>
          </cell>
          <cell r="AE2" t="str">
            <v>Y</v>
          </cell>
        </row>
        <row r="3">
          <cell r="E3" t="str">
            <v>CNTRY</v>
          </cell>
          <cell r="Z3" t="str">
            <v>Y</v>
          </cell>
          <cell r="AA3" t="str">
            <v>N</v>
          </cell>
          <cell r="AB3" t="str">
            <v>Y</v>
          </cell>
          <cell r="AC3" t="str">
            <v>Y</v>
          </cell>
          <cell r="AD3" t="str">
            <v>Y</v>
          </cell>
          <cell r="AE3" t="str">
            <v>Y</v>
          </cell>
        </row>
        <row r="4">
          <cell r="E4" t="str">
            <v>DT_BRTH</v>
          </cell>
          <cell r="Z4" t="str">
            <v>Y</v>
          </cell>
          <cell r="AA4" t="str">
            <v>N</v>
          </cell>
          <cell r="AB4" t="str">
            <v>N</v>
          </cell>
          <cell r="AC4" t="str">
            <v>N</v>
          </cell>
          <cell r="AD4" t="str">
            <v>N</v>
          </cell>
          <cell r="AE4" t="str">
            <v>N</v>
          </cell>
        </row>
        <row r="5">
          <cell r="E5" t="str">
            <v>DT_DFLT_STTS</v>
          </cell>
          <cell r="Z5" t="str">
            <v>Y</v>
          </cell>
          <cell r="AA5" t="str">
            <v>N</v>
          </cell>
          <cell r="AB5" t="str">
            <v>N</v>
          </cell>
          <cell r="AC5" t="str">
            <v>N</v>
          </cell>
          <cell r="AD5" t="str">
            <v>N</v>
          </cell>
          <cell r="AE5" t="str">
            <v>Y</v>
          </cell>
        </row>
        <row r="6">
          <cell r="E6" t="str">
            <v>DT_FNNCL_STTMTS</v>
          </cell>
          <cell r="Z6" t="str">
            <v>Y</v>
          </cell>
          <cell r="AA6" t="str">
            <v>N</v>
          </cell>
          <cell r="AB6" t="str">
            <v>N</v>
          </cell>
          <cell r="AC6" t="str">
            <v>N</v>
          </cell>
          <cell r="AD6" t="str">
            <v>N</v>
          </cell>
          <cell r="AE6" t="str">
            <v>Y</v>
          </cell>
        </row>
        <row r="7">
          <cell r="E7" t="str">
            <v>DT_FNNCL_STTMTS_PRVS</v>
          </cell>
          <cell r="Z7" t="str">
            <v>Y</v>
          </cell>
          <cell r="AA7" t="str">
            <v>N</v>
          </cell>
          <cell r="AB7" t="str">
            <v>N</v>
          </cell>
          <cell r="AC7" t="str">
            <v>N</v>
          </cell>
          <cell r="AD7" t="str">
            <v>N</v>
          </cell>
          <cell r="AE7" t="str">
            <v>Y</v>
          </cell>
        </row>
        <row r="8">
          <cell r="E8" t="str">
            <v>DT_INTTN_LGL_PRCDNGS_LE</v>
          </cell>
          <cell r="Z8" t="str">
            <v>Y</v>
          </cell>
          <cell r="AA8" t="str">
            <v>N</v>
          </cell>
          <cell r="AB8" t="str">
            <v>N</v>
          </cell>
          <cell r="AC8" t="str">
            <v>N</v>
          </cell>
          <cell r="AD8" t="str">
            <v>N</v>
          </cell>
          <cell r="AE8" t="str">
            <v>Y</v>
          </cell>
        </row>
        <row r="9">
          <cell r="E9" t="str">
            <v>DT_PRFRMNG_STTS_LE</v>
          </cell>
          <cell r="Z9" t="str">
            <v>Y</v>
          </cell>
          <cell r="AA9" t="str">
            <v>N</v>
          </cell>
          <cell r="AB9" t="str">
            <v>N</v>
          </cell>
          <cell r="AC9" t="str">
            <v>N</v>
          </cell>
          <cell r="AD9" t="str">
            <v>N</v>
          </cell>
          <cell r="AE9" t="str">
            <v>Y</v>
          </cell>
        </row>
        <row r="10">
          <cell r="E10" t="str">
            <v>DT_RFRNC</v>
          </cell>
          <cell r="Z10" t="str">
            <v>Y</v>
          </cell>
          <cell r="AA10" t="str">
            <v>N</v>
          </cell>
          <cell r="AB10" t="str">
            <v>Y</v>
          </cell>
          <cell r="AC10" t="str">
            <v>Y</v>
          </cell>
          <cell r="AD10" t="str">
            <v>N</v>
          </cell>
          <cell r="AE10" t="str">
            <v>Y</v>
          </cell>
        </row>
        <row r="11">
          <cell r="E11" t="str">
            <v>ENTTY_ID</v>
          </cell>
          <cell r="Z11" t="str">
            <v>Y</v>
          </cell>
          <cell r="AA11" t="str">
            <v>N</v>
          </cell>
          <cell r="AB11" t="str">
            <v>Y</v>
          </cell>
          <cell r="AC11" t="str">
            <v>Y</v>
          </cell>
          <cell r="AD11" t="str">
            <v>Y</v>
          </cell>
          <cell r="AE11" t="str">
            <v>Y</v>
          </cell>
        </row>
        <row r="12">
          <cell r="E12" t="str">
            <v>GCC_PRNT_ID</v>
          </cell>
          <cell r="Z12" t="str">
            <v>Y</v>
          </cell>
          <cell r="AA12" t="str">
            <v>N</v>
          </cell>
          <cell r="AB12" t="str">
            <v>N</v>
          </cell>
          <cell r="AC12" t="str">
            <v>N</v>
          </cell>
          <cell r="AD12" t="str">
            <v>N</v>
          </cell>
          <cell r="AE12" t="str">
            <v>Y</v>
          </cell>
        </row>
        <row r="13">
          <cell r="E13" t="str">
            <v>GCC_PRNT_NM</v>
          </cell>
          <cell r="Z13" t="str">
            <v>Y</v>
          </cell>
          <cell r="AA13" t="str">
            <v>N</v>
          </cell>
          <cell r="AB13" t="str">
            <v>N</v>
          </cell>
          <cell r="AC13" t="str">
            <v>N</v>
          </cell>
          <cell r="AD13" t="str">
            <v>N</v>
          </cell>
          <cell r="AE13" t="str">
            <v>Y</v>
          </cell>
        </row>
        <row r="14">
          <cell r="E14" t="str">
            <v>INTRNL_SGMNT</v>
          </cell>
          <cell r="Z14" t="str">
            <v>Y</v>
          </cell>
          <cell r="AA14" t="str">
            <v>N</v>
          </cell>
          <cell r="AB14" t="str">
            <v>N</v>
          </cell>
          <cell r="AC14" t="str">
            <v>N</v>
          </cell>
          <cell r="AD14" t="str">
            <v>N</v>
          </cell>
          <cell r="AE14" t="str">
            <v>Y</v>
          </cell>
        </row>
        <row r="15">
          <cell r="E15" t="str">
            <v>INTRNL_UNT</v>
          </cell>
          <cell r="Z15" t="str">
            <v>Y</v>
          </cell>
          <cell r="AA15" t="str">
            <v>N</v>
          </cell>
          <cell r="AB15" t="str">
            <v>N</v>
          </cell>
          <cell r="AC15" t="str">
            <v>N</v>
          </cell>
          <cell r="AD15" t="str">
            <v>N</v>
          </cell>
          <cell r="AE15" t="str">
            <v>Y</v>
          </cell>
        </row>
        <row r="16">
          <cell r="E16" t="str">
            <v>LEI</v>
          </cell>
          <cell r="Z16" t="str">
            <v>Y</v>
          </cell>
          <cell r="AA16" t="str">
            <v>N</v>
          </cell>
          <cell r="AB16" t="str">
            <v>Y</v>
          </cell>
          <cell r="AC16" t="str">
            <v>N</v>
          </cell>
          <cell r="AD16" t="str">
            <v>N</v>
          </cell>
          <cell r="AE16" t="str">
            <v>Y</v>
          </cell>
        </row>
        <row r="17">
          <cell r="E17" t="str">
            <v>ENTTY_NM</v>
          </cell>
          <cell r="Z17" t="str">
            <v>Y</v>
          </cell>
          <cell r="AA17" t="str">
            <v>N</v>
          </cell>
          <cell r="AB17" t="str">
            <v>Y</v>
          </cell>
          <cell r="AC17" t="str">
            <v>Y</v>
          </cell>
          <cell r="AD17" t="str">
            <v>N</v>
          </cell>
          <cell r="AE17" t="str">
            <v>Y</v>
          </cell>
        </row>
        <row r="18">
          <cell r="E18" t="str">
            <v>EXTRNL_RTNG_NM</v>
          </cell>
          <cell r="Z18" t="str">
            <v>Y</v>
          </cell>
          <cell r="AA18" t="str">
            <v>N</v>
          </cell>
          <cell r="AB18" t="str">
            <v>N</v>
          </cell>
          <cell r="AC18" t="str">
            <v>N</v>
          </cell>
          <cell r="AD18" t="str">
            <v>N</v>
          </cell>
          <cell r="AE18" t="str">
            <v>Y</v>
          </cell>
        </row>
        <row r="19">
          <cell r="E19" t="str">
            <v>ACCNTNG_FRMWRK_SL</v>
          </cell>
          <cell r="Z19" t="str">
            <v>Y</v>
          </cell>
          <cell r="AA19" t="str">
            <v>N</v>
          </cell>
          <cell r="AB19" t="str">
            <v>N</v>
          </cell>
          <cell r="AC19" t="str">
            <v>N</v>
          </cell>
          <cell r="AD19" t="str">
            <v>N</v>
          </cell>
          <cell r="AE19" t="str">
            <v>Y</v>
          </cell>
        </row>
        <row r="20">
          <cell r="E20" t="str">
            <v>CR_FLG</v>
          </cell>
          <cell r="Z20" t="str">
            <v>Y</v>
          </cell>
          <cell r="AA20" t="str">
            <v>N</v>
          </cell>
          <cell r="AB20" t="str">
            <v>N</v>
          </cell>
          <cell r="AC20" t="str">
            <v>N</v>
          </cell>
          <cell r="AD20" t="str">
            <v>N</v>
          </cell>
          <cell r="AE20" t="str">
            <v>N</v>
          </cell>
        </row>
        <row r="21">
          <cell r="E21" t="str">
            <v>DCSD</v>
          </cell>
          <cell r="Z21" t="str">
            <v>Y</v>
          </cell>
          <cell r="AA21" t="str">
            <v>N</v>
          </cell>
          <cell r="AB21" t="str">
            <v>N</v>
          </cell>
          <cell r="AC21" t="str">
            <v>N</v>
          </cell>
          <cell r="AD21" t="str">
            <v>N</v>
          </cell>
          <cell r="AE21" t="str">
            <v>N</v>
          </cell>
        </row>
        <row r="22">
          <cell r="E22" t="str">
            <v>DFLT_STTS</v>
          </cell>
          <cell r="Z22" t="str">
            <v>Y</v>
          </cell>
          <cell r="AA22" t="str">
            <v>N</v>
          </cell>
          <cell r="AB22" t="str">
            <v>N</v>
          </cell>
          <cell r="AC22" t="str">
            <v>N</v>
          </cell>
          <cell r="AD22" t="str">
            <v>N</v>
          </cell>
          <cell r="AE22" t="str">
            <v>Y</v>
          </cell>
        </row>
        <row r="23">
          <cell r="E23" t="str">
            <v>DT_EXTRNL_RTNG</v>
          </cell>
          <cell r="Z23" t="str">
            <v>Y</v>
          </cell>
          <cell r="AA23" t="str">
            <v>N</v>
          </cell>
          <cell r="AB23" t="str">
            <v>N</v>
          </cell>
          <cell r="AC23" t="str">
            <v>N</v>
          </cell>
          <cell r="AD23" t="str">
            <v>N</v>
          </cell>
          <cell r="AE23" t="str">
            <v>Y</v>
          </cell>
        </row>
        <row r="24">
          <cell r="E24" t="str">
            <v>DT_INTRNL_RTNG</v>
          </cell>
          <cell r="Z24" t="str">
            <v>Y</v>
          </cell>
          <cell r="AA24" t="str">
            <v>N</v>
          </cell>
          <cell r="AB24" t="str">
            <v>N</v>
          </cell>
          <cell r="AC24" t="str">
            <v>N</v>
          </cell>
          <cell r="AD24" t="str">
            <v>N</v>
          </cell>
          <cell r="AE24" t="str">
            <v>Y</v>
          </cell>
        </row>
        <row r="25">
          <cell r="E25" t="str">
            <v>ECNMC_ACTVTY</v>
          </cell>
          <cell r="Z25" t="str">
            <v>Y</v>
          </cell>
          <cell r="AA25" t="str">
            <v>N</v>
          </cell>
          <cell r="AB25" t="str">
            <v>Y</v>
          </cell>
          <cell r="AC25" t="str">
            <v>Y</v>
          </cell>
          <cell r="AD25" t="str">
            <v>Y</v>
          </cell>
          <cell r="AE25" t="str">
            <v>Y</v>
          </cell>
        </row>
        <row r="26">
          <cell r="E26" t="str">
            <v>EMPLYMNT_STTS_INTRNL</v>
          </cell>
          <cell r="Z26" t="str">
            <v>Y</v>
          </cell>
          <cell r="AA26" t="str">
            <v>N</v>
          </cell>
          <cell r="AB26" t="str">
            <v>N</v>
          </cell>
          <cell r="AC26" t="str">
            <v>N</v>
          </cell>
          <cell r="AD26" t="str">
            <v>N</v>
          </cell>
          <cell r="AE26" t="str">
            <v>N</v>
          </cell>
        </row>
        <row r="27">
          <cell r="E27" t="str">
            <v>EMPLYMNT_STTS</v>
          </cell>
          <cell r="Z27" t="str">
            <v>Y</v>
          </cell>
          <cell r="AA27" t="str">
            <v>N</v>
          </cell>
          <cell r="AB27" t="str">
            <v>N</v>
          </cell>
          <cell r="AC27" t="str">
            <v>N</v>
          </cell>
          <cell r="AD27" t="str">
            <v>N</v>
          </cell>
          <cell r="AE27" t="str">
            <v>N</v>
          </cell>
        </row>
        <row r="28">
          <cell r="E28" t="str">
            <v>ENTRPRS_SZ_LE</v>
          </cell>
          <cell r="Z28" t="str">
            <v>Y</v>
          </cell>
          <cell r="AA28" t="str">
            <v>N</v>
          </cell>
          <cell r="AB28" t="str">
            <v>N</v>
          </cell>
          <cell r="AC28" t="str">
            <v>N</v>
          </cell>
          <cell r="AD28" t="str">
            <v>N</v>
          </cell>
          <cell r="AE28" t="str">
            <v>N</v>
          </cell>
        </row>
        <row r="29">
          <cell r="E29" t="str">
            <v>EXTRNL_RTNG</v>
          </cell>
          <cell r="Z29" t="str">
            <v>Y</v>
          </cell>
          <cell r="AA29" t="str">
            <v>N</v>
          </cell>
          <cell r="AB29" t="str">
            <v>N</v>
          </cell>
          <cell r="AC29" t="str">
            <v>N</v>
          </cell>
          <cell r="AD29" t="str">
            <v>N</v>
          </cell>
          <cell r="AE29" t="str">
            <v>Y</v>
          </cell>
        </row>
        <row r="30">
          <cell r="E30" t="str">
            <v>EXTRNL_RTNG_PRVS</v>
          </cell>
          <cell r="Z30" t="str">
            <v>Y</v>
          </cell>
          <cell r="AA30" t="str">
            <v>N</v>
          </cell>
          <cell r="AB30" t="str">
            <v>N</v>
          </cell>
          <cell r="AC30" t="str">
            <v>N</v>
          </cell>
          <cell r="AD30" t="str">
            <v>N</v>
          </cell>
          <cell r="AE30" t="str">
            <v>Y</v>
          </cell>
        </row>
        <row r="31">
          <cell r="E31" t="str">
            <v>FLG_BNKRPTCY_IN_GRP</v>
          </cell>
          <cell r="Z31" t="str">
            <v>Y</v>
          </cell>
          <cell r="AA31" t="str">
            <v>N</v>
          </cell>
          <cell r="AB31" t="str">
            <v>N</v>
          </cell>
          <cell r="AC31" t="str">
            <v>N</v>
          </cell>
          <cell r="AD31" t="str">
            <v>N</v>
          </cell>
          <cell r="AE31" t="str">
            <v>N</v>
          </cell>
        </row>
        <row r="32">
          <cell r="E32" t="str">
            <v>FLG_HGH_CDS</v>
          </cell>
          <cell r="Z32" t="str">
            <v>Y</v>
          </cell>
          <cell r="AA32" t="str">
            <v>N</v>
          </cell>
          <cell r="AB32" t="str">
            <v>N</v>
          </cell>
          <cell r="AC32" t="str">
            <v>N</v>
          </cell>
          <cell r="AD32" t="str">
            <v>N</v>
          </cell>
          <cell r="AE32" t="str">
            <v>N</v>
          </cell>
        </row>
        <row r="33">
          <cell r="E33" t="str">
            <v>FLG_ISDA_CRDT_EVNT</v>
          </cell>
          <cell r="Z33" t="str">
            <v>Y</v>
          </cell>
          <cell r="AA33" t="str">
            <v>N</v>
          </cell>
          <cell r="AB33" t="str">
            <v>N</v>
          </cell>
          <cell r="AC33" t="str">
            <v>N</v>
          </cell>
          <cell r="AD33" t="str">
            <v>N</v>
          </cell>
          <cell r="AE33" t="str">
            <v>N</v>
          </cell>
        </row>
        <row r="34">
          <cell r="E34" t="str">
            <v>FLG_NN_ACCRL</v>
          </cell>
          <cell r="Z34" t="str">
            <v>Y</v>
          </cell>
          <cell r="AA34" t="str">
            <v>N</v>
          </cell>
          <cell r="AB34" t="str">
            <v>N</v>
          </cell>
          <cell r="AC34" t="str">
            <v>N</v>
          </cell>
          <cell r="AD34" t="str">
            <v>N</v>
          </cell>
          <cell r="AE34" t="str">
            <v>N</v>
          </cell>
        </row>
        <row r="35">
          <cell r="E35" t="str">
            <v>FLG_RQST_BNKRPTCY</v>
          </cell>
          <cell r="Z35" t="str">
            <v>Y</v>
          </cell>
          <cell r="AA35" t="str">
            <v>N</v>
          </cell>
          <cell r="AB35" t="str">
            <v>N</v>
          </cell>
          <cell r="AC35" t="str">
            <v>N</v>
          </cell>
          <cell r="AD35" t="str">
            <v>N</v>
          </cell>
          <cell r="AE35" t="str">
            <v>N</v>
          </cell>
        </row>
        <row r="36">
          <cell r="E36" t="str">
            <v>FLG_RQST_DSTRSSD_RSTRCTRNG</v>
          </cell>
          <cell r="Z36" t="str">
            <v>Y</v>
          </cell>
          <cell r="AA36" t="str">
            <v>N</v>
          </cell>
          <cell r="AB36" t="str">
            <v>N</v>
          </cell>
          <cell r="AC36" t="str">
            <v>N</v>
          </cell>
          <cell r="AD36" t="str">
            <v>N</v>
          </cell>
          <cell r="AE36" t="str">
            <v>N</v>
          </cell>
        </row>
        <row r="37">
          <cell r="E37" t="str">
            <v>FLG_RQST_EMRGNCY_FNDNG</v>
          </cell>
          <cell r="Z37" t="str">
            <v>Y</v>
          </cell>
          <cell r="AA37" t="str">
            <v>N</v>
          </cell>
          <cell r="AB37" t="str">
            <v>N</v>
          </cell>
          <cell r="AC37" t="str">
            <v>N</v>
          </cell>
          <cell r="AD37" t="str">
            <v>N</v>
          </cell>
          <cell r="AE37" t="str">
            <v>Y</v>
          </cell>
        </row>
        <row r="38">
          <cell r="E38" t="str">
            <v>FLG_SLL_WTH_LSS</v>
          </cell>
          <cell r="Z38" t="str">
            <v>Y</v>
          </cell>
          <cell r="AA38" t="str">
            <v>N</v>
          </cell>
          <cell r="AB38" t="str">
            <v>N</v>
          </cell>
          <cell r="AC38" t="str">
            <v>N</v>
          </cell>
          <cell r="AD38" t="str">
            <v>N</v>
          </cell>
          <cell r="AE38" t="str">
            <v>N</v>
          </cell>
        </row>
        <row r="39">
          <cell r="E39" t="str">
            <v>INCM_SC</v>
          </cell>
          <cell r="Z39" t="str">
            <v>Y</v>
          </cell>
          <cell r="AA39" t="str">
            <v>N</v>
          </cell>
          <cell r="AB39" t="str">
            <v>N</v>
          </cell>
          <cell r="AC39" t="str">
            <v>N</v>
          </cell>
          <cell r="AD39" t="str">
            <v>N</v>
          </cell>
          <cell r="AE39" t="str">
            <v>N</v>
          </cell>
        </row>
        <row r="40">
          <cell r="E40" t="str">
            <v>INTRNL_RTNG</v>
          </cell>
          <cell r="Z40" t="str">
            <v>Y</v>
          </cell>
          <cell r="AA40" t="str">
            <v>N</v>
          </cell>
          <cell r="AB40" t="str">
            <v>N</v>
          </cell>
          <cell r="AC40" t="str">
            <v>N</v>
          </cell>
          <cell r="AD40" t="str">
            <v>N</v>
          </cell>
          <cell r="AE40" t="str">
            <v>Y</v>
          </cell>
        </row>
        <row r="41">
          <cell r="E41" t="str">
            <v>INTRNL_RTNG_PRVS</v>
          </cell>
          <cell r="Z41" t="str">
            <v>Y</v>
          </cell>
          <cell r="AA41" t="str">
            <v>N</v>
          </cell>
          <cell r="AB41" t="str">
            <v>N</v>
          </cell>
          <cell r="AC41" t="str">
            <v>N</v>
          </cell>
          <cell r="AD41" t="str">
            <v>N</v>
          </cell>
          <cell r="AE41" t="str">
            <v>Y</v>
          </cell>
        </row>
        <row r="42">
          <cell r="E42" t="str">
            <v>LGL_PRCDNG_STTS_LE</v>
          </cell>
          <cell r="Z42" t="str">
            <v>Y</v>
          </cell>
          <cell r="AA42" t="str">
            <v>N</v>
          </cell>
          <cell r="AB42" t="str">
            <v>N</v>
          </cell>
          <cell r="AC42" t="str">
            <v>N</v>
          </cell>
          <cell r="AD42" t="str">
            <v>N</v>
          </cell>
          <cell r="AE42" t="str">
            <v>Y</v>
          </cell>
        </row>
        <row r="43">
          <cell r="E43" t="str">
            <v>OWND_BY_SPNSR</v>
          </cell>
          <cell r="Z43" t="str">
            <v>Y</v>
          </cell>
          <cell r="AA43" t="str">
            <v>N</v>
          </cell>
          <cell r="AB43" t="str">
            <v>N</v>
          </cell>
          <cell r="AC43" t="str">
            <v>N</v>
          </cell>
          <cell r="AD43" t="str">
            <v>N</v>
          </cell>
          <cell r="AE43" t="str">
            <v>Y</v>
          </cell>
        </row>
        <row r="44">
          <cell r="E44" t="str">
            <v>PRFRMNG_STTS_LE</v>
          </cell>
          <cell r="Z44" t="str">
            <v>Y</v>
          </cell>
          <cell r="AA44" t="str">
            <v>N</v>
          </cell>
          <cell r="AB44" t="str">
            <v>N</v>
          </cell>
          <cell r="AC44" t="str">
            <v>N</v>
          </cell>
          <cell r="AD44" t="str">
            <v>N</v>
          </cell>
          <cell r="AE44" t="str">
            <v>Y</v>
          </cell>
        </row>
        <row r="45">
          <cell r="E45" t="str">
            <v>RTNG_MTHD</v>
          </cell>
          <cell r="Z45" t="str">
            <v>Y</v>
          </cell>
          <cell r="AA45" t="str">
            <v>N</v>
          </cell>
          <cell r="AB45" t="str">
            <v>N</v>
          </cell>
          <cell r="AC45" t="str">
            <v>N</v>
          </cell>
          <cell r="AD45" t="str">
            <v>N</v>
          </cell>
          <cell r="AE45" t="str">
            <v>Y</v>
          </cell>
        </row>
        <row r="46">
          <cell r="E46" t="str">
            <v>RTNG_SCL</v>
          </cell>
          <cell r="Z46" t="str">
            <v>Y</v>
          </cell>
          <cell r="AA46" t="str">
            <v>N</v>
          </cell>
          <cell r="AB46" t="str">
            <v>N</v>
          </cell>
          <cell r="AC46" t="str">
            <v>N</v>
          </cell>
          <cell r="AD46" t="str">
            <v>N</v>
          </cell>
          <cell r="AE46" t="str">
            <v>Y</v>
          </cell>
        </row>
        <row r="47">
          <cell r="E47" t="str">
            <v>WTCH_LST</v>
          </cell>
          <cell r="Z47" t="str">
            <v>Y</v>
          </cell>
          <cell r="AA47" t="str">
            <v>N</v>
          </cell>
          <cell r="AB47" t="str">
            <v>N</v>
          </cell>
          <cell r="AC47" t="str">
            <v>N</v>
          </cell>
          <cell r="AD47" t="str">
            <v>N</v>
          </cell>
          <cell r="AE47" t="str">
            <v>Y</v>
          </cell>
        </row>
        <row r="48">
          <cell r="E48" t="str">
            <v>SNGL_PRPS_VHCL</v>
          </cell>
          <cell r="Z48" t="str">
            <v>Y</v>
          </cell>
          <cell r="AA48" t="str">
            <v>N</v>
          </cell>
          <cell r="AB48" t="str">
            <v>N</v>
          </cell>
          <cell r="AC48" t="str">
            <v>N</v>
          </cell>
          <cell r="AD48" t="str">
            <v>N</v>
          </cell>
          <cell r="AE48" t="str">
            <v>N</v>
          </cell>
        </row>
        <row r="49">
          <cell r="E49" t="str">
            <v>GRP_EBITDA</v>
          </cell>
          <cell r="Z49" t="str">
            <v>Y</v>
          </cell>
          <cell r="AA49" t="str">
            <v>N</v>
          </cell>
          <cell r="AB49" t="str">
            <v>N</v>
          </cell>
          <cell r="AC49" t="str">
            <v>N</v>
          </cell>
          <cell r="AD49" t="str">
            <v>N</v>
          </cell>
          <cell r="AE49" t="str">
            <v>Y</v>
          </cell>
        </row>
        <row r="50">
          <cell r="E50" t="str">
            <v>GRP_EQTY</v>
          </cell>
          <cell r="Z50" t="str">
            <v>Y</v>
          </cell>
          <cell r="AA50" t="str">
            <v>N</v>
          </cell>
          <cell r="AB50" t="str">
            <v>Y</v>
          </cell>
          <cell r="AC50" t="str">
            <v>N</v>
          </cell>
          <cell r="AD50" t="str">
            <v>N</v>
          </cell>
          <cell r="AE50" t="str">
            <v>Y</v>
          </cell>
        </row>
        <row r="51">
          <cell r="E51" t="str">
            <v>GRP_NT_DBT</v>
          </cell>
          <cell r="Z51" t="str">
            <v>Y</v>
          </cell>
          <cell r="AA51" t="str">
            <v>N</v>
          </cell>
          <cell r="AB51" t="str">
            <v>N</v>
          </cell>
          <cell r="AC51" t="str">
            <v>N</v>
          </cell>
          <cell r="AD51" t="str">
            <v>N</v>
          </cell>
          <cell r="AE51" t="str">
            <v>Y</v>
          </cell>
        </row>
        <row r="52">
          <cell r="E52" t="str">
            <v>ANNL_TRNVR_LE</v>
          </cell>
          <cell r="Z52" t="str">
            <v>Y</v>
          </cell>
          <cell r="AA52" t="str">
            <v>N</v>
          </cell>
          <cell r="AB52" t="str">
            <v>Y</v>
          </cell>
          <cell r="AC52" t="str">
            <v>N</v>
          </cell>
          <cell r="AD52" t="str">
            <v>N</v>
          </cell>
          <cell r="AE52" t="str">
            <v>Y</v>
          </cell>
        </row>
        <row r="53">
          <cell r="E53" t="str">
            <v>ANNL_TRNVR_PRVS</v>
          </cell>
          <cell r="Z53" t="str">
            <v>Y</v>
          </cell>
          <cell r="AA53" t="str">
            <v>N</v>
          </cell>
          <cell r="AB53" t="str">
            <v>N</v>
          </cell>
          <cell r="AC53" t="str">
            <v>N</v>
          </cell>
          <cell r="AD53" t="str">
            <v>N</v>
          </cell>
          <cell r="AE53" t="str">
            <v>Y</v>
          </cell>
        </row>
        <row r="54">
          <cell r="E54" t="str">
            <v>CAPEX</v>
          </cell>
          <cell r="Z54" t="str">
            <v>Y</v>
          </cell>
          <cell r="AA54" t="str">
            <v>N</v>
          </cell>
          <cell r="AB54" t="str">
            <v>N</v>
          </cell>
          <cell r="AC54" t="str">
            <v>N</v>
          </cell>
          <cell r="AD54" t="str">
            <v>N</v>
          </cell>
          <cell r="AE54" t="str">
            <v>N</v>
          </cell>
        </row>
        <row r="55">
          <cell r="E55" t="str">
            <v>CAPEX_PRVS</v>
          </cell>
          <cell r="Z55" t="str">
            <v>Y</v>
          </cell>
          <cell r="AA55" t="str">
            <v>N</v>
          </cell>
          <cell r="AB55" t="str">
            <v>N</v>
          </cell>
          <cell r="AC55" t="str">
            <v>N</v>
          </cell>
          <cell r="AD55" t="str">
            <v>N</v>
          </cell>
          <cell r="AE55" t="str">
            <v>N</v>
          </cell>
        </row>
        <row r="56">
          <cell r="E56" t="str">
            <v>CLLCTN_MD</v>
          </cell>
          <cell r="Z56" t="str">
            <v>Y</v>
          </cell>
          <cell r="AA56" t="str">
            <v>N</v>
          </cell>
          <cell r="AB56" t="str">
            <v>N</v>
          </cell>
          <cell r="AC56" t="str">
            <v>N</v>
          </cell>
          <cell r="AD56" t="str">
            <v>N</v>
          </cell>
          <cell r="AE56" t="str">
            <v>N</v>
          </cell>
        </row>
        <row r="57">
          <cell r="E57" t="str">
            <v>CSH</v>
          </cell>
          <cell r="Z57" t="str">
            <v>Y</v>
          </cell>
          <cell r="AA57" t="str">
            <v>N</v>
          </cell>
          <cell r="AB57" t="str">
            <v>N</v>
          </cell>
          <cell r="AC57" t="str">
            <v>N</v>
          </cell>
          <cell r="AD57" t="str">
            <v>N</v>
          </cell>
          <cell r="AE57" t="str">
            <v>N</v>
          </cell>
        </row>
        <row r="58">
          <cell r="E58" t="str">
            <v>CSH_PRVS</v>
          </cell>
          <cell r="Z58" t="str">
            <v>Y</v>
          </cell>
          <cell r="AA58" t="str">
            <v>N</v>
          </cell>
          <cell r="AB58" t="str">
            <v>N</v>
          </cell>
          <cell r="AC58" t="str">
            <v>N</v>
          </cell>
          <cell r="AD58" t="str">
            <v>N</v>
          </cell>
          <cell r="AE58" t="str">
            <v>N</v>
          </cell>
        </row>
        <row r="59">
          <cell r="E59" t="str">
            <v>EBITDA</v>
          </cell>
          <cell r="Z59" t="str">
            <v>Y</v>
          </cell>
          <cell r="AA59" t="str">
            <v>N</v>
          </cell>
          <cell r="AB59" t="str">
            <v>N</v>
          </cell>
          <cell r="AC59" t="str">
            <v>N</v>
          </cell>
          <cell r="AD59" t="str">
            <v>N</v>
          </cell>
          <cell r="AE59" t="str">
            <v>Y</v>
          </cell>
        </row>
        <row r="60">
          <cell r="E60" t="str">
            <v>EBITDA_PRVS</v>
          </cell>
          <cell r="Z60" t="str">
            <v>Y</v>
          </cell>
          <cell r="AA60" t="str">
            <v>N</v>
          </cell>
          <cell r="AB60" t="str">
            <v>N</v>
          </cell>
          <cell r="AC60" t="str">
            <v>N</v>
          </cell>
          <cell r="AD60" t="str">
            <v>N</v>
          </cell>
          <cell r="AE60" t="str">
            <v>Y</v>
          </cell>
        </row>
        <row r="61">
          <cell r="E61" t="str">
            <v>EQTY</v>
          </cell>
          <cell r="Z61" t="str">
            <v>Y</v>
          </cell>
          <cell r="AA61" t="str">
            <v>N</v>
          </cell>
          <cell r="AB61" t="str">
            <v>Y</v>
          </cell>
          <cell r="AC61" t="str">
            <v>N</v>
          </cell>
          <cell r="AD61" t="str">
            <v>N</v>
          </cell>
          <cell r="AE61" t="str">
            <v>Y</v>
          </cell>
        </row>
        <row r="62">
          <cell r="E62" t="str">
            <v>EQTY_PRVS</v>
          </cell>
          <cell r="Z62" t="str">
            <v>Y</v>
          </cell>
          <cell r="AA62" t="str">
            <v>N</v>
          </cell>
          <cell r="AB62" t="str">
            <v>N</v>
          </cell>
          <cell r="AC62" t="str">
            <v>N</v>
          </cell>
          <cell r="AD62" t="str">
            <v>N</v>
          </cell>
          <cell r="AE62" t="str">
            <v>Y</v>
          </cell>
        </row>
        <row r="63">
          <cell r="E63" t="str">
            <v>GRP_TTL_DBT</v>
          </cell>
          <cell r="Z63" t="str">
            <v>Y</v>
          </cell>
          <cell r="AA63" t="str">
            <v>N</v>
          </cell>
          <cell r="AB63" t="str">
            <v>Y</v>
          </cell>
          <cell r="AC63" t="str">
            <v>N</v>
          </cell>
          <cell r="AD63" t="str">
            <v>N</v>
          </cell>
          <cell r="AE63" t="str">
            <v>N</v>
          </cell>
        </row>
        <row r="64">
          <cell r="E64" t="str">
            <v>GDWILL</v>
          </cell>
          <cell r="Z64" t="str">
            <v>Y</v>
          </cell>
          <cell r="AA64" t="str">
            <v>N</v>
          </cell>
          <cell r="AB64" t="str">
            <v>N</v>
          </cell>
          <cell r="AC64" t="str">
            <v>N</v>
          </cell>
          <cell r="AD64" t="str">
            <v>N</v>
          </cell>
          <cell r="AE64" t="str">
            <v>N</v>
          </cell>
        </row>
        <row r="65">
          <cell r="E65" t="str">
            <v>GDWILL_PRVS</v>
          </cell>
          <cell r="Z65" t="str">
            <v>Y</v>
          </cell>
          <cell r="AA65" t="str">
            <v>N</v>
          </cell>
          <cell r="AB65" t="str">
            <v>N</v>
          </cell>
          <cell r="AC65" t="str">
            <v>N</v>
          </cell>
          <cell r="AD65" t="str">
            <v>N</v>
          </cell>
          <cell r="AE65" t="str">
            <v>N</v>
          </cell>
        </row>
        <row r="66">
          <cell r="E66" t="str">
            <v>LTI</v>
          </cell>
          <cell r="Z66" t="str">
            <v>Y</v>
          </cell>
          <cell r="AA66" t="str">
            <v>N</v>
          </cell>
          <cell r="AB66" t="str">
            <v>N</v>
          </cell>
          <cell r="AC66" t="str">
            <v>N</v>
          </cell>
          <cell r="AD66" t="str">
            <v>N</v>
          </cell>
          <cell r="AE66" t="str">
            <v>N</v>
          </cell>
        </row>
        <row r="67">
          <cell r="E67" t="str">
            <v>LVRG</v>
          </cell>
          <cell r="Z67" t="str">
            <v>Y</v>
          </cell>
          <cell r="AA67" t="str">
            <v>N</v>
          </cell>
          <cell r="AB67" t="str">
            <v>N</v>
          </cell>
          <cell r="AC67" t="str">
            <v>N</v>
          </cell>
          <cell r="AD67" t="str">
            <v>N</v>
          </cell>
          <cell r="AE67" t="str">
            <v>Y</v>
          </cell>
        </row>
        <row r="68">
          <cell r="E68" t="str">
            <v>LVRG_PRVS</v>
          </cell>
          <cell r="Z68" t="str">
            <v>Y</v>
          </cell>
          <cell r="AA68" t="str">
            <v>N</v>
          </cell>
          <cell r="AB68" t="str">
            <v>N</v>
          </cell>
          <cell r="AC68" t="str">
            <v>N</v>
          </cell>
          <cell r="AD68" t="str">
            <v>N</v>
          </cell>
          <cell r="AE68" t="str">
            <v>Y</v>
          </cell>
        </row>
        <row r="69">
          <cell r="E69" t="str">
            <v>MNTHL_INCM</v>
          </cell>
          <cell r="Z69" t="str">
            <v>Y</v>
          </cell>
          <cell r="AA69" t="str">
            <v>N</v>
          </cell>
          <cell r="AB69" t="str">
            <v>N</v>
          </cell>
          <cell r="AC69" t="str">
            <v>N</v>
          </cell>
          <cell r="AD69" t="str">
            <v>N</v>
          </cell>
          <cell r="AE69" t="str">
            <v>N</v>
          </cell>
        </row>
        <row r="70">
          <cell r="E70" t="str">
            <v>MNTHL_INCM_SLR</v>
          </cell>
          <cell r="Z70" t="str">
            <v>Y</v>
          </cell>
          <cell r="AA70" t="str">
            <v>N</v>
          </cell>
          <cell r="AB70" t="str">
            <v>N</v>
          </cell>
          <cell r="AC70" t="str">
            <v>N</v>
          </cell>
          <cell r="AD70" t="str">
            <v>N</v>
          </cell>
          <cell r="AE70" t="str">
            <v>N</v>
          </cell>
        </row>
        <row r="71">
          <cell r="E71" t="str">
            <v>MNTHL_TRNVR</v>
          </cell>
          <cell r="Z71" t="str">
            <v>Y</v>
          </cell>
          <cell r="AA71" t="str">
            <v>N</v>
          </cell>
          <cell r="AB71" t="str">
            <v>N</v>
          </cell>
          <cell r="AC71" t="str">
            <v>N</v>
          </cell>
          <cell r="AD71" t="str">
            <v>N</v>
          </cell>
          <cell r="AE71" t="str">
            <v>N</v>
          </cell>
        </row>
        <row r="72">
          <cell r="E72" t="str">
            <v>NT_INCM</v>
          </cell>
          <cell r="Z72" t="str">
            <v>Y</v>
          </cell>
          <cell r="AA72" t="str">
            <v>N</v>
          </cell>
          <cell r="AB72" t="str">
            <v>N</v>
          </cell>
          <cell r="AC72" t="str">
            <v>N</v>
          </cell>
          <cell r="AD72" t="str">
            <v>N</v>
          </cell>
          <cell r="AE72" t="str">
            <v>Y</v>
          </cell>
        </row>
        <row r="73">
          <cell r="E73" t="str">
            <v>NT_INCM_PRVS</v>
          </cell>
          <cell r="Z73" t="str">
            <v>Y</v>
          </cell>
          <cell r="AA73" t="str">
            <v>N</v>
          </cell>
          <cell r="AB73" t="str">
            <v>N</v>
          </cell>
          <cell r="AC73" t="str">
            <v>N</v>
          </cell>
          <cell r="AD73" t="str">
            <v>N</v>
          </cell>
          <cell r="AE73" t="str">
            <v>Y</v>
          </cell>
        </row>
        <row r="74">
          <cell r="E74" t="str">
            <v>TTL_DBT</v>
          </cell>
          <cell r="Z74" t="str">
            <v>Y</v>
          </cell>
          <cell r="AA74" t="str">
            <v>N</v>
          </cell>
          <cell r="AB74" t="str">
            <v>Y</v>
          </cell>
          <cell r="AC74" t="str">
            <v>N</v>
          </cell>
          <cell r="AD74" t="str">
            <v>N</v>
          </cell>
          <cell r="AE74" t="str">
            <v>Y</v>
          </cell>
        </row>
        <row r="75">
          <cell r="E75" t="str">
            <v>TTL_DBT_PRVS</v>
          </cell>
          <cell r="Z75" t="str">
            <v>Y</v>
          </cell>
          <cell r="AA75" t="str">
            <v>N</v>
          </cell>
          <cell r="AB75" t="str">
            <v>N</v>
          </cell>
          <cell r="AC75" t="str">
            <v>N</v>
          </cell>
          <cell r="AD75" t="str">
            <v>N</v>
          </cell>
          <cell r="AE75" t="str">
            <v>Y</v>
          </cell>
        </row>
        <row r="76">
          <cell r="E76" t="str">
            <v>TTL_INTRST_PD</v>
          </cell>
          <cell r="Z76" t="str">
            <v>Y</v>
          </cell>
          <cell r="AA76" t="str">
            <v>N</v>
          </cell>
          <cell r="AB76" t="str">
            <v>N</v>
          </cell>
          <cell r="AC76" t="str">
            <v>N</v>
          </cell>
          <cell r="AD76" t="str">
            <v>N</v>
          </cell>
          <cell r="AE76" t="str">
            <v>Y</v>
          </cell>
        </row>
        <row r="77">
          <cell r="E77" t="str">
            <v>TTL_LVRG_RT</v>
          </cell>
          <cell r="Z77" t="str">
            <v>Y</v>
          </cell>
          <cell r="AA77" t="str">
            <v>N</v>
          </cell>
          <cell r="AB77" t="str">
            <v>N</v>
          </cell>
          <cell r="AC77" t="str">
            <v>N</v>
          </cell>
          <cell r="AD77" t="str">
            <v>N</v>
          </cell>
          <cell r="AE77" t="str">
            <v>Y</v>
          </cell>
        </row>
        <row r="78">
          <cell r="E78" t="str">
            <v>TTL_LVRG_RT_PRVS</v>
          </cell>
          <cell r="Z78" t="str">
            <v>Y</v>
          </cell>
          <cell r="AA78" t="str">
            <v>N</v>
          </cell>
          <cell r="AB78" t="str">
            <v>N</v>
          </cell>
          <cell r="AC78" t="str">
            <v>N</v>
          </cell>
          <cell r="AD78" t="str">
            <v>N</v>
          </cell>
          <cell r="AE78" t="str">
            <v>Y</v>
          </cell>
        </row>
        <row r="79">
          <cell r="E79" t="str">
            <v>DBT_RPYMNT_CPCTY_SNR_DBT</v>
          </cell>
          <cell r="Z79" t="str">
            <v>Y</v>
          </cell>
          <cell r="AA79" t="str">
            <v>N</v>
          </cell>
          <cell r="AB79" t="str">
            <v>N</v>
          </cell>
          <cell r="AC79" t="str">
            <v>N</v>
          </cell>
          <cell r="AD79" t="str">
            <v>N</v>
          </cell>
          <cell r="AE79" t="str">
            <v>Y</v>
          </cell>
        </row>
        <row r="80">
          <cell r="E80" t="str">
            <v>DBT_RPYMNT_CPCTY_TTL</v>
          </cell>
          <cell r="Z80" t="str">
            <v>Y</v>
          </cell>
          <cell r="AA80" t="str">
            <v>N</v>
          </cell>
          <cell r="AB80" t="str">
            <v>N</v>
          </cell>
          <cell r="AC80" t="str">
            <v>N</v>
          </cell>
          <cell r="AD80" t="str">
            <v>N</v>
          </cell>
          <cell r="AE80" t="str">
            <v>Y</v>
          </cell>
        </row>
        <row r="81">
          <cell r="E81" t="str">
            <v>DBT_SRVC_RT</v>
          </cell>
          <cell r="Z81" t="str">
            <v>Y</v>
          </cell>
          <cell r="AA81" t="str">
            <v>N</v>
          </cell>
          <cell r="AB81" t="str">
            <v>N</v>
          </cell>
          <cell r="AC81" t="str">
            <v>N</v>
          </cell>
          <cell r="AD81" t="str">
            <v>N</v>
          </cell>
          <cell r="AE81" t="str">
            <v>N</v>
          </cell>
        </row>
        <row r="82">
          <cell r="E82" t="str">
            <v>DBT_SRVC_RT_12M</v>
          </cell>
          <cell r="Z82" t="str">
            <v>Y</v>
          </cell>
          <cell r="AA82" t="str">
            <v>N</v>
          </cell>
          <cell r="AB82" t="str">
            <v>N</v>
          </cell>
          <cell r="AC82" t="str">
            <v>N</v>
          </cell>
          <cell r="AD82" t="str">
            <v>N</v>
          </cell>
          <cell r="AE82" t="str">
            <v>N</v>
          </cell>
        </row>
        <row r="83">
          <cell r="E83" t="str">
            <v>PD_CRR_RD</v>
          </cell>
          <cell r="Z83" t="str">
            <v>Y</v>
          </cell>
          <cell r="AA83" t="str">
            <v>N</v>
          </cell>
          <cell r="AB83" t="str">
            <v>N</v>
          </cell>
          <cell r="AC83" t="str">
            <v>N</v>
          </cell>
          <cell r="AD83" t="str">
            <v>N</v>
          </cell>
          <cell r="AE83" t="str">
            <v>Y</v>
          </cell>
        </row>
        <row r="84">
          <cell r="E84" t="str">
            <v>PD_IFRS9_12M_RD</v>
          </cell>
          <cell r="Z84" t="str">
            <v>Y</v>
          </cell>
          <cell r="AA84" t="str">
            <v>N</v>
          </cell>
          <cell r="AB84" t="str">
            <v>N</v>
          </cell>
          <cell r="AC84" t="str">
            <v>N</v>
          </cell>
          <cell r="AD84" t="str">
            <v>N</v>
          </cell>
          <cell r="AE84" t="str">
            <v>Y</v>
          </cell>
        </row>
        <row r="85">
          <cell r="E85" t="str">
            <v>PD_IFRS9_12M_RD_T1</v>
          </cell>
          <cell r="Z85" t="str">
            <v>Y</v>
          </cell>
          <cell r="AA85" t="str">
            <v>N</v>
          </cell>
          <cell r="AB85" t="str">
            <v>N</v>
          </cell>
          <cell r="AC85" t="str">
            <v>N</v>
          </cell>
          <cell r="AD85" t="str">
            <v>N</v>
          </cell>
          <cell r="AE85" t="str">
            <v>N</v>
          </cell>
        </row>
        <row r="86">
          <cell r="E86" t="str">
            <v>TAX_ID</v>
          </cell>
          <cell r="Z86" t="str">
            <v>Y</v>
          </cell>
          <cell r="AA86" t="str">
            <v>N</v>
          </cell>
          <cell r="AB86" t="str">
            <v>N</v>
          </cell>
          <cell r="AC86" t="str">
            <v>N</v>
          </cell>
          <cell r="AD86" t="str">
            <v>N</v>
          </cell>
          <cell r="AE86" t="str">
            <v>N</v>
          </cell>
        </row>
        <row r="87">
          <cell r="E87" t="str">
            <v>ANNL_TRNVR_LE_BDR</v>
          </cell>
          <cell r="Z87" t="str">
            <v>Y</v>
          </cell>
          <cell r="AA87" t="str">
            <v>N</v>
          </cell>
          <cell r="AB87" t="str">
            <v>N</v>
          </cell>
          <cell r="AC87" t="str">
            <v>N</v>
          </cell>
          <cell r="AD87" t="str">
            <v>N</v>
          </cell>
          <cell r="AE87" t="str">
            <v>N</v>
          </cell>
        </row>
        <row r="88">
          <cell r="E88" t="str">
            <v>ANNL_TRNVR_PRVS_BDR</v>
          </cell>
          <cell r="Z88" t="str">
            <v>Y</v>
          </cell>
          <cell r="AA88" t="str">
            <v>N</v>
          </cell>
          <cell r="AB88" t="str">
            <v>N</v>
          </cell>
          <cell r="AC88" t="str">
            <v>N</v>
          </cell>
          <cell r="AD88" t="str">
            <v>N</v>
          </cell>
          <cell r="AE88" t="str">
            <v>N</v>
          </cell>
        </row>
        <row r="89">
          <cell r="E89" t="str">
            <v>OSI_ID</v>
          </cell>
          <cell r="Z89" t="str">
            <v>Y</v>
          </cell>
          <cell r="AA89" t="str">
            <v>N</v>
          </cell>
          <cell r="AB89" t="str">
            <v>N</v>
          </cell>
          <cell r="AC89" t="str">
            <v>N</v>
          </cell>
          <cell r="AD89" t="str">
            <v>N</v>
          </cell>
          <cell r="AE89" t="str">
            <v>Y</v>
          </cell>
        </row>
        <row r="90">
          <cell r="E90" t="str">
            <v>PD_CRR_RD_T1</v>
          </cell>
          <cell r="Z90" t="str">
            <v>Y</v>
          </cell>
          <cell r="AA90" t="str">
            <v>N</v>
          </cell>
          <cell r="AB90" t="str">
            <v>N</v>
          </cell>
          <cell r="AC90" t="str">
            <v>N</v>
          </cell>
          <cell r="AD90" t="str">
            <v>N</v>
          </cell>
          <cell r="AE90" t="str">
            <v>N</v>
          </cell>
        </row>
        <row r="91">
          <cell r="E91" t="str">
            <v>EC_GRP_ID</v>
          </cell>
          <cell r="Z91" t="str">
            <v>Y</v>
          </cell>
          <cell r="AA91" t="str">
            <v>N</v>
          </cell>
          <cell r="AB91" t="str">
            <v>Y</v>
          </cell>
          <cell r="AC91" t="str">
            <v>Y</v>
          </cell>
          <cell r="AD91" t="str">
            <v>N</v>
          </cell>
          <cell r="AE91" t="str">
            <v>Y</v>
          </cell>
        </row>
        <row r="92">
          <cell r="E92" t="str">
            <v>EC_GRP_NM</v>
          </cell>
          <cell r="Z92" t="str">
            <v>Y</v>
          </cell>
          <cell r="AA92" t="str">
            <v>N</v>
          </cell>
          <cell r="AB92" t="str">
            <v>Y</v>
          </cell>
          <cell r="AC92" t="str">
            <v>Y</v>
          </cell>
          <cell r="AD92" t="str">
            <v>N</v>
          </cell>
          <cell r="AE92" t="str">
            <v>Y</v>
          </cell>
        </row>
        <row r="93">
          <cell r="E93" t="str">
            <v>PST_CD</v>
          </cell>
          <cell r="Z93" t="str">
            <v>N</v>
          </cell>
          <cell r="AA93" t="str">
            <v>N</v>
          </cell>
          <cell r="AB93" t="str">
            <v>Y</v>
          </cell>
          <cell r="AC93" t="str">
            <v>N</v>
          </cell>
          <cell r="AD93" t="str">
            <v>Y</v>
          </cell>
          <cell r="AE93" t="str">
            <v>N</v>
          </cell>
        </row>
        <row r="94">
          <cell r="E94" t="str">
            <v>ESG_SBSCTR</v>
          </cell>
          <cell r="Z94" t="str">
            <v>N</v>
          </cell>
          <cell r="AA94" t="str">
            <v>N</v>
          </cell>
          <cell r="AB94" t="str">
            <v>Y</v>
          </cell>
          <cell r="AC94" t="str">
            <v>N</v>
          </cell>
          <cell r="AD94" t="str">
            <v>N</v>
          </cell>
          <cell r="AE94" t="str">
            <v>N</v>
          </cell>
        </row>
        <row r="95">
          <cell r="E95" t="str">
            <v>NACE_ESG</v>
          </cell>
          <cell r="Z95" t="str">
            <v>N</v>
          </cell>
          <cell r="AA95" t="str">
            <v>N</v>
          </cell>
          <cell r="AB95" t="str">
            <v>Y</v>
          </cell>
          <cell r="AC95" t="str">
            <v>N</v>
          </cell>
          <cell r="AD95" t="str">
            <v>Y</v>
          </cell>
          <cell r="AE95" t="str">
            <v>N</v>
          </cell>
        </row>
        <row r="96">
          <cell r="E96" t="str">
            <v>TTL_LBLTY</v>
          </cell>
          <cell r="Z96" t="str">
            <v>N</v>
          </cell>
          <cell r="AA96" t="str">
            <v>N</v>
          </cell>
          <cell r="AB96" t="str">
            <v>Y</v>
          </cell>
          <cell r="AC96" t="str">
            <v>N</v>
          </cell>
          <cell r="AD96" t="str">
            <v>N</v>
          </cell>
          <cell r="AE96" t="str">
            <v>N</v>
          </cell>
        </row>
        <row r="97">
          <cell r="E97" t="str">
            <v>TXNMY_ELGBL_CAPEX_CCM</v>
          </cell>
          <cell r="Z97" t="str">
            <v>N</v>
          </cell>
          <cell r="AA97" t="str">
            <v>N</v>
          </cell>
          <cell r="AB97" t="str">
            <v>Y</v>
          </cell>
          <cell r="AC97" t="str">
            <v>N</v>
          </cell>
          <cell r="AD97" t="str">
            <v>N</v>
          </cell>
          <cell r="AE97" t="str">
            <v>N</v>
          </cell>
        </row>
        <row r="98">
          <cell r="E98" t="str">
            <v>TXNMY_ELGBL_TRNVR_CCM</v>
          </cell>
          <cell r="Z98" t="str">
            <v>N</v>
          </cell>
          <cell r="AA98" t="str">
            <v>N</v>
          </cell>
          <cell r="AB98" t="str">
            <v>Y</v>
          </cell>
          <cell r="AC98" t="str">
            <v>N</v>
          </cell>
          <cell r="AD98" t="str">
            <v>N</v>
          </cell>
          <cell r="AE98" t="str">
            <v>N</v>
          </cell>
        </row>
        <row r="99">
          <cell r="E99" t="str">
            <v>TXNMY_ELGBL_CAPEX_CCA</v>
          </cell>
          <cell r="Z99" t="str">
            <v>N</v>
          </cell>
          <cell r="AA99" t="str">
            <v>N</v>
          </cell>
          <cell r="AB99" t="str">
            <v>Y</v>
          </cell>
          <cell r="AC99" t="str">
            <v>N</v>
          </cell>
          <cell r="AD99" t="str">
            <v>N</v>
          </cell>
          <cell r="AE99" t="str">
            <v>N</v>
          </cell>
        </row>
        <row r="100">
          <cell r="E100" t="str">
            <v>TXNMY_ELGBL_TRNVR_CCA</v>
          </cell>
          <cell r="Z100" t="str">
            <v>N</v>
          </cell>
          <cell r="AA100" t="str">
            <v>N</v>
          </cell>
          <cell r="AB100" t="str">
            <v>Y</v>
          </cell>
          <cell r="AC100" t="str">
            <v>N</v>
          </cell>
          <cell r="AD100" t="str">
            <v>N</v>
          </cell>
          <cell r="AE100" t="str">
            <v>N</v>
          </cell>
        </row>
        <row r="101">
          <cell r="E101" t="str">
            <v>ENBLNG_CAPEX_CCM</v>
          </cell>
          <cell r="Z101" t="str">
            <v>N</v>
          </cell>
          <cell r="AA101" t="str">
            <v>N</v>
          </cell>
          <cell r="AB101" t="str">
            <v>Y</v>
          </cell>
          <cell r="AC101" t="str">
            <v>N</v>
          </cell>
          <cell r="AD101" t="str">
            <v>N</v>
          </cell>
          <cell r="AE101" t="str">
            <v>N</v>
          </cell>
        </row>
        <row r="102">
          <cell r="E102" t="str">
            <v>ENBLNG_CAPEX_CCA</v>
          </cell>
          <cell r="Z102" t="str">
            <v>N</v>
          </cell>
          <cell r="AA102" t="str">
            <v>N</v>
          </cell>
          <cell r="AB102" t="str">
            <v>Y</v>
          </cell>
          <cell r="AC102" t="str">
            <v>N</v>
          </cell>
          <cell r="AD102" t="str">
            <v>N</v>
          </cell>
          <cell r="AE102" t="str">
            <v>N</v>
          </cell>
        </row>
        <row r="103">
          <cell r="E103" t="str">
            <v>TRNSTNL_CAPEX</v>
          </cell>
          <cell r="Z103" t="str">
            <v>N</v>
          </cell>
          <cell r="AA103" t="str">
            <v>N</v>
          </cell>
          <cell r="AB103" t="str">
            <v>Y</v>
          </cell>
          <cell r="AC103" t="str">
            <v>N</v>
          </cell>
          <cell r="AD103" t="str">
            <v>N</v>
          </cell>
          <cell r="AE103" t="str">
            <v>N</v>
          </cell>
        </row>
        <row r="104">
          <cell r="E104" t="str">
            <v>PURE_CAPEX_CCM</v>
          </cell>
          <cell r="Z104" t="str">
            <v>N</v>
          </cell>
          <cell r="AA104" t="str">
            <v>N</v>
          </cell>
          <cell r="AB104" t="str">
            <v>Y</v>
          </cell>
          <cell r="AC104" t="str">
            <v>N</v>
          </cell>
          <cell r="AD104" t="str">
            <v>N</v>
          </cell>
          <cell r="AE104" t="str">
            <v>N</v>
          </cell>
        </row>
        <row r="105">
          <cell r="E105" t="str">
            <v>PURE_CAPEX_CCA</v>
          </cell>
          <cell r="Z105" t="str">
            <v>N</v>
          </cell>
          <cell r="AA105" t="str">
            <v>N</v>
          </cell>
          <cell r="AB105" t="str">
            <v>Y</v>
          </cell>
          <cell r="AC105" t="str">
            <v>N</v>
          </cell>
          <cell r="AD105" t="str">
            <v>N</v>
          </cell>
          <cell r="AE105" t="str">
            <v>N</v>
          </cell>
        </row>
        <row r="106">
          <cell r="E106" t="str">
            <v>ENBLNG_TRNVR_CCM</v>
          </cell>
          <cell r="Z106" t="str">
            <v>N</v>
          </cell>
          <cell r="AA106" t="str">
            <v>N</v>
          </cell>
          <cell r="AB106" t="str">
            <v>Y</v>
          </cell>
          <cell r="AC106" t="str">
            <v>N</v>
          </cell>
          <cell r="AD106" t="str">
            <v>N</v>
          </cell>
          <cell r="AE106" t="str">
            <v>N</v>
          </cell>
        </row>
        <row r="107">
          <cell r="E107" t="str">
            <v>ENBLNG_TRNVR_CCA</v>
          </cell>
          <cell r="Z107" t="str">
            <v>N</v>
          </cell>
          <cell r="AA107" t="str">
            <v>N</v>
          </cell>
          <cell r="AB107" t="str">
            <v>Y</v>
          </cell>
          <cell r="AC107" t="str">
            <v>N</v>
          </cell>
          <cell r="AD107" t="str">
            <v>N</v>
          </cell>
          <cell r="AE107" t="str">
            <v>N</v>
          </cell>
        </row>
        <row r="108">
          <cell r="E108" t="str">
            <v>TRNSTNL_TRNVR</v>
          </cell>
          <cell r="Z108" t="str">
            <v>N</v>
          </cell>
          <cell r="AA108" t="str">
            <v>N</v>
          </cell>
          <cell r="AB108" t="str">
            <v>Y</v>
          </cell>
          <cell r="AC108" t="str">
            <v>N</v>
          </cell>
          <cell r="AD108" t="str">
            <v>N</v>
          </cell>
          <cell r="AE108" t="str">
            <v>N</v>
          </cell>
        </row>
        <row r="109">
          <cell r="E109" t="str">
            <v>PURE_TRNVR_CCM</v>
          </cell>
          <cell r="Z109" t="str">
            <v>N</v>
          </cell>
          <cell r="AA109" t="str">
            <v>N</v>
          </cell>
          <cell r="AB109" t="str">
            <v>Y</v>
          </cell>
          <cell r="AC109" t="str">
            <v>N</v>
          </cell>
          <cell r="AD109" t="str">
            <v>N</v>
          </cell>
          <cell r="AE109" t="str">
            <v>N</v>
          </cell>
        </row>
        <row r="110">
          <cell r="E110" t="str">
            <v>PURE_TRNVR_CCA</v>
          </cell>
          <cell r="Z110" t="str">
            <v>N</v>
          </cell>
          <cell r="AA110" t="str">
            <v>N</v>
          </cell>
          <cell r="AB110" t="str">
            <v>Y</v>
          </cell>
          <cell r="AC110" t="str">
            <v>N</v>
          </cell>
          <cell r="AD110" t="str">
            <v>N</v>
          </cell>
          <cell r="AE110" t="str">
            <v>N</v>
          </cell>
        </row>
        <row r="111">
          <cell r="E111" t="str">
            <v>FLG_CSRD_APPLCBLTY</v>
          </cell>
          <cell r="Z111" t="str">
            <v>N</v>
          </cell>
          <cell r="AA111" t="str">
            <v>N</v>
          </cell>
          <cell r="AB111" t="str">
            <v>Y</v>
          </cell>
          <cell r="AC111" t="str">
            <v>N</v>
          </cell>
          <cell r="AD111" t="str">
            <v>Y</v>
          </cell>
          <cell r="AE111" t="str">
            <v>N</v>
          </cell>
        </row>
        <row r="112">
          <cell r="E112" t="str">
            <v>FLG_GRP_CSRD_APPLCBLTY</v>
          </cell>
          <cell r="Z112" t="str">
            <v>N</v>
          </cell>
          <cell r="AA112" t="str">
            <v>N</v>
          </cell>
          <cell r="AB112" t="str">
            <v>Y</v>
          </cell>
          <cell r="AC112" t="str">
            <v>N</v>
          </cell>
          <cell r="AD112" t="str">
            <v>Y</v>
          </cell>
          <cell r="AE112" t="str">
            <v>N</v>
          </cell>
        </row>
        <row r="113">
          <cell r="E113" t="str">
            <v>ISIN</v>
          </cell>
          <cell r="Z113" t="str">
            <v>N</v>
          </cell>
          <cell r="AA113" t="str">
            <v>N</v>
          </cell>
          <cell r="AB113" t="str">
            <v>Y</v>
          </cell>
          <cell r="AC113" t="str">
            <v>N</v>
          </cell>
          <cell r="AD113" t="str">
            <v>N</v>
          </cell>
          <cell r="AE113" t="str">
            <v>N</v>
          </cell>
        </row>
        <row r="114">
          <cell r="E114" t="str">
            <v>GRP_ANNL_TRNVR_LE</v>
          </cell>
          <cell r="Z114" t="str">
            <v>N</v>
          </cell>
          <cell r="AA114" t="str">
            <v>N</v>
          </cell>
          <cell r="AB114" t="str">
            <v>Y</v>
          </cell>
          <cell r="AC114" t="str">
            <v>N</v>
          </cell>
          <cell r="AD114" t="str">
            <v>N</v>
          </cell>
          <cell r="AE114" t="str">
            <v>N</v>
          </cell>
        </row>
        <row r="115">
          <cell r="E115" t="str">
            <v>GRP_TTL_LBLTY</v>
          </cell>
          <cell r="Z115" t="str">
            <v>N</v>
          </cell>
          <cell r="AA115" t="str">
            <v>N</v>
          </cell>
          <cell r="AB115" t="str">
            <v>Y</v>
          </cell>
          <cell r="AC115" t="str">
            <v>N</v>
          </cell>
          <cell r="AD115" t="str">
            <v>N</v>
          </cell>
          <cell r="AE115" t="str">
            <v>N</v>
          </cell>
        </row>
        <row r="116">
          <cell r="E116" t="str">
            <v>CNTRPRTY_EMSSNS_SCP1</v>
          </cell>
          <cell r="Z116" t="str">
            <v>N</v>
          </cell>
          <cell r="AA116" t="str">
            <v>N</v>
          </cell>
          <cell r="AB116" t="str">
            <v>Y</v>
          </cell>
          <cell r="AC116" t="str">
            <v>N</v>
          </cell>
          <cell r="AD116" t="str">
            <v>Y</v>
          </cell>
          <cell r="AE116" t="str">
            <v>N</v>
          </cell>
        </row>
        <row r="117">
          <cell r="E117" t="str">
            <v>CNTRPRTY_EMSSNS_SCP2</v>
          </cell>
          <cell r="Z117" t="str">
            <v>N</v>
          </cell>
          <cell r="AA117" t="str">
            <v>N</v>
          </cell>
          <cell r="AB117" t="str">
            <v>Y</v>
          </cell>
          <cell r="AC117" t="str">
            <v>N</v>
          </cell>
          <cell r="AD117" t="str">
            <v>Y</v>
          </cell>
          <cell r="AE117" t="str">
            <v>N</v>
          </cell>
        </row>
        <row r="118">
          <cell r="E118" t="str">
            <v>CNTRPRTY_EMSSNS_SCP3</v>
          </cell>
          <cell r="Z118" t="str">
            <v>N</v>
          </cell>
          <cell r="AA118" t="str">
            <v>N</v>
          </cell>
          <cell r="AB118" t="str">
            <v>Y</v>
          </cell>
          <cell r="AC118" t="str">
            <v>N</v>
          </cell>
          <cell r="AD118" t="str">
            <v>Y</v>
          </cell>
          <cell r="AE118" t="str">
            <v>N</v>
          </cell>
        </row>
        <row r="119">
          <cell r="E119" t="str">
            <v>FLG_EXCLDD_EU_PRS_ALGND_BNCHMRK</v>
          </cell>
          <cell r="Z119" t="str">
            <v>N</v>
          </cell>
          <cell r="AA119" t="str">
            <v>N</v>
          </cell>
          <cell r="AB119" t="str">
            <v>Y</v>
          </cell>
          <cell r="AC119" t="str">
            <v>N</v>
          </cell>
          <cell r="AD119" t="str">
            <v>N</v>
          </cell>
          <cell r="AE119" t="str">
            <v>N</v>
          </cell>
        </row>
        <row r="120">
          <cell r="E120" t="str">
            <v>GRP_EMSSNS_SCP1</v>
          </cell>
          <cell r="Z120" t="str">
            <v>N</v>
          </cell>
          <cell r="AA120" t="str">
            <v>N</v>
          </cell>
          <cell r="AB120" t="str">
            <v>Y</v>
          </cell>
          <cell r="AC120" t="str">
            <v>N</v>
          </cell>
          <cell r="AD120" t="str">
            <v>Y</v>
          </cell>
          <cell r="AE120" t="str">
            <v>N</v>
          </cell>
        </row>
        <row r="121">
          <cell r="E121" t="str">
            <v>GRP_EMSSNS_SCP2</v>
          </cell>
          <cell r="Z121" t="str">
            <v>N</v>
          </cell>
          <cell r="AA121" t="str">
            <v>N</v>
          </cell>
          <cell r="AB121" t="str">
            <v>Y</v>
          </cell>
          <cell r="AC121" t="str">
            <v>N</v>
          </cell>
          <cell r="AD121" t="str">
            <v>Y</v>
          </cell>
          <cell r="AE121" t="str">
            <v>N</v>
          </cell>
        </row>
        <row r="122">
          <cell r="E122" t="str">
            <v>GRP_EMSSNS_SCP3</v>
          </cell>
          <cell r="Z122" t="str">
            <v>N</v>
          </cell>
          <cell r="AA122" t="str">
            <v>N</v>
          </cell>
          <cell r="AB122" t="str">
            <v>Y</v>
          </cell>
          <cell r="AC122" t="str">
            <v>N</v>
          </cell>
          <cell r="AD122" t="str">
            <v>Y</v>
          </cell>
          <cell r="AE122" t="str">
            <v>N</v>
          </cell>
        </row>
        <row r="123">
          <cell r="E123" t="str">
            <v>FLG_ACT_PHYSCL_RSK</v>
          </cell>
          <cell r="Z123" t="str">
            <v>N</v>
          </cell>
          <cell r="AA123" t="str">
            <v>N</v>
          </cell>
          <cell r="AB123" t="str">
            <v>Y</v>
          </cell>
          <cell r="AC123" t="str">
            <v>N</v>
          </cell>
          <cell r="AD123" t="str">
            <v>N</v>
          </cell>
          <cell r="AE123" t="str">
            <v>N</v>
          </cell>
        </row>
        <row r="124">
          <cell r="E124" t="str">
            <v>FLG_CHRNC_PHYSCL_RSK</v>
          </cell>
          <cell r="Z124" t="str">
            <v>N</v>
          </cell>
          <cell r="AA124" t="str">
            <v>N</v>
          </cell>
          <cell r="AB124" t="str">
            <v>Y</v>
          </cell>
          <cell r="AC124" t="str">
            <v>N</v>
          </cell>
          <cell r="AD124" t="str">
            <v>N</v>
          </cell>
          <cell r="AE124" t="str">
            <v>N</v>
          </cell>
        </row>
        <row r="125">
          <cell r="E125" t="str">
            <v>GRP_ECNMC_ACTVTY</v>
          </cell>
          <cell r="Z125" t="str">
            <v>N</v>
          </cell>
          <cell r="AA125" t="str">
            <v>N</v>
          </cell>
          <cell r="AB125" t="str">
            <v>Y</v>
          </cell>
          <cell r="AC125" t="str">
            <v>Y</v>
          </cell>
          <cell r="AD125" t="str">
            <v>Y</v>
          </cell>
          <cell r="AE125" t="str">
            <v>N</v>
          </cell>
        </row>
        <row r="126">
          <cell r="E126" t="str">
            <v>PRSN_TYP</v>
          </cell>
          <cell r="Z126" t="str">
            <v>Y</v>
          </cell>
          <cell r="AA126" t="str">
            <v>N</v>
          </cell>
          <cell r="AB126" t="str">
            <v>N</v>
          </cell>
          <cell r="AC126" t="str">
            <v>N</v>
          </cell>
          <cell r="AD126" t="str">
            <v>N</v>
          </cell>
          <cell r="AE126" t="str">
            <v>N</v>
          </cell>
        </row>
        <row r="127">
          <cell r="E127" t="str">
            <v>FR_CSH_FLW</v>
          </cell>
          <cell r="Z127" t="str">
            <v>Y</v>
          </cell>
          <cell r="AA127" t="str">
            <v>N</v>
          </cell>
          <cell r="AB127" t="str">
            <v>N</v>
          </cell>
          <cell r="AC127" t="str">
            <v>N</v>
          </cell>
          <cell r="AD127" t="str">
            <v>N</v>
          </cell>
          <cell r="AE127" t="str">
            <v>Y</v>
          </cell>
        </row>
        <row r="128">
          <cell r="E128" t="str">
            <v>FR_CSH_FLW_T1</v>
          </cell>
          <cell r="Z128" t="str">
            <v>Y</v>
          </cell>
          <cell r="AA128" t="str">
            <v>N</v>
          </cell>
          <cell r="AB128" t="str">
            <v>N</v>
          </cell>
          <cell r="AC128" t="str">
            <v>N</v>
          </cell>
          <cell r="AD128" t="str">
            <v>N</v>
          </cell>
          <cell r="AE128" t="str">
            <v>Y</v>
          </cell>
        </row>
        <row r="129">
          <cell r="E129" t="str">
            <v>FR_CSH_FLW_T2</v>
          </cell>
          <cell r="Z129" t="str">
            <v>Y</v>
          </cell>
          <cell r="AA129" t="str">
            <v>N</v>
          </cell>
          <cell r="AB129" t="str">
            <v>N</v>
          </cell>
          <cell r="AC129" t="str">
            <v>N</v>
          </cell>
          <cell r="AD129" t="str">
            <v>N</v>
          </cell>
          <cell r="AE129" t="str">
            <v>Y</v>
          </cell>
        </row>
        <row r="130">
          <cell r="E130" t="str">
            <v>FR_CSH_FLW_T3</v>
          </cell>
          <cell r="Z130" t="str">
            <v>Y</v>
          </cell>
          <cell r="AA130" t="str">
            <v>N</v>
          </cell>
          <cell r="AB130" t="str">
            <v>N</v>
          </cell>
          <cell r="AC130" t="str">
            <v>N</v>
          </cell>
          <cell r="AD130" t="str">
            <v>N</v>
          </cell>
          <cell r="AE130" t="str">
            <v>Y</v>
          </cell>
        </row>
        <row r="131">
          <cell r="E131" t="str">
            <v>ADDRSS_CTY</v>
          </cell>
          <cell r="Z131" t="str">
            <v>Y</v>
          </cell>
          <cell r="AA131" t="str">
            <v>N</v>
          </cell>
          <cell r="AB131" t="str">
            <v>N</v>
          </cell>
          <cell r="AC131" t="str">
            <v>N</v>
          </cell>
          <cell r="AD131" t="str">
            <v>N</v>
          </cell>
          <cell r="AE131" t="str">
            <v>N</v>
          </cell>
        </row>
        <row r="132">
          <cell r="E132" t="str">
            <v>ADDRSS_STRT</v>
          </cell>
          <cell r="Z132" t="str">
            <v>Y</v>
          </cell>
          <cell r="AA132" t="str">
            <v>N</v>
          </cell>
          <cell r="AB132" t="str">
            <v>N</v>
          </cell>
          <cell r="AC132" t="str">
            <v>N</v>
          </cell>
          <cell r="AD132" t="str">
            <v>N</v>
          </cell>
          <cell r="AE132" t="str">
            <v>N</v>
          </cell>
        </row>
        <row r="133">
          <cell r="E133" t="str">
            <v>DT_ENTRPRS_SZ</v>
          </cell>
          <cell r="Z133" t="str">
            <v>Y</v>
          </cell>
          <cell r="AA133" t="str">
            <v>N</v>
          </cell>
          <cell r="AB133" t="str">
            <v>N</v>
          </cell>
          <cell r="AC133" t="str">
            <v>N</v>
          </cell>
          <cell r="AD133" t="str">
            <v>N</v>
          </cell>
          <cell r="AE133" t="str">
            <v>N</v>
          </cell>
        </row>
        <row r="134">
          <cell r="E134" t="str">
            <v>NMBR_EMPLYS</v>
          </cell>
          <cell r="Z134" t="str">
            <v>Y</v>
          </cell>
          <cell r="AA134" t="str">
            <v>N</v>
          </cell>
          <cell r="AB134" t="str">
            <v>N</v>
          </cell>
          <cell r="AC134" t="str">
            <v>N</v>
          </cell>
          <cell r="AD134" t="str">
            <v>N</v>
          </cell>
          <cell r="AE134" t="str">
            <v>N</v>
          </cell>
        </row>
        <row r="135">
          <cell r="E135" t="str">
            <v>LGL_FRM</v>
          </cell>
          <cell r="Z135" t="str">
            <v>Y</v>
          </cell>
          <cell r="AA135" t="str">
            <v>N</v>
          </cell>
          <cell r="AB135" t="str">
            <v>N</v>
          </cell>
          <cell r="AC135" t="str">
            <v>N</v>
          </cell>
          <cell r="AD135" t="str">
            <v>N</v>
          </cell>
          <cell r="AE135" t="str">
            <v>N</v>
          </cell>
        </row>
        <row r="136">
          <cell r="E136" t="str">
            <v>HD_OFFC_UNDRTKNG_ID</v>
          </cell>
          <cell r="Z136" t="str">
            <v>Y</v>
          </cell>
          <cell r="AA136" t="str">
            <v>N</v>
          </cell>
          <cell r="AB136" t="str">
            <v>N</v>
          </cell>
          <cell r="AC136" t="str">
            <v>N</v>
          </cell>
          <cell r="AD136" t="str">
            <v>N</v>
          </cell>
          <cell r="AE136" t="str">
            <v>N</v>
          </cell>
        </row>
        <row r="137">
          <cell r="E137" t="str">
            <v>IMMDT_PRNT_UNDRTKNG_ID</v>
          </cell>
          <cell r="Z137" t="str">
            <v>Y</v>
          </cell>
          <cell r="AA137" t="str">
            <v>N</v>
          </cell>
          <cell r="AB137" t="str">
            <v>N</v>
          </cell>
          <cell r="AC137" t="str">
            <v>N</v>
          </cell>
          <cell r="AD137" t="str">
            <v>N</v>
          </cell>
          <cell r="AE137" t="str">
            <v>N</v>
          </cell>
        </row>
        <row r="138">
          <cell r="E138" t="str">
            <v>ULTMT_PRNT_UNDRTKNG_ID</v>
          </cell>
          <cell r="Z138" t="str">
            <v>Y</v>
          </cell>
          <cell r="AA138" t="str">
            <v>N</v>
          </cell>
          <cell r="AB138" t="str">
            <v>N</v>
          </cell>
          <cell r="AC138" t="str">
            <v>N</v>
          </cell>
          <cell r="AD138" t="str">
            <v>N</v>
          </cell>
          <cell r="AE138" t="str">
            <v>N</v>
          </cell>
        </row>
        <row r="139">
          <cell r="E139" t="str">
            <v>TTL_ASSTS</v>
          </cell>
          <cell r="Z139" t="str">
            <v>Y</v>
          </cell>
          <cell r="AA139" t="str">
            <v>N</v>
          </cell>
          <cell r="AB139" t="str">
            <v>N</v>
          </cell>
          <cell r="AC139" t="str">
            <v>N</v>
          </cell>
          <cell r="AD139" t="str">
            <v>N</v>
          </cell>
          <cell r="AE139" t="str">
            <v>N</v>
          </cell>
        </row>
        <row r="140">
          <cell r="E140" t="str">
            <v>FLLN_ANGL_NRRW_DFNTN</v>
          </cell>
          <cell r="Z140" t="str">
            <v>N</v>
          </cell>
          <cell r="AA140" t="str">
            <v>N</v>
          </cell>
          <cell r="AB140" t="str">
            <v>N</v>
          </cell>
          <cell r="AC140" t="str">
            <v>N</v>
          </cell>
          <cell r="AD140" t="str">
            <v>N</v>
          </cell>
          <cell r="AE140" t="str">
            <v>Y</v>
          </cell>
        </row>
        <row r="141">
          <cell r="E141" t="str">
            <v>FLLN_ANGL_EXTNDD_DFNTN</v>
          </cell>
          <cell r="Z141" t="str">
            <v>N</v>
          </cell>
          <cell r="AA141" t="str">
            <v>N</v>
          </cell>
          <cell r="AB141" t="str">
            <v>N</v>
          </cell>
          <cell r="AC141" t="str">
            <v>N</v>
          </cell>
          <cell r="AD141" t="str">
            <v>N</v>
          </cell>
          <cell r="AE141" t="str">
            <v>Y</v>
          </cell>
        </row>
        <row r="142">
          <cell r="E142" t="str">
            <v>ENTTY_ID_BDR</v>
          </cell>
          <cell r="Z142" t="str">
            <v>Y</v>
          </cell>
          <cell r="AA142" t="str">
            <v>N</v>
          </cell>
          <cell r="AB142" t="str">
            <v>N</v>
          </cell>
          <cell r="AC142" t="str">
            <v>N</v>
          </cell>
          <cell r="AD142" t="str">
            <v>N</v>
          </cell>
          <cell r="AE142" t="str">
            <v>N</v>
          </cell>
        </row>
        <row r="143">
          <cell r="E143" t="str">
            <v>TXNMY_ELGBL_CAPEX_W</v>
          </cell>
          <cell r="Z143" t="str">
            <v>N</v>
          </cell>
          <cell r="AA143" t="str">
            <v>N</v>
          </cell>
          <cell r="AB143" t="str">
            <v>Y</v>
          </cell>
          <cell r="AC143" t="str">
            <v>N</v>
          </cell>
          <cell r="AD143" t="str">
            <v>N</v>
          </cell>
          <cell r="AE143" t="str">
            <v>N</v>
          </cell>
        </row>
        <row r="144">
          <cell r="E144" t="str">
            <v>TXNMY_ELGBL_TRNVR_W</v>
          </cell>
          <cell r="Z144" t="str">
            <v>N</v>
          </cell>
          <cell r="AA144" t="str">
            <v>N</v>
          </cell>
          <cell r="AB144" t="str">
            <v>Y</v>
          </cell>
          <cell r="AC144" t="str">
            <v>N</v>
          </cell>
          <cell r="AD144" t="str">
            <v>N</v>
          </cell>
          <cell r="AE144" t="str">
            <v>N</v>
          </cell>
        </row>
        <row r="145">
          <cell r="E145" t="str">
            <v>TXNMY_ELGBL_CAPEX_P</v>
          </cell>
          <cell r="Z145" t="str">
            <v>N</v>
          </cell>
          <cell r="AA145" t="str">
            <v>N</v>
          </cell>
          <cell r="AB145" t="str">
            <v>Y</v>
          </cell>
          <cell r="AC145" t="str">
            <v>N</v>
          </cell>
          <cell r="AD145" t="str">
            <v>N</v>
          </cell>
          <cell r="AE145" t="str">
            <v>N</v>
          </cell>
        </row>
        <row r="146">
          <cell r="E146" t="str">
            <v>TXNMY_ELGBL_TRNVR_P</v>
          </cell>
          <cell r="Z146" t="str">
            <v>N</v>
          </cell>
          <cell r="AA146" t="str">
            <v>N</v>
          </cell>
          <cell r="AB146" t="str">
            <v>Y</v>
          </cell>
          <cell r="AC146" t="str">
            <v>N</v>
          </cell>
          <cell r="AD146" t="str">
            <v>N</v>
          </cell>
          <cell r="AE146" t="str">
            <v>N</v>
          </cell>
        </row>
        <row r="147">
          <cell r="E147" t="str">
            <v>TXNMY_ELGBL_CAPEX_B</v>
          </cell>
          <cell r="Z147" t="str">
            <v>N</v>
          </cell>
          <cell r="AA147" t="str">
            <v>N</v>
          </cell>
          <cell r="AB147" t="str">
            <v>Y</v>
          </cell>
          <cell r="AC147" t="str">
            <v>N</v>
          </cell>
          <cell r="AD147" t="str">
            <v>N</v>
          </cell>
          <cell r="AE147" t="str">
            <v>N</v>
          </cell>
        </row>
        <row r="148">
          <cell r="E148" t="str">
            <v>TXNMY_ELGBL_TRNVR_B</v>
          </cell>
          <cell r="Z148" t="str">
            <v>N</v>
          </cell>
          <cell r="AA148" t="str">
            <v>N</v>
          </cell>
          <cell r="AB148" t="str">
            <v>Y</v>
          </cell>
          <cell r="AC148" t="str">
            <v>N</v>
          </cell>
          <cell r="AD148" t="str">
            <v>N</v>
          </cell>
          <cell r="AE148" t="str">
            <v>N</v>
          </cell>
        </row>
        <row r="149">
          <cell r="E149" t="str">
            <v>TXNMY_ELGBL_CAPEX_CE</v>
          </cell>
          <cell r="Z149" t="str">
            <v>N</v>
          </cell>
          <cell r="AA149" t="str">
            <v>N</v>
          </cell>
          <cell r="AB149" t="str">
            <v>Y</v>
          </cell>
          <cell r="AC149" t="str">
            <v>N</v>
          </cell>
          <cell r="AD149" t="str">
            <v>N</v>
          </cell>
          <cell r="AE149" t="str">
            <v>N</v>
          </cell>
        </row>
        <row r="150">
          <cell r="E150" t="str">
            <v>TXNMY_ELGBL_TRNVR_CE</v>
          </cell>
          <cell r="Z150" t="str">
            <v>N</v>
          </cell>
          <cell r="AA150" t="str">
            <v>N</v>
          </cell>
          <cell r="AB150" t="str">
            <v>Y</v>
          </cell>
          <cell r="AC150" t="str">
            <v>N</v>
          </cell>
          <cell r="AD150" t="str">
            <v>N</v>
          </cell>
          <cell r="AE150" t="str">
            <v>N</v>
          </cell>
        </row>
        <row r="151">
          <cell r="E151" t="str">
            <v>PURE_CAPEX_P</v>
          </cell>
          <cell r="Z151" t="str">
            <v>N</v>
          </cell>
          <cell r="AA151" t="str">
            <v>N</v>
          </cell>
          <cell r="AB151" t="str">
            <v>Y</v>
          </cell>
          <cell r="AC151" t="str">
            <v>N</v>
          </cell>
          <cell r="AD151" t="str">
            <v>N</v>
          </cell>
          <cell r="AE151" t="str">
            <v>N</v>
          </cell>
        </row>
        <row r="152">
          <cell r="E152" t="str">
            <v>PURE_TRNVR_P</v>
          </cell>
          <cell r="Z152" t="str">
            <v>N</v>
          </cell>
          <cell r="AA152" t="str">
            <v>N</v>
          </cell>
          <cell r="AB152" t="str">
            <v>Y</v>
          </cell>
          <cell r="AC152" t="str">
            <v>N</v>
          </cell>
          <cell r="AD152" t="str">
            <v>N</v>
          </cell>
          <cell r="AE152" t="str">
            <v>N</v>
          </cell>
        </row>
        <row r="153">
          <cell r="E153" t="str">
            <v>PURE_CAPEX_B</v>
          </cell>
          <cell r="Z153" t="str">
            <v>N</v>
          </cell>
          <cell r="AA153" t="str">
            <v>N</v>
          </cell>
          <cell r="AB153" t="str">
            <v>Y</v>
          </cell>
          <cell r="AC153" t="str">
            <v>N</v>
          </cell>
          <cell r="AD153" t="str">
            <v>N</v>
          </cell>
          <cell r="AE153" t="str">
            <v>N</v>
          </cell>
        </row>
        <row r="154">
          <cell r="E154" t="str">
            <v>PURE_TRNVR_B</v>
          </cell>
          <cell r="Z154" t="str">
            <v>N</v>
          </cell>
          <cell r="AA154" t="str">
            <v>N</v>
          </cell>
          <cell r="AB154" t="str">
            <v>Y</v>
          </cell>
          <cell r="AC154" t="str">
            <v>N</v>
          </cell>
          <cell r="AD154" t="str">
            <v>N</v>
          </cell>
          <cell r="AE154" t="str">
            <v>N</v>
          </cell>
        </row>
        <row r="155">
          <cell r="E155" t="str">
            <v>PURE_CAPEX_W</v>
          </cell>
          <cell r="Z155" t="str">
            <v>N</v>
          </cell>
          <cell r="AA155" t="str">
            <v>N</v>
          </cell>
          <cell r="AB155" t="str">
            <v>Y</v>
          </cell>
          <cell r="AC155" t="str">
            <v>N</v>
          </cell>
          <cell r="AD155" t="str">
            <v>N</v>
          </cell>
          <cell r="AE155" t="str">
            <v>N</v>
          </cell>
        </row>
        <row r="156">
          <cell r="E156" t="str">
            <v>PURE_TRNVR_W</v>
          </cell>
          <cell r="Z156" t="str">
            <v>N</v>
          </cell>
          <cell r="AA156" t="str">
            <v>N</v>
          </cell>
          <cell r="AB156" t="str">
            <v>Y</v>
          </cell>
          <cell r="AC156" t="str">
            <v>N</v>
          </cell>
          <cell r="AD156" t="str">
            <v>N</v>
          </cell>
          <cell r="AE156" t="str">
            <v>N</v>
          </cell>
        </row>
        <row r="157">
          <cell r="E157" t="str">
            <v>PURE_CAPEX_CE</v>
          </cell>
          <cell r="Z157" t="str">
            <v>N</v>
          </cell>
          <cell r="AA157" t="str">
            <v>N</v>
          </cell>
          <cell r="AB157" t="str">
            <v>Y</v>
          </cell>
          <cell r="AC157" t="str">
            <v>N</v>
          </cell>
          <cell r="AD157" t="str">
            <v>N</v>
          </cell>
          <cell r="AE157" t="str">
            <v>N</v>
          </cell>
        </row>
        <row r="158">
          <cell r="E158" t="str">
            <v>PURE_TRNVR_CE</v>
          </cell>
          <cell r="Z158" t="str">
            <v>N</v>
          </cell>
          <cell r="AA158" t="str">
            <v>N</v>
          </cell>
          <cell r="AB158" t="str">
            <v>Y</v>
          </cell>
          <cell r="AC158" t="str">
            <v>N</v>
          </cell>
          <cell r="AD158" t="str">
            <v>N</v>
          </cell>
          <cell r="AE158" t="str">
            <v>N</v>
          </cell>
        </row>
        <row r="159">
          <cell r="E159" t="str">
            <v>ENBLNG_CAPEX_W</v>
          </cell>
          <cell r="Z159" t="str">
            <v>N</v>
          </cell>
          <cell r="AA159" t="str">
            <v>N</v>
          </cell>
          <cell r="AB159" t="str">
            <v>Y</v>
          </cell>
          <cell r="AC159" t="str">
            <v>N</v>
          </cell>
          <cell r="AD159" t="str">
            <v>N</v>
          </cell>
          <cell r="AE159" t="str">
            <v>N</v>
          </cell>
        </row>
        <row r="160">
          <cell r="E160" t="str">
            <v>ENBLNG_TRNVR_W</v>
          </cell>
          <cell r="Z160" t="str">
            <v>N</v>
          </cell>
          <cell r="AA160" t="str">
            <v>N</v>
          </cell>
          <cell r="AB160" t="str">
            <v>Y</v>
          </cell>
          <cell r="AC160" t="str">
            <v>N</v>
          </cell>
          <cell r="AD160" t="str">
            <v>N</v>
          </cell>
          <cell r="AE160" t="str">
            <v>N</v>
          </cell>
        </row>
        <row r="161">
          <cell r="E161" t="str">
            <v>ENBLNG_CAPEX_CE</v>
          </cell>
          <cell r="Z161" t="str">
            <v>N</v>
          </cell>
          <cell r="AA161" t="str">
            <v>N</v>
          </cell>
          <cell r="AB161" t="str">
            <v>Y</v>
          </cell>
          <cell r="AC161" t="str">
            <v>N</v>
          </cell>
          <cell r="AD161" t="str">
            <v>N</v>
          </cell>
          <cell r="AE161" t="str">
            <v>N</v>
          </cell>
        </row>
        <row r="162">
          <cell r="E162" t="str">
            <v>ENBLNG_TRNVR_CE</v>
          </cell>
          <cell r="Z162" t="str">
            <v>N</v>
          </cell>
          <cell r="AA162" t="str">
            <v>N</v>
          </cell>
          <cell r="AB162" t="str">
            <v>Y</v>
          </cell>
          <cell r="AC162" t="str">
            <v>N</v>
          </cell>
          <cell r="AD162" t="str">
            <v>N</v>
          </cell>
          <cell r="AE162" t="str">
            <v>N</v>
          </cell>
        </row>
        <row r="163">
          <cell r="E163" t="str">
            <v>RORAC</v>
          </cell>
          <cell r="Z163" t="str">
            <v>N</v>
          </cell>
          <cell r="AA163" t="str">
            <v>N</v>
          </cell>
          <cell r="AB163" t="str">
            <v>N</v>
          </cell>
          <cell r="AC163" t="str">
            <v>N</v>
          </cell>
          <cell r="AD163" t="str">
            <v>N</v>
          </cell>
          <cell r="AE163" t="str">
            <v>Y</v>
          </cell>
        </row>
        <row r="164">
          <cell r="E164" t="str">
            <v>GRP_RORAC</v>
          </cell>
          <cell r="Z164" t="str">
            <v>N</v>
          </cell>
          <cell r="AA164" t="str">
            <v>N</v>
          </cell>
          <cell r="AB164" t="str">
            <v>N</v>
          </cell>
          <cell r="AC164" t="str">
            <v>N</v>
          </cell>
          <cell r="AD164" t="str">
            <v>N</v>
          </cell>
          <cell r="AE164" t="str">
            <v>Y</v>
          </cell>
        </row>
        <row r="165">
          <cell r="E165" t="str">
            <v>RORWA</v>
          </cell>
          <cell r="Z165" t="str">
            <v>N</v>
          </cell>
          <cell r="AA165" t="str">
            <v>N</v>
          </cell>
          <cell r="AB165" t="str">
            <v>N</v>
          </cell>
          <cell r="AC165" t="str">
            <v>N</v>
          </cell>
          <cell r="AD165" t="str">
            <v>N</v>
          </cell>
          <cell r="AE165" t="str">
            <v>Y</v>
          </cell>
        </row>
        <row r="166">
          <cell r="E166" t="str">
            <v>GRP_RORWA</v>
          </cell>
          <cell r="Z166" t="str">
            <v>N</v>
          </cell>
          <cell r="AA166" t="str">
            <v>N</v>
          </cell>
          <cell r="AB166" t="str">
            <v>N</v>
          </cell>
          <cell r="AC166" t="str">
            <v>N</v>
          </cell>
          <cell r="AD166" t="str">
            <v>N</v>
          </cell>
          <cell r="AE166" t="str">
            <v>Y</v>
          </cell>
        </row>
        <row r="167">
          <cell r="E167" t="str">
            <v>SCAN</v>
          </cell>
          <cell r="Z167" t="str">
            <v>N</v>
          </cell>
          <cell r="AA167" t="str">
            <v>N</v>
          </cell>
          <cell r="AB167" t="str">
            <v>N</v>
          </cell>
          <cell r="AC167" t="str">
            <v>N</v>
          </cell>
          <cell r="AD167" t="str">
            <v>N</v>
          </cell>
          <cell r="AE167" t="str">
            <v>Y</v>
          </cell>
        </row>
        <row r="168">
          <cell r="E168" t="str">
            <v>TTL_PRMSSBL_DBT_BLNC</v>
          </cell>
          <cell r="Z168" t="str">
            <v>N</v>
          </cell>
          <cell r="AA168" t="str">
            <v>N</v>
          </cell>
          <cell r="AB168" t="str">
            <v>N</v>
          </cell>
          <cell r="AC168" t="str">
            <v>N</v>
          </cell>
          <cell r="AD168" t="str">
            <v>N</v>
          </cell>
          <cell r="AE168" t="str">
            <v>Y</v>
          </cell>
        </row>
        <row r="169">
          <cell r="E169" t="str">
            <v>SSTNBL_CLNT</v>
          </cell>
          <cell r="Z169" t="str">
            <v>N</v>
          </cell>
          <cell r="AA169" t="str">
            <v>Y</v>
          </cell>
          <cell r="AB169" t="str">
            <v>N</v>
          </cell>
          <cell r="AC169" t="str">
            <v>Y</v>
          </cell>
          <cell r="AD169" t="str">
            <v>N</v>
          </cell>
          <cell r="AE169" t="str">
            <v>N</v>
          </cell>
        </row>
        <row r="170">
          <cell r="E170" t="str">
            <v>DT_SSTNBL_CLNT</v>
          </cell>
          <cell r="Z170" t="str">
            <v>N</v>
          </cell>
          <cell r="AA170" t="str">
            <v>Y</v>
          </cell>
          <cell r="AB170" t="str">
            <v>N</v>
          </cell>
          <cell r="AC170" t="str">
            <v>Y</v>
          </cell>
          <cell r="AD170" t="str">
            <v>N</v>
          </cell>
          <cell r="AE170" t="str">
            <v>N</v>
          </cell>
        </row>
        <row r="171">
          <cell r="E171" t="str">
            <v>DT_FNNCL_STTMTS_SSTNBL_CLNT</v>
          </cell>
          <cell r="Z171" t="str">
            <v>N</v>
          </cell>
          <cell r="AA171" t="str">
            <v>Y</v>
          </cell>
          <cell r="AB171" t="str">
            <v>N</v>
          </cell>
          <cell r="AC171" t="str">
            <v>Y</v>
          </cell>
          <cell r="AD171" t="str">
            <v>N</v>
          </cell>
          <cell r="AE171" t="str">
            <v>N</v>
          </cell>
        </row>
        <row r="172">
          <cell r="E172" t="str">
            <v>CNTRPRTY_SSTNBL_CTGRY</v>
          </cell>
          <cell r="Z172" t="str">
            <v>N</v>
          </cell>
          <cell r="AA172" t="str">
            <v>Y</v>
          </cell>
          <cell r="AB172" t="str">
            <v>N</v>
          </cell>
          <cell r="AC172" t="str">
            <v>Y</v>
          </cell>
          <cell r="AD172" t="str">
            <v>N</v>
          </cell>
          <cell r="AE172" t="str">
            <v>N</v>
          </cell>
        </row>
        <row r="173">
          <cell r="E173" t="str">
            <v>COD_SOC</v>
          </cell>
          <cell r="Z173" t="str">
            <v>Y</v>
          </cell>
          <cell r="AA173" t="str">
            <v>N</v>
          </cell>
          <cell r="AB173" t="str">
            <v>Y</v>
          </cell>
          <cell r="AC173" t="str">
            <v>Y</v>
          </cell>
          <cell r="AD173" t="str">
            <v>N</v>
          </cell>
          <cell r="AE173" t="str">
            <v>Y</v>
          </cell>
        </row>
        <row r="174">
          <cell r="E174" t="str">
            <v>DT_RFRNC</v>
          </cell>
          <cell r="Z174" t="str">
            <v>Y</v>
          </cell>
          <cell r="AA174" t="str">
            <v>N</v>
          </cell>
          <cell r="AB174" t="str">
            <v>Y</v>
          </cell>
          <cell r="AC174" t="str">
            <v>Y</v>
          </cell>
          <cell r="AD174" t="str">
            <v>N</v>
          </cell>
          <cell r="AE174" t="str">
            <v>Y</v>
          </cell>
        </row>
        <row r="175">
          <cell r="E175" t="str">
            <v>ENTTY_ID</v>
          </cell>
          <cell r="Z175" t="str">
            <v>Y</v>
          </cell>
          <cell r="AA175" t="str">
            <v>N</v>
          </cell>
          <cell r="AB175" t="str">
            <v>Y</v>
          </cell>
          <cell r="AC175" t="str">
            <v>Y</v>
          </cell>
          <cell r="AD175" t="str">
            <v>N</v>
          </cell>
          <cell r="AE175" t="str">
            <v>Y</v>
          </cell>
        </row>
        <row r="176">
          <cell r="E176" t="str">
            <v>INSTRMNT_ID</v>
          </cell>
          <cell r="Z176" t="str">
            <v>Y</v>
          </cell>
          <cell r="AA176" t="str">
            <v>N</v>
          </cell>
          <cell r="AB176" t="str">
            <v>Y</v>
          </cell>
          <cell r="AC176" t="str">
            <v>Y</v>
          </cell>
          <cell r="AD176" t="str">
            <v>N</v>
          </cell>
          <cell r="AE176" t="str">
            <v>Y</v>
          </cell>
        </row>
        <row r="177">
          <cell r="E177" t="str">
            <v>JNT_LBLTY_AMNT</v>
          </cell>
          <cell r="Z177" t="str">
            <v>Y</v>
          </cell>
          <cell r="AA177" t="str">
            <v>N</v>
          </cell>
          <cell r="AB177" t="str">
            <v>N</v>
          </cell>
          <cell r="AC177" t="str">
            <v>N</v>
          </cell>
          <cell r="AD177" t="str">
            <v>N</v>
          </cell>
          <cell r="AE177" t="str">
            <v>Y</v>
          </cell>
        </row>
        <row r="178">
          <cell r="E178" t="str">
            <v>MN_ENTTY_ID</v>
          </cell>
          <cell r="Z178" t="str">
            <v>Y</v>
          </cell>
          <cell r="AA178" t="str">
            <v>N</v>
          </cell>
          <cell r="AB178" t="str">
            <v>Y</v>
          </cell>
          <cell r="AC178" t="str">
            <v>Y</v>
          </cell>
          <cell r="AD178" t="str">
            <v>N</v>
          </cell>
          <cell r="AE178" t="str">
            <v>Y</v>
          </cell>
        </row>
        <row r="179">
          <cell r="E179" t="str">
            <v>COD_SOC</v>
          </cell>
          <cell r="Z179" t="str">
            <v>Y</v>
          </cell>
          <cell r="AA179" t="str">
            <v>Y</v>
          </cell>
          <cell r="AB179" t="str">
            <v>Y</v>
          </cell>
          <cell r="AC179" t="str">
            <v>Y</v>
          </cell>
          <cell r="AD179" t="str">
            <v>Y</v>
          </cell>
          <cell r="AE179" t="str">
            <v>Y</v>
          </cell>
        </row>
        <row r="180">
          <cell r="E180" t="str">
            <v>SUBPORTFOLIO_ID</v>
          </cell>
          <cell r="Z180" t="str">
            <v>Y</v>
          </cell>
          <cell r="AA180" t="str">
            <v>Y</v>
          </cell>
          <cell r="AB180" t="str">
            <v>Y</v>
          </cell>
          <cell r="AC180" t="str">
            <v>Y</v>
          </cell>
          <cell r="AD180" t="str">
            <v>Y</v>
          </cell>
          <cell r="AE180" t="str">
            <v>Y</v>
          </cell>
        </row>
        <row r="181">
          <cell r="E181" t="str">
            <v>CRE_FNRP18</v>
          </cell>
          <cell r="Z181" t="str">
            <v>Y</v>
          </cell>
          <cell r="AA181" t="str">
            <v>N</v>
          </cell>
          <cell r="AB181" t="str">
            <v>N</v>
          </cell>
          <cell r="AC181" t="str">
            <v>N</v>
          </cell>
          <cell r="AD181" t="str">
            <v>N</v>
          </cell>
          <cell r="AE181" t="str">
            <v>N</v>
          </cell>
        </row>
        <row r="182">
          <cell r="E182" t="str">
            <v>SME_FNRP18</v>
          </cell>
          <cell r="Z182" t="str">
            <v>Y</v>
          </cell>
          <cell r="AA182" t="str">
            <v>N</v>
          </cell>
          <cell r="AB182" t="str">
            <v>N</v>
          </cell>
          <cell r="AC182" t="str">
            <v>N</v>
          </cell>
          <cell r="AD182" t="str">
            <v>N</v>
          </cell>
          <cell r="AE182" t="str">
            <v>N</v>
          </cell>
        </row>
        <row r="183">
          <cell r="E183" t="str">
            <v>RRE_FNRP18</v>
          </cell>
          <cell r="Z183" t="str">
            <v>Y</v>
          </cell>
          <cell r="AA183" t="str">
            <v>N</v>
          </cell>
          <cell r="AB183" t="str">
            <v>N</v>
          </cell>
          <cell r="AC183" t="str">
            <v>N</v>
          </cell>
          <cell r="AD183" t="str">
            <v>N</v>
          </cell>
          <cell r="AE183" t="str">
            <v>N</v>
          </cell>
        </row>
        <row r="184">
          <cell r="E184" t="str">
            <v>CNSMPTN_FNRP18</v>
          </cell>
          <cell r="Z184" t="str">
            <v>Y</v>
          </cell>
          <cell r="AA184" t="str">
            <v>N</v>
          </cell>
          <cell r="AB184" t="str">
            <v>N</v>
          </cell>
          <cell r="AC184" t="str">
            <v>N</v>
          </cell>
          <cell r="AD184" t="str">
            <v>N</v>
          </cell>
          <cell r="AE184" t="str">
            <v>N</v>
          </cell>
        </row>
        <row r="185">
          <cell r="E185" t="str">
            <v>DT_RFRNC</v>
          </cell>
          <cell r="Z185" t="str">
            <v>Y</v>
          </cell>
          <cell r="AA185" t="str">
            <v>Y</v>
          </cell>
          <cell r="AB185" t="str">
            <v>Y</v>
          </cell>
          <cell r="AC185" t="str">
            <v>Y</v>
          </cell>
          <cell r="AD185" t="str">
            <v>Y</v>
          </cell>
          <cell r="AE185" t="str">
            <v>Y</v>
          </cell>
        </row>
        <row r="186">
          <cell r="E186" t="str">
            <v>INSTRMNT_ID</v>
          </cell>
          <cell r="Z186" t="str">
            <v>Y</v>
          </cell>
          <cell r="AA186" t="str">
            <v>Y</v>
          </cell>
          <cell r="AB186" t="str">
            <v>Y</v>
          </cell>
          <cell r="AC186" t="str">
            <v>Y</v>
          </cell>
          <cell r="AD186" t="str">
            <v>Y</v>
          </cell>
          <cell r="AE186" t="str">
            <v>Y</v>
          </cell>
        </row>
        <row r="187">
          <cell r="E187" t="str">
            <v>CNTRCT_ID</v>
          </cell>
          <cell r="Z187" t="str">
            <v>Y</v>
          </cell>
          <cell r="AA187" t="str">
            <v>N</v>
          </cell>
          <cell r="AB187" t="str">
            <v>N</v>
          </cell>
          <cell r="AC187" t="str">
            <v>N</v>
          </cell>
          <cell r="AD187" t="str">
            <v>N</v>
          </cell>
          <cell r="AE187" t="str">
            <v>N</v>
          </cell>
        </row>
        <row r="188">
          <cell r="E188" t="str">
            <v>CRRNCY_DNMNTN</v>
          </cell>
          <cell r="Z188" t="str">
            <v>Y</v>
          </cell>
          <cell r="AA188" t="str">
            <v>N</v>
          </cell>
          <cell r="AB188" t="str">
            <v>N</v>
          </cell>
          <cell r="AC188" t="str">
            <v>Y</v>
          </cell>
          <cell r="AD188" t="str">
            <v>N</v>
          </cell>
          <cell r="AE188" t="str">
            <v>Y</v>
          </cell>
        </row>
        <row r="189">
          <cell r="E189" t="str">
            <v>DT_INCPTN</v>
          </cell>
          <cell r="Z189" t="str">
            <v>Y</v>
          </cell>
          <cell r="AA189" t="str">
            <v>N</v>
          </cell>
          <cell r="AB189" t="str">
            <v>Y</v>
          </cell>
          <cell r="AC189" t="str">
            <v>Y</v>
          </cell>
          <cell r="AD189" t="str">
            <v>N</v>
          </cell>
          <cell r="AE189" t="str">
            <v>Y</v>
          </cell>
        </row>
        <row r="190">
          <cell r="E190" t="str">
            <v>OBSRVD_AGNT_ID</v>
          </cell>
          <cell r="Z190" t="str">
            <v>Y</v>
          </cell>
          <cell r="AA190" t="str">
            <v>N</v>
          </cell>
          <cell r="AB190" t="str">
            <v>N</v>
          </cell>
          <cell r="AC190" t="str">
            <v>N</v>
          </cell>
          <cell r="AD190" t="str">
            <v>N</v>
          </cell>
          <cell r="AE190" t="str">
            <v>Y</v>
          </cell>
        </row>
        <row r="191">
          <cell r="E191" t="str">
            <v>OBSRVD_AGNT_NM</v>
          </cell>
          <cell r="Z191" t="str">
            <v>Y</v>
          </cell>
          <cell r="AA191" t="str">
            <v>N</v>
          </cell>
          <cell r="AB191" t="str">
            <v>N</v>
          </cell>
          <cell r="AC191" t="str">
            <v>N</v>
          </cell>
          <cell r="AD191" t="str">
            <v>N</v>
          </cell>
          <cell r="AE191" t="str">
            <v>Y</v>
          </cell>
        </row>
        <row r="192">
          <cell r="E192" t="str">
            <v>PRDCT</v>
          </cell>
          <cell r="Z192" t="str">
            <v>Y</v>
          </cell>
          <cell r="AA192" t="str">
            <v>N</v>
          </cell>
          <cell r="AB192" t="str">
            <v>N</v>
          </cell>
          <cell r="AC192" t="str">
            <v>Y</v>
          </cell>
          <cell r="AD192" t="str">
            <v>N</v>
          </cell>
          <cell r="AE192" t="str">
            <v>N</v>
          </cell>
        </row>
        <row r="193">
          <cell r="E193" t="str">
            <v>BRCHD_CVNNTS</v>
          </cell>
          <cell r="Z193" t="str">
            <v>Y</v>
          </cell>
          <cell r="AA193" t="str">
            <v>N</v>
          </cell>
          <cell r="AB193" t="str">
            <v>N</v>
          </cell>
          <cell r="AC193" t="str">
            <v>N</v>
          </cell>
          <cell r="AD193" t="str">
            <v>N</v>
          </cell>
          <cell r="AE193" t="str">
            <v>Y</v>
          </cell>
        </row>
        <row r="194">
          <cell r="E194" t="str">
            <v>CHNNL_ORGNTN</v>
          </cell>
          <cell r="Z194" t="str">
            <v>Y</v>
          </cell>
          <cell r="AA194" t="str">
            <v>N</v>
          </cell>
          <cell r="AB194" t="str">
            <v>N</v>
          </cell>
          <cell r="AC194" t="str">
            <v>Y</v>
          </cell>
          <cell r="AD194" t="str">
            <v>N</v>
          </cell>
          <cell r="AE194" t="str">
            <v>N</v>
          </cell>
        </row>
        <row r="195">
          <cell r="E195" t="str">
            <v>CSH_SWP_TRP</v>
          </cell>
          <cell r="Z195" t="str">
            <v>Y</v>
          </cell>
          <cell r="AA195" t="str">
            <v>N</v>
          </cell>
          <cell r="AB195" t="str">
            <v>N</v>
          </cell>
          <cell r="AC195" t="str">
            <v>N</v>
          </cell>
          <cell r="AD195" t="str">
            <v>N</v>
          </cell>
          <cell r="AE195" t="str">
            <v>Y</v>
          </cell>
        </row>
        <row r="196">
          <cell r="E196" t="str">
            <v>CVNNT_STTS</v>
          </cell>
          <cell r="Z196" t="str">
            <v>Y</v>
          </cell>
          <cell r="AA196" t="str">
            <v>N</v>
          </cell>
          <cell r="AB196" t="str">
            <v>N</v>
          </cell>
          <cell r="AC196" t="str">
            <v>N</v>
          </cell>
          <cell r="AD196" t="str">
            <v>N</v>
          </cell>
          <cell r="AE196" t="str">
            <v>Y</v>
          </cell>
        </row>
        <row r="197">
          <cell r="E197" t="str">
            <v>CVNNT_TYP</v>
          </cell>
          <cell r="Z197" t="str">
            <v>Y</v>
          </cell>
          <cell r="AA197" t="str">
            <v>N</v>
          </cell>
          <cell r="AB197" t="str">
            <v>N</v>
          </cell>
          <cell r="AC197" t="str">
            <v>N</v>
          </cell>
          <cell r="AD197" t="str">
            <v>N</v>
          </cell>
          <cell r="AE197" t="str">
            <v>Y</v>
          </cell>
        </row>
        <row r="198">
          <cell r="E198" t="str">
            <v>DFLT_STTS_INSTRMNT</v>
          </cell>
          <cell r="Z198" t="str">
            <v>Y</v>
          </cell>
          <cell r="AA198" t="str">
            <v>Y</v>
          </cell>
          <cell r="AB198" t="str">
            <v>Y</v>
          </cell>
          <cell r="AC198" t="str">
            <v>Y</v>
          </cell>
          <cell r="AD198" t="str">
            <v>N</v>
          </cell>
          <cell r="AE198" t="str">
            <v>Y</v>
          </cell>
        </row>
        <row r="199">
          <cell r="E199" t="str">
            <v>DT_DFLT_STTS_INSTRMNT</v>
          </cell>
          <cell r="Z199" t="str">
            <v>Y</v>
          </cell>
          <cell r="AA199" t="str">
            <v>N</v>
          </cell>
          <cell r="AB199" t="str">
            <v>N</v>
          </cell>
          <cell r="AC199" t="str">
            <v>N</v>
          </cell>
          <cell r="AD199" t="str">
            <v>N</v>
          </cell>
          <cell r="AE199" t="str">
            <v>Y</v>
          </cell>
        </row>
        <row r="200">
          <cell r="E200" t="str">
            <v>DT_END_GP_PPAL</v>
          </cell>
          <cell r="Z200" t="str">
            <v>Y</v>
          </cell>
          <cell r="AA200" t="str">
            <v>N</v>
          </cell>
          <cell r="AB200" t="str">
            <v>N</v>
          </cell>
          <cell r="AC200" t="str">
            <v>N</v>
          </cell>
          <cell r="AD200" t="str">
            <v>N</v>
          </cell>
          <cell r="AE200" t="str">
            <v>N</v>
          </cell>
        </row>
        <row r="201">
          <cell r="E201" t="str">
            <v>DT_END_INTRST_ONLY</v>
          </cell>
          <cell r="Z201" t="str">
            <v>Y</v>
          </cell>
          <cell r="AA201" t="str">
            <v>N</v>
          </cell>
          <cell r="AB201" t="str">
            <v>N</v>
          </cell>
          <cell r="AC201" t="str">
            <v>N</v>
          </cell>
          <cell r="AD201" t="str">
            <v>N</v>
          </cell>
          <cell r="AE201" t="str">
            <v>N</v>
          </cell>
        </row>
        <row r="202">
          <cell r="E202" t="str">
            <v>DT_FRBRNC_STTS</v>
          </cell>
          <cell r="Z202" t="str">
            <v>Y</v>
          </cell>
          <cell r="AA202" t="str">
            <v>N</v>
          </cell>
          <cell r="AB202" t="str">
            <v>N</v>
          </cell>
          <cell r="AC202" t="str">
            <v>N</v>
          </cell>
          <cell r="AD202" t="str">
            <v>N</v>
          </cell>
          <cell r="AE202" t="str">
            <v>Y</v>
          </cell>
        </row>
        <row r="203">
          <cell r="E203" t="str">
            <v>DT_FRBRNC_STTS_PRVS</v>
          </cell>
          <cell r="Z203" t="str">
            <v>Y</v>
          </cell>
          <cell r="AA203" t="str">
            <v>N</v>
          </cell>
          <cell r="AB203" t="str">
            <v>N</v>
          </cell>
          <cell r="AC203" t="str">
            <v>N</v>
          </cell>
          <cell r="AD203" t="str">
            <v>N</v>
          </cell>
          <cell r="AE203" t="str">
            <v>N</v>
          </cell>
        </row>
        <row r="204">
          <cell r="E204" t="str">
            <v>DT_INTRNL_RTNG</v>
          </cell>
          <cell r="Z204" t="str">
            <v>Y</v>
          </cell>
          <cell r="AA204" t="str">
            <v>N</v>
          </cell>
          <cell r="AB204" t="str">
            <v>N</v>
          </cell>
          <cell r="AC204" t="str">
            <v>N</v>
          </cell>
          <cell r="AD204" t="str">
            <v>N</v>
          </cell>
          <cell r="AE204" t="str">
            <v>Y</v>
          </cell>
        </row>
        <row r="205">
          <cell r="E205" t="str">
            <v>DT_PRFRMNG_STTS</v>
          </cell>
          <cell r="Z205" t="str">
            <v>Y</v>
          </cell>
          <cell r="AA205" t="str">
            <v>N</v>
          </cell>
          <cell r="AB205" t="str">
            <v>N</v>
          </cell>
          <cell r="AC205" t="str">
            <v>N</v>
          </cell>
          <cell r="AD205" t="str">
            <v>N</v>
          </cell>
          <cell r="AE205" t="str">
            <v>Y</v>
          </cell>
        </row>
        <row r="206">
          <cell r="E206" t="str">
            <v>DT_PRFRMNG_STTS_PRVS</v>
          </cell>
          <cell r="Z206" t="str">
            <v>Y</v>
          </cell>
          <cell r="AA206" t="str">
            <v>N</v>
          </cell>
          <cell r="AB206" t="str">
            <v>N</v>
          </cell>
          <cell r="AC206" t="str">
            <v>N</v>
          </cell>
          <cell r="AD206" t="str">
            <v>N</v>
          </cell>
          <cell r="AE206" t="str">
            <v>Y</v>
          </cell>
        </row>
        <row r="207">
          <cell r="E207" t="str">
            <v>DT_STRT_INTRST_ONLY</v>
          </cell>
          <cell r="Z207" t="str">
            <v>Y</v>
          </cell>
          <cell r="AA207" t="str">
            <v>N</v>
          </cell>
          <cell r="AB207" t="str">
            <v>N</v>
          </cell>
          <cell r="AC207" t="str">
            <v>N</v>
          </cell>
          <cell r="AD207" t="str">
            <v>N</v>
          </cell>
          <cell r="AE207" t="str">
            <v>N</v>
          </cell>
        </row>
        <row r="208">
          <cell r="E208" t="str">
            <v>EXPSR_IN_SCP</v>
          </cell>
          <cell r="Z208" t="str">
            <v>Y</v>
          </cell>
          <cell r="AA208" t="str">
            <v>N</v>
          </cell>
          <cell r="AB208" t="str">
            <v>N</v>
          </cell>
          <cell r="AC208" t="str">
            <v>N</v>
          </cell>
          <cell r="AD208" t="str">
            <v>N</v>
          </cell>
          <cell r="AE208" t="str">
            <v>Y</v>
          </cell>
        </row>
        <row r="209">
          <cell r="E209" t="str">
            <v>FLD_SYNDCTN</v>
          </cell>
          <cell r="Z209" t="str">
            <v>Y</v>
          </cell>
          <cell r="AA209" t="str">
            <v>N</v>
          </cell>
          <cell r="AB209" t="str">
            <v>N</v>
          </cell>
          <cell r="AC209" t="str">
            <v>N</v>
          </cell>
          <cell r="AD209" t="str">
            <v>N</v>
          </cell>
          <cell r="AE209" t="str">
            <v>Y</v>
          </cell>
        </row>
        <row r="210">
          <cell r="E210" t="str">
            <v>FLG_LBO</v>
          </cell>
          <cell r="Z210" t="str">
            <v>Y</v>
          </cell>
          <cell r="AA210" t="str">
            <v>N</v>
          </cell>
          <cell r="AB210" t="str">
            <v>N</v>
          </cell>
          <cell r="AC210" t="str">
            <v>N</v>
          </cell>
          <cell r="AD210" t="str">
            <v>N</v>
          </cell>
          <cell r="AE210" t="str">
            <v>Y</v>
          </cell>
        </row>
        <row r="211">
          <cell r="E211" t="str">
            <v>FRBRNC_STTS_INSTRMNT</v>
          </cell>
          <cell r="Z211" t="str">
            <v>Y</v>
          </cell>
          <cell r="AA211" t="str">
            <v>N</v>
          </cell>
          <cell r="AB211" t="str">
            <v>Y</v>
          </cell>
          <cell r="AC211" t="str">
            <v>N</v>
          </cell>
          <cell r="AD211" t="str">
            <v>N</v>
          </cell>
          <cell r="AE211" t="str">
            <v>Y</v>
          </cell>
        </row>
        <row r="212">
          <cell r="E212" t="str">
            <v>IMPRMNT_STTS</v>
          </cell>
          <cell r="Z212" t="str">
            <v>Y</v>
          </cell>
          <cell r="AA212" t="str">
            <v>Y</v>
          </cell>
          <cell r="AB212" t="str">
            <v>Y</v>
          </cell>
          <cell r="AC212" t="str">
            <v>N</v>
          </cell>
          <cell r="AD212" t="str">
            <v>N</v>
          </cell>
          <cell r="AE212" t="str">
            <v>Y</v>
          </cell>
        </row>
        <row r="213">
          <cell r="E213" t="str">
            <v>IMPRMNT_STTS_PRVS</v>
          </cell>
          <cell r="Z213" t="str">
            <v>Y</v>
          </cell>
          <cell r="AA213" t="str">
            <v>N</v>
          </cell>
          <cell r="AB213" t="str">
            <v>N</v>
          </cell>
          <cell r="AC213" t="str">
            <v>N</v>
          </cell>
          <cell r="AD213" t="str">
            <v>N</v>
          </cell>
          <cell r="AE213" t="str">
            <v>Y</v>
          </cell>
        </row>
        <row r="214">
          <cell r="E214" t="str">
            <v>INTRNL_RTNG</v>
          </cell>
          <cell r="Z214" t="str">
            <v>Y</v>
          </cell>
          <cell r="AA214" t="str">
            <v>N</v>
          </cell>
          <cell r="AB214" t="str">
            <v>N</v>
          </cell>
          <cell r="AC214" t="str">
            <v>N</v>
          </cell>
          <cell r="AD214" t="str">
            <v>N</v>
          </cell>
          <cell r="AE214" t="str">
            <v>Y</v>
          </cell>
        </row>
        <row r="215">
          <cell r="E215" t="str">
            <v>INTRNL_RTNG_INCPTN</v>
          </cell>
          <cell r="Z215" t="str">
            <v>Y</v>
          </cell>
          <cell r="AA215" t="str">
            <v>N</v>
          </cell>
          <cell r="AB215" t="str">
            <v>N</v>
          </cell>
          <cell r="AC215" t="str">
            <v>N</v>
          </cell>
          <cell r="AD215" t="str">
            <v>N</v>
          </cell>
          <cell r="AE215" t="str">
            <v>Y</v>
          </cell>
        </row>
        <row r="216">
          <cell r="E216" t="str">
            <v>INTRNL_SGMNT</v>
          </cell>
          <cell r="Z216" t="str">
            <v>Y</v>
          </cell>
          <cell r="AA216" t="str">
            <v>N</v>
          </cell>
          <cell r="AB216" t="str">
            <v>N</v>
          </cell>
          <cell r="AC216" t="str">
            <v>N</v>
          </cell>
          <cell r="AD216" t="str">
            <v>Y</v>
          </cell>
          <cell r="AE216" t="str">
            <v>Y</v>
          </cell>
        </row>
        <row r="217">
          <cell r="E217" t="str">
            <v>INTRNL_UNT</v>
          </cell>
          <cell r="Z217" t="str">
            <v>Y</v>
          </cell>
          <cell r="AA217" t="str">
            <v>N</v>
          </cell>
          <cell r="AB217" t="str">
            <v>N</v>
          </cell>
          <cell r="AC217" t="str">
            <v>N</v>
          </cell>
          <cell r="AD217" t="str">
            <v>N</v>
          </cell>
          <cell r="AE217" t="str">
            <v>Y</v>
          </cell>
        </row>
        <row r="218">
          <cell r="E218" t="str">
            <v>LCRE</v>
          </cell>
          <cell r="Z218" t="str">
            <v>Y</v>
          </cell>
          <cell r="AA218" t="str">
            <v>N</v>
          </cell>
          <cell r="AB218" t="str">
            <v>N</v>
          </cell>
          <cell r="AC218" t="str">
            <v>N</v>
          </cell>
          <cell r="AD218" t="str">
            <v>N</v>
          </cell>
          <cell r="AE218" t="str">
            <v>N</v>
          </cell>
        </row>
        <row r="219">
          <cell r="E219" t="str">
            <v>LGL_PRCDNG_STTS</v>
          </cell>
          <cell r="Z219" t="str">
            <v>Y</v>
          </cell>
          <cell r="AA219" t="str">
            <v>N</v>
          </cell>
          <cell r="AB219" t="str">
            <v>N</v>
          </cell>
          <cell r="AC219" t="str">
            <v>N</v>
          </cell>
          <cell r="AD219" t="str">
            <v>N</v>
          </cell>
          <cell r="AE219" t="str">
            <v>N</v>
          </cell>
        </row>
        <row r="220">
          <cell r="E220" t="str">
            <v>LND_DRGTN</v>
          </cell>
          <cell r="Z220" t="str">
            <v>Y</v>
          </cell>
          <cell r="AA220" t="str">
            <v>N</v>
          </cell>
          <cell r="AB220" t="str">
            <v>N</v>
          </cell>
          <cell r="AC220" t="str">
            <v>N</v>
          </cell>
          <cell r="AD220" t="str">
            <v>N</v>
          </cell>
          <cell r="AE220" t="str">
            <v>N</v>
          </cell>
        </row>
        <row r="221">
          <cell r="E221" t="str">
            <v>POCI</v>
          </cell>
          <cell r="Z221" t="str">
            <v>Y</v>
          </cell>
          <cell r="AA221" t="str">
            <v>N</v>
          </cell>
          <cell r="AB221" t="str">
            <v>N</v>
          </cell>
          <cell r="AC221" t="str">
            <v>N</v>
          </cell>
          <cell r="AD221" t="str">
            <v>N</v>
          </cell>
          <cell r="AE221" t="str">
            <v>N</v>
          </cell>
        </row>
        <row r="222">
          <cell r="E222" t="str">
            <v>PRFRMNG_STTS</v>
          </cell>
          <cell r="Z222" t="str">
            <v>Y</v>
          </cell>
          <cell r="AA222" t="str">
            <v>Y</v>
          </cell>
          <cell r="AB222" t="str">
            <v>Y</v>
          </cell>
          <cell r="AC222" t="str">
            <v>N</v>
          </cell>
          <cell r="AD222" t="str">
            <v>N</v>
          </cell>
          <cell r="AE222" t="str">
            <v>Y</v>
          </cell>
        </row>
        <row r="223">
          <cell r="E223" t="str">
            <v>PRFRMNG_STTS_PRVS</v>
          </cell>
          <cell r="Z223" t="str">
            <v>Y</v>
          </cell>
          <cell r="AA223" t="str">
            <v>N</v>
          </cell>
          <cell r="AB223" t="str">
            <v>N</v>
          </cell>
          <cell r="AC223" t="str">
            <v>N</v>
          </cell>
          <cell r="AD223" t="str">
            <v>N</v>
          </cell>
          <cell r="AE223" t="str">
            <v>Y</v>
          </cell>
        </row>
        <row r="224">
          <cell r="E224" t="str">
            <v>PRJCT_FNNC_LN</v>
          </cell>
          <cell r="Z224" t="str">
            <v>Y</v>
          </cell>
          <cell r="AA224" t="str">
            <v>N</v>
          </cell>
          <cell r="AB224" t="str">
            <v>Y</v>
          </cell>
          <cell r="AC224" t="str">
            <v>N</v>
          </cell>
          <cell r="AD224" t="str">
            <v>N</v>
          </cell>
          <cell r="AE224" t="str">
            <v>N</v>
          </cell>
        </row>
        <row r="225">
          <cell r="E225" t="str">
            <v>PRPS</v>
          </cell>
          <cell r="Z225" t="str">
            <v>Y</v>
          </cell>
          <cell r="AA225" t="str">
            <v>N</v>
          </cell>
          <cell r="AB225" t="str">
            <v>N</v>
          </cell>
          <cell r="AC225" t="str">
            <v>N</v>
          </cell>
          <cell r="AD225" t="str">
            <v>N</v>
          </cell>
          <cell r="AE225" t="str">
            <v>Y</v>
          </cell>
        </row>
        <row r="226">
          <cell r="E226" t="str">
            <v>PYMNT_INTRST_ONLY</v>
          </cell>
          <cell r="Z226" t="str">
            <v>Y</v>
          </cell>
          <cell r="AA226" t="str">
            <v>N</v>
          </cell>
          <cell r="AB226" t="str">
            <v>N</v>
          </cell>
          <cell r="AC226" t="str">
            <v>N</v>
          </cell>
          <cell r="AD226" t="str">
            <v>N</v>
          </cell>
          <cell r="AE226" t="str">
            <v>Y</v>
          </cell>
        </row>
        <row r="227">
          <cell r="E227" t="str">
            <v>RCRS</v>
          </cell>
          <cell r="Z227" t="str">
            <v>Y</v>
          </cell>
          <cell r="AA227" t="str">
            <v>N</v>
          </cell>
          <cell r="AB227" t="str">
            <v>N</v>
          </cell>
          <cell r="AC227" t="str">
            <v>N</v>
          </cell>
          <cell r="AD227" t="str">
            <v>N</v>
          </cell>
          <cell r="AE227" t="str">
            <v>N</v>
          </cell>
        </row>
        <row r="228">
          <cell r="E228" t="str">
            <v>RFNNC_PRPS</v>
          </cell>
          <cell r="Z228" t="str">
            <v>Y</v>
          </cell>
          <cell r="AA228" t="str">
            <v>N</v>
          </cell>
          <cell r="AB228" t="str">
            <v>N</v>
          </cell>
          <cell r="AC228" t="str">
            <v>N</v>
          </cell>
          <cell r="AD228" t="str">
            <v>N</v>
          </cell>
          <cell r="AE228" t="str">
            <v>N</v>
          </cell>
        </row>
        <row r="229">
          <cell r="E229" t="str">
            <v>SPCLTV_LNDNG</v>
          </cell>
          <cell r="Z229" t="str">
            <v>Y</v>
          </cell>
          <cell r="AA229" t="str">
            <v>N</v>
          </cell>
          <cell r="AB229" t="str">
            <v>N</v>
          </cell>
          <cell r="AC229" t="str">
            <v>N</v>
          </cell>
          <cell r="AD229" t="str">
            <v>N</v>
          </cell>
          <cell r="AE229" t="str">
            <v>N</v>
          </cell>
        </row>
        <row r="230">
          <cell r="E230" t="str">
            <v>STTS_UNDRWRTTN_TRNSCTN</v>
          </cell>
          <cell r="Z230" t="str">
            <v>Y</v>
          </cell>
          <cell r="AA230" t="str">
            <v>N</v>
          </cell>
          <cell r="AB230" t="str">
            <v>N</v>
          </cell>
          <cell r="AC230" t="str">
            <v>N</v>
          </cell>
          <cell r="AD230" t="str">
            <v>N</v>
          </cell>
          <cell r="AE230" t="str">
            <v>Y</v>
          </cell>
        </row>
        <row r="231">
          <cell r="E231" t="str">
            <v>TRNCH</v>
          </cell>
          <cell r="Z231" t="str">
            <v>Y</v>
          </cell>
          <cell r="AA231" t="str">
            <v>N</v>
          </cell>
          <cell r="AB231" t="str">
            <v>N</v>
          </cell>
          <cell r="AC231" t="str">
            <v>N</v>
          </cell>
          <cell r="AD231" t="str">
            <v>N</v>
          </cell>
          <cell r="AE231" t="str">
            <v>Y</v>
          </cell>
        </row>
        <row r="232">
          <cell r="E232" t="str">
            <v>TYP_AMRTSTN</v>
          </cell>
          <cell r="Z232" t="str">
            <v>Y</v>
          </cell>
          <cell r="AA232" t="str">
            <v>N</v>
          </cell>
          <cell r="AB232" t="str">
            <v>N</v>
          </cell>
          <cell r="AC232" t="str">
            <v>N</v>
          </cell>
          <cell r="AD232" t="str">
            <v>N</v>
          </cell>
          <cell r="AE232" t="str">
            <v>Y</v>
          </cell>
        </row>
        <row r="233">
          <cell r="E233" t="str">
            <v>TYP_INSTRMNT</v>
          </cell>
          <cell r="Z233" t="str">
            <v>Y</v>
          </cell>
          <cell r="AA233" t="str">
            <v>Y</v>
          </cell>
          <cell r="AB233" t="str">
            <v>Y</v>
          </cell>
          <cell r="AC233" t="str">
            <v>N</v>
          </cell>
          <cell r="AD233" t="str">
            <v>N</v>
          </cell>
          <cell r="AE233" t="str">
            <v>Y</v>
          </cell>
        </row>
        <row r="234">
          <cell r="E234" t="str">
            <v>TYP_INTRST_RT</v>
          </cell>
          <cell r="Z234" t="str">
            <v>Y</v>
          </cell>
          <cell r="AA234" t="str">
            <v>N</v>
          </cell>
          <cell r="AB234" t="str">
            <v>N</v>
          </cell>
          <cell r="AC234" t="str">
            <v>N</v>
          </cell>
          <cell r="AD234" t="str">
            <v>N</v>
          </cell>
          <cell r="AE234" t="str">
            <v>N</v>
          </cell>
        </row>
        <row r="235">
          <cell r="E235" t="str">
            <v>TYP_MRTGG</v>
          </cell>
          <cell r="Z235" t="str">
            <v>Y</v>
          </cell>
          <cell r="AA235" t="str">
            <v>N</v>
          </cell>
          <cell r="AB235" t="str">
            <v>N</v>
          </cell>
          <cell r="AC235" t="str">
            <v>N</v>
          </cell>
          <cell r="AD235" t="str">
            <v>N</v>
          </cell>
          <cell r="AE235" t="str">
            <v>N</v>
          </cell>
        </row>
        <row r="236">
          <cell r="E236" t="str">
            <v>TYP_CRE_OPRTN</v>
          </cell>
          <cell r="Z236" t="str">
            <v>Y</v>
          </cell>
          <cell r="AA236" t="str">
            <v>N</v>
          </cell>
          <cell r="AB236" t="str">
            <v>N</v>
          </cell>
          <cell r="AC236" t="str">
            <v>N</v>
          </cell>
          <cell r="AD236" t="str">
            <v>N</v>
          </cell>
          <cell r="AE236" t="str">
            <v>N</v>
          </cell>
        </row>
        <row r="237">
          <cell r="E237" t="str">
            <v>DT_STRT_GP_PPAL</v>
          </cell>
          <cell r="Z237" t="str">
            <v>Y</v>
          </cell>
          <cell r="AA237" t="str">
            <v>N</v>
          </cell>
          <cell r="AB237" t="str">
            <v>N</v>
          </cell>
          <cell r="AC237" t="str">
            <v>N</v>
          </cell>
          <cell r="AD237" t="str">
            <v>N</v>
          </cell>
          <cell r="AE237" t="str">
            <v>N</v>
          </cell>
        </row>
        <row r="238">
          <cell r="E238" t="str">
            <v>GRSS_CRRYNG_AMNT_INSTRMNT</v>
          </cell>
          <cell r="Z238" t="str">
            <v>Y</v>
          </cell>
          <cell r="AA238" t="str">
            <v>Y</v>
          </cell>
          <cell r="AB238" t="str">
            <v>Y</v>
          </cell>
          <cell r="AC238" t="str">
            <v>Y</v>
          </cell>
          <cell r="AD238" t="str">
            <v>Y</v>
          </cell>
          <cell r="AE238" t="str">
            <v>Y</v>
          </cell>
        </row>
        <row r="239">
          <cell r="E239" t="str">
            <v>ACCMLTD_CHNGS_FV_CR_INSTRMNT</v>
          </cell>
          <cell r="Z239" t="str">
            <v>Y</v>
          </cell>
          <cell r="AA239" t="str">
            <v>Y</v>
          </cell>
          <cell r="AB239" t="str">
            <v>Y</v>
          </cell>
          <cell r="AC239" t="str">
            <v>Y</v>
          </cell>
          <cell r="AD239" t="str">
            <v>N</v>
          </cell>
          <cell r="AE239" t="str">
            <v>Y</v>
          </cell>
        </row>
        <row r="240">
          <cell r="E240" t="str">
            <v>ACCNTNG_CLSSFCTN</v>
          </cell>
          <cell r="Z240" t="str">
            <v>Y</v>
          </cell>
          <cell r="AA240" t="str">
            <v>Y</v>
          </cell>
          <cell r="AB240" t="str">
            <v>Y</v>
          </cell>
          <cell r="AC240" t="str">
            <v>N</v>
          </cell>
          <cell r="AD240" t="str">
            <v>N</v>
          </cell>
          <cell r="AE240" t="str">
            <v>Y</v>
          </cell>
        </row>
        <row r="241">
          <cell r="E241" t="str">
            <v>ACCRD_INTRST_INSTRMNT</v>
          </cell>
          <cell r="Z241" t="str">
            <v>Y</v>
          </cell>
          <cell r="AA241" t="str">
            <v>N</v>
          </cell>
          <cell r="AB241" t="str">
            <v>N</v>
          </cell>
          <cell r="AC241" t="str">
            <v>N</v>
          </cell>
          <cell r="AD241" t="str">
            <v>N</v>
          </cell>
          <cell r="AE241" t="str">
            <v>Y</v>
          </cell>
        </row>
        <row r="242">
          <cell r="E242" t="str">
            <v>AMNT_D_AT_MTRTY</v>
          </cell>
          <cell r="Z242" t="str">
            <v>Y</v>
          </cell>
          <cell r="AA242" t="str">
            <v>N</v>
          </cell>
          <cell r="AB242" t="str">
            <v>N</v>
          </cell>
          <cell r="AC242" t="str">
            <v>N</v>
          </cell>
          <cell r="AD242" t="str">
            <v>N</v>
          </cell>
          <cell r="AE242" t="str">
            <v>Y</v>
          </cell>
        </row>
        <row r="243">
          <cell r="E243" t="str">
            <v>CCF</v>
          </cell>
          <cell r="Z243" t="str">
            <v>Y</v>
          </cell>
          <cell r="AA243" t="str">
            <v>Y</v>
          </cell>
          <cell r="AB243" t="str">
            <v>N</v>
          </cell>
          <cell r="AC243" t="str">
            <v>N</v>
          </cell>
          <cell r="AD243" t="str">
            <v>N</v>
          </cell>
          <cell r="AE243" t="str">
            <v>Y</v>
          </cell>
        </row>
        <row r="244">
          <cell r="E244" t="str">
            <v>CMMTMNT_INCPTN_INSTRMNT</v>
          </cell>
          <cell r="Z244" t="str">
            <v>Y</v>
          </cell>
          <cell r="AA244" t="str">
            <v>N</v>
          </cell>
          <cell r="AB244" t="str">
            <v>N</v>
          </cell>
          <cell r="AC244" t="str">
            <v>Y</v>
          </cell>
          <cell r="AD244" t="str">
            <v>N</v>
          </cell>
          <cell r="AE244" t="str">
            <v>Y</v>
          </cell>
        </row>
        <row r="245">
          <cell r="E245" t="str">
            <v>CMMTMNT_INSTRMNT</v>
          </cell>
          <cell r="Z245" t="str">
            <v>Y</v>
          </cell>
          <cell r="AA245" t="str">
            <v>N</v>
          </cell>
          <cell r="AB245" t="str">
            <v>N</v>
          </cell>
          <cell r="AC245" t="str">
            <v>Y</v>
          </cell>
          <cell r="AD245" t="str">
            <v>N</v>
          </cell>
          <cell r="AE245" t="str">
            <v>Y</v>
          </cell>
        </row>
        <row r="246">
          <cell r="E246" t="str">
            <v>CRRYNG_AMNT_INSTRMNT</v>
          </cell>
          <cell r="Z246" t="str">
            <v>Y</v>
          </cell>
          <cell r="AA246" t="str">
            <v>N</v>
          </cell>
          <cell r="AB246" t="str">
            <v>N</v>
          </cell>
          <cell r="AC246" t="str">
            <v>N</v>
          </cell>
          <cell r="AD246" t="str">
            <v>N</v>
          </cell>
          <cell r="AE246" t="str">
            <v>Y</v>
          </cell>
        </row>
        <row r="247">
          <cell r="E247" t="str">
            <v>DBT_YLD</v>
          </cell>
          <cell r="Z247" t="str">
            <v>Y</v>
          </cell>
          <cell r="AA247" t="str">
            <v>N</v>
          </cell>
          <cell r="AB247" t="str">
            <v>N</v>
          </cell>
          <cell r="AC247" t="str">
            <v>N</v>
          </cell>
          <cell r="AD247" t="str">
            <v>N</v>
          </cell>
          <cell r="AE247" t="str">
            <v>N</v>
          </cell>
        </row>
        <row r="248">
          <cell r="E248" t="str">
            <v>DT_LGL_FNL_MTRTY</v>
          </cell>
          <cell r="Z248" t="str">
            <v>Y</v>
          </cell>
          <cell r="AA248" t="str">
            <v>N</v>
          </cell>
          <cell r="AB248" t="str">
            <v>Y</v>
          </cell>
          <cell r="AC248" t="str">
            <v>Y</v>
          </cell>
          <cell r="AD248" t="str">
            <v>N</v>
          </cell>
          <cell r="AE248" t="str">
            <v>Y</v>
          </cell>
        </row>
        <row r="249">
          <cell r="E249" t="str">
            <v>DT_NXT_INTRST_RT_RST</v>
          </cell>
          <cell r="Z249" t="str">
            <v>Y</v>
          </cell>
          <cell r="AA249" t="str">
            <v>N</v>
          </cell>
          <cell r="AB249" t="str">
            <v>N</v>
          </cell>
          <cell r="AC249" t="str">
            <v>N</v>
          </cell>
          <cell r="AD249" t="str">
            <v>N</v>
          </cell>
          <cell r="AE249" t="str">
            <v>N</v>
          </cell>
        </row>
        <row r="250">
          <cell r="E250" t="str">
            <v>DT_ORGNL_MTRTY</v>
          </cell>
          <cell r="Z250" t="str">
            <v>Y</v>
          </cell>
          <cell r="AA250" t="str">
            <v>N</v>
          </cell>
          <cell r="AB250" t="str">
            <v>Y</v>
          </cell>
          <cell r="AC250" t="str">
            <v>Y</v>
          </cell>
          <cell r="AD250" t="str">
            <v>N</v>
          </cell>
          <cell r="AE250" t="str">
            <v>Y</v>
          </cell>
        </row>
        <row r="251">
          <cell r="E251" t="str">
            <v>IFRS9_BHVRL_MTRTY</v>
          </cell>
          <cell r="Z251" t="str">
            <v>Y</v>
          </cell>
          <cell r="AA251" t="str">
            <v>N</v>
          </cell>
          <cell r="AB251" t="str">
            <v>N</v>
          </cell>
          <cell r="AC251" t="str">
            <v>N</v>
          </cell>
          <cell r="AD251" t="str">
            <v>N</v>
          </cell>
          <cell r="AE251" t="str">
            <v>Y</v>
          </cell>
        </row>
        <row r="252">
          <cell r="E252" t="str">
            <v>EAD</v>
          </cell>
          <cell r="Z252" t="str">
            <v>Y</v>
          </cell>
          <cell r="AA252" t="str">
            <v>Y</v>
          </cell>
          <cell r="AB252" t="str">
            <v>N</v>
          </cell>
          <cell r="AC252" t="str">
            <v>N</v>
          </cell>
          <cell r="AD252" t="str">
            <v>Y</v>
          </cell>
          <cell r="AE252" t="str">
            <v>Y</v>
          </cell>
        </row>
        <row r="253">
          <cell r="E253" t="str">
            <v>IFRS9_CCF</v>
          </cell>
          <cell r="Z253" t="str">
            <v>Y</v>
          </cell>
          <cell r="AA253" t="str">
            <v>N</v>
          </cell>
          <cell r="AB253" t="str">
            <v>N</v>
          </cell>
          <cell r="AC253" t="str">
            <v>N</v>
          </cell>
          <cell r="AD253" t="str">
            <v>N</v>
          </cell>
          <cell r="AE253" t="str">
            <v>N</v>
          </cell>
        </row>
        <row r="254">
          <cell r="E254" t="str">
            <v>IFRS9_EAD</v>
          </cell>
          <cell r="Z254" t="str">
            <v>Y</v>
          </cell>
          <cell r="AA254" t="str">
            <v>N</v>
          </cell>
          <cell r="AB254" t="str">
            <v>N</v>
          </cell>
          <cell r="AC254" t="str">
            <v>N</v>
          </cell>
          <cell r="AD254" t="str">
            <v>N</v>
          </cell>
          <cell r="AE254" t="str">
            <v>N</v>
          </cell>
        </row>
        <row r="255">
          <cell r="E255" t="str">
            <v>INSTLMNT_PAY</v>
          </cell>
          <cell r="Z255" t="str">
            <v>Y</v>
          </cell>
          <cell r="AA255" t="str">
            <v>N</v>
          </cell>
          <cell r="AB255" t="str">
            <v>N</v>
          </cell>
          <cell r="AC255" t="str">
            <v>N</v>
          </cell>
          <cell r="AD255" t="str">
            <v>N</v>
          </cell>
          <cell r="AE255" t="str">
            <v>N</v>
          </cell>
        </row>
        <row r="256">
          <cell r="E256" t="str">
            <v>OFF_BLNC_SHT_AMNT_INSTRMNT</v>
          </cell>
          <cell r="Z256" t="str">
            <v>Y</v>
          </cell>
          <cell r="AA256" t="str">
            <v>Y</v>
          </cell>
          <cell r="AB256" t="str">
            <v>N</v>
          </cell>
          <cell r="AC256" t="str">
            <v>Y</v>
          </cell>
          <cell r="AD256" t="str">
            <v>Y</v>
          </cell>
          <cell r="AE256" t="str">
            <v>Y</v>
          </cell>
        </row>
        <row r="257">
          <cell r="E257" t="str">
            <v>OFF_BLNC_SHT_AMNT_INSTRMNT_PRVS</v>
          </cell>
          <cell r="Z257" t="str">
            <v>Y</v>
          </cell>
          <cell r="AA257" t="str">
            <v>N</v>
          </cell>
          <cell r="AB257" t="str">
            <v>N</v>
          </cell>
          <cell r="AC257" t="str">
            <v>N</v>
          </cell>
          <cell r="AD257" t="str">
            <v>N</v>
          </cell>
          <cell r="AE257" t="str">
            <v>N</v>
          </cell>
        </row>
        <row r="258">
          <cell r="E258" t="str">
            <v>OTSTNDNG_NMNL_AMNT_INSTRMNT</v>
          </cell>
          <cell r="Z258" t="str">
            <v>Y</v>
          </cell>
          <cell r="AA258" t="str">
            <v>N</v>
          </cell>
          <cell r="AB258" t="str">
            <v>N</v>
          </cell>
          <cell r="AC258" t="str">
            <v>N</v>
          </cell>
          <cell r="AD258" t="str">
            <v>N</v>
          </cell>
          <cell r="AE258" t="str">
            <v>Y</v>
          </cell>
        </row>
        <row r="259">
          <cell r="E259" t="str">
            <v>OTSTNDNG_NMNL_AMNT_INSTRMNT_PRVS</v>
          </cell>
          <cell r="Z259" t="str">
            <v>Y</v>
          </cell>
          <cell r="AA259" t="str">
            <v>N</v>
          </cell>
          <cell r="AB259" t="str">
            <v>N</v>
          </cell>
          <cell r="AC259" t="str">
            <v>N</v>
          </cell>
          <cell r="AD259" t="str">
            <v>N</v>
          </cell>
          <cell r="AE259" t="str">
            <v>N</v>
          </cell>
        </row>
        <row r="260">
          <cell r="E260" t="str">
            <v>PRVSNS_OFF_BLNC_SHT</v>
          </cell>
          <cell r="Z260" t="str">
            <v>Y</v>
          </cell>
          <cell r="AA260" t="str">
            <v>Y</v>
          </cell>
          <cell r="AB260" t="str">
            <v>N</v>
          </cell>
          <cell r="AC260" t="str">
            <v>Y</v>
          </cell>
          <cell r="AD260" t="str">
            <v>N</v>
          </cell>
          <cell r="AE260" t="str">
            <v>Y</v>
          </cell>
        </row>
        <row r="261">
          <cell r="E261" t="str">
            <v>PYMNT_FRQNCY</v>
          </cell>
          <cell r="Z261" t="str">
            <v>Y</v>
          </cell>
          <cell r="AA261" t="str">
            <v>N</v>
          </cell>
          <cell r="AB261" t="str">
            <v>N</v>
          </cell>
          <cell r="AC261" t="str">
            <v>N</v>
          </cell>
          <cell r="AD261" t="str">
            <v>N</v>
          </cell>
          <cell r="AE261" t="str">
            <v>N</v>
          </cell>
        </row>
        <row r="262">
          <cell r="E262" t="str">
            <v>RTNTN_SHR</v>
          </cell>
          <cell r="Z262" t="str">
            <v>Y</v>
          </cell>
          <cell r="AA262" t="str">
            <v>N</v>
          </cell>
          <cell r="AB262" t="str">
            <v>N</v>
          </cell>
          <cell r="AC262" t="str">
            <v>N</v>
          </cell>
          <cell r="AD262" t="str">
            <v>N</v>
          </cell>
          <cell r="AE262" t="str">
            <v>Y</v>
          </cell>
        </row>
        <row r="263">
          <cell r="E263" t="str">
            <v>RWA</v>
          </cell>
          <cell r="Z263" t="str">
            <v>Y</v>
          </cell>
          <cell r="AA263" t="str">
            <v>Y</v>
          </cell>
          <cell r="AB263" t="str">
            <v>Y</v>
          </cell>
          <cell r="AC263" t="str">
            <v>Y</v>
          </cell>
          <cell r="AD263" t="str">
            <v>N</v>
          </cell>
          <cell r="AE263" t="str">
            <v>Y</v>
          </cell>
        </row>
        <row r="264">
          <cell r="E264" t="str">
            <v>RWA_MTHD</v>
          </cell>
          <cell r="Z264" t="str">
            <v>Y</v>
          </cell>
          <cell r="AA264" t="str">
            <v>N</v>
          </cell>
          <cell r="AB264" t="str">
            <v>N</v>
          </cell>
          <cell r="AC264" t="str">
            <v>N</v>
          </cell>
          <cell r="AD264" t="str">
            <v>N</v>
          </cell>
          <cell r="AE264" t="str">
            <v>Y</v>
          </cell>
        </row>
        <row r="265">
          <cell r="E265" t="str">
            <v>SPNSR_NM</v>
          </cell>
          <cell r="Z265" t="str">
            <v>Y</v>
          </cell>
          <cell r="AA265" t="str">
            <v>N</v>
          </cell>
          <cell r="AB265" t="str">
            <v>N</v>
          </cell>
          <cell r="AC265" t="str">
            <v>N</v>
          </cell>
          <cell r="AD265" t="str">
            <v>N</v>
          </cell>
          <cell r="AE265" t="str">
            <v>Y</v>
          </cell>
        </row>
        <row r="266">
          <cell r="E266" t="str">
            <v>ACCMLTD_IMPRMNT_INSTRMNT</v>
          </cell>
          <cell r="Z266" t="str">
            <v>Y</v>
          </cell>
          <cell r="AA266" t="str">
            <v>Y</v>
          </cell>
          <cell r="AB266" t="str">
            <v>Y</v>
          </cell>
          <cell r="AC266" t="str">
            <v>Y</v>
          </cell>
          <cell r="AD266" t="str">
            <v>N</v>
          </cell>
          <cell r="AE266" t="str">
            <v>Y</v>
          </cell>
        </row>
        <row r="267">
          <cell r="E267" t="str">
            <v>ACCMLTD_IMPRMNT_INSTRMNT_PRVS</v>
          </cell>
          <cell r="Z267" t="str">
            <v>Y</v>
          </cell>
          <cell r="AA267" t="str">
            <v>N</v>
          </cell>
          <cell r="AB267" t="str">
            <v>N</v>
          </cell>
          <cell r="AC267" t="str">
            <v>N</v>
          </cell>
          <cell r="AD267" t="str">
            <v>N</v>
          </cell>
          <cell r="AE267" t="str">
            <v>Y</v>
          </cell>
        </row>
        <row r="268">
          <cell r="E268" t="str">
            <v>ACCMLTD_WRTFFS_INSTRMNT</v>
          </cell>
          <cell r="Z268" t="str">
            <v>Y</v>
          </cell>
          <cell r="AA268" t="str">
            <v>N</v>
          </cell>
          <cell r="AB268" t="str">
            <v>N</v>
          </cell>
          <cell r="AC268" t="str">
            <v>N</v>
          </cell>
          <cell r="AD268" t="str">
            <v>N</v>
          </cell>
          <cell r="AE268" t="str">
            <v>Y</v>
          </cell>
        </row>
        <row r="269">
          <cell r="E269" t="str">
            <v>ARRRS_INSTRMNT</v>
          </cell>
          <cell r="Z269" t="str">
            <v>Y</v>
          </cell>
          <cell r="AA269" t="str">
            <v>N</v>
          </cell>
          <cell r="AB269" t="str">
            <v>N</v>
          </cell>
          <cell r="AC269" t="str">
            <v>N</v>
          </cell>
          <cell r="AD269" t="str">
            <v>N</v>
          </cell>
          <cell r="AE269" t="str">
            <v>Y</v>
          </cell>
        </row>
        <row r="270">
          <cell r="E270" t="str">
            <v>ARRRS_INSTRMNT_12M</v>
          </cell>
          <cell r="Z270" t="str">
            <v>Y</v>
          </cell>
          <cell r="AA270" t="str">
            <v>N</v>
          </cell>
          <cell r="AB270" t="str">
            <v>N</v>
          </cell>
          <cell r="AC270" t="str">
            <v>N</v>
          </cell>
          <cell r="AD270" t="str">
            <v>N</v>
          </cell>
          <cell r="AE270" t="str">
            <v>N</v>
          </cell>
        </row>
        <row r="271">
          <cell r="E271" t="str">
            <v>CMLTV_RCVRS_SNC_DFLT_INSTRMNT</v>
          </cell>
          <cell r="Z271" t="str">
            <v>Y</v>
          </cell>
          <cell r="AA271" t="str">
            <v>N</v>
          </cell>
          <cell r="AB271" t="str">
            <v>N</v>
          </cell>
          <cell r="AC271" t="str">
            <v>N</v>
          </cell>
          <cell r="AD271" t="str">
            <v>N</v>
          </cell>
          <cell r="AE271" t="str">
            <v>N</v>
          </cell>
        </row>
        <row r="272">
          <cell r="E272" t="str">
            <v>DPD</v>
          </cell>
          <cell r="Z272" t="str">
            <v>Y</v>
          </cell>
          <cell r="AA272" t="str">
            <v>N</v>
          </cell>
          <cell r="AB272" t="str">
            <v>N</v>
          </cell>
          <cell r="AC272" t="str">
            <v>N</v>
          </cell>
          <cell r="AD272" t="str">
            <v>N</v>
          </cell>
          <cell r="AE272" t="str">
            <v>Y</v>
          </cell>
        </row>
        <row r="273">
          <cell r="E273" t="str">
            <v>DPD_12M</v>
          </cell>
          <cell r="Z273" t="str">
            <v>Y</v>
          </cell>
          <cell r="AA273" t="str">
            <v>N</v>
          </cell>
          <cell r="AB273" t="str">
            <v>N</v>
          </cell>
          <cell r="AC273" t="str">
            <v>N</v>
          </cell>
          <cell r="AD273" t="str">
            <v>N</v>
          </cell>
          <cell r="AE273" t="str">
            <v>N</v>
          </cell>
        </row>
        <row r="274">
          <cell r="E274" t="str">
            <v>DPD_12M_FRBRNC_STTS</v>
          </cell>
          <cell r="Z274" t="str">
            <v>Y</v>
          </cell>
          <cell r="AA274" t="str">
            <v>N</v>
          </cell>
          <cell r="AB274" t="str">
            <v>N</v>
          </cell>
          <cell r="AC274" t="str">
            <v>N</v>
          </cell>
          <cell r="AD274" t="str">
            <v>N</v>
          </cell>
          <cell r="AE274" t="str">
            <v>N</v>
          </cell>
        </row>
        <row r="275">
          <cell r="E275" t="str">
            <v>DPD_12M_PRFRMNG_STTS</v>
          </cell>
          <cell r="Z275" t="str">
            <v>Y</v>
          </cell>
          <cell r="AA275" t="str">
            <v>N</v>
          </cell>
          <cell r="AB275" t="str">
            <v>N</v>
          </cell>
          <cell r="AC275" t="str">
            <v>N</v>
          </cell>
          <cell r="AD275" t="str">
            <v>N</v>
          </cell>
          <cell r="AE275" t="str">
            <v>N</v>
          </cell>
        </row>
        <row r="276">
          <cell r="E276" t="str">
            <v>DPD_24M_FRBRNC_STTS</v>
          </cell>
          <cell r="Z276" t="str">
            <v>Y</v>
          </cell>
          <cell r="AA276" t="str">
            <v>N</v>
          </cell>
          <cell r="AB276" t="str">
            <v>N</v>
          </cell>
          <cell r="AC276" t="str">
            <v>N</v>
          </cell>
          <cell r="AD276" t="str">
            <v>N</v>
          </cell>
          <cell r="AE276" t="str">
            <v>N</v>
          </cell>
        </row>
        <row r="277">
          <cell r="E277" t="str">
            <v>DPD_24M_PRFRMNG_STTS</v>
          </cell>
          <cell r="Z277" t="str">
            <v>Y</v>
          </cell>
          <cell r="AA277" t="str">
            <v>N</v>
          </cell>
          <cell r="AB277" t="str">
            <v>N</v>
          </cell>
          <cell r="AC277" t="str">
            <v>N</v>
          </cell>
          <cell r="AD277" t="str">
            <v>N</v>
          </cell>
          <cell r="AE277" t="str">
            <v>N</v>
          </cell>
        </row>
        <row r="278">
          <cell r="E278" t="str">
            <v>DPD_FRBRNC_STTS</v>
          </cell>
          <cell r="Z278" t="str">
            <v>Y</v>
          </cell>
          <cell r="AA278" t="str">
            <v>N</v>
          </cell>
          <cell r="AB278" t="str">
            <v>N</v>
          </cell>
          <cell r="AC278" t="str">
            <v>N</v>
          </cell>
          <cell r="AD278" t="str">
            <v>N</v>
          </cell>
          <cell r="AE278" t="str">
            <v>N</v>
          </cell>
        </row>
        <row r="279">
          <cell r="E279" t="str">
            <v>DPD_PRFRMNG_STTS</v>
          </cell>
          <cell r="Z279" t="str">
            <v>Y</v>
          </cell>
          <cell r="AA279" t="str">
            <v>N</v>
          </cell>
          <cell r="AB279" t="str">
            <v>N</v>
          </cell>
          <cell r="AC279" t="str">
            <v>N</v>
          </cell>
          <cell r="AD279" t="str">
            <v>N</v>
          </cell>
          <cell r="AE279" t="str">
            <v>N</v>
          </cell>
        </row>
        <row r="280">
          <cell r="E280" t="str">
            <v>DT_IMPRMNT_STTS</v>
          </cell>
          <cell r="Z280" t="str">
            <v>Y</v>
          </cell>
          <cell r="AA280" t="str">
            <v>N</v>
          </cell>
          <cell r="AB280" t="str">
            <v>N</v>
          </cell>
          <cell r="AC280" t="str">
            <v>N</v>
          </cell>
          <cell r="AD280" t="str">
            <v>N</v>
          </cell>
          <cell r="AE280" t="str">
            <v>Y</v>
          </cell>
        </row>
        <row r="281">
          <cell r="E281" t="str">
            <v>DT_IMPRMNT_STTS_PRVS</v>
          </cell>
          <cell r="Z281" t="str">
            <v>Y</v>
          </cell>
          <cell r="AA281" t="str">
            <v>N</v>
          </cell>
          <cell r="AB281" t="str">
            <v>N</v>
          </cell>
          <cell r="AC281" t="str">
            <v>N</v>
          </cell>
          <cell r="AD281" t="str">
            <v>N</v>
          </cell>
          <cell r="AE281" t="str">
            <v>N</v>
          </cell>
        </row>
        <row r="282">
          <cell r="E282" t="str">
            <v>DT_PST_D</v>
          </cell>
          <cell r="Z282" t="str">
            <v>Y</v>
          </cell>
          <cell r="AA282" t="str">
            <v>N</v>
          </cell>
          <cell r="AB282" t="str">
            <v>N</v>
          </cell>
          <cell r="AC282" t="str">
            <v>N</v>
          </cell>
          <cell r="AD282" t="str">
            <v>N</v>
          </cell>
          <cell r="AE282" t="str">
            <v>Y</v>
          </cell>
        </row>
        <row r="283">
          <cell r="E283" t="str">
            <v>IMPRMNT_ASSSSMNT_MTHD</v>
          </cell>
          <cell r="Z283" t="str">
            <v>Y</v>
          </cell>
          <cell r="AA283" t="str">
            <v>N</v>
          </cell>
          <cell r="AB283" t="str">
            <v>N</v>
          </cell>
          <cell r="AC283" t="str">
            <v>N</v>
          </cell>
          <cell r="AD283" t="str">
            <v>N</v>
          </cell>
          <cell r="AE283" t="str">
            <v>Y</v>
          </cell>
        </row>
        <row r="284">
          <cell r="E284" t="str">
            <v>IMPRMNT_CLCLTN_MTHD</v>
          </cell>
          <cell r="Z284" t="str">
            <v>Y</v>
          </cell>
          <cell r="AA284" t="str">
            <v>N</v>
          </cell>
          <cell r="AB284" t="str">
            <v>N</v>
          </cell>
          <cell r="AC284" t="str">
            <v>N</v>
          </cell>
          <cell r="AD284" t="str">
            <v>N</v>
          </cell>
          <cell r="AE284" t="str">
            <v>N</v>
          </cell>
        </row>
        <row r="285">
          <cell r="E285" t="str">
            <v>NMBR_FRBRNC_MSRS</v>
          </cell>
          <cell r="Z285" t="str">
            <v>Y</v>
          </cell>
          <cell r="AA285" t="str">
            <v>N</v>
          </cell>
          <cell r="AB285" t="str">
            <v>N</v>
          </cell>
          <cell r="AC285" t="str">
            <v>N</v>
          </cell>
          <cell r="AD285" t="str">
            <v>N</v>
          </cell>
          <cell r="AE285" t="str">
            <v>Y</v>
          </cell>
        </row>
        <row r="286">
          <cell r="E286" t="str">
            <v>IFRS9_LGD</v>
          </cell>
          <cell r="Z286" t="str">
            <v>Y</v>
          </cell>
          <cell r="AA286" t="str">
            <v>N</v>
          </cell>
          <cell r="AB286" t="str">
            <v>N</v>
          </cell>
          <cell r="AC286" t="str">
            <v>N</v>
          </cell>
          <cell r="AD286" t="str">
            <v>N</v>
          </cell>
          <cell r="AE286" t="str">
            <v>N</v>
          </cell>
        </row>
        <row r="287">
          <cell r="E287" t="str">
            <v>LGD</v>
          </cell>
          <cell r="Z287" t="str">
            <v>Y</v>
          </cell>
          <cell r="AA287" t="str">
            <v>N</v>
          </cell>
          <cell r="AB287" t="str">
            <v>N</v>
          </cell>
          <cell r="AC287" t="str">
            <v>N</v>
          </cell>
          <cell r="AD287" t="str">
            <v>N</v>
          </cell>
          <cell r="AE287" t="str">
            <v>Y</v>
          </cell>
        </row>
        <row r="288">
          <cell r="E288" t="str">
            <v>LTV</v>
          </cell>
          <cell r="Z288" t="str">
            <v>Y</v>
          </cell>
          <cell r="AA288" t="str">
            <v>N</v>
          </cell>
          <cell r="AB288" t="str">
            <v>Y</v>
          </cell>
          <cell r="AC288" t="str">
            <v>N</v>
          </cell>
          <cell r="AD288" t="str">
            <v>N</v>
          </cell>
          <cell r="AE288" t="str">
            <v>N</v>
          </cell>
        </row>
        <row r="289">
          <cell r="E289" t="str">
            <v>LTV_INCPTN</v>
          </cell>
          <cell r="Z289" t="str">
            <v>Y</v>
          </cell>
          <cell r="AA289" t="str">
            <v>N</v>
          </cell>
          <cell r="AB289" t="str">
            <v>Y</v>
          </cell>
          <cell r="AC289" t="str">
            <v>N</v>
          </cell>
          <cell r="AD289" t="str">
            <v>N</v>
          </cell>
          <cell r="AE289" t="str">
            <v>N</v>
          </cell>
        </row>
        <row r="290">
          <cell r="E290" t="str">
            <v>LTV_NPE</v>
          </cell>
          <cell r="Z290" t="str">
            <v>Y</v>
          </cell>
          <cell r="AA290" t="str">
            <v>N</v>
          </cell>
          <cell r="AB290" t="str">
            <v>N</v>
          </cell>
          <cell r="AC290" t="str">
            <v>N</v>
          </cell>
          <cell r="AD290" t="str">
            <v>N</v>
          </cell>
          <cell r="AE290" t="str">
            <v>N</v>
          </cell>
        </row>
        <row r="291">
          <cell r="E291" t="str">
            <v>PD_CRR_INCPTN</v>
          </cell>
          <cell r="Z291" t="str">
            <v>Y</v>
          </cell>
          <cell r="AA291" t="str">
            <v>N</v>
          </cell>
          <cell r="AB291" t="str">
            <v>N</v>
          </cell>
          <cell r="AC291" t="str">
            <v>N</v>
          </cell>
          <cell r="AD291" t="str">
            <v>N</v>
          </cell>
          <cell r="AE291" t="str">
            <v>Y</v>
          </cell>
        </row>
        <row r="292">
          <cell r="E292" t="str">
            <v>PD_CRR_RD</v>
          </cell>
          <cell r="Z292" t="str">
            <v>Y</v>
          </cell>
          <cell r="AA292" t="str">
            <v>N</v>
          </cell>
          <cell r="AB292" t="str">
            <v>N</v>
          </cell>
          <cell r="AC292" t="str">
            <v>N</v>
          </cell>
          <cell r="AD292" t="str">
            <v>N</v>
          </cell>
          <cell r="AE292" t="str">
            <v>Y</v>
          </cell>
        </row>
        <row r="293">
          <cell r="E293" t="str">
            <v>PD_CRR_RD_T1</v>
          </cell>
          <cell r="Z293" t="str">
            <v>Y</v>
          </cell>
          <cell r="AA293" t="str">
            <v>N</v>
          </cell>
          <cell r="AB293" t="str">
            <v>N</v>
          </cell>
          <cell r="AC293" t="str">
            <v>N</v>
          </cell>
          <cell r="AD293" t="str">
            <v>N</v>
          </cell>
          <cell r="AE293" t="str">
            <v>N</v>
          </cell>
        </row>
        <row r="294">
          <cell r="E294" t="str">
            <v>PD_IFRS9_12M_INCPTN</v>
          </cell>
          <cell r="Z294" t="str">
            <v>Y</v>
          </cell>
          <cell r="AA294" t="str">
            <v>N</v>
          </cell>
          <cell r="AB294" t="str">
            <v>N</v>
          </cell>
          <cell r="AC294" t="str">
            <v>N</v>
          </cell>
          <cell r="AD294" t="str">
            <v>N</v>
          </cell>
          <cell r="AE294" t="str">
            <v>Y</v>
          </cell>
        </row>
        <row r="295">
          <cell r="E295" t="str">
            <v>PD_IFRS9_12M_RD</v>
          </cell>
          <cell r="Z295" t="str">
            <v>Y</v>
          </cell>
          <cell r="AA295" t="str">
            <v>N</v>
          </cell>
          <cell r="AB295" t="str">
            <v>N</v>
          </cell>
          <cell r="AC295" t="str">
            <v>N</v>
          </cell>
          <cell r="AD295" t="str">
            <v>N</v>
          </cell>
          <cell r="AE295" t="str">
            <v>Y</v>
          </cell>
        </row>
        <row r="296">
          <cell r="E296" t="str">
            <v>PD_IFRS9_12M_RD_T1</v>
          </cell>
          <cell r="Z296" t="str">
            <v>Y</v>
          </cell>
          <cell r="AA296" t="str">
            <v>N</v>
          </cell>
          <cell r="AB296" t="str">
            <v>N</v>
          </cell>
          <cell r="AC296" t="str">
            <v>N</v>
          </cell>
          <cell r="AD296" t="str">
            <v>N</v>
          </cell>
          <cell r="AE296" t="str">
            <v>N</v>
          </cell>
        </row>
        <row r="297">
          <cell r="E297" t="str">
            <v>PD_IFRS9_LFTM_INCPTN</v>
          </cell>
          <cell r="Z297" t="str">
            <v>Y</v>
          </cell>
          <cell r="AA297" t="str">
            <v>N</v>
          </cell>
          <cell r="AB297" t="str">
            <v>N</v>
          </cell>
          <cell r="AC297" t="str">
            <v>N</v>
          </cell>
          <cell r="AD297" t="str">
            <v>N</v>
          </cell>
          <cell r="AE297" t="str">
            <v>Y</v>
          </cell>
        </row>
        <row r="298">
          <cell r="E298" t="str">
            <v>PD_IFRS9_RMNNG_LFTM_INCPTN</v>
          </cell>
          <cell r="Z298" t="str">
            <v>Y</v>
          </cell>
          <cell r="AA298" t="str">
            <v>N</v>
          </cell>
          <cell r="AB298" t="str">
            <v>N</v>
          </cell>
          <cell r="AC298" t="str">
            <v>N</v>
          </cell>
          <cell r="AD298" t="str">
            <v>N</v>
          </cell>
          <cell r="AE298" t="str">
            <v>Y</v>
          </cell>
        </row>
        <row r="299">
          <cell r="E299" t="str">
            <v>PD_IFRS9_RMNNG_LFTM_RD</v>
          </cell>
          <cell r="Z299" t="str">
            <v>Y</v>
          </cell>
          <cell r="AA299" t="str">
            <v>N</v>
          </cell>
          <cell r="AB299" t="str">
            <v>N</v>
          </cell>
          <cell r="AC299" t="str">
            <v>N</v>
          </cell>
          <cell r="AD299" t="str">
            <v>N</v>
          </cell>
          <cell r="AE299" t="str">
            <v>Y</v>
          </cell>
        </row>
        <row r="300">
          <cell r="E300" t="str">
            <v>RTNG_MTHD</v>
          </cell>
          <cell r="Z300" t="str">
            <v>Y</v>
          </cell>
          <cell r="AA300" t="str">
            <v>N</v>
          </cell>
          <cell r="AB300" t="str">
            <v>N</v>
          </cell>
          <cell r="AC300" t="str">
            <v>N</v>
          </cell>
          <cell r="AD300" t="str">
            <v>N</v>
          </cell>
          <cell r="AE300" t="str">
            <v>Y</v>
          </cell>
        </row>
        <row r="301">
          <cell r="E301" t="str">
            <v>RTNG_SCL</v>
          </cell>
          <cell r="Z301" t="str">
            <v>Y</v>
          </cell>
          <cell r="AA301" t="str">
            <v>N</v>
          </cell>
          <cell r="AB301" t="str">
            <v>N</v>
          </cell>
          <cell r="AC301" t="str">
            <v>N</v>
          </cell>
          <cell r="AD301" t="str">
            <v>N</v>
          </cell>
          <cell r="AE301" t="str">
            <v>Y</v>
          </cell>
        </row>
        <row r="302">
          <cell r="E302" t="str">
            <v>SICR_ASSSSMNT_MTHD</v>
          </cell>
          <cell r="Z302" t="str">
            <v>Y</v>
          </cell>
          <cell r="AA302" t="str">
            <v>N</v>
          </cell>
          <cell r="AB302" t="str">
            <v>N</v>
          </cell>
          <cell r="AC302" t="str">
            <v>N</v>
          </cell>
          <cell r="AD302" t="str">
            <v>N</v>
          </cell>
          <cell r="AE302" t="str">
            <v>Y</v>
          </cell>
        </row>
        <row r="303">
          <cell r="E303" t="str">
            <v>ANNLSD_AGRD_RT</v>
          </cell>
          <cell r="Z303" t="str">
            <v>Y</v>
          </cell>
          <cell r="AA303" t="str">
            <v>N</v>
          </cell>
          <cell r="AB303" t="str">
            <v>N</v>
          </cell>
          <cell r="AC303" t="str">
            <v>Y</v>
          </cell>
          <cell r="AD303" t="str">
            <v>N</v>
          </cell>
          <cell r="AE303" t="str">
            <v>N</v>
          </cell>
        </row>
        <row r="304">
          <cell r="E304" t="str">
            <v>EIR</v>
          </cell>
          <cell r="Z304" t="str">
            <v>Y</v>
          </cell>
          <cell r="AA304" t="str">
            <v>N</v>
          </cell>
          <cell r="AB304" t="str">
            <v>Y</v>
          </cell>
          <cell r="AC304" t="str">
            <v>N</v>
          </cell>
          <cell r="AD304" t="str">
            <v>N</v>
          </cell>
          <cell r="AE304" t="str">
            <v>Y</v>
          </cell>
        </row>
        <row r="305">
          <cell r="E305" t="str">
            <v>EIR_INCPTN</v>
          </cell>
          <cell r="Z305" t="str">
            <v>Y</v>
          </cell>
          <cell r="AA305" t="str">
            <v>N</v>
          </cell>
          <cell r="AB305" t="str">
            <v>Y</v>
          </cell>
          <cell r="AC305" t="str">
            <v>N</v>
          </cell>
          <cell r="AD305" t="str">
            <v>N</v>
          </cell>
          <cell r="AE305" t="str">
            <v>N</v>
          </cell>
        </row>
        <row r="306">
          <cell r="E306" t="str">
            <v>INTRST_RT_RST_FRQNCY</v>
          </cell>
          <cell r="Z306" t="str">
            <v>Y</v>
          </cell>
          <cell r="AA306" t="str">
            <v>N</v>
          </cell>
          <cell r="AB306" t="str">
            <v>N</v>
          </cell>
          <cell r="AC306" t="str">
            <v>N</v>
          </cell>
          <cell r="AD306" t="str">
            <v>N</v>
          </cell>
          <cell r="AE306" t="str">
            <v>N</v>
          </cell>
        </row>
        <row r="307">
          <cell r="E307" t="str">
            <v>RCVD_AMRTSTN_12M</v>
          </cell>
          <cell r="Z307" t="str">
            <v>Y</v>
          </cell>
          <cell r="AA307" t="str">
            <v>N</v>
          </cell>
          <cell r="AB307" t="str">
            <v>N</v>
          </cell>
          <cell r="AC307" t="str">
            <v>N</v>
          </cell>
          <cell r="AD307" t="str">
            <v>N</v>
          </cell>
          <cell r="AE307" t="str">
            <v>Y</v>
          </cell>
        </row>
        <row r="308">
          <cell r="E308" t="str">
            <v>RCVD_AMRTSTN_24M</v>
          </cell>
          <cell r="Z308" t="str">
            <v>Y</v>
          </cell>
          <cell r="AA308" t="str">
            <v>N</v>
          </cell>
          <cell r="AB308" t="str">
            <v>N</v>
          </cell>
          <cell r="AC308" t="str">
            <v>N</v>
          </cell>
          <cell r="AD308" t="str">
            <v>N</v>
          </cell>
          <cell r="AE308" t="str">
            <v>Y</v>
          </cell>
        </row>
        <row r="309">
          <cell r="E309" t="str">
            <v>RCVD_INTRST_12M</v>
          </cell>
          <cell r="Z309" t="str">
            <v>Y</v>
          </cell>
          <cell r="AA309" t="str">
            <v>N</v>
          </cell>
          <cell r="AB309" t="str">
            <v>N</v>
          </cell>
          <cell r="AC309" t="str">
            <v>N</v>
          </cell>
          <cell r="AD309" t="str">
            <v>N</v>
          </cell>
          <cell r="AE309" t="str">
            <v>Y</v>
          </cell>
        </row>
        <row r="310">
          <cell r="E310" t="str">
            <v>RCVD_INTRST_24M</v>
          </cell>
          <cell r="Z310" t="str">
            <v>Y</v>
          </cell>
          <cell r="AA310" t="str">
            <v>N</v>
          </cell>
          <cell r="AB310" t="str">
            <v>N</v>
          </cell>
          <cell r="AC310" t="str">
            <v>N</v>
          </cell>
          <cell r="AD310" t="str">
            <v>N</v>
          </cell>
          <cell r="AE310" t="str">
            <v>Y</v>
          </cell>
        </row>
        <row r="311">
          <cell r="E311" t="str">
            <v>SYNDCT_RL</v>
          </cell>
          <cell r="Z311" t="str">
            <v>Y</v>
          </cell>
          <cell r="AA311" t="str">
            <v>N</v>
          </cell>
          <cell r="AB311" t="str">
            <v>N</v>
          </cell>
          <cell r="AC311" t="str">
            <v>N</v>
          </cell>
          <cell r="AD311" t="str">
            <v>N</v>
          </cell>
          <cell r="AE311" t="str">
            <v>Y</v>
          </cell>
        </row>
        <row r="312">
          <cell r="E312" t="str">
            <v>SYNDCTD_AGNT</v>
          </cell>
          <cell r="Z312" t="str">
            <v>Y</v>
          </cell>
          <cell r="AA312" t="str">
            <v>N</v>
          </cell>
          <cell r="AB312" t="str">
            <v>N</v>
          </cell>
          <cell r="AC312" t="str">
            <v>Y</v>
          </cell>
          <cell r="AD312" t="str">
            <v>N</v>
          </cell>
          <cell r="AE312" t="str">
            <v>Y</v>
          </cell>
        </row>
        <row r="313">
          <cell r="E313" t="str">
            <v>SYNDCTD_CNTRCT_ID</v>
          </cell>
          <cell r="Z313" t="str">
            <v>Y</v>
          </cell>
          <cell r="AA313" t="str">
            <v>N</v>
          </cell>
          <cell r="AB313" t="str">
            <v>N</v>
          </cell>
          <cell r="AC313" t="str">
            <v>N</v>
          </cell>
          <cell r="AD313" t="str">
            <v>N</v>
          </cell>
          <cell r="AE313" t="str">
            <v>Y</v>
          </cell>
        </row>
        <row r="314">
          <cell r="E314" t="str">
            <v>SYNDCTD_LNDRS</v>
          </cell>
          <cell r="Z314" t="str">
            <v>Y</v>
          </cell>
          <cell r="AA314" t="str">
            <v>N</v>
          </cell>
          <cell r="AB314" t="str">
            <v>N</v>
          </cell>
          <cell r="AC314" t="str">
            <v>N</v>
          </cell>
          <cell r="AD314" t="str">
            <v>N</v>
          </cell>
          <cell r="AE314" t="str">
            <v>Y</v>
          </cell>
        </row>
        <row r="315">
          <cell r="E315" t="str">
            <v>SYNDCTD_SHR</v>
          </cell>
          <cell r="Z315" t="str">
            <v>Y</v>
          </cell>
          <cell r="AA315" t="str">
            <v>N</v>
          </cell>
          <cell r="AB315" t="str">
            <v>N</v>
          </cell>
          <cell r="AC315" t="str">
            <v>Y</v>
          </cell>
          <cell r="AD315" t="str">
            <v>N</v>
          </cell>
          <cell r="AE315" t="str">
            <v>Y</v>
          </cell>
        </row>
        <row r="316">
          <cell r="E316" t="str">
            <v>SYNDCTN_TYP</v>
          </cell>
          <cell r="Z316" t="str">
            <v>Y</v>
          </cell>
          <cell r="AA316" t="str">
            <v>N</v>
          </cell>
          <cell r="AB316" t="str">
            <v>N</v>
          </cell>
          <cell r="AC316" t="str">
            <v>Y</v>
          </cell>
          <cell r="AD316" t="str">
            <v>N</v>
          </cell>
          <cell r="AE316" t="str">
            <v>Y</v>
          </cell>
        </row>
        <row r="317">
          <cell r="E317" t="str">
            <v>EBA_CMPLNT_MRTR_ST_C19</v>
          </cell>
          <cell r="Z317" t="str">
            <v>Y</v>
          </cell>
          <cell r="AA317" t="str">
            <v>N</v>
          </cell>
          <cell r="AB317" t="str">
            <v>N</v>
          </cell>
          <cell r="AC317" t="str">
            <v>N</v>
          </cell>
          <cell r="AD317" t="str">
            <v>N</v>
          </cell>
          <cell r="AE317" t="str">
            <v>N</v>
          </cell>
        </row>
        <row r="318">
          <cell r="E318" t="str">
            <v>DT_CMPLNT_MRTR_STTS_C19</v>
          </cell>
          <cell r="Z318" t="str">
            <v>Y</v>
          </cell>
          <cell r="AA318" t="str">
            <v>N</v>
          </cell>
          <cell r="AB318" t="str">
            <v>N</v>
          </cell>
          <cell r="AC318" t="str">
            <v>N</v>
          </cell>
          <cell r="AD318" t="str">
            <v>N</v>
          </cell>
          <cell r="AE318" t="str">
            <v>N</v>
          </cell>
        </row>
        <row r="319">
          <cell r="E319" t="str">
            <v>DT_CMPLNT_MRTR_STTS_PRVS_C19</v>
          </cell>
          <cell r="Z319" t="str">
            <v>Y</v>
          </cell>
          <cell r="AA319" t="str">
            <v>N</v>
          </cell>
          <cell r="AB319" t="str">
            <v>N</v>
          </cell>
          <cell r="AC319" t="str">
            <v>N</v>
          </cell>
          <cell r="AD319" t="str">
            <v>N</v>
          </cell>
          <cell r="AE319" t="str">
            <v>N</v>
          </cell>
        </row>
        <row r="320">
          <cell r="E320" t="str">
            <v>MTRTY_LTST_MRTR_C19</v>
          </cell>
          <cell r="Z320" t="str">
            <v>Y</v>
          </cell>
          <cell r="AA320" t="str">
            <v>N</v>
          </cell>
          <cell r="AB320" t="str">
            <v>N</v>
          </cell>
          <cell r="AC320" t="str">
            <v>N</v>
          </cell>
          <cell r="AD320" t="str">
            <v>N</v>
          </cell>
          <cell r="AE320" t="str">
            <v>N</v>
          </cell>
        </row>
        <row r="321">
          <cell r="E321" t="str">
            <v>TYP_CMPLNT_MRTR_C19</v>
          </cell>
          <cell r="Z321" t="str">
            <v>Y</v>
          </cell>
          <cell r="AA321" t="str">
            <v>N</v>
          </cell>
          <cell r="AB321" t="str">
            <v>N</v>
          </cell>
          <cell r="AC321" t="str">
            <v>N</v>
          </cell>
          <cell r="AD321" t="str">
            <v>N</v>
          </cell>
          <cell r="AE321" t="str">
            <v>N</v>
          </cell>
        </row>
        <row r="322">
          <cell r="E322" t="str">
            <v>GRC_PRD_CPTL_INTRST_C19</v>
          </cell>
          <cell r="Z322" t="str">
            <v>Y</v>
          </cell>
          <cell r="AA322" t="str">
            <v>N</v>
          </cell>
          <cell r="AB322" t="str">
            <v>N</v>
          </cell>
          <cell r="AC322" t="str">
            <v>N</v>
          </cell>
          <cell r="AD322" t="str">
            <v>N</v>
          </cell>
          <cell r="AE322" t="str">
            <v>N</v>
          </cell>
        </row>
        <row r="323">
          <cell r="E323" t="str">
            <v>CMPLNT_MRTR_C19_NM</v>
          </cell>
          <cell r="Z323" t="str">
            <v>Y</v>
          </cell>
          <cell r="AA323" t="str">
            <v>N</v>
          </cell>
          <cell r="AB323" t="str">
            <v>N</v>
          </cell>
          <cell r="AC323" t="str">
            <v>N</v>
          </cell>
          <cell r="AD323" t="str">
            <v>N</v>
          </cell>
          <cell r="AE323" t="str">
            <v>N</v>
          </cell>
        </row>
        <row r="324">
          <cell r="E324" t="str">
            <v>FRBRNC_STTS_C19</v>
          </cell>
          <cell r="Z324" t="str">
            <v>Y</v>
          </cell>
          <cell r="AA324" t="str">
            <v>N</v>
          </cell>
          <cell r="AB324" t="str">
            <v>N</v>
          </cell>
          <cell r="AC324" t="str">
            <v>N</v>
          </cell>
          <cell r="AD324" t="str">
            <v>N</v>
          </cell>
          <cell r="AE324" t="str">
            <v>N</v>
          </cell>
        </row>
        <row r="325">
          <cell r="E325" t="str">
            <v>DT_FRBRNC_STTS_C19</v>
          </cell>
          <cell r="Z325" t="str">
            <v>Y</v>
          </cell>
          <cell r="AA325" t="str">
            <v>N</v>
          </cell>
          <cell r="AB325" t="str">
            <v>N</v>
          </cell>
          <cell r="AC325" t="str">
            <v>N</v>
          </cell>
          <cell r="AD325" t="str">
            <v>N</v>
          </cell>
          <cell r="AE325" t="str">
            <v>N</v>
          </cell>
        </row>
        <row r="326">
          <cell r="E326" t="str">
            <v>DT_FRBRNC_STTS_PRVS_C19</v>
          </cell>
          <cell r="Z326" t="str">
            <v>Y</v>
          </cell>
          <cell r="AA326" t="str">
            <v>N</v>
          </cell>
          <cell r="AB326" t="str">
            <v>N</v>
          </cell>
          <cell r="AC326" t="str">
            <v>N</v>
          </cell>
          <cell r="AD326" t="str">
            <v>N</v>
          </cell>
          <cell r="AE326" t="str">
            <v>N</v>
          </cell>
        </row>
        <row r="327">
          <cell r="E327" t="str">
            <v>MTRTY_LTST_FRBRNC_MSR_C19</v>
          </cell>
          <cell r="Z327" t="str">
            <v>Y</v>
          </cell>
          <cell r="AA327" t="str">
            <v>N</v>
          </cell>
          <cell r="AB327" t="str">
            <v>N</v>
          </cell>
          <cell r="AC327" t="str">
            <v>N</v>
          </cell>
          <cell r="AD327" t="str">
            <v>N</v>
          </cell>
          <cell r="AE327" t="str">
            <v>N</v>
          </cell>
        </row>
        <row r="328">
          <cell r="E328" t="str">
            <v>DT_END_GP_PPAL_C19</v>
          </cell>
          <cell r="Z328" t="str">
            <v>Y</v>
          </cell>
          <cell r="AA328" t="str">
            <v>N</v>
          </cell>
          <cell r="AB328" t="str">
            <v>N</v>
          </cell>
          <cell r="AC328" t="str">
            <v>N</v>
          </cell>
          <cell r="AD328" t="str">
            <v>N</v>
          </cell>
          <cell r="AE328" t="str">
            <v>N</v>
          </cell>
        </row>
        <row r="329">
          <cell r="E329" t="str">
            <v>DT_END_INTRST_ONLY_C19</v>
          </cell>
          <cell r="Z329" t="str">
            <v>Y</v>
          </cell>
          <cell r="AA329" t="str">
            <v>N</v>
          </cell>
          <cell r="AB329" t="str">
            <v>N</v>
          </cell>
          <cell r="AC329" t="str">
            <v>N</v>
          </cell>
          <cell r="AD329" t="str">
            <v>N</v>
          </cell>
          <cell r="AE329" t="str">
            <v>N</v>
          </cell>
        </row>
        <row r="330">
          <cell r="E330" t="str">
            <v>SBJCT_PBLC_GRNT_SCHM_C19</v>
          </cell>
          <cell r="Z330" t="str">
            <v>Y</v>
          </cell>
          <cell r="AA330" t="str">
            <v>N</v>
          </cell>
          <cell r="AB330" t="str">
            <v>N</v>
          </cell>
          <cell r="AC330" t="str">
            <v>N</v>
          </cell>
          <cell r="AD330" t="str">
            <v>N</v>
          </cell>
          <cell r="AE330" t="str">
            <v>N</v>
          </cell>
        </row>
        <row r="331">
          <cell r="E331" t="str">
            <v>PBLC_GRNT_SCHM_C19_NM</v>
          </cell>
          <cell r="Z331" t="str">
            <v>Y</v>
          </cell>
          <cell r="AA331" t="str">
            <v>N</v>
          </cell>
          <cell r="AB331" t="str">
            <v>N</v>
          </cell>
          <cell r="AC331" t="str">
            <v>N</v>
          </cell>
          <cell r="AD331" t="str">
            <v>N</v>
          </cell>
          <cell r="AE331" t="str">
            <v>N</v>
          </cell>
        </row>
        <row r="332">
          <cell r="E332" t="str">
            <v>PMNT_PBLC_GRNT_SCHM_C19</v>
          </cell>
          <cell r="Z332" t="str">
            <v>Y</v>
          </cell>
          <cell r="AA332" t="str">
            <v>N</v>
          </cell>
          <cell r="AB332" t="str">
            <v>N</v>
          </cell>
          <cell r="AC332" t="str">
            <v>N</v>
          </cell>
          <cell r="AD332" t="str">
            <v>N</v>
          </cell>
          <cell r="AE332" t="str">
            <v>N</v>
          </cell>
        </row>
        <row r="333">
          <cell r="E333" t="str">
            <v>ASST_SCRT_CLSS</v>
          </cell>
          <cell r="Z333" t="str">
            <v>Y</v>
          </cell>
          <cell r="AA333" t="str">
            <v>N</v>
          </cell>
          <cell r="AB333" t="str">
            <v>N</v>
          </cell>
          <cell r="AC333" t="str">
            <v>Y</v>
          </cell>
          <cell r="AD333" t="str">
            <v>N</v>
          </cell>
          <cell r="AE333" t="str">
            <v>N</v>
          </cell>
        </row>
        <row r="334">
          <cell r="E334" t="str">
            <v>CPN_CRRNCY</v>
          </cell>
          <cell r="Z334" t="str">
            <v>Y</v>
          </cell>
          <cell r="AA334" t="str">
            <v>N</v>
          </cell>
          <cell r="AB334" t="str">
            <v>N</v>
          </cell>
          <cell r="AC334" t="str">
            <v>N</v>
          </cell>
          <cell r="AD334" t="str">
            <v>N</v>
          </cell>
          <cell r="AE334" t="str">
            <v>N</v>
          </cell>
        </row>
        <row r="335">
          <cell r="E335" t="str">
            <v>CPN_RT_FXD</v>
          </cell>
          <cell r="Z335" t="str">
            <v>Y</v>
          </cell>
          <cell r="AA335" t="str">
            <v>N</v>
          </cell>
          <cell r="AB335" t="str">
            <v>N</v>
          </cell>
          <cell r="AC335" t="str">
            <v>N</v>
          </cell>
          <cell r="AD335" t="str">
            <v>N</v>
          </cell>
          <cell r="AE335" t="str">
            <v>N</v>
          </cell>
        </row>
        <row r="336">
          <cell r="E336" t="str">
            <v>DT_VLTN</v>
          </cell>
          <cell r="Z336" t="str">
            <v>Y</v>
          </cell>
          <cell r="AA336" t="str">
            <v>N</v>
          </cell>
          <cell r="AB336" t="str">
            <v>N</v>
          </cell>
          <cell r="AC336" t="str">
            <v>N</v>
          </cell>
          <cell r="AD336" t="str">
            <v>N</v>
          </cell>
          <cell r="AE336" t="str">
            <v>N</v>
          </cell>
        </row>
        <row r="337">
          <cell r="E337" t="str">
            <v>ELGBLTY_ECB</v>
          </cell>
          <cell r="Z337" t="str">
            <v>Y</v>
          </cell>
          <cell r="AA337" t="str">
            <v>N</v>
          </cell>
          <cell r="AB337" t="str">
            <v>N</v>
          </cell>
          <cell r="AC337" t="str">
            <v>N</v>
          </cell>
          <cell r="AD337" t="str">
            <v>N</v>
          </cell>
          <cell r="AE337" t="str">
            <v>N</v>
          </cell>
        </row>
        <row r="338">
          <cell r="E338" t="str">
            <v>GRNTR_ID</v>
          </cell>
          <cell r="Z338" t="str">
            <v>Y</v>
          </cell>
          <cell r="AA338" t="str">
            <v>N</v>
          </cell>
          <cell r="AB338" t="str">
            <v>N</v>
          </cell>
          <cell r="AC338" t="str">
            <v>N</v>
          </cell>
          <cell r="AD338" t="str">
            <v>N</v>
          </cell>
          <cell r="AE338" t="str">
            <v>N</v>
          </cell>
        </row>
        <row r="339">
          <cell r="E339" t="str">
            <v>GRNTR_ID_TYP</v>
          </cell>
          <cell r="Z339" t="str">
            <v>Y</v>
          </cell>
          <cell r="AA339" t="str">
            <v>N</v>
          </cell>
          <cell r="AB339" t="str">
            <v>N</v>
          </cell>
          <cell r="AC339" t="str">
            <v>N</v>
          </cell>
          <cell r="AD339" t="str">
            <v>N</v>
          </cell>
          <cell r="AE339" t="str">
            <v>N</v>
          </cell>
        </row>
        <row r="340">
          <cell r="E340" t="str">
            <v>HEDGE_ID</v>
          </cell>
          <cell r="Z340" t="str">
            <v>Y</v>
          </cell>
          <cell r="AA340" t="str">
            <v>N</v>
          </cell>
          <cell r="AB340" t="str">
            <v>N</v>
          </cell>
          <cell r="AC340" t="str">
            <v>N</v>
          </cell>
          <cell r="AD340" t="str">
            <v>N</v>
          </cell>
          <cell r="AE340" t="str">
            <v>N</v>
          </cell>
        </row>
        <row r="341">
          <cell r="E341" t="str">
            <v>INSTR_SNRTY_CLSS</v>
          </cell>
          <cell r="Z341" t="str">
            <v>Y</v>
          </cell>
          <cell r="AA341" t="str">
            <v>N</v>
          </cell>
          <cell r="AB341" t="str">
            <v>N</v>
          </cell>
          <cell r="AC341" t="str">
            <v>N</v>
          </cell>
          <cell r="AD341" t="str">
            <v>N</v>
          </cell>
          <cell r="AE341" t="str">
            <v>Y</v>
          </cell>
        </row>
        <row r="342">
          <cell r="E342" t="str">
            <v>INSTRMNT_CLSS</v>
          </cell>
          <cell r="Z342" t="str">
            <v>Y</v>
          </cell>
          <cell r="AA342" t="str">
            <v>N</v>
          </cell>
          <cell r="AB342" t="str">
            <v>N</v>
          </cell>
          <cell r="AC342" t="str">
            <v>N</v>
          </cell>
          <cell r="AD342" t="str">
            <v>N</v>
          </cell>
          <cell r="AE342" t="str">
            <v>N</v>
          </cell>
        </row>
        <row r="343">
          <cell r="E343" t="str">
            <v>ISIN</v>
          </cell>
          <cell r="Z343" t="str">
            <v>Y</v>
          </cell>
          <cell r="AA343" t="str">
            <v>N</v>
          </cell>
          <cell r="AB343" t="str">
            <v>N</v>
          </cell>
          <cell r="AC343" t="str">
            <v>N</v>
          </cell>
          <cell r="AD343" t="str">
            <v>N</v>
          </cell>
          <cell r="AE343" t="str">
            <v>N</v>
          </cell>
        </row>
        <row r="344">
          <cell r="E344" t="str">
            <v>ISSR_CNTRY</v>
          </cell>
          <cell r="Z344" t="str">
            <v>Y</v>
          </cell>
          <cell r="AA344" t="str">
            <v>N</v>
          </cell>
          <cell r="AB344" t="str">
            <v>Y</v>
          </cell>
          <cell r="AC344" t="str">
            <v>N</v>
          </cell>
          <cell r="AD344" t="str">
            <v>N</v>
          </cell>
          <cell r="AE344" t="str">
            <v>N</v>
          </cell>
        </row>
        <row r="345">
          <cell r="E345" t="str">
            <v>ISSR_ESA_2010</v>
          </cell>
          <cell r="Z345" t="str">
            <v>Y</v>
          </cell>
          <cell r="AA345" t="str">
            <v>N</v>
          </cell>
          <cell r="AB345" t="str">
            <v>N</v>
          </cell>
          <cell r="AC345" t="str">
            <v>N</v>
          </cell>
          <cell r="AD345" t="str">
            <v>N</v>
          </cell>
          <cell r="AE345" t="str">
            <v>N</v>
          </cell>
        </row>
        <row r="346">
          <cell r="E346" t="str">
            <v>ISSR_ID</v>
          </cell>
          <cell r="Z346" t="str">
            <v>Y</v>
          </cell>
          <cell r="AA346" t="str">
            <v>N</v>
          </cell>
          <cell r="AB346" t="str">
            <v>N</v>
          </cell>
          <cell r="AC346" t="str">
            <v>N</v>
          </cell>
          <cell r="AD346" t="str">
            <v>N</v>
          </cell>
          <cell r="AE346" t="str">
            <v>N</v>
          </cell>
        </row>
        <row r="347">
          <cell r="E347" t="str">
            <v>ISSR_ID_TYP</v>
          </cell>
          <cell r="Z347" t="str">
            <v>Y</v>
          </cell>
          <cell r="AA347" t="str">
            <v>N</v>
          </cell>
          <cell r="AB347" t="str">
            <v>N</v>
          </cell>
          <cell r="AC347" t="str">
            <v>N</v>
          </cell>
          <cell r="AD347" t="str">
            <v>N</v>
          </cell>
          <cell r="AE347" t="str">
            <v>N</v>
          </cell>
        </row>
        <row r="348">
          <cell r="E348" t="str">
            <v>ISSR_NACE_SCTR</v>
          </cell>
          <cell r="Z348" t="str">
            <v>Y</v>
          </cell>
          <cell r="AA348" t="str">
            <v>N</v>
          </cell>
          <cell r="AB348" t="str">
            <v>Y</v>
          </cell>
          <cell r="AC348" t="str">
            <v>N</v>
          </cell>
          <cell r="AD348" t="str">
            <v>N</v>
          </cell>
          <cell r="AE348" t="str">
            <v>N</v>
          </cell>
        </row>
        <row r="349">
          <cell r="E349" t="str">
            <v>ISSR_RTNG</v>
          </cell>
          <cell r="Z349" t="str">
            <v>Y</v>
          </cell>
          <cell r="AA349" t="str">
            <v>N</v>
          </cell>
          <cell r="AB349" t="str">
            <v>N</v>
          </cell>
          <cell r="AC349" t="str">
            <v>N</v>
          </cell>
          <cell r="AD349" t="str">
            <v>N</v>
          </cell>
          <cell r="AE349" t="str">
            <v>N</v>
          </cell>
        </row>
        <row r="350">
          <cell r="E350" t="str">
            <v>ISSR_RTNG_SRC</v>
          </cell>
          <cell r="Z350" t="str">
            <v>Y</v>
          </cell>
          <cell r="AA350" t="str">
            <v>N</v>
          </cell>
          <cell r="AB350" t="str">
            <v>N</v>
          </cell>
          <cell r="AC350" t="str">
            <v>N</v>
          </cell>
          <cell r="AD350" t="str">
            <v>N</v>
          </cell>
          <cell r="AE350" t="str">
            <v>N</v>
          </cell>
        </row>
        <row r="351">
          <cell r="E351" t="str">
            <v>ISSR_TYP</v>
          </cell>
          <cell r="Z351" t="str">
            <v>Y</v>
          </cell>
          <cell r="AA351" t="str">
            <v>N</v>
          </cell>
          <cell r="AB351" t="str">
            <v>N</v>
          </cell>
          <cell r="AC351" t="str">
            <v>N</v>
          </cell>
          <cell r="AD351" t="str">
            <v>N</v>
          </cell>
          <cell r="AE351" t="str">
            <v>N</v>
          </cell>
        </row>
        <row r="352">
          <cell r="E352" t="str">
            <v>LCR_BFFR_CTGRY</v>
          </cell>
          <cell r="Z352" t="str">
            <v>Y</v>
          </cell>
          <cell r="AA352" t="str">
            <v>N</v>
          </cell>
          <cell r="AB352" t="str">
            <v>N</v>
          </cell>
          <cell r="AC352" t="str">
            <v>N</v>
          </cell>
          <cell r="AD352" t="str">
            <v>N</v>
          </cell>
          <cell r="AE352" t="str">
            <v>N</v>
          </cell>
        </row>
        <row r="353">
          <cell r="E353" t="str">
            <v>PRCH_UNDR_RSL_AGR</v>
          </cell>
          <cell r="Z353" t="str">
            <v>Y</v>
          </cell>
          <cell r="AA353" t="str">
            <v>N</v>
          </cell>
          <cell r="AB353" t="str">
            <v>N</v>
          </cell>
          <cell r="AC353" t="str">
            <v>N</v>
          </cell>
          <cell r="AD353" t="str">
            <v>N</v>
          </cell>
          <cell r="AE353" t="str">
            <v>N</v>
          </cell>
        </row>
        <row r="354">
          <cell r="E354" t="str">
            <v>PRDNTL_PRTFL</v>
          </cell>
          <cell r="Z354" t="str">
            <v>Y</v>
          </cell>
          <cell r="AA354" t="str">
            <v>N</v>
          </cell>
          <cell r="AB354" t="str">
            <v>N</v>
          </cell>
          <cell r="AC354" t="str">
            <v>N</v>
          </cell>
          <cell r="AD354" t="str">
            <v>N</v>
          </cell>
          <cell r="AE354" t="str">
            <v>Y</v>
          </cell>
        </row>
        <row r="355">
          <cell r="E355" t="str">
            <v>PRMRY_ASST_CLSSF</v>
          </cell>
          <cell r="Z355" t="str">
            <v>Y</v>
          </cell>
          <cell r="AA355" t="str">
            <v>N</v>
          </cell>
          <cell r="AB355" t="str">
            <v>Y</v>
          </cell>
          <cell r="AC355" t="str">
            <v>N</v>
          </cell>
          <cell r="AD355" t="str">
            <v>N</v>
          </cell>
          <cell r="AE355" t="str">
            <v>N</v>
          </cell>
        </row>
        <row r="356">
          <cell r="E356" t="str">
            <v>PRT_LCR_BFFR</v>
          </cell>
          <cell r="Z356" t="str">
            <v>Y</v>
          </cell>
          <cell r="AA356" t="str">
            <v>N</v>
          </cell>
          <cell r="AB356" t="str">
            <v>N</v>
          </cell>
          <cell r="AC356" t="str">
            <v>N</v>
          </cell>
          <cell r="AD356" t="str">
            <v>N</v>
          </cell>
          <cell r="AE356" t="str">
            <v>N</v>
          </cell>
        </row>
        <row r="357">
          <cell r="E357" t="str">
            <v>CPN_RT_FLTNG</v>
          </cell>
          <cell r="Z357" t="str">
            <v>Y</v>
          </cell>
          <cell r="AA357" t="str">
            <v>N</v>
          </cell>
          <cell r="AB357" t="str">
            <v>N</v>
          </cell>
          <cell r="AC357" t="str">
            <v>N</v>
          </cell>
          <cell r="AD357" t="str">
            <v>N</v>
          </cell>
          <cell r="AE357" t="str">
            <v>N</v>
          </cell>
        </row>
        <row r="358">
          <cell r="E358" t="str">
            <v>SPRD</v>
          </cell>
          <cell r="Z358" t="str">
            <v>Y</v>
          </cell>
          <cell r="AA358" t="str">
            <v>N</v>
          </cell>
          <cell r="AB358" t="str">
            <v>N</v>
          </cell>
          <cell r="AC358" t="str">
            <v>N</v>
          </cell>
          <cell r="AD358" t="str">
            <v>N</v>
          </cell>
          <cell r="AE358" t="str">
            <v>N</v>
          </cell>
        </row>
        <row r="359">
          <cell r="E359" t="str">
            <v>SRCS_ENCMBRNC</v>
          </cell>
          <cell r="Z359" t="str">
            <v>Y</v>
          </cell>
          <cell r="AA359" t="str">
            <v>N</v>
          </cell>
          <cell r="AB359" t="str">
            <v>N</v>
          </cell>
          <cell r="AC359" t="str">
            <v>N</v>
          </cell>
          <cell r="AD359" t="str">
            <v>N</v>
          </cell>
          <cell r="AE359" t="str">
            <v>N</v>
          </cell>
        </row>
        <row r="360">
          <cell r="E360" t="str">
            <v>TYPE_OF_PLCMNT</v>
          </cell>
          <cell r="Z360" t="str">
            <v>Y</v>
          </cell>
          <cell r="AA360" t="str">
            <v>N</v>
          </cell>
          <cell r="AB360" t="str">
            <v>N</v>
          </cell>
          <cell r="AC360" t="str">
            <v>N</v>
          </cell>
          <cell r="AD360" t="str">
            <v>N</v>
          </cell>
          <cell r="AE360" t="str">
            <v>N</v>
          </cell>
        </row>
        <row r="361">
          <cell r="E361" t="str">
            <v>VLTN_CRRNCY</v>
          </cell>
          <cell r="Z361" t="str">
            <v>Y</v>
          </cell>
          <cell r="AA361" t="str">
            <v>N</v>
          </cell>
          <cell r="AB361" t="str">
            <v>N</v>
          </cell>
          <cell r="AC361" t="str">
            <v>N</v>
          </cell>
          <cell r="AD361" t="str">
            <v>N</v>
          </cell>
          <cell r="AE361" t="str">
            <v>N</v>
          </cell>
        </row>
        <row r="362">
          <cell r="E362" t="str">
            <v>VLTN_TYP</v>
          </cell>
          <cell r="Z362" t="str">
            <v>Y</v>
          </cell>
          <cell r="AA362" t="str">
            <v>N</v>
          </cell>
          <cell r="AB362" t="str">
            <v>N</v>
          </cell>
          <cell r="AC362" t="str">
            <v>N</v>
          </cell>
          <cell r="AD362" t="str">
            <v>N</v>
          </cell>
          <cell r="AE362" t="str">
            <v>N</v>
          </cell>
        </row>
        <row r="363">
          <cell r="E363" t="str">
            <v>LVRG_FNNC_FLG</v>
          </cell>
          <cell r="Z363" t="str">
            <v>Y</v>
          </cell>
          <cell r="AA363" t="str">
            <v>N</v>
          </cell>
          <cell r="AB363" t="str">
            <v>N</v>
          </cell>
          <cell r="AC363" t="str">
            <v>N</v>
          </cell>
          <cell r="AD363" t="str">
            <v>N</v>
          </cell>
          <cell r="AE363" t="str">
            <v>Y</v>
          </cell>
        </row>
        <row r="364">
          <cell r="E364" t="str">
            <v>INTRNL_SGMNT_IFRS9</v>
          </cell>
          <cell r="Z364" t="str">
            <v>Y</v>
          </cell>
          <cell r="AA364" t="str">
            <v>N</v>
          </cell>
          <cell r="AB364" t="str">
            <v>N</v>
          </cell>
          <cell r="AC364" t="str">
            <v>N</v>
          </cell>
          <cell r="AD364" t="str">
            <v>N</v>
          </cell>
          <cell r="AE364" t="str">
            <v>N</v>
          </cell>
        </row>
        <row r="365">
          <cell r="E365" t="str">
            <v>INTRNL_SGMNT_CAT_MSTA</v>
          </cell>
          <cell r="Z365" t="str">
            <v>Y</v>
          </cell>
          <cell r="AA365" t="str">
            <v>N</v>
          </cell>
          <cell r="AB365" t="str">
            <v>N</v>
          </cell>
          <cell r="AC365" t="str">
            <v>N</v>
          </cell>
          <cell r="AD365" t="str">
            <v>Y</v>
          </cell>
          <cell r="AE365" t="str">
            <v>N</v>
          </cell>
        </row>
        <row r="366">
          <cell r="E366" t="str">
            <v>INTRNL_SGMNT_CATGSUB</v>
          </cell>
          <cell r="Z366" t="str">
            <v>Y</v>
          </cell>
          <cell r="AA366" t="str">
            <v>N</v>
          </cell>
          <cell r="AB366" t="str">
            <v>N</v>
          </cell>
          <cell r="AC366" t="str">
            <v>N</v>
          </cell>
          <cell r="AD366" t="str">
            <v>Y</v>
          </cell>
          <cell r="AE366" t="str">
            <v>N</v>
          </cell>
        </row>
        <row r="367">
          <cell r="E367" t="str">
            <v>CRRLTN_CFFCNT</v>
          </cell>
          <cell r="Z367" t="str">
            <v>Y</v>
          </cell>
          <cell r="AA367" t="str">
            <v>N</v>
          </cell>
          <cell r="AB367" t="str">
            <v>N</v>
          </cell>
          <cell r="AC367" t="str">
            <v>N</v>
          </cell>
          <cell r="AD367" t="str">
            <v>N</v>
          </cell>
          <cell r="AE367" t="str">
            <v>N</v>
          </cell>
        </row>
        <row r="368">
          <cell r="E368" t="str">
            <v>ISIN_SCRTSTN</v>
          </cell>
          <cell r="Z368" t="str">
            <v>Y</v>
          </cell>
          <cell r="AA368" t="str">
            <v>N</v>
          </cell>
          <cell r="AB368" t="str">
            <v>N</v>
          </cell>
          <cell r="AC368" t="str">
            <v>N</v>
          </cell>
          <cell r="AD368" t="str">
            <v>N</v>
          </cell>
          <cell r="AE368" t="str">
            <v>N</v>
          </cell>
        </row>
        <row r="369">
          <cell r="E369" t="str">
            <v>CNTRCT_ID_BDR</v>
          </cell>
          <cell r="Z369" t="str">
            <v>Y</v>
          </cell>
          <cell r="AA369" t="str">
            <v>N</v>
          </cell>
          <cell r="AB369" t="str">
            <v>N</v>
          </cell>
          <cell r="AC369" t="str">
            <v>Y</v>
          </cell>
          <cell r="AD369" t="str">
            <v>N</v>
          </cell>
          <cell r="AE369" t="str">
            <v>N</v>
          </cell>
        </row>
        <row r="370">
          <cell r="E370" t="str">
            <v>COD_SOC_INTRGRP</v>
          </cell>
          <cell r="Z370" t="str">
            <v>Y</v>
          </cell>
          <cell r="AA370" t="str">
            <v>Y</v>
          </cell>
          <cell r="AB370" t="str">
            <v>Y</v>
          </cell>
          <cell r="AC370" t="str">
            <v>N</v>
          </cell>
          <cell r="AD370" t="str">
            <v>N</v>
          </cell>
          <cell r="AE370" t="str">
            <v>N</v>
          </cell>
        </row>
        <row r="371">
          <cell r="E371" t="str">
            <v>LCL_INSTMRNT_ID</v>
          </cell>
          <cell r="Z371" t="str">
            <v>Y</v>
          </cell>
          <cell r="AA371" t="str">
            <v>Y</v>
          </cell>
          <cell r="AB371" t="str">
            <v>Y</v>
          </cell>
          <cell r="AC371" t="str">
            <v>N</v>
          </cell>
          <cell r="AD371" t="str">
            <v>N</v>
          </cell>
          <cell r="AE371" t="str">
            <v>N</v>
          </cell>
        </row>
        <row r="372">
          <cell r="E372" t="str">
            <v>SSTNBL_INDCTR</v>
          </cell>
          <cell r="Z372" t="str">
            <v>N</v>
          </cell>
          <cell r="AA372" t="str">
            <v>Y</v>
          </cell>
          <cell r="AB372" t="str">
            <v>Y</v>
          </cell>
          <cell r="AC372" t="str">
            <v>Y</v>
          </cell>
          <cell r="AD372" t="str">
            <v>N</v>
          </cell>
          <cell r="AE372" t="str">
            <v>N</v>
          </cell>
        </row>
        <row r="373">
          <cell r="E373" t="str">
            <v>SSTNBL_CTGRY</v>
          </cell>
          <cell r="Z373" t="str">
            <v>N</v>
          </cell>
          <cell r="AA373" t="str">
            <v>Y</v>
          </cell>
          <cell r="AB373" t="str">
            <v>Y</v>
          </cell>
          <cell r="AC373" t="str">
            <v>Y</v>
          </cell>
          <cell r="AD373" t="str">
            <v>N</v>
          </cell>
          <cell r="AE373" t="str">
            <v>N</v>
          </cell>
        </row>
        <row r="374">
          <cell r="E374" t="str">
            <v>AVRG_BLNC</v>
          </cell>
          <cell r="Z374" t="str">
            <v>N</v>
          </cell>
          <cell r="AA374" t="str">
            <v>Y</v>
          </cell>
          <cell r="AB374" t="str">
            <v>N</v>
          </cell>
          <cell r="AC374" t="str">
            <v>Y</v>
          </cell>
          <cell r="AD374" t="str">
            <v>N</v>
          </cell>
          <cell r="AE374" t="str">
            <v>N</v>
          </cell>
        </row>
        <row r="375">
          <cell r="E375" t="str">
            <v>NW_BSNSS</v>
          </cell>
          <cell r="Z375" t="str">
            <v>N</v>
          </cell>
          <cell r="AA375" t="str">
            <v>Y</v>
          </cell>
          <cell r="AB375" t="str">
            <v>Y</v>
          </cell>
          <cell r="AC375" t="str">
            <v>Y</v>
          </cell>
          <cell r="AD375" t="str">
            <v>N</v>
          </cell>
          <cell r="AE375" t="str">
            <v>N</v>
          </cell>
        </row>
        <row r="376">
          <cell r="E376" t="str">
            <v>GRSS_INTRST_INCM</v>
          </cell>
          <cell r="Z376" t="str">
            <v>N</v>
          </cell>
          <cell r="AA376" t="str">
            <v>Y</v>
          </cell>
          <cell r="AB376" t="str">
            <v>Y</v>
          </cell>
          <cell r="AC376" t="str">
            <v>Y</v>
          </cell>
          <cell r="AD376" t="str">
            <v>N</v>
          </cell>
          <cell r="AE376" t="str">
            <v>N</v>
          </cell>
        </row>
        <row r="377">
          <cell r="E377" t="str">
            <v>GRSS_CMMSSN_INCM</v>
          </cell>
          <cell r="Z377" t="str">
            <v>N</v>
          </cell>
          <cell r="AA377" t="str">
            <v>Y</v>
          </cell>
          <cell r="AB377" t="str">
            <v>Y</v>
          </cell>
          <cell r="AC377" t="str">
            <v>Y</v>
          </cell>
          <cell r="AD377" t="str">
            <v>N</v>
          </cell>
          <cell r="AE377" t="str">
            <v>N</v>
          </cell>
        </row>
        <row r="378">
          <cell r="E378" t="str">
            <v>INTRNL_TRNSFR_RT</v>
          </cell>
          <cell r="Z378" t="str">
            <v>N</v>
          </cell>
          <cell r="AA378" t="str">
            <v>Y</v>
          </cell>
          <cell r="AB378" t="str">
            <v>N</v>
          </cell>
          <cell r="AC378" t="str">
            <v>Y</v>
          </cell>
          <cell r="AD378" t="str">
            <v>N</v>
          </cell>
          <cell r="AE378" t="str">
            <v>N</v>
          </cell>
        </row>
        <row r="379">
          <cell r="E379" t="str">
            <v>NT_LN_LSS_PRVSN</v>
          </cell>
          <cell r="Z379" t="str">
            <v>N</v>
          </cell>
          <cell r="AA379" t="str">
            <v>Y</v>
          </cell>
          <cell r="AB379" t="str">
            <v>N</v>
          </cell>
          <cell r="AC379" t="str">
            <v>Y</v>
          </cell>
          <cell r="AD379" t="str">
            <v>N</v>
          </cell>
          <cell r="AE379" t="str">
            <v>N</v>
          </cell>
        </row>
        <row r="380">
          <cell r="E380" t="str">
            <v>BSNSS_AREA</v>
          </cell>
          <cell r="Z380" t="str">
            <v>N</v>
          </cell>
          <cell r="AA380" t="str">
            <v>Y</v>
          </cell>
          <cell r="AB380" t="str">
            <v>N</v>
          </cell>
          <cell r="AC380" t="str">
            <v>Y</v>
          </cell>
          <cell r="AD380" t="str">
            <v>N</v>
          </cell>
          <cell r="AE380" t="str">
            <v>N</v>
          </cell>
        </row>
        <row r="381">
          <cell r="E381" t="str">
            <v>MNGMNT_PRDCT</v>
          </cell>
          <cell r="Z381" t="str">
            <v>N</v>
          </cell>
          <cell r="AA381" t="str">
            <v>Y</v>
          </cell>
          <cell r="AB381" t="str">
            <v>N</v>
          </cell>
          <cell r="AC381" t="str">
            <v>Y</v>
          </cell>
          <cell r="AD381" t="str">
            <v>N</v>
          </cell>
          <cell r="AE381" t="str">
            <v>N</v>
          </cell>
        </row>
        <row r="382">
          <cell r="E382" t="str">
            <v>GRSS_CMMSSN_EXPNS</v>
          </cell>
          <cell r="Z382" t="str">
            <v>N</v>
          </cell>
          <cell r="AA382" t="str">
            <v>Y</v>
          </cell>
          <cell r="AB382" t="str">
            <v>N</v>
          </cell>
          <cell r="AC382" t="str">
            <v>Y</v>
          </cell>
          <cell r="AD382" t="str">
            <v>N</v>
          </cell>
          <cell r="AE382" t="str">
            <v>N</v>
          </cell>
        </row>
        <row r="383">
          <cell r="E383" t="str">
            <v>GNS_FNNCL_TRNSCTN_EXCHNG_DFFRNCS</v>
          </cell>
          <cell r="Z383" t="str">
            <v>N</v>
          </cell>
          <cell r="AA383" t="str">
            <v>Y</v>
          </cell>
          <cell r="AB383" t="str">
            <v>N</v>
          </cell>
          <cell r="AC383" t="str">
            <v>Y</v>
          </cell>
          <cell r="AD383" t="str">
            <v>N</v>
          </cell>
          <cell r="AE383" t="str">
            <v>N</v>
          </cell>
        </row>
        <row r="384">
          <cell r="E384" t="str">
            <v>FLG_INTRBSNSS</v>
          </cell>
          <cell r="Z384" t="str">
            <v>N</v>
          </cell>
          <cell r="AA384" t="str">
            <v>Y</v>
          </cell>
          <cell r="AB384" t="str">
            <v>N</v>
          </cell>
          <cell r="AC384" t="str">
            <v>N</v>
          </cell>
          <cell r="AD384" t="str">
            <v>N</v>
          </cell>
          <cell r="AE384" t="str">
            <v>N</v>
          </cell>
        </row>
        <row r="385">
          <cell r="E385" t="str">
            <v>INTRBSNSS_ADJ_COD</v>
          </cell>
          <cell r="Z385" t="str">
            <v>N</v>
          </cell>
          <cell r="AA385" t="str">
            <v>Y</v>
          </cell>
          <cell r="AB385" t="str">
            <v>N</v>
          </cell>
          <cell r="AC385" t="str">
            <v>N</v>
          </cell>
          <cell r="AD385" t="str">
            <v>N</v>
          </cell>
          <cell r="AE385" t="str">
            <v>N</v>
          </cell>
        </row>
        <row r="386">
          <cell r="E386" t="str">
            <v>COD_SOC_DSTNTN</v>
          </cell>
          <cell r="Z386" t="str">
            <v>N</v>
          </cell>
          <cell r="AA386" t="str">
            <v>Y</v>
          </cell>
          <cell r="AB386" t="str">
            <v>N</v>
          </cell>
          <cell r="AC386" t="str">
            <v>N</v>
          </cell>
          <cell r="AD386" t="str">
            <v>N</v>
          </cell>
          <cell r="AE386" t="str">
            <v>N</v>
          </cell>
        </row>
        <row r="387">
          <cell r="E387" t="str">
            <v>BSNSS_AREA_DSTNTN</v>
          </cell>
          <cell r="Z387" t="str">
            <v>N</v>
          </cell>
          <cell r="AA387" t="str">
            <v>Y</v>
          </cell>
          <cell r="AB387" t="str">
            <v>N</v>
          </cell>
          <cell r="AC387" t="str">
            <v>N</v>
          </cell>
          <cell r="AD387" t="str">
            <v>N</v>
          </cell>
          <cell r="AE387" t="str">
            <v>N</v>
          </cell>
        </row>
        <row r="388">
          <cell r="E388" t="str">
            <v>AVRG_BLNC_OFF_BLNC</v>
          </cell>
          <cell r="Z388" t="str">
            <v>N</v>
          </cell>
          <cell r="AA388" t="str">
            <v>Y</v>
          </cell>
          <cell r="AB388" t="str">
            <v>N</v>
          </cell>
          <cell r="AC388" t="str">
            <v>N</v>
          </cell>
          <cell r="AD388" t="str">
            <v>N</v>
          </cell>
          <cell r="AE388" t="str">
            <v>N</v>
          </cell>
        </row>
        <row r="389">
          <cell r="E389" t="str">
            <v>INTRNL_TRNSFR_RT_OFF_BLNC</v>
          </cell>
          <cell r="Z389" t="str">
            <v>N</v>
          </cell>
          <cell r="AA389" t="str">
            <v>Y</v>
          </cell>
          <cell r="AB389" t="str">
            <v>N</v>
          </cell>
          <cell r="AC389" t="str">
            <v>Y</v>
          </cell>
          <cell r="AD389" t="str">
            <v>N</v>
          </cell>
          <cell r="AE389" t="str">
            <v>N</v>
          </cell>
        </row>
        <row r="390">
          <cell r="E390" t="str">
            <v>GRSS_CMMSSN_INCM_OFF_BLNC</v>
          </cell>
          <cell r="Z390" t="str">
            <v>N</v>
          </cell>
          <cell r="AA390" t="str">
            <v>Y</v>
          </cell>
          <cell r="AB390" t="str">
            <v>Y</v>
          </cell>
          <cell r="AC390" t="str">
            <v>Y</v>
          </cell>
          <cell r="AD390" t="str">
            <v>N</v>
          </cell>
          <cell r="AE390" t="str">
            <v>N</v>
          </cell>
        </row>
        <row r="391">
          <cell r="E391" t="str">
            <v>GRSS_CMMSSN_EXPNS_OFF_BLNC</v>
          </cell>
          <cell r="Z391" t="str">
            <v>N</v>
          </cell>
          <cell r="AA391" t="str">
            <v>Y</v>
          </cell>
          <cell r="AB391" t="str">
            <v>N</v>
          </cell>
          <cell r="AC391" t="str">
            <v>Y</v>
          </cell>
          <cell r="AD391" t="str">
            <v>N</v>
          </cell>
          <cell r="AE391" t="str">
            <v>N</v>
          </cell>
        </row>
        <row r="392">
          <cell r="E392" t="str">
            <v>RWA_OFF_BLNC</v>
          </cell>
          <cell r="Z392" t="str">
            <v>N</v>
          </cell>
          <cell r="AA392" t="str">
            <v>Y</v>
          </cell>
          <cell r="AB392" t="str">
            <v>N</v>
          </cell>
          <cell r="AC392" t="str">
            <v>N</v>
          </cell>
          <cell r="AD392" t="str">
            <v>N</v>
          </cell>
          <cell r="AE392" t="str">
            <v>N</v>
          </cell>
        </row>
        <row r="393">
          <cell r="E393" t="str">
            <v>GRSS_INTRST_EXPNS</v>
          </cell>
          <cell r="Z393" t="str">
            <v>N</v>
          </cell>
          <cell r="AA393" t="str">
            <v>Y</v>
          </cell>
          <cell r="AB393" t="str">
            <v>N</v>
          </cell>
          <cell r="AC393" t="str">
            <v>Y</v>
          </cell>
          <cell r="AD393" t="str">
            <v>N</v>
          </cell>
          <cell r="AE393" t="str">
            <v>N</v>
          </cell>
        </row>
        <row r="394">
          <cell r="E394" t="str">
            <v>NT_LN_LSS_PRVSN_OFF_BLNC</v>
          </cell>
          <cell r="Z394" t="str">
            <v>N</v>
          </cell>
          <cell r="AA394" t="str">
            <v>Y</v>
          </cell>
          <cell r="AB394" t="str">
            <v>N</v>
          </cell>
          <cell r="AC394" t="str">
            <v>Y</v>
          </cell>
          <cell r="AD394" t="str">
            <v>N</v>
          </cell>
          <cell r="AE394" t="str">
            <v>N</v>
          </cell>
        </row>
        <row r="395">
          <cell r="E395" t="str">
            <v>GRSS_INTRST_INCM_CCRR</v>
          </cell>
          <cell r="Z395" t="str">
            <v>N</v>
          </cell>
          <cell r="AA395" t="str">
            <v>Y</v>
          </cell>
          <cell r="AB395" t="str">
            <v>N</v>
          </cell>
          <cell r="AC395" t="str">
            <v>Y</v>
          </cell>
          <cell r="AD395" t="str">
            <v>N</v>
          </cell>
          <cell r="AE395" t="str">
            <v>N</v>
          </cell>
        </row>
        <row r="396">
          <cell r="E396" t="str">
            <v>GRSS_INTRST_EXPNS_CCRR</v>
          </cell>
          <cell r="Z396" t="str">
            <v>N</v>
          </cell>
          <cell r="AA396" t="str">
            <v>Y</v>
          </cell>
          <cell r="AB396" t="str">
            <v>N</v>
          </cell>
          <cell r="AC396" t="str">
            <v>Y</v>
          </cell>
          <cell r="AD396" t="str">
            <v>N</v>
          </cell>
          <cell r="AE396" t="str">
            <v>N</v>
          </cell>
        </row>
        <row r="397">
          <cell r="E397" t="str">
            <v>GRSS_CMMSSN_INCM_CCRR</v>
          </cell>
          <cell r="Z397" t="str">
            <v>N</v>
          </cell>
          <cell r="AA397" t="str">
            <v>Y</v>
          </cell>
          <cell r="AB397" t="str">
            <v>N</v>
          </cell>
          <cell r="AC397" t="str">
            <v>Y</v>
          </cell>
          <cell r="AD397" t="str">
            <v>N</v>
          </cell>
          <cell r="AE397" t="str">
            <v>N</v>
          </cell>
        </row>
        <row r="398">
          <cell r="E398" t="str">
            <v>GRSS_CMMSSN_EXPNS_CCRR</v>
          </cell>
          <cell r="Z398" t="str">
            <v>N</v>
          </cell>
          <cell r="AA398" t="str">
            <v>Y</v>
          </cell>
          <cell r="AB398" t="str">
            <v>N</v>
          </cell>
          <cell r="AC398" t="str">
            <v>Y</v>
          </cell>
          <cell r="AD398" t="str">
            <v>N</v>
          </cell>
          <cell r="AE398" t="str">
            <v>N</v>
          </cell>
        </row>
        <row r="399">
          <cell r="E399" t="str">
            <v>GNS_FNNCL_TRNSCTN_EXCHNG_CCRR</v>
          </cell>
          <cell r="Z399" t="str">
            <v>N</v>
          </cell>
          <cell r="AA399" t="str">
            <v>Y</v>
          </cell>
          <cell r="AB399" t="str">
            <v>N</v>
          </cell>
          <cell r="AC399" t="str">
            <v>Y</v>
          </cell>
          <cell r="AD399" t="str">
            <v>N</v>
          </cell>
          <cell r="AE399" t="str">
            <v>N</v>
          </cell>
        </row>
        <row r="400">
          <cell r="E400" t="str">
            <v>BSNSS_AREA_CCRR</v>
          </cell>
          <cell r="Z400" t="str">
            <v>N</v>
          </cell>
          <cell r="AA400" t="str">
            <v>Y</v>
          </cell>
          <cell r="AB400" t="str">
            <v>N</v>
          </cell>
          <cell r="AC400" t="str">
            <v>N</v>
          </cell>
          <cell r="AD400" t="str">
            <v>N</v>
          </cell>
          <cell r="AE400" t="str">
            <v>N</v>
          </cell>
        </row>
        <row r="401">
          <cell r="E401" t="str">
            <v>GRSS_CMMSSN_INCM_OFF_BLNC_CCRR</v>
          </cell>
          <cell r="Z401" t="str">
            <v>N</v>
          </cell>
          <cell r="AA401" t="str">
            <v>Y</v>
          </cell>
          <cell r="AB401" t="str">
            <v>N</v>
          </cell>
          <cell r="AC401" t="str">
            <v>Y</v>
          </cell>
          <cell r="AD401" t="str">
            <v>N</v>
          </cell>
          <cell r="AE401" t="str">
            <v>N</v>
          </cell>
        </row>
        <row r="402">
          <cell r="E402" t="str">
            <v>GRSS_CMMSSN_EXPNS_OFF_BLNC_CCRR</v>
          </cell>
          <cell r="Z402" t="str">
            <v>N</v>
          </cell>
          <cell r="AA402" t="str">
            <v>Y</v>
          </cell>
          <cell r="AB402" t="str">
            <v>N</v>
          </cell>
          <cell r="AC402" t="str">
            <v>Y</v>
          </cell>
          <cell r="AD402" t="str">
            <v>N</v>
          </cell>
          <cell r="AE402" t="str">
            <v>N</v>
          </cell>
        </row>
        <row r="403">
          <cell r="E403" t="str">
            <v>ENVRNMNTL_OBJCTV</v>
          </cell>
          <cell r="Z403" t="str">
            <v>N</v>
          </cell>
          <cell r="AA403" t="str">
            <v>N</v>
          </cell>
          <cell r="AB403" t="str">
            <v>Y</v>
          </cell>
          <cell r="AC403" t="str">
            <v>N</v>
          </cell>
          <cell r="AD403" t="str">
            <v>N</v>
          </cell>
          <cell r="AE403" t="str">
            <v>N</v>
          </cell>
        </row>
        <row r="404">
          <cell r="E404" t="str">
            <v>RSK_MTGTD_CCT</v>
          </cell>
          <cell r="Z404" t="str">
            <v>N</v>
          </cell>
          <cell r="AA404" t="str">
            <v>N</v>
          </cell>
          <cell r="AB404" t="str">
            <v>Y</v>
          </cell>
          <cell r="AC404" t="str">
            <v>N</v>
          </cell>
          <cell r="AD404" t="str">
            <v>N</v>
          </cell>
          <cell r="AE404" t="str">
            <v>N</v>
          </cell>
        </row>
        <row r="405">
          <cell r="E405" t="str">
            <v>RSK_MTGTD_CCP</v>
          </cell>
          <cell r="Z405" t="str">
            <v>N</v>
          </cell>
          <cell r="AA405" t="str">
            <v>N</v>
          </cell>
          <cell r="AB405" t="str">
            <v>Y</v>
          </cell>
          <cell r="AC405" t="str">
            <v>N</v>
          </cell>
          <cell r="AD405" t="str">
            <v>N</v>
          </cell>
          <cell r="AE405" t="str">
            <v>N</v>
          </cell>
        </row>
        <row r="406">
          <cell r="E406" t="str">
            <v>TYP_ACTVTY</v>
          </cell>
          <cell r="Z406" t="str">
            <v>N</v>
          </cell>
          <cell r="AA406" t="str">
            <v>N</v>
          </cell>
          <cell r="AB406" t="str">
            <v>Y</v>
          </cell>
          <cell r="AC406" t="str">
            <v>N</v>
          </cell>
          <cell r="AD406" t="str">
            <v>N</v>
          </cell>
          <cell r="AE406" t="str">
            <v>N</v>
          </cell>
        </row>
        <row r="407">
          <cell r="E407" t="str">
            <v>LNS_CLLTRLZD_CLSSFCTN</v>
          </cell>
          <cell r="Z407" t="str">
            <v>N</v>
          </cell>
          <cell r="AA407" t="str">
            <v>N</v>
          </cell>
          <cell r="AB407" t="str">
            <v>Y</v>
          </cell>
          <cell r="AC407" t="str">
            <v>N</v>
          </cell>
          <cell r="AD407" t="str">
            <v>N</v>
          </cell>
          <cell r="AE407" t="str">
            <v>N</v>
          </cell>
        </row>
        <row r="408">
          <cell r="E408" t="str">
            <v>MTHD_USD_INSTRMNT_SCP_1</v>
          </cell>
          <cell r="Z408" t="str">
            <v>N</v>
          </cell>
          <cell r="AA408" t="str">
            <v>N</v>
          </cell>
          <cell r="AB408" t="str">
            <v>Y</v>
          </cell>
          <cell r="AC408" t="str">
            <v>N</v>
          </cell>
          <cell r="AD408" t="str">
            <v>N</v>
          </cell>
          <cell r="AE408" t="str">
            <v>N</v>
          </cell>
        </row>
        <row r="409">
          <cell r="E409" t="str">
            <v>MTHD_USD_INSTRMNT_SCP_2</v>
          </cell>
          <cell r="Z409" t="str">
            <v>N</v>
          </cell>
          <cell r="AA409" t="str">
            <v>N</v>
          </cell>
          <cell r="AB409" t="str">
            <v>Y</v>
          </cell>
          <cell r="AC409" t="str">
            <v>N</v>
          </cell>
          <cell r="AD409" t="str">
            <v>N</v>
          </cell>
          <cell r="AE409" t="str">
            <v>N</v>
          </cell>
        </row>
        <row r="410">
          <cell r="E410" t="str">
            <v>MTHD_USD_INSTRMNT_SCP_3</v>
          </cell>
          <cell r="Z410" t="str">
            <v>N</v>
          </cell>
          <cell r="AA410" t="str">
            <v>N</v>
          </cell>
          <cell r="AB410" t="str">
            <v>Y</v>
          </cell>
          <cell r="AC410" t="str">
            <v>N</v>
          </cell>
          <cell r="AD410" t="str">
            <v>N</v>
          </cell>
          <cell r="AE410" t="str">
            <v>N</v>
          </cell>
        </row>
        <row r="411">
          <cell r="E411" t="str">
            <v>CNCLLD_INSTRMNT_STTS</v>
          </cell>
          <cell r="Z411" t="str">
            <v>N</v>
          </cell>
          <cell r="AA411" t="str">
            <v>Y</v>
          </cell>
          <cell r="AB411" t="str">
            <v>Y</v>
          </cell>
          <cell r="AC411" t="str">
            <v>Y</v>
          </cell>
          <cell r="AD411" t="str">
            <v>N</v>
          </cell>
          <cell r="AE411" t="str">
            <v>N</v>
          </cell>
        </row>
        <row r="412">
          <cell r="E412" t="str">
            <v>IDCMB</v>
          </cell>
          <cell r="Z412" t="str">
            <v>Y</v>
          </cell>
          <cell r="AA412" t="str">
            <v>Y</v>
          </cell>
          <cell r="AB412" t="str">
            <v>Y</v>
          </cell>
          <cell r="AC412" t="str">
            <v>Y</v>
          </cell>
          <cell r="AD412" t="str">
            <v>Y</v>
          </cell>
          <cell r="AE412" t="str">
            <v>Y</v>
          </cell>
        </row>
        <row r="413">
          <cell r="E413" t="str">
            <v>EXPCTD_LSS_CRR</v>
          </cell>
          <cell r="Z413" t="str">
            <v>Y</v>
          </cell>
          <cell r="AA413" t="str">
            <v>N</v>
          </cell>
          <cell r="AB413" t="str">
            <v>N</v>
          </cell>
          <cell r="AC413" t="str">
            <v>N</v>
          </cell>
          <cell r="AD413" t="str">
            <v>N</v>
          </cell>
          <cell r="AE413" t="str">
            <v>N</v>
          </cell>
        </row>
        <row r="414">
          <cell r="E414" t="str">
            <v>LSTI</v>
          </cell>
          <cell r="Z414" t="str">
            <v>Y</v>
          </cell>
          <cell r="AA414" t="str">
            <v>N</v>
          </cell>
          <cell r="AB414" t="str">
            <v>N</v>
          </cell>
          <cell r="AC414" t="str">
            <v>N</v>
          </cell>
          <cell r="AD414" t="str">
            <v>N</v>
          </cell>
          <cell r="AE414" t="str">
            <v>N</v>
          </cell>
        </row>
        <row r="415">
          <cell r="E415" t="str">
            <v>DSTI</v>
          </cell>
          <cell r="Z415" t="str">
            <v>Y</v>
          </cell>
          <cell r="AA415" t="str">
            <v>N</v>
          </cell>
          <cell r="AB415" t="str">
            <v>N</v>
          </cell>
          <cell r="AC415" t="str">
            <v>N</v>
          </cell>
          <cell r="AD415" t="str">
            <v>N</v>
          </cell>
          <cell r="AE415" t="str">
            <v>N</v>
          </cell>
        </row>
        <row r="416">
          <cell r="E416" t="str">
            <v>LTI_INSTRMNT</v>
          </cell>
          <cell r="Z416" t="str">
            <v>Y</v>
          </cell>
          <cell r="AA416" t="str">
            <v>N</v>
          </cell>
          <cell r="AB416" t="str">
            <v>N</v>
          </cell>
          <cell r="AC416" t="str">
            <v>N</v>
          </cell>
          <cell r="AD416" t="str">
            <v>N</v>
          </cell>
          <cell r="AE416" t="str">
            <v>N</v>
          </cell>
        </row>
        <row r="417">
          <cell r="E417" t="str">
            <v>SSTNBL_CTGRY_TXNMY</v>
          </cell>
          <cell r="Z417" t="str">
            <v>N</v>
          </cell>
          <cell r="AA417" t="str">
            <v>N</v>
          </cell>
          <cell r="AB417" t="str">
            <v>Y</v>
          </cell>
          <cell r="AC417" t="str">
            <v>N</v>
          </cell>
          <cell r="AD417" t="str">
            <v>N</v>
          </cell>
          <cell r="AE417" t="str">
            <v>N</v>
          </cell>
        </row>
        <row r="418">
          <cell r="E418" t="str">
            <v>INTRST_RT_CP</v>
          </cell>
          <cell r="Z418" t="str">
            <v>Y</v>
          </cell>
          <cell r="AA418" t="str">
            <v>N</v>
          </cell>
          <cell r="AB418" t="str">
            <v>N</v>
          </cell>
          <cell r="AC418" t="str">
            <v>N</v>
          </cell>
          <cell r="AD418" t="str">
            <v>N</v>
          </cell>
          <cell r="AE418" t="str">
            <v>N</v>
          </cell>
        </row>
        <row r="419">
          <cell r="E419" t="str">
            <v>INTRST_RT_FLR</v>
          </cell>
          <cell r="Z419" t="str">
            <v>Y</v>
          </cell>
          <cell r="AA419" t="str">
            <v>N</v>
          </cell>
          <cell r="AB419" t="str">
            <v>N</v>
          </cell>
          <cell r="AC419" t="str">
            <v>N</v>
          </cell>
          <cell r="AD419" t="str">
            <v>N</v>
          </cell>
          <cell r="AE419" t="str">
            <v>N</v>
          </cell>
        </row>
        <row r="420">
          <cell r="E420" t="str">
            <v>NMNL_INTRST_RT_FEE</v>
          </cell>
          <cell r="Z420" t="str">
            <v>Y</v>
          </cell>
          <cell r="AA420" t="str">
            <v>N</v>
          </cell>
          <cell r="AB420" t="str">
            <v>N</v>
          </cell>
          <cell r="AC420" t="str">
            <v>N</v>
          </cell>
          <cell r="AD420" t="str">
            <v>N</v>
          </cell>
          <cell r="AE420" t="str">
            <v>N</v>
          </cell>
        </row>
        <row r="421">
          <cell r="E421" t="str">
            <v>RFRNC_RT</v>
          </cell>
          <cell r="Z421" t="str">
            <v>Y</v>
          </cell>
          <cell r="AA421" t="str">
            <v>N</v>
          </cell>
          <cell r="AB421" t="str">
            <v>N</v>
          </cell>
          <cell r="AC421" t="str">
            <v>N</v>
          </cell>
          <cell r="AD421" t="str">
            <v>N</v>
          </cell>
          <cell r="AE421" t="str">
            <v>N</v>
          </cell>
        </row>
        <row r="422">
          <cell r="E422" t="str">
            <v>DT_STTLMNT</v>
          </cell>
          <cell r="Z422" t="str">
            <v>Y</v>
          </cell>
          <cell r="AA422" t="str">
            <v>N</v>
          </cell>
          <cell r="AB422" t="str">
            <v>N</v>
          </cell>
          <cell r="AC422" t="str">
            <v>N</v>
          </cell>
          <cell r="AD422" t="str">
            <v>N</v>
          </cell>
          <cell r="AE422" t="str">
            <v>N</v>
          </cell>
        </row>
        <row r="423">
          <cell r="E423" t="str">
            <v>TRNSFRRD_AMNT</v>
          </cell>
          <cell r="Z423" t="str">
            <v>Y</v>
          </cell>
          <cell r="AA423" t="str">
            <v>N</v>
          </cell>
          <cell r="AB423" t="str">
            <v>N</v>
          </cell>
          <cell r="AC423" t="str">
            <v>N</v>
          </cell>
          <cell r="AD423" t="str">
            <v>N</v>
          </cell>
          <cell r="AE423" t="str">
            <v>N</v>
          </cell>
        </row>
        <row r="424">
          <cell r="E424" t="str">
            <v>TYP_SCRTZTN</v>
          </cell>
          <cell r="Z424" t="str">
            <v>Y</v>
          </cell>
          <cell r="AA424" t="str">
            <v>N</v>
          </cell>
          <cell r="AB424" t="str">
            <v>N</v>
          </cell>
          <cell r="AC424" t="str">
            <v>Y</v>
          </cell>
          <cell r="AD424" t="str">
            <v>N</v>
          </cell>
          <cell r="AE424" t="str">
            <v>N</v>
          </cell>
        </row>
        <row r="425">
          <cell r="E425" t="str">
            <v>TYP_OFF_BLNC_PRDCT</v>
          </cell>
          <cell r="Z425" t="str">
            <v>Y</v>
          </cell>
          <cell r="AA425" t="str">
            <v>Y</v>
          </cell>
          <cell r="AB425" t="str">
            <v>Y</v>
          </cell>
          <cell r="AC425" t="str">
            <v>N</v>
          </cell>
          <cell r="AD425" t="str">
            <v>N</v>
          </cell>
          <cell r="AE425" t="str">
            <v>Y</v>
          </cell>
        </row>
        <row r="426">
          <cell r="E426" t="str">
            <v>BLNC_SHT_RCGNTN</v>
          </cell>
          <cell r="Z426" t="str">
            <v>Y</v>
          </cell>
          <cell r="AA426" t="str">
            <v>N</v>
          </cell>
          <cell r="AB426" t="str">
            <v>N</v>
          </cell>
          <cell r="AC426" t="str">
            <v>N</v>
          </cell>
          <cell r="AD426" t="str">
            <v>N</v>
          </cell>
          <cell r="AE426" t="str">
            <v>N</v>
          </cell>
        </row>
        <row r="427">
          <cell r="E427" t="str">
            <v>FLG_DFLT</v>
          </cell>
          <cell r="Z427" t="str">
            <v>Y</v>
          </cell>
          <cell r="AA427" t="str">
            <v>N</v>
          </cell>
          <cell r="AB427" t="str">
            <v>N</v>
          </cell>
          <cell r="AC427" t="str">
            <v>N</v>
          </cell>
          <cell r="AD427" t="str">
            <v>N</v>
          </cell>
          <cell r="AE427" t="str">
            <v>N</v>
          </cell>
        </row>
        <row r="428">
          <cell r="E428" t="str">
            <v>FLG_HGH_RSK</v>
          </cell>
          <cell r="Z428" t="str">
            <v>Y</v>
          </cell>
          <cell r="AA428" t="str">
            <v>N</v>
          </cell>
          <cell r="AB428" t="str">
            <v>N</v>
          </cell>
          <cell r="AC428" t="str">
            <v>N</v>
          </cell>
          <cell r="AD428" t="str">
            <v>N</v>
          </cell>
          <cell r="AE428" t="str">
            <v>N</v>
          </cell>
        </row>
        <row r="429">
          <cell r="E429" t="str">
            <v>EXCLDD_LF</v>
          </cell>
          <cell r="Z429" t="str">
            <v>N</v>
          </cell>
          <cell r="AA429" t="str">
            <v>N</v>
          </cell>
          <cell r="AB429" t="str">
            <v>N</v>
          </cell>
          <cell r="AC429" t="str">
            <v>N</v>
          </cell>
          <cell r="AD429" t="str">
            <v>N</v>
          </cell>
          <cell r="AE429" t="str">
            <v>Y</v>
          </cell>
        </row>
        <row r="430">
          <cell r="E430" t="str">
            <v>RWA_MTGTN</v>
          </cell>
          <cell r="Z430" t="str">
            <v>N</v>
          </cell>
          <cell r="AA430" t="str">
            <v>N</v>
          </cell>
          <cell r="AB430" t="str">
            <v>N</v>
          </cell>
          <cell r="AC430" t="str">
            <v>N</v>
          </cell>
          <cell r="AD430" t="str">
            <v>N</v>
          </cell>
          <cell r="AE430" t="str">
            <v>Y</v>
          </cell>
        </row>
        <row r="431">
          <cell r="E431" t="str">
            <v>RWA_PRMTGTN</v>
          </cell>
          <cell r="Z431" t="str">
            <v>N</v>
          </cell>
          <cell r="AA431" t="str">
            <v>N</v>
          </cell>
          <cell r="AB431" t="str">
            <v>N</v>
          </cell>
          <cell r="AC431" t="str">
            <v>N</v>
          </cell>
          <cell r="AD431" t="str">
            <v>N</v>
          </cell>
          <cell r="AE431" t="str">
            <v>Y</v>
          </cell>
        </row>
        <row r="432">
          <cell r="E432" t="str">
            <v>US_PRCDS</v>
          </cell>
          <cell r="Z432" t="str">
            <v>N</v>
          </cell>
          <cell r="AA432" t="str">
            <v>N</v>
          </cell>
          <cell r="AB432" t="str">
            <v>N</v>
          </cell>
          <cell r="AC432" t="str">
            <v>N</v>
          </cell>
          <cell r="AD432" t="str">
            <v>N</v>
          </cell>
          <cell r="AE432" t="str">
            <v>Y</v>
          </cell>
        </row>
        <row r="433">
          <cell r="E433" t="str">
            <v>TTL_LVRG_RT_INCPTN</v>
          </cell>
          <cell r="Z433" t="str">
            <v>N</v>
          </cell>
          <cell r="AA433" t="str">
            <v>N</v>
          </cell>
          <cell r="AB433" t="str">
            <v>N</v>
          </cell>
          <cell r="AC433" t="str">
            <v>N</v>
          </cell>
          <cell r="AD433" t="str">
            <v>N</v>
          </cell>
          <cell r="AE433" t="str">
            <v>Y</v>
          </cell>
        </row>
        <row r="434">
          <cell r="E434" t="str">
            <v>TYP_FCLTY</v>
          </cell>
          <cell r="Z434" t="str">
            <v>N</v>
          </cell>
          <cell r="AA434" t="str">
            <v>N</v>
          </cell>
          <cell r="AB434" t="str">
            <v>N</v>
          </cell>
          <cell r="AC434" t="str">
            <v>N</v>
          </cell>
          <cell r="AD434" t="str">
            <v>N</v>
          </cell>
          <cell r="AE434" t="str">
            <v>Y</v>
          </cell>
        </row>
        <row r="435">
          <cell r="E435" t="str">
            <v>TYP_CL</v>
          </cell>
          <cell r="Z435" t="str">
            <v>N</v>
          </cell>
          <cell r="AA435" t="str">
            <v>N</v>
          </cell>
          <cell r="AB435" t="str">
            <v>N</v>
          </cell>
          <cell r="AC435" t="str">
            <v>N</v>
          </cell>
          <cell r="AD435" t="str">
            <v>N</v>
          </cell>
          <cell r="AE435" t="str">
            <v>Y</v>
          </cell>
        </row>
        <row r="436">
          <cell r="E436" t="str">
            <v>FLG_MNMM_SFGRDS</v>
          </cell>
          <cell r="Z436" t="str">
            <v>N</v>
          </cell>
          <cell r="AA436" t="str">
            <v>N</v>
          </cell>
          <cell r="AB436" t="str">
            <v>Y</v>
          </cell>
          <cell r="AC436" t="str">
            <v>N</v>
          </cell>
          <cell r="AD436" t="str">
            <v>Y</v>
          </cell>
          <cell r="AE436" t="str">
            <v>N</v>
          </cell>
        </row>
        <row r="437">
          <cell r="E437" t="str">
            <v>RORAC</v>
          </cell>
          <cell r="Z437" t="str">
            <v>N</v>
          </cell>
          <cell r="AA437" t="str">
            <v>N</v>
          </cell>
          <cell r="AB437" t="str">
            <v>N</v>
          </cell>
          <cell r="AC437" t="str">
            <v>N</v>
          </cell>
          <cell r="AD437" t="str">
            <v>N</v>
          </cell>
          <cell r="AE437" t="str">
            <v>Y</v>
          </cell>
        </row>
        <row r="438">
          <cell r="E438" t="str">
            <v>RORWA</v>
          </cell>
          <cell r="Z438" t="str">
            <v>N</v>
          </cell>
          <cell r="AA438" t="str">
            <v>N</v>
          </cell>
          <cell r="AB438" t="str">
            <v>N</v>
          </cell>
          <cell r="AC438" t="str">
            <v>Y</v>
          </cell>
          <cell r="AD438" t="str">
            <v>N</v>
          </cell>
          <cell r="AE438" t="str">
            <v>Y</v>
          </cell>
        </row>
        <row r="439">
          <cell r="E439" t="str">
            <v>TYP_DL</v>
          </cell>
          <cell r="Z439" t="str">
            <v>N</v>
          </cell>
          <cell r="AA439" t="str">
            <v>N</v>
          </cell>
          <cell r="AB439" t="str">
            <v>N</v>
          </cell>
          <cell r="AC439" t="str">
            <v>N</v>
          </cell>
          <cell r="AD439" t="str">
            <v>N</v>
          </cell>
          <cell r="AE439" t="str">
            <v>Y</v>
          </cell>
        </row>
        <row r="440">
          <cell r="E440" t="str">
            <v>DSTNTN_FNDS</v>
          </cell>
          <cell r="Z440" t="str">
            <v>N</v>
          </cell>
          <cell r="AA440" t="str">
            <v>N</v>
          </cell>
          <cell r="AB440" t="str">
            <v>N</v>
          </cell>
          <cell r="AC440" t="str">
            <v>N</v>
          </cell>
          <cell r="AD440" t="str">
            <v>N</v>
          </cell>
          <cell r="AE440" t="str">
            <v>Y</v>
          </cell>
        </row>
        <row r="441">
          <cell r="E441" t="str">
            <v>PRTNR</v>
          </cell>
          <cell r="Z441" t="str">
            <v>N</v>
          </cell>
          <cell r="AA441" t="str">
            <v>N</v>
          </cell>
          <cell r="AB441" t="str">
            <v>N</v>
          </cell>
          <cell r="AC441" t="str">
            <v>Y</v>
          </cell>
          <cell r="AD441" t="str">
            <v>N</v>
          </cell>
          <cell r="AE441" t="str">
            <v>N</v>
          </cell>
        </row>
        <row r="442">
          <cell r="E442" t="str">
            <v>INCNTVS</v>
          </cell>
          <cell r="Z442" t="str">
            <v>N</v>
          </cell>
          <cell r="AA442" t="str">
            <v>N</v>
          </cell>
          <cell r="AB442" t="str">
            <v>N</v>
          </cell>
          <cell r="AC442" t="str">
            <v>Y</v>
          </cell>
          <cell r="AD442" t="str">
            <v>N</v>
          </cell>
          <cell r="AE442" t="str">
            <v>N</v>
          </cell>
        </row>
        <row r="443">
          <cell r="E443" t="str">
            <v>OTHR_OPRTNG_INCM</v>
          </cell>
          <cell r="Z443" t="str">
            <v>N</v>
          </cell>
          <cell r="AA443" t="str">
            <v>N</v>
          </cell>
          <cell r="AB443" t="str">
            <v>N</v>
          </cell>
          <cell r="AC443" t="str">
            <v>Y</v>
          </cell>
          <cell r="AD443" t="str">
            <v>N</v>
          </cell>
          <cell r="AE443" t="str">
            <v>N</v>
          </cell>
        </row>
        <row r="444">
          <cell r="E444" t="str">
            <v>RFRRL_FS</v>
          </cell>
          <cell r="Z444" t="str">
            <v>N</v>
          </cell>
          <cell r="AA444" t="str">
            <v>N</v>
          </cell>
          <cell r="AB444" t="str">
            <v>N</v>
          </cell>
          <cell r="AC444" t="str">
            <v>Y</v>
          </cell>
          <cell r="AD444" t="str">
            <v>N</v>
          </cell>
          <cell r="AE444" t="str">
            <v>N</v>
          </cell>
        </row>
        <row r="445">
          <cell r="E445" t="str">
            <v>INSRNC_CMSSNS</v>
          </cell>
          <cell r="Z445" t="str">
            <v>N</v>
          </cell>
          <cell r="AA445" t="str">
            <v>N</v>
          </cell>
          <cell r="AB445" t="str">
            <v>N</v>
          </cell>
          <cell r="AC445" t="str">
            <v>Y</v>
          </cell>
          <cell r="AD445" t="str">
            <v>N</v>
          </cell>
          <cell r="AE445" t="str">
            <v>N</v>
          </cell>
        </row>
        <row r="446">
          <cell r="E446" t="str">
            <v>OTHR_INCM_AND_CHRGS</v>
          </cell>
          <cell r="Z446" t="str">
            <v>N</v>
          </cell>
          <cell r="AA446" t="str">
            <v>N</v>
          </cell>
          <cell r="AB446" t="str">
            <v>N</v>
          </cell>
          <cell r="AC446" t="str">
            <v>Y</v>
          </cell>
          <cell r="AD446" t="str">
            <v>N</v>
          </cell>
          <cell r="AE446" t="str">
            <v>N</v>
          </cell>
        </row>
        <row r="447">
          <cell r="E447" t="str">
            <v>TX_ON_PRFT</v>
          </cell>
          <cell r="Z447" t="str">
            <v>N</v>
          </cell>
          <cell r="AA447" t="str">
            <v>N</v>
          </cell>
          <cell r="AB447" t="str">
            <v>N</v>
          </cell>
          <cell r="AC447" t="str">
            <v>Y</v>
          </cell>
          <cell r="AD447" t="str">
            <v>N</v>
          </cell>
          <cell r="AE447" t="str">
            <v>N</v>
          </cell>
        </row>
        <row r="448">
          <cell r="E448" t="str">
            <v>PD_EC_INCPTN PD_EC_MDFCTN</v>
          </cell>
          <cell r="Z448" t="str">
            <v>N</v>
          </cell>
          <cell r="AA448" t="str">
            <v>N</v>
          </cell>
          <cell r="AB448" t="str">
            <v>N</v>
          </cell>
          <cell r="AC448" t="str">
            <v>N</v>
          </cell>
          <cell r="AD448" t="str">
            <v>N</v>
          </cell>
          <cell r="AE448" t="str">
            <v>Y</v>
          </cell>
        </row>
        <row r="449">
          <cell r="E449" t="str">
            <v>PD_EC_RD</v>
          </cell>
          <cell r="Z449" t="str">
            <v>Y</v>
          </cell>
          <cell r="AA449" t="str">
            <v>N</v>
          </cell>
          <cell r="AB449" t="str">
            <v>N</v>
          </cell>
          <cell r="AC449" t="str">
            <v>N</v>
          </cell>
          <cell r="AD449" t="str">
            <v>N</v>
          </cell>
          <cell r="AE449" t="str">
            <v>Y</v>
          </cell>
        </row>
        <row r="450">
          <cell r="E450" t="str">
            <v>TTL_LVRG_RT_INCPTN_HLT</v>
          </cell>
          <cell r="Z450" t="str">
            <v>N</v>
          </cell>
          <cell r="AA450" t="str">
            <v>N</v>
          </cell>
          <cell r="AB450" t="str">
            <v>N</v>
          </cell>
          <cell r="AC450" t="str">
            <v>N</v>
          </cell>
          <cell r="AD450" t="str">
            <v>N</v>
          </cell>
          <cell r="AE450" t="str">
            <v>Y</v>
          </cell>
        </row>
        <row r="451">
          <cell r="E451" t="str">
            <v>DT_MDFCTN</v>
          </cell>
          <cell r="Z451" t="str">
            <v>Y</v>
          </cell>
          <cell r="AA451" t="str">
            <v>N</v>
          </cell>
          <cell r="AB451" t="str">
            <v>N</v>
          </cell>
          <cell r="AC451" t="str">
            <v>N</v>
          </cell>
          <cell r="AD451" t="str">
            <v>N</v>
          </cell>
          <cell r="AE451" t="str">
            <v>Y</v>
          </cell>
        </row>
        <row r="452">
          <cell r="E452" t="str">
            <v>ACCNTNG_SCTR</v>
          </cell>
          <cell r="Z452" t="str">
            <v>Y</v>
          </cell>
          <cell r="AA452" t="str">
            <v>Y</v>
          </cell>
          <cell r="AB452" t="str">
            <v>Y</v>
          </cell>
          <cell r="AC452" t="str">
            <v>Y</v>
          </cell>
          <cell r="AD452" t="str">
            <v>Y</v>
          </cell>
          <cell r="AE452" t="str">
            <v>Y</v>
          </cell>
        </row>
        <row r="453">
          <cell r="E453" t="str">
            <v>SSTNBL_CLSSFCTN_MTHD</v>
          </cell>
          <cell r="Z453" t="str">
            <v>N</v>
          </cell>
          <cell r="AA453" t="str">
            <v>N</v>
          </cell>
          <cell r="AB453" t="str">
            <v>N</v>
          </cell>
          <cell r="AC453" t="str">
            <v>Y</v>
          </cell>
          <cell r="AD453" t="str">
            <v>N</v>
          </cell>
          <cell r="AE453" t="str">
            <v>N</v>
          </cell>
        </row>
        <row r="454">
          <cell r="E454" t="str">
            <v>DT_SSTNBL_CLSSFCTN</v>
          </cell>
          <cell r="Z454" t="str">
            <v>N</v>
          </cell>
          <cell r="AA454" t="str">
            <v>N</v>
          </cell>
          <cell r="AB454" t="str">
            <v>N</v>
          </cell>
          <cell r="AC454" t="str">
            <v>Y</v>
          </cell>
          <cell r="AD454" t="str">
            <v>N</v>
          </cell>
          <cell r="AE454" t="str">
            <v>N</v>
          </cell>
        </row>
        <row r="455">
          <cell r="E455" t="str">
            <v>TTL_LVRG_RT_ MDFCTN</v>
          </cell>
          <cell r="Z455" t="str">
            <v>N</v>
          </cell>
          <cell r="AA455" t="str">
            <v>N</v>
          </cell>
          <cell r="AB455" t="str">
            <v>N</v>
          </cell>
          <cell r="AC455" t="str">
            <v>N</v>
          </cell>
          <cell r="AD455" t="str">
            <v>N</v>
          </cell>
          <cell r="AE455" t="str">
            <v>Y</v>
          </cell>
        </row>
        <row r="456">
          <cell r="E456" t="str">
            <v>TTL_LVRG_RT_ MDFCTN_HLT</v>
          </cell>
          <cell r="Z456" t="str">
            <v>N</v>
          </cell>
          <cell r="AA456" t="str">
            <v>N</v>
          </cell>
          <cell r="AB456" t="str">
            <v>N</v>
          </cell>
          <cell r="AC456" t="str">
            <v>N</v>
          </cell>
          <cell r="AD456" t="str">
            <v>N</v>
          </cell>
          <cell r="AE456" t="str">
            <v>Y</v>
          </cell>
        </row>
        <row r="457">
          <cell r="E457" t="str">
            <v>COD_SOC</v>
          </cell>
          <cell r="Z457" t="str">
            <v>Y</v>
          </cell>
          <cell r="AA457" t="str">
            <v>Y</v>
          </cell>
          <cell r="AB457" t="str">
            <v>Y</v>
          </cell>
          <cell r="AC457" t="str">
            <v>N</v>
          </cell>
          <cell r="AD457" t="str">
            <v>N</v>
          </cell>
          <cell r="AE457" t="str">
            <v>Y</v>
          </cell>
        </row>
        <row r="458">
          <cell r="E458" t="str">
            <v>DT_RFRNC</v>
          </cell>
          <cell r="Z458" t="str">
            <v>Y</v>
          </cell>
          <cell r="AA458" t="str">
            <v>Y</v>
          </cell>
          <cell r="AB458" t="str">
            <v>Y</v>
          </cell>
          <cell r="AC458" t="str">
            <v>N</v>
          </cell>
          <cell r="AD458" t="str">
            <v>N</v>
          </cell>
          <cell r="AE458" t="str">
            <v>Y</v>
          </cell>
        </row>
        <row r="459">
          <cell r="E459" t="str">
            <v>INSTRMNT_ID</v>
          </cell>
          <cell r="Z459" t="str">
            <v>Y</v>
          </cell>
          <cell r="AA459" t="str">
            <v>Y</v>
          </cell>
          <cell r="AB459" t="str">
            <v>Y</v>
          </cell>
          <cell r="AC459" t="str">
            <v>N</v>
          </cell>
          <cell r="AD459" t="str">
            <v>N</v>
          </cell>
          <cell r="AE459" t="str">
            <v>Y</v>
          </cell>
        </row>
        <row r="460">
          <cell r="E460" t="str">
            <v>PRTCTN_ID</v>
          </cell>
          <cell r="Z460" t="str">
            <v>Y</v>
          </cell>
          <cell r="AA460" t="str">
            <v>Y</v>
          </cell>
          <cell r="AB460" t="str">
            <v>Y</v>
          </cell>
          <cell r="AC460" t="str">
            <v>N</v>
          </cell>
          <cell r="AD460" t="str">
            <v>N</v>
          </cell>
          <cell r="AE460" t="str">
            <v>Y</v>
          </cell>
        </row>
        <row r="461">
          <cell r="E461" t="str">
            <v>PRTCTN_ALLCTD_VL</v>
          </cell>
          <cell r="Z461" t="str">
            <v>Y</v>
          </cell>
          <cell r="AA461" t="str">
            <v>N</v>
          </cell>
          <cell r="AB461" t="str">
            <v>Y</v>
          </cell>
          <cell r="AC461" t="str">
            <v>N</v>
          </cell>
          <cell r="AD461" t="str">
            <v>N</v>
          </cell>
          <cell r="AE461" t="str">
            <v>N</v>
          </cell>
        </row>
        <row r="462">
          <cell r="E462" t="str">
            <v>THRD_PRTY_PRRTY_CLMS</v>
          </cell>
          <cell r="Z462" t="str">
            <v>Y</v>
          </cell>
          <cell r="AA462" t="str">
            <v>N</v>
          </cell>
          <cell r="AB462" t="str">
            <v>N</v>
          </cell>
          <cell r="AC462" t="str">
            <v>N</v>
          </cell>
          <cell r="AD462" t="str">
            <v>N</v>
          </cell>
          <cell r="AE462" t="str">
            <v>N</v>
          </cell>
        </row>
        <row r="463">
          <cell r="E463" t="str">
            <v>TYP_RLTN</v>
          </cell>
          <cell r="Z463" t="str">
            <v>N</v>
          </cell>
          <cell r="AA463" t="str">
            <v>Y</v>
          </cell>
          <cell r="AB463" t="str">
            <v>Y</v>
          </cell>
          <cell r="AC463" t="str">
            <v>N</v>
          </cell>
          <cell r="AD463" t="str">
            <v>N</v>
          </cell>
          <cell r="AE463" t="str">
            <v>N</v>
          </cell>
        </row>
        <row r="464">
          <cell r="E464" t="str">
            <v>GRP_SPPRT</v>
          </cell>
          <cell r="Z464" t="str">
            <v>Y</v>
          </cell>
          <cell r="AA464" t="str">
            <v>N</v>
          </cell>
          <cell r="AB464" t="str">
            <v>N</v>
          </cell>
          <cell r="AC464" t="str">
            <v>N</v>
          </cell>
          <cell r="AD464" t="str">
            <v>N</v>
          </cell>
          <cell r="AE464" t="str">
            <v>Y</v>
          </cell>
        </row>
        <row r="465">
          <cell r="E465" t="str">
            <v>COD_SOC</v>
          </cell>
          <cell r="Z465" t="str">
            <v>Y</v>
          </cell>
          <cell r="AA465" t="str">
            <v>Y</v>
          </cell>
          <cell r="AB465" t="str">
            <v>Y</v>
          </cell>
          <cell r="AC465" t="str">
            <v>N</v>
          </cell>
          <cell r="AD465" t="str">
            <v>Y</v>
          </cell>
          <cell r="AE465" t="str">
            <v>N</v>
          </cell>
        </row>
        <row r="466">
          <cell r="E466" t="str">
            <v>DT_MTRTY_PRTCTN</v>
          </cell>
          <cell r="Z466" t="str">
            <v>Y</v>
          </cell>
          <cell r="AA466" t="str">
            <v>N</v>
          </cell>
          <cell r="AB466" t="str">
            <v>N</v>
          </cell>
          <cell r="AC466" t="str">
            <v>N</v>
          </cell>
          <cell r="AD466" t="str">
            <v>N</v>
          </cell>
          <cell r="AE466" t="str">
            <v>N</v>
          </cell>
        </row>
        <row r="467">
          <cell r="E467" t="str">
            <v>DT_RFRNC</v>
          </cell>
          <cell r="Z467" t="str">
            <v>Y</v>
          </cell>
          <cell r="AA467" t="str">
            <v>Y</v>
          </cell>
          <cell r="AB467" t="str">
            <v>Y</v>
          </cell>
          <cell r="AC467" t="str">
            <v>N</v>
          </cell>
          <cell r="AD467" t="str">
            <v>Y</v>
          </cell>
          <cell r="AE467" t="str">
            <v>N</v>
          </cell>
        </row>
        <row r="468">
          <cell r="E468" t="str">
            <v>NTNL_ID</v>
          </cell>
          <cell r="Z468" t="str">
            <v>Y</v>
          </cell>
          <cell r="AA468" t="str">
            <v>N</v>
          </cell>
          <cell r="AB468" t="str">
            <v>N</v>
          </cell>
          <cell r="AC468" t="str">
            <v>N</v>
          </cell>
          <cell r="AD468" t="str">
            <v>N</v>
          </cell>
          <cell r="AE468" t="str">
            <v>N</v>
          </cell>
        </row>
        <row r="469">
          <cell r="E469" t="str">
            <v>PRTCTN_ID</v>
          </cell>
          <cell r="Z469" t="str">
            <v>Y</v>
          </cell>
          <cell r="AA469" t="str">
            <v>Y</v>
          </cell>
          <cell r="AB469" t="str">
            <v>Y</v>
          </cell>
          <cell r="AC469" t="str">
            <v>N</v>
          </cell>
          <cell r="AD469" t="str">
            <v>Y</v>
          </cell>
          <cell r="AE469" t="str">
            <v>N</v>
          </cell>
        </row>
        <row r="470">
          <cell r="E470" t="str">
            <v>PRTCTN_PRVDR_ID</v>
          </cell>
          <cell r="Z470" t="str">
            <v>Y</v>
          </cell>
          <cell r="AA470" t="str">
            <v>N</v>
          </cell>
          <cell r="AB470" t="str">
            <v>N</v>
          </cell>
          <cell r="AC470" t="str">
            <v>N</v>
          </cell>
          <cell r="AD470" t="str">
            <v>N</v>
          </cell>
          <cell r="AE470" t="str">
            <v>N</v>
          </cell>
        </row>
        <row r="471">
          <cell r="E471" t="str">
            <v>RL_ESTT_ADDRSS</v>
          </cell>
          <cell r="Z471" t="str">
            <v>Y</v>
          </cell>
          <cell r="AA471" t="str">
            <v>N</v>
          </cell>
          <cell r="AB471" t="str">
            <v>N</v>
          </cell>
          <cell r="AC471" t="str">
            <v>N</v>
          </cell>
          <cell r="AD471" t="str">
            <v>Y</v>
          </cell>
          <cell r="AE471" t="str">
            <v>N</v>
          </cell>
        </row>
        <row r="472">
          <cell r="E472" t="str">
            <v>RL_ESTT_CLLTRL_LCTN</v>
          </cell>
          <cell r="Z472" t="str">
            <v>Y</v>
          </cell>
          <cell r="AA472" t="str">
            <v>N</v>
          </cell>
          <cell r="AB472" t="str">
            <v>Y</v>
          </cell>
          <cell r="AC472" t="str">
            <v>N</v>
          </cell>
          <cell r="AD472" t="str">
            <v>Y</v>
          </cell>
          <cell r="AE472" t="str">
            <v>N</v>
          </cell>
        </row>
        <row r="473">
          <cell r="E473" t="str">
            <v>RL_ESTT_CLLTRL_LCTN_INT</v>
          </cell>
          <cell r="Z473" t="str">
            <v>Y</v>
          </cell>
          <cell r="AA473" t="str">
            <v>N</v>
          </cell>
          <cell r="AB473" t="str">
            <v>N</v>
          </cell>
          <cell r="AC473" t="str">
            <v>N</v>
          </cell>
          <cell r="AD473" t="str">
            <v>Y</v>
          </cell>
          <cell r="AE473" t="str">
            <v>N</v>
          </cell>
        </row>
        <row r="474">
          <cell r="E474" t="str">
            <v>RL_ESTT_CTY</v>
          </cell>
          <cell r="Z474" t="str">
            <v>Y</v>
          </cell>
          <cell r="AA474" t="str">
            <v>N</v>
          </cell>
          <cell r="AB474" t="str">
            <v>N</v>
          </cell>
          <cell r="AC474" t="str">
            <v>N</v>
          </cell>
          <cell r="AD474" t="str">
            <v>Y</v>
          </cell>
          <cell r="AE474" t="str">
            <v>N</v>
          </cell>
        </row>
        <row r="475">
          <cell r="E475" t="str">
            <v>RL_ESTT_PST_CD</v>
          </cell>
          <cell r="Z475" t="str">
            <v>Y</v>
          </cell>
          <cell r="AA475" t="str">
            <v>N</v>
          </cell>
          <cell r="AB475" t="str">
            <v>Y</v>
          </cell>
          <cell r="AC475" t="str">
            <v>N</v>
          </cell>
          <cell r="AD475" t="str">
            <v>Y</v>
          </cell>
          <cell r="AE475" t="str">
            <v>N</v>
          </cell>
        </row>
        <row r="476">
          <cell r="E476" t="str">
            <v>HRCT_MV</v>
          </cell>
          <cell r="Z476" t="str">
            <v>Y</v>
          </cell>
          <cell r="AA476" t="str">
            <v>N</v>
          </cell>
          <cell r="AB476" t="str">
            <v>N</v>
          </cell>
          <cell r="AC476" t="str">
            <v>N</v>
          </cell>
          <cell r="AD476" t="str">
            <v>N</v>
          </cell>
          <cell r="AE476" t="str">
            <v>N</v>
          </cell>
        </row>
        <row r="477">
          <cell r="E477" t="str">
            <v>PRTCTN_CLLD</v>
          </cell>
          <cell r="Z477" t="str">
            <v>Y</v>
          </cell>
          <cell r="AA477" t="str">
            <v>N</v>
          </cell>
          <cell r="AB477" t="str">
            <v>N</v>
          </cell>
          <cell r="AC477" t="str">
            <v>N</v>
          </cell>
          <cell r="AD477" t="str">
            <v>N</v>
          </cell>
          <cell r="AE477" t="str">
            <v>N</v>
          </cell>
        </row>
        <row r="478">
          <cell r="E478" t="str">
            <v>TYP_PRTCTN</v>
          </cell>
          <cell r="Z478" t="str">
            <v>Y</v>
          </cell>
          <cell r="AA478" t="str">
            <v>Y</v>
          </cell>
          <cell r="AB478" t="str">
            <v>Y</v>
          </cell>
          <cell r="AC478" t="str">
            <v>N</v>
          </cell>
          <cell r="AD478" t="str">
            <v>Y</v>
          </cell>
          <cell r="AE478" t="str">
            <v>N</v>
          </cell>
        </row>
        <row r="479">
          <cell r="E479" t="str">
            <v>TYP_PRTCTN_INTRNL</v>
          </cell>
          <cell r="Z479" t="str">
            <v>Y</v>
          </cell>
          <cell r="AA479" t="str">
            <v>N</v>
          </cell>
          <cell r="AB479" t="str">
            <v>N</v>
          </cell>
          <cell r="AC479" t="str">
            <v>N</v>
          </cell>
          <cell r="AD479" t="str">
            <v>N</v>
          </cell>
          <cell r="AE479" t="str">
            <v>N</v>
          </cell>
        </row>
        <row r="480">
          <cell r="E480" t="str">
            <v>TYP_PRTCTN_VL</v>
          </cell>
          <cell r="Z480" t="str">
            <v>Y</v>
          </cell>
          <cell r="AA480" t="str">
            <v>N</v>
          </cell>
          <cell r="AB480" t="str">
            <v>N</v>
          </cell>
          <cell r="AC480" t="str">
            <v>N</v>
          </cell>
          <cell r="AD480" t="str">
            <v>N</v>
          </cell>
          <cell r="AE480" t="str">
            <v>N</v>
          </cell>
        </row>
        <row r="481">
          <cell r="E481" t="str">
            <v>APPRSL_CRRNCY</v>
          </cell>
          <cell r="Z481" t="str">
            <v>Y</v>
          </cell>
          <cell r="AA481" t="str">
            <v>N</v>
          </cell>
          <cell r="AB481" t="str">
            <v>N</v>
          </cell>
          <cell r="AC481" t="str">
            <v>N</v>
          </cell>
          <cell r="AD481" t="str">
            <v>N</v>
          </cell>
          <cell r="AE481" t="str">
            <v>N</v>
          </cell>
        </row>
        <row r="482">
          <cell r="E482" t="str">
            <v>APPRSR</v>
          </cell>
          <cell r="Z482" t="str">
            <v>Y</v>
          </cell>
          <cell r="AA482" t="str">
            <v>N</v>
          </cell>
          <cell r="AB482" t="str">
            <v>N</v>
          </cell>
          <cell r="AC482" t="str">
            <v>N</v>
          </cell>
          <cell r="AD482" t="str">
            <v>N</v>
          </cell>
          <cell r="AE482" t="str">
            <v>N</v>
          </cell>
        </row>
        <row r="483">
          <cell r="E483" t="str">
            <v>DT_LST_FLL_APPRSL</v>
          </cell>
          <cell r="Z483" t="str">
            <v>Y</v>
          </cell>
          <cell r="AA483" t="str">
            <v>N</v>
          </cell>
          <cell r="AB483" t="str">
            <v>N</v>
          </cell>
          <cell r="AC483" t="str">
            <v>N</v>
          </cell>
          <cell r="AD483" t="str">
            <v>N</v>
          </cell>
          <cell r="AE483" t="str">
            <v>N</v>
          </cell>
        </row>
        <row r="484">
          <cell r="E484" t="str">
            <v>DT_ORGNL_PRTCTN_VL</v>
          </cell>
          <cell r="Z484" t="str">
            <v>Y</v>
          </cell>
          <cell r="AA484" t="str">
            <v>N</v>
          </cell>
          <cell r="AB484" t="str">
            <v>N</v>
          </cell>
          <cell r="AC484" t="str">
            <v>N</v>
          </cell>
          <cell r="AD484" t="str">
            <v>N</v>
          </cell>
          <cell r="AE484" t="str">
            <v>N</v>
          </cell>
        </row>
        <row r="485">
          <cell r="E485" t="str">
            <v>DT_PRTCTN_VL</v>
          </cell>
          <cell r="Z485" t="str">
            <v>Y</v>
          </cell>
          <cell r="AA485" t="str">
            <v>N</v>
          </cell>
          <cell r="AB485" t="str">
            <v>N</v>
          </cell>
          <cell r="AC485" t="str">
            <v>N</v>
          </cell>
          <cell r="AD485" t="str">
            <v>N</v>
          </cell>
          <cell r="AE485" t="str">
            <v>N</v>
          </cell>
        </row>
        <row r="486">
          <cell r="E486" t="str">
            <v>ORGNL_PRTCTN_VL</v>
          </cell>
          <cell r="Z486" t="str">
            <v>Y</v>
          </cell>
          <cell r="AA486" t="str">
            <v>N</v>
          </cell>
          <cell r="AB486" t="str">
            <v>Y</v>
          </cell>
          <cell r="AC486" t="str">
            <v>N</v>
          </cell>
          <cell r="AD486" t="str">
            <v>N</v>
          </cell>
          <cell r="AE486" t="str">
            <v>N</v>
          </cell>
        </row>
        <row r="487">
          <cell r="E487" t="str">
            <v>PRTCTN_FRCD_SL_VL</v>
          </cell>
          <cell r="Z487" t="str">
            <v>Y</v>
          </cell>
          <cell r="AA487" t="str">
            <v>N</v>
          </cell>
          <cell r="AB487" t="str">
            <v>N</v>
          </cell>
          <cell r="AC487" t="str">
            <v>N</v>
          </cell>
          <cell r="AD487" t="str">
            <v>N</v>
          </cell>
          <cell r="AE487" t="str">
            <v>N</v>
          </cell>
        </row>
        <row r="488">
          <cell r="E488" t="str">
            <v>PRTCTN_VL</v>
          </cell>
          <cell r="Z488" t="str">
            <v>Y</v>
          </cell>
          <cell r="AA488" t="str">
            <v>Y</v>
          </cell>
          <cell r="AB488" t="str">
            <v>Y</v>
          </cell>
          <cell r="AC488" t="str">
            <v>N</v>
          </cell>
          <cell r="AD488" t="str">
            <v>N</v>
          </cell>
          <cell r="AE488" t="str">
            <v>N</v>
          </cell>
        </row>
        <row r="489">
          <cell r="E489" t="str">
            <v>PRTCTN_VL_NPE</v>
          </cell>
          <cell r="Z489" t="str">
            <v>Y</v>
          </cell>
          <cell r="AA489" t="str">
            <v>N</v>
          </cell>
          <cell r="AB489" t="str">
            <v>N</v>
          </cell>
          <cell r="AC489" t="str">
            <v>N</v>
          </cell>
          <cell r="AD489" t="str">
            <v>N</v>
          </cell>
          <cell r="AE489" t="str">
            <v>N</v>
          </cell>
        </row>
        <row r="490">
          <cell r="E490" t="str">
            <v>PRTCTN_VLTN_APPRCH</v>
          </cell>
          <cell r="Z490" t="str">
            <v>Y</v>
          </cell>
          <cell r="AA490" t="str">
            <v>N</v>
          </cell>
          <cell r="AB490" t="str">
            <v>N</v>
          </cell>
          <cell r="AC490" t="str">
            <v>N</v>
          </cell>
          <cell r="AD490" t="str">
            <v>N</v>
          </cell>
          <cell r="AE490" t="str">
            <v>N</v>
          </cell>
        </row>
        <row r="491">
          <cell r="E491" t="str">
            <v>DT_APPRSL_PRVS</v>
          </cell>
          <cell r="Z491" t="str">
            <v>Y</v>
          </cell>
          <cell r="AA491" t="str">
            <v>N</v>
          </cell>
          <cell r="AB491" t="str">
            <v>N</v>
          </cell>
          <cell r="AC491" t="str">
            <v>N</v>
          </cell>
          <cell r="AD491" t="str">
            <v>N</v>
          </cell>
          <cell r="AE491" t="str">
            <v>N</v>
          </cell>
        </row>
        <row r="492">
          <cell r="E492" t="str">
            <v>PRTCTN_VL_PRVS</v>
          </cell>
          <cell r="Z492" t="str">
            <v>Y</v>
          </cell>
          <cell r="AA492" t="str">
            <v>N</v>
          </cell>
          <cell r="AB492" t="str">
            <v>N</v>
          </cell>
          <cell r="AC492" t="str">
            <v>N</v>
          </cell>
          <cell r="AD492" t="str">
            <v>N</v>
          </cell>
          <cell r="AE492" t="str">
            <v>N</v>
          </cell>
        </row>
        <row r="493">
          <cell r="E493" t="str">
            <v>CNSTRCTN_STTS</v>
          </cell>
          <cell r="Z493" t="str">
            <v>Y</v>
          </cell>
          <cell r="AA493" t="str">
            <v>N</v>
          </cell>
          <cell r="AB493" t="str">
            <v>N</v>
          </cell>
          <cell r="AC493" t="str">
            <v>N</v>
          </cell>
          <cell r="AD493" t="str">
            <v>N</v>
          </cell>
          <cell r="AE493" t="str">
            <v>N</v>
          </cell>
        </row>
        <row r="494">
          <cell r="E494" t="str">
            <v>DT_CNSTRCTN_STTS</v>
          </cell>
          <cell r="Z494" t="str">
            <v>Y</v>
          </cell>
          <cell r="AA494" t="str">
            <v>N</v>
          </cell>
          <cell r="AB494" t="str">
            <v>N</v>
          </cell>
          <cell r="AC494" t="str">
            <v>N</v>
          </cell>
          <cell r="AD494" t="str">
            <v>N</v>
          </cell>
          <cell r="AE494" t="str">
            <v>N</v>
          </cell>
        </row>
        <row r="495">
          <cell r="E495" t="str">
            <v>DT_FRST_USG</v>
          </cell>
          <cell r="Z495" t="str">
            <v>Y</v>
          </cell>
          <cell r="AA495" t="str">
            <v>N</v>
          </cell>
          <cell r="AB495" t="str">
            <v>N</v>
          </cell>
          <cell r="AC495" t="str">
            <v>N</v>
          </cell>
          <cell r="AD495" t="str">
            <v>N</v>
          </cell>
          <cell r="AE495" t="str">
            <v>N</v>
          </cell>
        </row>
        <row r="496">
          <cell r="E496" t="str">
            <v>DVLPMNT_STTS</v>
          </cell>
          <cell r="Z496" t="str">
            <v>Y</v>
          </cell>
          <cell r="AA496" t="str">
            <v>N</v>
          </cell>
          <cell r="AB496" t="str">
            <v>N</v>
          </cell>
          <cell r="AC496" t="str">
            <v>N</v>
          </cell>
          <cell r="AD496" t="str">
            <v>N</v>
          </cell>
          <cell r="AE496" t="str">
            <v>N</v>
          </cell>
        </row>
        <row r="497">
          <cell r="E497" t="str">
            <v>MN_PRPS</v>
          </cell>
          <cell r="Z497" t="str">
            <v>Y</v>
          </cell>
          <cell r="AA497" t="str">
            <v>N</v>
          </cell>
          <cell r="AB497" t="str">
            <v>N</v>
          </cell>
          <cell r="AC497" t="str">
            <v>N</v>
          </cell>
          <cell r="AD497" t="str">
            <v>N</v>
          </cell>
          <cell r="AE497" t="str">
            <v>N</v>
          </cell>
        </row>
        <row r="498">
          <cell r="E498" t="str">
            <v>PRM_LCTN</v>
          </cell>
          <cell r="Z498" t="str">
            <v>Y</v>
          </cell>
          <cell r="AA498" t="str">
            <v>N</v>
          </cell>
          <cell r="AB498" t="str">
            <v>N</v>
          </cell>
          <cell r="AC498" t="str">
            <v>N</v>
          </cell>
          <cell r="AD498" t="str">
            <v>N</v>
          </cell>
          <cell r="AE498" t="str">
            <v>N</v>
          </cell>
        </row>
        <row r="499">
          <cell r="E499" t="str">
            <v>CRE_INCM_CRRNCY</v>
          </cell>
          <cell r="Z499" t="str">
            <v>Y</v>
          </cell>
          <cell r="AA499" t="str">
            <v>N</v>
          </cell>
          <cell r="AB499" t="str">
            <v>N</v>
          </cell>
          <cell r="AC499" t="str">
            <v>N</v>
          </cell>
          <cell r="AD499" t="str">
            <v>N</v>
          </cell>
          <cell r="AE499" t="str">
            <v>N</v>
          </cell>
        </row>
        <row r="500">
          <cell r="E500" t="str">
            <v>CRE_YRLY_EXPNSS</v>
          </cell>
          <cell r="Z500" t="str">
            <v>Y</v>
          </cell>
          <cell r="AA500" t="str">
            <v>N</v>
          </cell>
          <cell r="AB500" t="str">
            <v>N</v>
          </cell>
          <cell r="AC500" t="str">
            <v>N</v>
          </cell>
          <cell r="AD500" t="str">
            <v>N</v>
          </cell>
          <cell r="AE500" t="str">
            <v>N</v>
          </cell>
        </row>
        <row r="501">
          <cell r="E501" t="str">
            <v>CRE_YRLY_INCM</v>
          </cell>
          <cell r="Z501" t="str">
            <v>Y</v>
          </cell>
          <cell r="AA501" t="str">
            <v>N</v>
          </cell>
          <cell r="AB501" t="str">
            <v>N</v>
          </cell>
          <cell r="AC501" t="str">
            <v>N</v>
          </cell>
          <cell r="AD501" t="str">
            <v>N</v>
          </cell>
          <cell r="AE501" t="str">
            <v>N</v>
          </cell>
        </row>
        <row r="502">
          <cell r="E502" t="str">
            <v>PRTCTN_TYP_PBLC_GRNT_SCHM_C19</v>
          </cell>
          <cell r="Z502" t="str">
            <v>Y</v>
          </cell>
          <cell r="AA502" t="str">
            <v>N</v>
          </cell>
          <cell r="AB502" t="str">
            <v>N</v>
          </cell>
          <cell r="AC502" t="str">
            <v>N</v>
          </cell>
          <cell r="AD502" t="str">
            <v>N</v>
          </cell>
          <cell r="AE502" t="str">
            <v>N</v>
          </cell>
        </row>
        <row r="503">
          <cell r="E503" t="str">
            <v>TAX_ID</v>
          </cell>
          <cell r="Z503" t="str">
            <v>Y</v>
          </cell>
          <cell r="AA503" t="str">
            <v>N</v>
          </cell>
          <cell r="AB503" t="str">
            <v>N</v>
          </cell>
          <cell r="AC503" t="str">
            <v>N</v>
          </cell>
          <cell r="AD503" t="str">
            <v>N</v>
          </cell>
          <cell r="AE503" t="str">
            <v>N</v>
          </cell>
        </row>
        <row r="504">
          <cell r="E504" t="str">
            <v>TYP_EP_SCR</v>
          </cell>
          <cell r="Z504" t="str">
            <v>N</v>
          </cell>
          <cell r="AA504" t="str">
            <v>N</v>
          </cell>
          <cell r="AB504" t="str">
            <v>Y</v>
          </cell>
          <cell r="AC504" t="str">
            <v>N</v>
          </cell>
          <cell r="AD504" t="str">
            <v>Y</v>
          </cell>
          <cell r="AE504" t="str">
            <v>N</v>
          </cell>
        </row>
        <row r="505">
          <cell r="E505" t="str">
            <v>EP_SCR</v>
          </cell>
          <cell r="Z505" t="str">
            <v>N</v>
          </cell>
          <cell r="AA505" t="str">
            <v>N</v>
          </cell>
          <cell r="AB505" t="str">
            <v>Y</v>
          </cell>
          <cell r="AC505" t="str">
            <v>N</v>
          </cell>
          <cell r="AD505" t="str">
            <v>Y</v>
          </cell>
          <cell r="AE505" t="str">
            <v>N</v>
          </cell>
        </row>
        <row r="506">
          <cell r="E506" t="str">
            <v>TYP_EPC_LBL</v>
          </cell>
          <cell r="Z506" t="str">
            <v>N</v>
          </cell>
          <cell r="AA506" t="str">
            <v>N</v>
          </cell>
          <cell r="AB506" t="str">
            <v>Y</v>
          </cell>
          <cell r="AC506" t="str">
            <v>N</v>
          </cell>
          <cell r="AD506" t="str">
            <v>Y</v>
          </cell>
          <cell r="AE506" t="str">
            <v>N</v>
          </cell>
        </row>
        <row r="507">
          <cell r="E507" t="str">
            <v>EPC_LBL</v>
          </cell>
          <cell r="Z507" t="str">
            <v>N</v>
          </cell>
          <cell r="AA507" t="str">
            <v>N</v>
          </cell>
          <cell r="AB507" t="str">
            <v>Y</v>
          </cell>
          <cell r="AC507" t="str">
            <v>N</v>
          </cell>
          <cell r="AD507" t="str">
            <v>Y</v>
          </cell>
          <cell r="AE507" t="str">
            <v>N</v>
          </cell>
        </row>
        <row r="508">
          <cell r="E508" t="str">
            <v>TYP_EMSSNS_LBL</v>
          </cell>
          <cell r="Z508" t="str">
            <v>N</v>
          </cell>
          <cell r="AA508" t="str">
            <v>N</v>
          </cell>
          <cell r="AB508" t="str">
            <v>N</v>
          </cell>
          <cell r="AC508" t="str">
            <v>N</v>
          </cell>
          <cell r="AD508" t="str">
            <v>Y</v>
          </cell>
          <cell r="AE508" t="str">
            <v>N</v>
          </cell>
        </row>
        <row r="509">
          <cell r="E509" t="str">
            <v>EPC_EMSSNS_LBL</v>
          </cell>
          <cell r="Z509" t="str">
            <v>N</v>
          </cell>
          <cell r="AA509" t="str">
            <v>N</v>
          </cell>
          <cell r="AB509" t="str">
            <v>N</v>
          </cell>
          <cell r="AC509" t="str">
            <v>N</v>
          </cell>
          <cell r="AD509" t="str">
            <v>Y</v>
          </cell>
          <cell r="AE509" t="str">
            <v>N</v>
          </cell>
        </row>
        <row r="510">
          <cell r="E510" t="str">
            <v>VHCL_EMSSNS_LBL</v>
          </cell>
          <cell r="Z510" t="str">
            <v>N</v>
          </cell>
          <cell r="AA510" t="str">
            <v>N</v>
          </cell>
          <cell r="AB510" t="str">
            <v>N</v>
          </cell>
          <cell r="AC510" t="str">
            <v>N</v>
          </cell>
          <cell r="AD510" t="str">
            <v>Y</v>
          </cell>
          <cell r="AE510" t="str">
            <v>N</v>
          </cell>
        </row>
        <row r="511">
          <cell r="E511" t="str">
            <v>TYP_EMSSNS_SCR</v>
          </cell>
          <cell r="Z511" t="str">
            <v>N</v>
          </cell>
          <cell r="AA511" t="str">
            <v>N</v>
          </cell>
          <cell r="AB511" t="str">
            <v>N</v>
          </cell>
          <cell r="AC511" t="str">
            <v>N</v>
          </cell>
          <cell r="AD511" t="str">
            <v>Y</v>
          </cell>
          <cell r="AE511" t="str">
            <v>N</v>
          </cell>
        </row>
        <row r="512">
          <cell r="E512" t="str">
            <v>EPC_EMSSNS_SCR</v>
          </cell>
          <cell r="Z512" t="str">
            <v>N</v>
          </cell>
          <cell r="AA512" t="str">
            <v>N</v>
          </cell>
          <cell r="AB512" t="str">
            <v>N</v>
          </cell>
          <cell r="AC512" t="str">
            <v>N</v>
          </cell>
          <cell r="AD512" t="str">
            <v>Y</v>
          </cell>
          <cell r="AE512" t="str">
            <v>N</v>
          </cell>
        </row>
        <row r="513">
          <cell r="E513" t="str">
            <v>VHCL_EMSSNS_SCR</v>
          </cell>
          <cell r="Z513" t="str">
            <v>N</v>
          </cell>
          <cell r="AA513" t="str">
            <v>N</v>
          </cell>
          <cell r="AB513" t="str">
            <v>N</v>
          </cell>
          <cell r="AC513" t="str">
            <v>N</v>
          </cell>
          <cell r="AD513" t="str">
            <v>Y</v>
          </cell>
          <cell r="AE513" t="str">
            <v>N</v>
          </cell>
        </row>
        <row r="514">
          <cell r="E514" t="str">
            <v>EMSSNS_SCP1_PRTCTN</v>
          </cell>
          <cell r="Z514" t="str">
            <v>N</v>
          </cell>
          <cell r="AA514" t="str">
            <v>N</v>
          </cell>
          <cell r="AB514" t="str">
            <v>Y</v>
          </cell>
          <cell r="AC514" t="str">
            <v>N</v>
          </cell>
          <cell r="AD514" t="str">
            <v>Y</v>
          </cell>
          <cell r="AE514" t="str">
            <v>N</v>
          </cell>
        </row>
        <row r="515">
          <cell r="E515" t="str">
            <v>EMSSNS_SCP2_PRTCTN</v>
          </cell>
          <cell r="Z515" t="str">
            <v>N</v>
          </cell>
          <cell r="AA515" t="str">
            <v>N</v>
          </cell>
          <cell r="AB515" t="str">
            <v>Y</v>
          </cell>
          <cell r="AC515" t="str">
            <v>N</v>
          </cell>
          <cell r="AD515" t="str">
            <v>Y</v>
          </cell>
          <cell r="AE515" t="str">
            <v>N</v>
          </cell>
        </row>
        <row r="516">
          <cell r="E516" t="str">
            <v>EMSSNS_SCP3_PRTCTN</v>
          </cell>
          <cell r="Z516" t="str">
            <v>N</v>
          </cell>
          <cell r="AA516" t="str">
            <v>N</v>
          </cell>
          <cell r="AB516" t="str">
            <v>Y</v>
          </cell>
          <cell r="AC516" t="str">
            <v>N</v>
          </cell>
          <cell r="AD516" t="str">
            <v>Y</v>
          </cell>
          <cell r="AE516" t="str">
            <v>N</v>
          </cell>
        </row>
        <row r="517">
          <cell r="E517" t="str">
            <v>MTHD_USD_PRTCTN_SCP_1</v>
          </cell>
          <cell r="Z517" t="str">
            <v>N</v>
          </cell>
          <cell r="AA517" t="str">
            <v>N</v>
          </cell>
          <cell r="AB517" t="str">
            <v>Y</v>
          </cell>
          <cell r="AC517" t="str">
            <v>N</v>
          </cell>
          <cell r="AD517" t="str">
            <v>Y</v>
          </cell>
          <cell r="AE517" t="str">
            <v>N</v>
          </cell>
        </row>
        <row r="518">
          <cell r="E518" t="str">
            <v>MTHD_USD_PRTCTN_SCP_2</v>
          </cell>
          <cell r="Z518" t="str">
            <v>N</v>
          </cell>
          <cell r="AA518" t="str">
            <v>N</v>
          </cell>
          <cell r="AB518" t="str">
            <v>Y</v>
          </cell>
          <cell r="AC518" t="str">
            <v>N</v>
          </cell>
          <cell r="AD518" t="str">
            <v>Y</v>
          </cell>
          <cell r="AE518" t="str">
            <v>N</v>
          </cell>
        </row>
        <row r="519">
          <cell r="E519" t="str">
            <v>MTHD_USD_PRTCTN_SCP_3</v>
          </cell>
          <cell r="Z519" t="str">
            <v>N</v>
          </cell>
          <cell r="AA519" t="str">
            <v>N</v>
          </cell>
          <cell r="AB519" t="str">
            <v>Y</v>
          </cell>
          <cell r="AC519" t="str">
            <v>N</v>
          </cell>
          <cell r="AD519" t="str">
            <v>Y</v>
          </cell>
          <cell r="AE519" t="str">
            <v>N</v>
          </cell>
        </row>
        <row r="520">
          <cell r="E520" t="str">
            <v>FLG_ACT_PHYSCL_RSK</v>
          </cell>
          <cell r="Z520" t="str">
            <v>N</v>
          </cell>
          <cell r="AA520" t="str">
            <v>N</v>
          </cell>
          <cell r="AB520" t="str">
            <v>Y</v>
          </cell>
          <cell r="AC520" t="str">
            <v>N</v>
          </cell>
          <cell r="AD520" t="str">
            <v>N</v>
          </cell>
          <cell r="AE520" t="str">
            <v>N</v>
          </cell>
        </row>
        <row r="521">
          <cell r="E521" t="str">
            <v>FLG_CHRNC_PHYSCL_RSK</v>
          </cell>
          <cell r="Z521" t="str">
            <v>N</v>
          </cell>
          <cell r="AA521" t="str">
            <v>N</v>
          </cell>
          <cell r="AB521" t="str">
            <v>Y</v>
          </cell>
          <cell r="AC521" t="str">
            <v>N</v>
          </cell>
          <cell r="AD521" t="str">
            <v>N</v>
          </cell>
          <cell r="AE521" t="str">
            <v>N</v>
          </cell>
        </row>
        <row r="522">
          <cell r="E522" t="str">
            <v>INSRNC_ID</v>
          </cell>
          <cell r="Z522" t="str">
            <v>N</v>
          </cell>
          <cell r="AA522" t="str">
            <v>N</v>
          </cell>
          <cell r="AB522" t="str">
            <v>N</v>
          </cell>
          <cell r="AC522" t="str">
            <v>N</v>
          </cell>
          <cell r="AD522" t="str">
            <v>Y</v>
          </cell>
          <cell r="AE522" t="str">
            <v>N</v>
          </cell>
        </row>
        <row r="523">
          <cell r="E523" t="str">
            <v>TYP_HZRDS_INSRD</v>
          </cell>
          <cell r="Z523" t="str">
            <v>N</v>
          </cell>
          <cell r="AA523" t="str">
            <v>N</v>
          </cell>
          <cell r="AB523" t="str">
            <v>N</v>
          </cell>
          <cell r="AC523" t="str">
            <v>N</v>
          </cell>
          <cell r="AD523" t="str">
            <v>Y</v>
          </cell>
          <cell r="AE523" t="str">
            <v>N</v>
          </cell>
        </row>
        <row r="524">
          <cell r="E524" t="str">
            <v>AMNT_CVRD_INSRNC</v>
          </cell>
          <cell r="Z524" t="str">
            <v>N</v>
          </cell>
          <cell r="AA524" t="str">
            <v>N</v>
          </cell>
          <cell r="AB524" t="str">
            <v>N</v>
          </cell>
          <cell r="AC524" t="str">
            <v>N</v>
          </cell>
          <cell r="AD524" t="str">
            <v>Y</v>
          </cell>
          <cell r="AE524" t="str">
            <v>N</v>
          </cell>
        </row>
        <row r="525">
          <cell r="E525" t="str">
            <v>DT_MTRTY_INSRNC</v>
          </cell>
          <cell r="Z525" t="str">
            <v>N</v>
          </cell>
          <cell r="AA525" t="str">
            <v>N</v>
          </cell>
          <cell r="AB525" t="str">
            <v>N</v>
          </cell>
          <cell r="AC525" t="str">
            <v>N</v>
          </cell>
          <cell r="AD525" t="str">
            <v>Y</v>
          </cell>
          <cell r="AE525" t="str">
            <v>N</v>
          </cell>
        </row>
        <row r="526">
          <cell r="E526" t="str">
            <v>FLG_FRST_HM</v>
          </cell>
          <cell r="Z526" t="str">
            <v>N</v>
          </cell>
          <cell r="AA526" t="str">
            <v>N</v>
          </cell>
          <cell r="AB526" t="str">
            <v>N</v>
          </cell>
          <cell r="AC526" t="str">
            <v>N</v>
          </cell>
          <cell r="AD526" t="str">
            <v>Y</v>
          </cell>
          <cell r="AE526" t="str">
            <v>N</v>
          </cell>
        </row>
        <row r="527">
          <cell r="E527" t="str">
            <v>YR_CNSTRCTN</v>
          </cell>
          <cell r="Z527" t="str">
            <v>Y</v>
          </cell>
          <cell r="AA527" t="str">
            <v>N</v>
          </cell>
          <cell r="AB527" t="str">
            <v>Y</v>
          </cell>
          <cell r="AC527" t="str">
            <v>N</v>
          </cell>
          <cell r="AD527" t="str">
            <v>Y</v>
          </cell>
          <cell r="AE527" t="str">
            <v>N</v>
          </cell>
        </row>
        <row r="528">
          <cell r="E528" t="str">
            <v>BLDNG_AR</v>
          </cell>
          <cell r="Z528" t="str">
            <v>N</v>
          </cell>
          <cell r="AA528" t="str">
            <v>N</v>
          </cell>
          <cell r="AB528" t="str">
            <v>Y</v>
          </cell>
          <cell r="AC528" t="str">
            <v>N</v>
          </cell>
          <cell r="AD528" t="str">
            <v>Y</v>
          </cell>
          <cell r="AE528" t="str">
            <v>N</v>
          </cell>
        </row>
        <row r="529">
          <cell r="E529" t="str">
            <v>LND_AR</v>
          </cell>
          <cell r="Z529" t="str">
            <v>Y</v>
          </cell>
          <cell r="AA529" t="str">
            <v>N</v>
          </cell>
          <cell r="AB529" t="str">
            <v>N</v>
          </cell>
          <cell r="AC529" t="str">
            <v>N</v>
          </cell>
          <cell r="AD529" t="str">
            <v>N</v>
          </cell>
          <cell r="AE529" t="str">
            <v>N</v>
          </cell>
        </row>
        <row r="530">
          <cell r="E530" t="str">
            <v>LN_PSTN</v>
          </cell>
          <cell r="Z530" t="str">
            <v>Y</v>
          </cell>
          <cell r="AA530" t="str">
            <v>N</v>
          </cell>
          <cell r="AB530" t="str">
            <v>N</v>
          </cell>
          <cell r="AC530" t="str">
            <v>N</v>
          </cell>
          <cell r="AD530" t="str">
            <v>N</v>
          </cell>
          <cell r="AE530" t="str">
            <v>N</v>
          </cell>
        </row>
        <row r="531">
          <cell r="E531" t="str">
            <v>RL_ESTT_CRTFCTN</v>
          </cell>
          <cell r="Z531" t="str">
            <v>N</v>
          </cell>
          <cell r="AA531" t="str">
            <v>N</v>
          </cell>
          <cell r="AB531" t="str">
            <v>Y</v>
          </cell>
          <cell r="AC531" t="str">
            <v>N</v>
          </cell>
          <cell r="AD531" t="str">
            <v>Y</v>
          </cell>
          <cell r="AE531" t="str">
            <v>N</v>
          </cell>
        </row>
        <row r="532">
          <cell r="E532" t="str">
            <v>TYP_VHCL</v>
          </cell>
          <cell r="Z532" t="str">
            <v>N</v>
          </cell>
          <cell r="AA532" t="str">
            <v>Y</v>
          </cell>
          <cell r="AB532" t="str">
            <v>Y</v>
          </cell>
          <cell r="AC532" t="str">
            <v>N</v>
          </cell>
          <cell r="AD532" t="str">
            <v>Y</v>
          </cell>
          <cell r="AE532" t="str">
            <v>N</v>
          </cell>
        </row>
        <row r="533">
          <cell r="E533" t="str">
            <v>DT_RGSTRTN</v>
          </cell>
          <cell r="Z533" t="str">
            <v>N</v>
          </cell>
          <cell r="AA533" t="str">
            <v>N</v>
          </cell>
          <cell r="AB533" t="str">
            <v>Y</v>
          </cell>
          <cell r="AC533" t="str">
            <v>N</v>
          </cell>
          <cell r="AD533" t="str">
            <v>Y</v>
          </cell>
          <cell r="AE533" t="str">
            <v>N</v>
          </cell>
        </row>
        <row r="534">
          <cell r="E534" t="str">
            <v>PRMRY_ENRGY_DMND_NN_RNWBL</v>
          </cell>
          <cell r="Z534" t="str">
            <v>N</v>
          </cell>
          <cell r="AA534" t="str">
            <v>N</v>
          </cell>
          <cell r="AB534" t="str">
            <v>Y</v>
          </cell>
          <cell r="AC534" t="str">
            <v>N</v>
          </cell>
          <cell r="AD534" t="str">
            <v>Y</v>
          </cell>
          <cell r="AE534" t="str">
            <v>N</v>
          </cell>
        </row>
        <row r="535">
          <cell r="E535" t="str">
            <v>PRMRY_ENRGY_DMND_TTL</v>
          </cell>
          <cell r="Z535" t="str">
            <v>N</v>
          </cell>
          <cell r="AA535" t="str">
            <v>N</v>
          </cell>
          <cell r="AB535" t="str">
            <v>Y</v>
          </cell>
          <cell r="AC535" t="str">
            <v>N</v>
          </cell>
          <cell r="AD535" t="str">
            <v>Y</v>
          </cell>
          <cell r="AE535" t="str">
            <v>N</v>
          </cell>
        </row>
        <row r="536">
          <cell r="E536" t="str">
            <v>PRMRY_ENRGY_DMND_RFRNC_VL</v>
          </cell>
          <cell r="Z536" t="str">
            <v>N</v>
          </cell>
          <cell r="AA536" t="str">
            <v>N</v>
          </cell>
          <cell r="AB536" t="str">
            <v>Y</v>
          </cell>
          <cell r="AC536" t="str">
            <v>N</v>
          </cell>
          <cell r="AD536" t="str">
            <v>Y</v>
          </cell>
          <cell r="AE536" t="str">
            <v>N</v>
          </cell>
        </row>
        <row r="537">
          <cell r="E537" t="str">
            <v>RL_ESTT_CLMT_ZN</v>
          </cell>
          <cell r="Z537" t="str">
            <v>N</v>
          </cell>
          <cell r="AA537" t="str">
            <v>N</v>
          </cell>
          <cell r="AB537" t="str">
            <v>Y</v>
          </cell>
          <cell r="AC537" t="str">
            <v>N</v>
          </cell>
          <cell r="AD537" t="str">
            <v>Y</v>
          </cell>
          <cell r="AE537" t="str">
            <v>N</v>
          </cell>
        </row>
        <row r="538">
          <cell r="E538" t="str">
            <v>RL_ESTT_LNGTD</v>
          </cell>
          <cell r="Z538" t="str">
            <v>Y</v>
          </cell>
          <cell r="AA538" t="str">
            <v>N</v>
          </cell>
          <cell r="AB538" t="str">
            <v>N</v>
          </cell>
          <cell r="AC538" t="str">
            <v>N</v>
          </cell>
          <cell r="AD538" t="str">
            <v>N</v>
          </cell>
          <cell r="AE538" t="str">
            <v>N</v>
          </cell>
        </row>
        <row r="539">
          <cell r="E539" t="str">
            <v>RL_ESTT_LTTD</v>
          </cell>
          <cell r="Z539" t="str">
            <v>Y</v>
          </cell>
          <cell r="AA539" t="str">
            <v>N</v>
          </cell>
          <cell r="AB539" t="str">
            <v>N</v>
          </cell>
          <cell r="AC539" t="str">
            <v>N</v>
          </cell>
          <cell r="AD539" t="str">
            <v>N</v>
          </cell>
          <cell r="AE539" t="str">
            <v>N</v>
          </cell>
        </row>
        <row r="540">
          <cell r="E540" t="str">
            <v>FLG_ELCTRC_VHCL</v>
          </cell>
          <cell r="Z540" t="str">
            <v>N</v>
          </cell>
          <cell r="AA540" t="str">
            <v>Y</v>
          </cell>
          <cell r="AB540" t="str">
            <v>N</v>
          </cell>
          <cell r="AC540" t="str">
            <v>N</v>
          </cell>
          <cell r="AD540" t="str">
            <v>N</v>
          </cell>
          <cell r="AE540" t="str">
            <v>N</v>
          </cell>
        </row>
        <row r="541">
          <cell r="E541" t="str">
            <v>COD_SOC</v>
          </cell>
          <cell r="Z541" t="str">
            <v>N</v>
          </cell>
          <cell r="AA541" t="str">
            <v>Y</v>
          </cell>
          <cell r="AB541" t="str">
            <v>Y</v>
          </cell>
          <cell r="AC541" t="str">
            <v>Y</v>
          </cell>
          <cell r="AD541" t="str">
            <v>N</v>
          </cell>
          <cell r="AE541" t="str">
            <v>N</v>
          </cell>
        </row>
        <row r="542">
          <cell r="E542" t="str">
            <v>DT_RFRNC</v>
          </cell>
          <cell r="Z542" t="str">
            <v>N</v>
          </cell>
          <cell r="AA542" t="str">
            <v>Y</v>
          </cell>
          <cell r="AB542" t="str">
            <v>Y</v>
          </cell>
          <cell r="AC542" t="str">
            <v>Y</v>
          </cell>
          <cell r="AD542" t="str">
            <v>N</v>
          </cell>
          <cell r="AE542" t="str">
            <v>N</v>
          </cell>
        </row>
        <row r="543">
          <cell r="E543" t="str">
            <v>INSTRMNT_ID</v>
          </cell>
          <cell r="Z543" t="str">
            <v>N</v>
          </cell>
          <cell r="AA543" t="str">
            <v>Y</v>
          </cell>
          <cell r="AB543" t="str">
            <v>Y</v>
          </cell>
          <cell r="AC543" t="str">
            <v>Y</v>
          </cell>
          <cell r="AD543" t="str">
            <v>N</v>
          </cell>
          <cell r="AE543" t="str">
            <v>N</v>
          </cell>
        </row>
        <row r="544">
          <cell r="E544" t="str">
            <v>SSTNBL_CTGRY</v>
          </cell>
          <cell r="Z544" t="str">
            <v>N</v>
          </cell>
          <cell r="AA544" t="str">
            <v>Y</v>
          </cell>
          <cell r="AB544" t="str">
            <v>Y</v>
          </cell>
          <cell r="AC544" t="str">
            <v>Y</v>
          </cell>
          <cell r="AD544" t="str">
            <v>N</v>
          </cell>
          <cell r="AE544" t="str">
            <v>N</v>
          </cell>
        </row>
        <row r="545">
          <cell r="E545" t="str">
            <v>PRCNTG_ACTVTY</v>
          </cell>
          <cell r="Z545" t="str">
            <v>N</v>
          </cell>
          <cell r="AA545" t="str">
            <v>Y</v>
          </cell>
          <cell r="AB545" t="str">
            <v>Y</v>
          </cell>
          <cell r="AC545" t="str">
            <v>Y</v>
          </cell>
          <cell r="AD545" t="str">
            <v>N</v>
          </cell>
          <cell r="AE545" t="str">
            <v>N</v>
          </cell>
        </row>
        <row r="546">
          <cell r="E546" t="str">
            <v>ENVRNMNTL_OBJCTV</v>
          </cell>
          <cell r="Z546" t="str">
            <v>N</v>
          </cell>
          <cell r="AA546" t="str">
            <v>N</v>
          </cell>
          <cell r="AB546" t="str">
            <v>Y</v>
          </cell>
          <cell r="AC546" t="str">
            <v>N</v>
          </cell>
          <cell r="AD546" t="str">
            <v>N</v>
          </cell>
          <cell r="AE546" t="str">
            <v>N</v>
          </cell>
        </row>
        <row r="547">
          <cell r="E547" t="str">
            <v>TYP_ACTVTY</v>
          </cell>
          <cell r="Z547" t="str">
            <v>N</v>
          </cell>
          <cell r="AA547" t="str">
            <v>N</v>
          </cell>
          <cell r="AB547" t="str">
            <v>Y</v>
          </cell>
          <cell r="AC547" t="str">
            <v>N</v>
          </cell>
          <cell r="AD547" t="str">
            <v>N</v>
          </cell>
          <cell r="AE547" t="str">
            <v>N</v>
          </cell>
        </row>
        <row r="548">
          <cell r="E548" t="str">
            <v>SSTNBL_INDCTR</v>
          </cell>
          <cell r="Z548" t="str">
            <v>N</v>
          </cell>
          <cell r="AA548" t="str">
            <v>Y</v>
          </cell>
          <cell r="AB548" t="str">
            <v>Y</v>
          </cell>
          <cell r="AC548" t="str">
            <v>Y</v>
          </cell>
          <cell r="AD548" t="str">
            <v>N</v>
          </cell>
          <cell r="AE548" t="str">
            <v>N</v>
          </cell>
        </row>
        <row r="549">
          <cell r="E549" t="str">
            <v>FLG_SBSTNTL_CNTRBTN</v>
          </cell>
          <cell r="Z549" t="str">
            <v>N</v>
          </cell>
          <cell r="AA549" t="str">
            <v>N</v>
          </cell>
          <cell r="AB549" t="str">
            <v>Y</v>
          </cell>
          <cell r="AC549" t="str">
            <v>N</v>
          </cell>
          <cell r="AD549" t="str">
            <v>N</v>
          </cell>
          <cell r="AE549" t="str">
            <v>N</v>
          </cell>
        </row>
        <row r="550">
          <cell r="E550" t="str">
            <v>FLG_DNSH_CMPLNC</v>
          </cell>
          <cell r="Z550" t="str">
            <v>N</v>
          </cell>
          <cell r="AA550" t="str">
            <v>N</v>
          </cell>
          <cell r="AB550" t="str">
            <v>Y</v>
          </cell>
          <cell r="AC550" t="str">
            <v>N</v>
          </cell>
          <cell r="AD550" t="str">
            <v>N</v>
          </cell>
          <cell r="AE550" t="str">
            <v>N</v>
          </cell>
        </row>
        <row r="551">
          <cell r="E551" t="str">
            <v>DNSH_DTL</v>
          </cell>
          <cell r="Z551" t="str">
            <v>N</v>
          </cell>
          <cell r="AA551" t="str">
            <v>N</v>
          </cell>
          <cell r="AB551" t="str">
            <v>Y</v>
          </cell>
          <cell r="AC551" t="str">
            <v>N</v>
          </cell>
          <cell r="AD551" t="str">
            <v>N</v>
          </cell>
          <cell r="AE551" t="str">
            <v>N</v>
          </cell>
        </row>
      </sheetData>
      <sheetData sheetId="3"/>
      <sheetData sheetId="4"/>
      <sheetData sheetId="5"/>
      <sheetData sheetId="6"/>
      <sheetData sheetId="7"/>
    </sheetDataSet>
  </externalBook>
</externalLink>
</file>

<file path=xl/persons/person.xml><?xml version="1.0" encoding="utf-8"?>
<personList xmlns="http://schemas.microsoft.com/office/spreadsheetml/2018/threadedcomments" xmlns:x="http://schemas.openxmlformats.org/spreadsheetml/2006/main">
  <person displayName="Gonçalo Mendes Baptista Filipe" id="{82BF7F14-77B9-4558-8297-8B12AA3D0639}" userId="S::E807332@corp.santander.pt::80cd4403-b592-4e78-81fa-04e264df0250"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nçalo Mendes Baptista Filipe" refreshedDate="45674.446598495371" createdVersion="8" refreshedVersion="8" minRefreshableVersion="3" recordCount="379" xr:uid="{CF0CA261-5F75-4F99-8352-670AEF063F36}">
  <cacheSource type="worksheet">
    <worksheetSource ref="C5:X384" sheet="Detalhe"/>
  </cacheSource>
  <cacheFields count="23">
    <cacheField name="TABLE_NAME" numFmtId="0">
      <sharedItems/>
    </cacheField>
    <cacheField name="COLUMN_NAME" numFmtId="0">
      <sharedItems/>
    </cacheField>
    <cacheField name="ÂMBITO" numFmtId="0">
      <sharedItems count="2">
        <s v="OSI"/>
        <s v="Fora OSI"/>
      </sharedItems>
    </cacheField>
    <cacheField name="Status" numFmtId="0">
      <sharedItems/>
    </cacheField>
    <cacheField name="Controlos e Completude" numFmtId="0">
      <sharedItems containsBlank="1"/>
    </cacheField>
    <cacheField name="Descrição" numFmtId="0">
      <sharedItems containsBlank="1" longText="1"/>
    </cacheField>
    <cacheField name="Detalhe" numFmtId="0">
      <sharedItems containsBlank="1" longText="1"/>
    </cacheField>
    <cacheField name="Quick-win" numFmtId="0">
      <sharedItems count="3">
        <s v="Campo Fechado"/>
        <s v="Sim"/>
        <s v="Não"/>
      </sharedItems>
    </cacheField>
    <cacheField name="Data alteração status" numFmtId="14">
      <sharedItems containsSemiMixedTypes="0" containsNonDate="0" containsDate="1" containsString="0" minDate="2024-06-07T00:00:00" maxDate="2025-01-14T00:00:00"/>
    </cacheField>
    <cacheField name="Status Atual" numFmtId="0">
      <sharedItems count="10">
        <s v="9. Concluído"/>
        <s v="5.2 Em testes - Incidência"/>
        <s v="2. Alterar especificação"/>
        <s v="1. Especificar"/>
        <s v="3. Pendente de decisão"/>
        <s v="7. Analisar controlos e completude"/>
        <s v="8. Concluído - sem dados"/>
        <s v="4.1 Em implementação - Re-especificação"/>
        <s v="5.1 Em testes - Re-especificação"/>
        <s v="6. Outros Desenvolvimentos"/>
      </sharedItems>
    </cacheField>
    <cacheField name="Controlos e Completuade atual" numFmtId="0">
      <sharedItems containsBlank="1"/>
    </cacheField>
    <cacheField name="Comentários" numFmtId="0">
      <sharedItems containsBlank="1" longText="1"/>
    </cacheField>
    <cacheField name="Data envio para IT" numFmtId="0">
      <sharedItems containsNonDate="0" containsDate="1" containsString="0" containsBlank="1" minDate="2022-04-28T00:00:00" maxDate="2024-09-28T00:00:00"/>
    </cacheField>
    <cacheField name="Data Implementação" numFmtId="0">
      <sharedItems containsDate="1" containsBlank="1" containsMixedTypes="1" minDate="2022-05-19T00:00:00" maxDate="2024-12-21T00:00:00"/>
    </cacheField>
    <cacheField name="Categorização" numFmtId="0">
      <sharedItems containsBlank="1"/>
    </cacheField>
    <cacheField name="Structural _x000a_ECB Loan Tape" numFmtId="0">
      <sharedItems/>
    </cacheField>
    <cacheField name="Green _x000a_Dashboard" numFmtId="0">
      <sharedItems/>
    </cacheField>
    <cacheField name="Pillar III ESG" numFmtId="0">
      <sharedItems/>
    </cacheField>
    <cacheField name="Green Finance" numFmtId="0">
      <sharedItems/>
    </cacheField>
    <cacheField name="ESG Risks" numFmtId="0">
      <sharedItems/>
    </cacheField>
    <cacheField name="Leveraged Finance" numFmtId="0">
      <sharedItems/>
    </cacheField>
    <cacheField name="Âmbito (Projeto) " numFmtId="0">
      <sharedItems count="4">
        <s v="PM"/>
        <s v="LF"/>
        <s v="PM &amp; LF"/>
        <s v="PM - Novos Campos"/>
      </sharedItems>
    </cacheField>
    <cacheField name="STREAM" numFmtId="0">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nçalo Mendes Baptista Filipe" refreshedDate="45674.446600115742" createdVersion="8" refreshedVersion="8" minRefreshableVersion="3" recordCount="346" xr:uid="{00000000-000A-0000-FFFF-FFFF06000000}">
  <cacheSource type="worksheet">
    <worksheetSource ref="C5:Q351" sheet="Detalhe"/>
  </cacheSource>
  <cacheFields count="15">
    <cacheField name="TABLE_NAME" numFmtId="0">
      <sharedItems/>
    </cacheField>
    <cacheField name="COLUMN_NAME" numFmtId="0">
      <sharedItems/>
    </cacheField>
    <cacheField name="ÂMBITO" numFmtId="0">
      <sharedItems count="2">
        <s v="OSI"/>
        <s v="Fora OSI"/>
      </sharedItems>
    </cacheField>
    <cacheField name="Status" numFmtId="0">
      <sharedItems/>
    </cacheField>
    <cacheField name="Controlos e Completude" numFmtId="0">
      <sharedItems/>
    </cacheField>
    <cacheField name="Descrição" numFmtId="0">
      <sharedItems containsBlank="1" longText="1"/>
    </cacheField>
    <cacheField name="Detalhe" numFmtId="0">
      <sharedItems containsBlank="1" longText="1"/>
    </cacheField>
    <cacheField name="Quick-win" numFmtId="0">
      <sharedItems/>
    </cacheField>
    <cacheField name="Data alteração status" numFmtId="14">
      <sharedItems containsSemiMixedTypes="0" containsNonDate="0" containsDate="1" containsString="0" minDate="2024-06-07T00:00:00" maxDate="2025-01-14T00:00:00"/>
    </cacheField>
    <cacheField name="Status Atual" numFmtId="0">
      <sharedItems count="15">
        <s v="9. Concluído"/>
        <s v="5.2 Em testes - Incidência"/>
        <s v="2. Alterar especificação"/>
        <s v="1. Especificar"/>
        <s v="3. Pendente de decisão"/>
        <s v="7. Analisar controlos e completude"/>
        <s v="8. Concluído - sem dados"/>
        <s v="4.1 Em implementação - Re-especificação"/>
        <s v="5.1 Em testes - Re-especificação"/>
        <s v="6. Outros Desenvolvimentos"/>
        <s v="4.2 Em implementação - Incidência" u="1"/>
        <s v="6. Incidência" u="1"/>
        <s v="4. Em implementação" u="1"/>
        <s v="5. Em testes" u="1"/>
        <s v="10. Em correção de incidência" u="1"/>
      </sharedItems>
    </cacheField>
    <cacheField name="Controlos e Completuade atual" numFmtId="0">
      <sharedItems containsBlank="1"/>
    </cacheField>
    <cacheField name="Comentários" numFmtId="0">
      <sharedItems containsBlank="1" longText="1"/>
    </cacheField>
    <cacheField name="Data envio para IT" numFmtId="0">
      <sharedItems containsNonDate="0" containsDate="1" containsString="0" containsBlank="1" minDate="2022-04-28T00:00:00" maxDate="2024-09-28T00:00:00"/>
    </cacheField>
    <cacheField name="Data Implementação" numFmtId="0">
      <sharedItems containsDate="1" containsBlank="1" containsMixedTypes="1" minDate="2022-05-19T00:00:00" maxDate="2024-12-21T00:00:00"/>
    </cacheField>
    <cacheField name="Categorização" numFmtId="0">
      <sharedItems count="20">
        <s v="Campo concluido"/>
        <s v="Necessidade de correção de erros"/>
        <s v="Melhorias estruturais (garantir coerência entre campos)"/>
        <s v="Alteração de especificação por parte do BCE"/>
        <s v="Novo campo"/>
        <s v="Pendente de decisão"/>
        <s v="Analisar controlos NOK"/>
        <s v="Campo concluído, mas sem ou pouca informação na fonte"/>
        <s v="-" u="1"/>
        <s v="Campo concluído, sem informação na fonte" u="1"/>
        <s v="Campo concluído, mas com pouca qualidade de dados" u="1"/>
        <s v="?" u="1"/>
        <s v="Alteração de especificação por parte da área" u="1"/>
        <s v="Especificar, informação começou a ser produzida em 2024" u="1"/>
        <s v="Avaliar necessidade de alteração da fonte para fins de reconciliação" u="1"/>
        <s v="Avaliar necessidade de alteração da fonte dos 1ºs titulares para fins de reconciliação" u="1"/>
        <s v="Alteração de especificação com base nas melhorias efetuadas ao MUG" u="1"/>
        <s v=" Alteração de especificação com base nas melhorias efetuadas ao MUG" u="1"/>
        <s v="Necessidade de correção de incidências" u="1"/>
        <s v="Em implementação"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
  <r>
    <s v="INSTRUMENT"/>
    <s v="ACCMLTD_CHNGS_FV_CR_INSTRMNT"/>
    <x v="0"/>
    <s v="9. Concluído"/>
    <s v="OK"/>
    <s v="Concluido, controlos OK"/>
    <m/>
    <x v="0"/>
    <d v="2024-06-07T00:00:00"/>
    <x v="0"/>
    <s v="OK"/>
    <m/>
    <m/>
    <m/>
    <s v="Campo concluido"/>
    <s v="Y"/>
    <s v="Y"/>
    <s v="Y"/>
    <s v="N"/>
    <s v="N"/>
    <s v="N"/>
    <x v="0"/>
    <n v="0"/>
  </r>
  <r>
    <s v="INSTRUMENT"/>
    <s v="ACCMLTD_IMPRMNT_INSTRMNT"/>
    <x v="0"/>
    <s v="9. Concluído"/>
    <s v="OK"/>
    <s v="Concluido, controlos OK"/>
    <m/>
    <x v="0"/>
    <d v="2024-06-07T00:00:00"/>
    <x v="0"/>
    <s v="OK"/>
    <m/>
    <m/>
    <m/>
    <s v="Campo concluido"/>
    <s v="Y"/>
    <s v="Y"/>
    <s v="Y"/>
    <s v="N"/>
    <s v="N"/>
    <s v="Y"/>
    <x v="0"/>
    <s v="6.1. Fora âmbito | Campos concluídos - Sem necessidade de espec."/>
  </r>
  <r>
    <s v="INSTRUMENT"/>
    <s v="ACCMLTD_IMPRMNT_INSTRMNT_PRVS"/>
    <x v="0"/>
    <s v="5.2 Em testes - Incidência"/>
    <s v="OK"/>
    <s v="Campo com incidência. Verificar fonte LT"/>
    <m/>
    <x v="1"/>
    <d v="2024-06-07T00:00:00"/>
    <x v="1"/>
    <s v="OK"/>
    <m/>
    <m/>
    <m/>
    <s v="Necessidade de correção de erros"/>
    <s v="Y"/>
    <s v="N"/>
    <s v="N"/>
    <s v="N"/>
    <s v="N"/>
    <s v="Y"/>
    <x v="1"/>
    <s v="3. Campos em testes ou c/ incidências"/>
  </r>
  <r>
    <s v="INSTRUMENT"/>
    <s v="ACCMLTD_WRTFFS_INSTRMNT"/>
    <x v="0"/>
    <s v="9. Concluído"/>
    <s v="OK"/>
    <s v="Concluido, controlos OK"/>
    <m/>
    <x v="0"/>
    <d v="2024-06-07T00:00:00"/>
    <x v="0"/>
    <s v="OK"/>
    <m/>
    <m/>
    <m/>
    <s v="Campo concluido"/>
    <s v="Y"/>
    <s v="N"/>
    <s v="N"/>
    <s v="N"/>
    <s v="N"/>
    <s v="Y"/>
    <x v="0"/>
    <s v="6.1. Fora âmbito | Campos concluídos - Sem necessidade de espec."/>
  </r>
  <r>
    <s v="INSTRUMENT"/>
    <s v="ACCNTNG_CLSSFCTN"/>
    <x v="0"/>
    <s v="9. Concluído"/>
    <s v="OK"/>
    <s v="Concluido, controlos OK"/>
    <m/>
    <x v="0"/>
    <d v="2024-06-07T00:00:00"/>
    <x v="0"/>
    <s v="OK"/>
    <m/>
    <m/>
    <m/>
    <s v="Campo concluido"/>
    <s v="Y"/>
    <s v="Y"/>
    <s v="Y"/>
    <s v="N"/>
    <s v="N"/>
    <s v="Y"/>
    <x v="0"/>
    <s v="6.1. Fora âmbito | Campos concluídos - Sem necessidade de espec."/>
  </r>
  <r>
    <s v="ENTITY"/>
    <s v="ACCNTNG_FRMWRK_SL"/>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TYP_MRTGG"/>
    <x v="0"/>
    <s v="3. Pendente de decisão"/>
    <s v="NOK"/>
    <s v="Alteração da Code list por parte do BCE"/>
    <m/>
    <x v="1"/>
    <d v="2024-10-03T00:00:00"/>
    <x v="2"/>
    <s v="NOK"/>
    <s v="Alterar especificação de acordo com codelist atual. No MUG existem apenas garantias elegiveis para cálculo de capital? Se sim, TYP_MRTGG irá assumir os valores 1, 5 e N/A. Caso contrário assumirá os valores  1, 5, 6 e N/A."/>
    <m/>
    <m/>
    <s v="Alteração de especificação por parte do BCE"/>
    <s v="Y"/>
    <s v="N"/>
    <s v="N"/>
    <s v="N"/>
    <s v="N"/>
    <s v="N"/>
    <x v="0"/>
    <n v="0"/>
  </r>
  <r>
    <s v="INSTRUMENT"/>
    <s v="AMNT_D_AT_MTRTY"/>
    <x v="0"/>
    <s v="1. Especificar"/>
    <s v="NOK"/>
    <s v="Em especificação"/>
    <m/>
    <x v="2"/>
    <d v="2024-06-07T00:00:00"/>
    <x v="3"/>
    <s v="NOK"/>
    <m/>
    <m/>
    <m/>
    <s v="Novo campo"/>
    <s v="Y"/>
    <s v="N"/>
    <s v="N"/>
    <s v="N"/>
    <s v="N"/>
    <s v="Y"/>
    <x v="1"/>
    <s v="2.2 Re-especificação de campos complexos - Resto"/>
  </r>
  <r>
    <s v="ENTITY"/>
    <s v="ANNL_TRNVR_LE"/>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Y"/>
    <x v="2"/>
    <s v="6.4. Fora âmbito | Re-especificação de campos complexos - Dem. Fin. CIB"/>
  </r>
  <r>
    <s v="ENTITY"/>
    <s v="ANNL_TRNVR_LE_BDR"/>
    <x v="1"/>
    <s v="9. Concluído"/>
    <s v="OK"/>
    <s v="Concluido, controlos OK"/>
    <m/>
    <x v="0"/>
    <d v="2024-06-07T00:00:00"/>
    <x v="0"/>
    <s v="OK"/>
    <m/>
    <m/>
    <m/>
    <s v="Campo concluido"/>
    <s v="Y"/>
    <s v="N"/>
    <s v="N"/>
    <s v="N"/>
    <s v="N"/>
    <s v="N"/>
    <x v="0"/>
    <n v="0"/>
  </r>
  <r>
    <s v="ENTITY"/>
    <s v="ANNL_TRNVR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ENTITY"/>
    <s v="ANNL_TRNVR_PRVS_BDR"/>
    <x v="1"/>
    <s v="9. Concluído"/>
    <s v="OK"/>
    <s v="Concluido, controlos OK"/>
    <m/>
    <x v="0"/>
    <d v="2024-06-07T00:00:00"/>
    <x v="0"/>
    <s v="OK"/>
    <m/>
    <m/>
    <m/>
    <s v="Campo concluido"/>
    <s v="Y"/>
    <s v="N"/>
    <s v="N"/>
    <s v="N"/>
    <s v="N"/>
    <s v="N"/>
    <x v="0"/>
    <n v="0"/>
  </r>
  <r>
    <s v="INSTRUMENT"/>
    <s v="ANNLSD_AGRD_RT"/>
    <x v="0"/>
    <s v="3. Pendente de decisão"/>
    <s v="OK"/>
    <s v="Verificar necessidade de alteração da fonte para fins de reconciliação. Rever Fonte"/>
    <s v="Rever se devemos utilizar a informação de IFRS9 ou manter a de alm"/>
    <x v="1"/>
    <d v="2024-06-07T00:00:00"/>
    <x v="4"/>
    <s v="OK"/>
    <m/>
    <m/>
    <m/>
    <s v="Pendente de decisão"/>
    <s v="Y"/>
    <s v="N"/>
    <s v="Y"/>
    <s v="N"/>
    <s v="N"/>
    <s v="N"/>
    <x v="0"/>
    <n v="0"/>
  </r>
  <r>
    <s v="PROTECTION"/>
    <s v="APPRSL_CRRNCY"/>
    <x v="0"/>
    <s v="7. Analisar controlos e completude"/>
    <s v="NOK"/>
    <s v="Controlos NOK"/>
    <m/>
    <x v="2"/>
    <d v="2024-06-07T00:00:00"/>
    <x v="5"/>
    <s v="NOK"/>
    <m/>
    <m/>
    <m/>
    <s v="Analisar controlos NOK"/>
    <s v="Y"/>
    <s v="N"/>
    <s v="N"/>
    <s v="N"/>
    <s v="N"/>
    <s v="N"/>
    <x v="0"/>
    <n v="0"/>
  </r>
  <r>
    <s v="PROTECTION"/>
    <s v="APPRSR"/>
    <x v="0"/>
    <s v="7. Analisar controlos e completude"/>
    <s v="NOK"/>
    <s v="Controlos NOK"/>
    <m/>
    <x v="2"/>
    <d v="2024-06-07T00:00:00"/>
    <x v="5"/>
    <s v="NOK"/>
    <m/>
    <m/>
    <m/>
    <s v="Analisar controlos NOK"/>
    <s v="Y"/>
    <s v="N"/>
    <s v="N"/>
    <s v="N"/>
    <s v="N"/>
    <s v="N"/>
    <x v="0"/>
    <n v="0"/>
  </r>
  <r>
    <s v="INSTRUMENT"/>
    <s v="ARRRS_INSTRMNT"/>
    <x v="0"/>
    <s v="7. Analisar controlos e completude"/>
    <s v="NOK"/>
    <s v="Controlos NOK"/>
    <m/>
    <x v="2"/>
    <d v="2024-06-07T00:00:00"/>
    <x v="5"/>
    <s v="NOK"/>
    <m/>
    <m/>
    <m/>
    <s v="Analisar controlos NOK"/>
    <s v="Y"/>
    <s v="N"/>
    <s v="N"/>
    <s v="N"/>
    <s v="N"/>
    <s v="Y"/>
    <x v="1"/>
    <s v="4. Campos com NOK controlos Corporativos"/>
  </r>
  <r>
    <s v="INSTRUMENT"/>
    <s v="ARRRS_INSTRMNT_12M"/>
    <x v="0"/>
    <s v="7. Analisar controlos e completude"/>
    <s v="NOK"/>
    <s v="Controlos NOK"/>
    <m/>
    <x v="2"/>
    <d v="2024-06-07T00:00:00"/>
    <x v="5"/>
    <s v="NOK"/>
    <m/>
    <m/>
    <m/>
    <s v="Analisar controlos NOK"/>
    <s v="Y"/>
    <s v="N"/>
    <s v="N"/>
    <s v="N"/>
    <s v="N"/>
    <s v="N"/>
    <x v="0"/>
    <n v="0"/>
  </r>
  <r>
    <s v="INSTRUMENT"/>
    <s v="ASST_SCRT_CLSS"/>
    <x v="1"/>
    <s v="9. Concluído"/>
    <s v="OK"/>
    <s v="Concluido, controlos OK"/>
    <m/>
    <x v="0"/>
    <d v="2024-06-07T00:00:00"/>
    <x v="0"/>
    <s v="OK"/>
    <m/>
    <m/>
    <m/>
    <s v="Campo concluido"/>
    <s v="Y"/>
    <s v="N"/>
    <s v="N"/>
    <s v="N"/>
    <s v="N"/>
    <s v="N"/>
    <x v="0"/>
    <n v="0"/>
  </r>
  <r>
    <s v="INSTRUMENT"/>
    <s v="BRCHD_CVNNTS"/>
    <x v="0"/>
    <s v="8. Concluído - sem dados"/>
    <s v="OK"/>
    <s v="Campo especificado, mas sem dados. Campo marcado com MISS ou NA"/>
    <m/>
    <x v="0"/>
    <d v="2024-06-07T00:00:00"/>
    <x v="6"/>
    <s v="OK"/>
    <m/>
    <m/>
    <m/>
    <s v="Campo concluído, mas sem ou pouca informação na fonte"/>
    <s v="Y"/>
    <s v="N"/>
    <s v="N"/>
    <s v="N"/>
    <s v="N"/>
    <s v="Y"/>
    <x v="0"/>
    <s v="6.1. Fora âmbito | Campos concluídos - Sem necessidade de espec."/>
  </r>
  <r>
    <s v="ENTITY"/>
    <s v="CAPEX"/>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ENTITY"/>
    <s v="CAPEX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INSTRUMENT"/>
    <s v="CCF"/>
    <x v="0"/>
    <s v="9. Concluído"/>
    <s v="OK"/>
    <s v="Concluido, controlos OK"/>
    <m/>
    <x v="0"/>
    <d v="2024-06-07T00:00:00"/>
    <x v="0"/>
    <s v="OK"/>
    <m/>
    <m/>
    <m/>
    <s v="Campo concluido"/>
    <s v="Y"/>
    <s v="Y"/>
    <s v="N"/>
    <s v="N"/>
    <s v="N"/>
    <s v="Y"/>
    <x v="0"/>
    <s v="6.1. Fora âmbito | Campos concluídos - Sem necessidade de espec."/>
  </r>
  <r>
    <s v="INSTRUMENT"/>
    <s v="CHNNL_ORGNTN"/>
    <x v="1"/>
    <s v="4.1 Em implementação - Re-especificação"/>
    <s v="NOK"/>
    <s v="Aguarda implementação de IT"/>
    <m/>
    <x v="2"/>
    <d v="2024-06-07T00:00:00"/>
    <x v="7"/>
    <s v="NOK"/>
    <m/>
    <d v="2024-01-05T00:00:00"/>
    <m/>
    <s v="Melhorias estruturais (garantir coerência entre campos)"/>
    <s v="Y"/>
    <s v="N"/>
    <s v="N"/>
    <s v="N"/>
    <s v="N"/>
    <s v="N"/>
    <x v="0"/>
    <n v="0"/>
  </r>
  <r>
    <s v="ENTITY"/>
    <s v="CLLCTN_MD"/>
    <x v="1"/>
    <s v="9. Concluído"/>
    <s v="OK"/>
    <s v="Concluido, controlos OK"/>
    <m/>
    <x v="0"/>
    <d v="2024-06-07T00:00:00"/>
    <x v="0"/>
    <s v="OK"/>
    <m/>
    <m/>
    <m/>
    <s v="Campo concluido"/>
    <s v="Y"/>
    <s v="N"/>
    <s v="N"/>
    <s v="N"/>
    <s v="N"/>
    <s v="N"/>
    <x v="0"/>
    <n v="0"/>
  </r>
  <r>
    <s v="ENTITY"/>
    <s v="TTL_INTRST_PD"/>
    <x v="1"/>
    <s v="2. Alterar especificação"/>
    <s v="NOK"/>
    <s v="Em especificação (Amortizações Capital/ Juros)"/>
    <m/>
    <x v="2"/>
    <d v="2024-06-07T00:00:00"/>
    <x v="2"/>
    <s v="NOK"/>
    <m/>
    <m/>
    <m/>
    <s v="Melhorias estruturais (garantir coerência entre campos)"/>
    <s v="Y"/>
    <s v="N"/>
    <s v="N"/>
    <s v="N"/>
    <s v="N"/>
    <s v="Y"/>
    <x v="1"/>
    <s v="2.2 Re-especificação de campos complexos - Resto"/>
  </r>
  <r>
    <s v="INSTRUMENT"/>
    <s v="CMMTMNT_INCPTN_INSTRMNT"/>
    <x v="0"/>
    <s v="7. Analisar controlos e completude"/>
    <s v="NOK"/>
    <s v="Analisar controlos e completude"/>
    <m/>
    <x v="2"/>
    <d v="2024-06-07T00:00:00"/>
    <x v="5"/>
    <s v="NOK"/>
    <m/>
    <m/>
    <m/>
    <s v="Analisar controlos NOK"/>
    <s v="Y"/>
    <s v="N"/>
    <s v="N"/>
    <s v="N"/>
    <s v="N"/>
    <s v="N"/>
    <x v="0"/>
    <n v="0"/>
  </r>
  <r>
    <s v="PROTECTION"/>
    <s v="RL_ESTT_CLLTRL_LCTN"/>
    <x v="0"/>
    <s v="2. Alterar especificação"/>
    <s v="NOK"/>
    <s v="Alterados 3 casos. Campo está a devolver PT para todas as proteções, no entanto estas não estão localizadas em PT e alterou-se a localização para os respetivos paises."/>
    <m/>
    <x v="2"/>
    <d v="2024-06-07T00:00:00"/>
    <x v="2"/>
    <s v="NOK"/>
    <m/>
    <m/>
    <m/>
    <s v="Melhorias estruturais (garantir coerência entre campos)"/>
    <s v="Y"/>
    <s v="N"/>
    <s v="Y"/>
    <s v="N"/>
    <s v="Y"/>
    <s v="N"/>
    <x v="0"/>
    <n v="0"/>
  </r>
  <r>
    <s v="INSTRUMENT"/>
    <s v="CMPLNT_MRTR_C19_NM"/>
    <x v="1"/>
    <s v="9. Concluído"/>
    <s v="OK"/>
    <s v="Concluido, controlos OK"/>
    <m/>
    <x v="0"/>
    <d v="2024-06-07T00:00:00"/>
    <x v="0"/>
    <s v="OK"/>
    <m/>
    <m/>
    <m/>
    <s v="Campo concluido"/>
    <s v="Y"/>
    <s v="N"/>
    <s v="N"/>
    <s v="N"/>
    <s v="N"/>
    <s v="N"/>
    <x v="0"/>
    <n v="0"/>
  </r>
  <r>
    <s v="INSTRUMENT"/>
    <s v="CNSMPTN_FNRP18"/>
    <x v="1"/>
    <s v="9. Concluído"/>
    <s v="OK"/>
    <s v="Concluido, controlos OK"/>
    <m/>
    <x v="0"/>
    <d v="2024-06-07T00:00:00"/>
    <x v="0"/>
    <s v="OK"/>
    <m/>
    <m/>
    <m/>
    <s v="Campo concluido"/>
    <s v="Y"/>
    <s v="N"/>
    <s v="N"/>
    <s v="N"/>
    <s v="N"/>
    <s v="N"/>
    <x v="0"/>
    <n v="0"/>
  </r>
  <r>
    <s v="PROTECTION"/>
    <s v="DT_APPRSL_PRVS"/>
    <x v="0"/>
    <s v="5.2 Em testes - Incidência"/>
    <s v="NOK"/>
    <s v="Campo com incidência e controlos NOK"/>
    <s v="1) Campo com incidência, data igual à data da protection_vl 2) Alteração de formatos MISS"/>
    <x v="0"/>
    <d v="2025-01-13T00:00:00"/>
    <x v="0"/>
    <s v="OK"/>
    <s v="Alteraração da definição do campo no Guia da Corporação. Campo passou a reportar a data da avaliação completa anterior à data da última avaliação  completa._x000a_"/>
    <d v="2024-07-12T00:00:00"/>
    <d v="2024-12-20T00:00:00"/>
    <s v="Alteração de especificação por parte do BCE"/>
    <s v="Y"/>
    <s v="N"/>
    <s v="N"/>
    <s v="N"/>
    <s v="N"/>
    <s v="N"/>
    <x v="0"/>
    <n v="0"/>
  </r>
  <r>
    <s v="INSTRUMENT"/>
    <s v="CNTRCT_ID"/>
    <x v="0"/>
    <s v="9. Concluído"/>
    <s v="OK"/>
    <s v="Concluido, controlos OK"/>
    <m/>
    <x v="0"/>
    <d v="2024-06-07T00:00:00"/>
    <x v="0"/>
    <s v="OK"/>
    <m/>
    <m/>
    <m/>
    <s v="Campo concluido"/>
    <s v="Y"/>
    <s v="N"/>
    <s v="N"/>
    <s v="N"/>
    <s v="N"/>
    <s v="N"/>
    <x v="0"/>
    <n v="0"/>
  </r>
  <r>
    <s v="INSTRUMENT"/>
    <s v="CNTRCT_ID_BDR"/>
    <x v="1"/>
    <s v="9. Concluído"/>
    <s v="OK"/>
    <s v="Concluido, controlos OK"/>
    <m/>
    <x v="0"/>
    <d v="2024-06-07T00:00:00"/>
    <x v="0"/>
    <s v="OK"/>
    <m/>
    <m/>
    <m/>
    <s v="Campo concluido"/>
    <s v="Y"/>
    <s v="N"/>
    <s v="N"/>
    <s v="N"/>
    <s v="N"/>
    <s v="N"/>
    <x v="0"/>
    <n v="0"/>
  </r>
  <r>
    <s v="ENTITY"/>
    <s v="CNTRY"/>
    <x v="0"/>
    <s v="9. Concluído"/>
    <s v="OK"/>
    <s v="Concluido, controlos OK"/>
    <m/>
    <x v="0"/>
    <d v="2024-06-07T00:00:00"/>
    <x v="0"/>
    <s v="OK"/>
    <m/>
    <m/>
    <m/>
    <s v="Campo concluido"/>
    <s v="Y"/>
    <s v="N"/>
    <s v="Y"/>
    <s v="N"/>
    <s v="Y"/>
    <s v="Y"/>
    <x v="0"/>
    <s v="6.1. Fora âmbito | Campos concluídos - Sem necessidade de espec."/>
  </r>
  <r>
    <s v="ENTITY"/>
    <s v="COD_SOC"/>
    <x v="0"/>
    <s v="9. Concluído"/>
    <s v="OK"/>
    <s v="Concluido, controlos OK"/>
    <m/>
    <x v="0"/>
    <d v="2024-06-07T00:00:00"/>
    <x v="0"/>
    <s v="OK"/>
    <m/>
    <m/>
    <m/>
    <s v="Campo concluido"/>
    <s v="Y"/>
    <s v="N"/>
    <s v="Y"/>
    <s v="N"/>
    <s v="Y"/>
    <s v="Y"/>
    <x v="0"/>
    <s v="6.1. Fora âmbito | Campos concluídos - Sem necessidade de espec."/>
  </r>
  <r>
    <s v="INSTR_ENTITY"/>
    <s v="COD_SOC"/>
    <x v="0"/>
    <s v="9. Concluído"/>
    <s v="OK"/>
    <s v="Concluido, controlos OK"/>
    <m/>
    <x v="0"/>
    <d v="2024-06-07T00:00:00"/>
    <x v="0"/>
    <s v="OK"/>
    <m/>
    <m/>
    <m/>
    <s v="Campo concluido"/>
    <s v="Y"/>
    <s v="N"/>
    <s v="Y"/>
    <s v="N"/>
    <s v="N"/>
    <s v="Y"/>
    <x v="0"/>
    <s v="6.1. Fora âmbito | Campos concluídos - Sem necessidade de espec."/>
  </r>
  <r>
    <s v="INSTR_PROTECTION"/>
    <s v="COD_SOC"/>
    <x v="0"/>
    <s v="9. Concluído"/>
    <s v="OK"/>
    <s v="Concluido, controlos OK"/>
    <m/>
    <x v="0"/>
    <d v="2024-06-07T00:00:00"/>
    <x v="0"/>
    <s v="OK"/>
    <m/>
    <m/>
    <m/>
    <s v="Campo concluido"/>
    <s v="Y"/>
    <s v="Y"/>
    <s v="Y"/>
    <s v="N"/>
    <s v="N"/>
    <s v="N"/>
    <x v="0"/>
    <n v="0"/>
  </r>
  <r>
    <s v="INSTRUMENT"/>
    <s v="COD_SOC"/>
    <x v="0"/>
    <s v="9. Concluído"/>
    <s v="OK"/>
    <s v="Concluido, controlos OK"/>
    <m/>
    <x v="0"/>
    <d v="2024-06-07T00:00:00"/>
    <x v="0"/>
    <s v="OK"/>
    <m/>
    <m/>
    <m/>
    <s v="Campo concluido"/>
    <s v="Y"/>
    <s v="Y"/>
    <s v="Y"/>
    <s v="N"/>
    <s v="Y"/>
    <s v="Y"/>
    <x v="0"/>
    <s v="6.1. Fora âmbito | Campos concluídos - Sem necessidade de espec."/>
  </r>
  <r>
    <s v="PROTECTION"/>
    <s v="COD_SOC"/>
    <x v="0"/>
    <s v="9. Concluído"/>
    <s v="OK"/>
    <s v="Concluido, controlos OK"/>
    <m/>
    <x v="0"/>
    <d v="2024-06-07T00:00:00"/>
    <x v="0"/>
    <s v="OK"/>
    <m/>
    <m/>
    <m/>
    <s v="Campo concluido"/>
    <s v="Y"/>
    <s v="Y"/>
    <s v="Y"/>
    <s v="N"/>
    <s v="Y"/>
    <s v="N"/>
    <x v="0"/>
    <n v="0"/>
  </r>
  <r>
    <s v="INSTRUMENT"/>
    <s v="COD_SOC_INTRGRP"/>
    <x v="0"/>
    <s v="4.1 Em implementação - Re-especificação"/>
    <s v="NOK"/>
    <s v="Aguarda implementação de IT"/>
    <m/>
    <x v="2"/>
    <d v="2024-06-17T00:00:00"/>
    <x v="8"/>
    <s v="NOK"/>
    <m/>
    <d v="2024-01-12T00:00:00"/>
    <d v="2024-03-28T00:00:00"/>
    <s v="Novo campo"/>
    <s v="Y"/>
    <s v="Y"/>
    <s v="N"/>
    <s v="N"/>
    <s v="N"/>
    <s v="N"/>
    <x v="0"/>
    <n v="0"/>
  </r>
  <r>
    <s v="INSTRUMENT"/>
    <s v="CPN_CRRNCY"/>
    <x v="1"/>
    <s v="9. Concluído"/>
    <s v="OK"/>
    <s v="Concluido, controlos OK"/>
    <m/>
    <x v="0"/>
    <d v="2024-06-07T00:00:00"/>
    <x v="0"/>
    <s v="OK"/>
    <m/>
    <m/>
    <m/>
    <s v="Campo concluido"/>
    <s v="Y"/>
    <s v="N"/>
    <s v="N"/>
    <s v="N"/>
    <s v="N"/>
    <s v="N"/>
    <x v="0"/>
    <n v="0"/>
  </r>
  <r>
    <s v="INSTRUMENT"/>
    <s v="CPN_RT_FXD"/>
    <x v="1"/>
    <s v="9. Concluído"/>
    <s v="OK"/>
    <s v="Concluido, controlos OK"/>
    <m/>
    <x v="0"/>
    <d v="2024-06-07T00:00:00"/>
    <x v="0"/>
    <s v="OK"/>
    <m/>
    <m/>
    <m/>
    <s v="Campo concluido"/>
    <s v="Y"/>
    <s v="N"/>
    <s v="N"/>
    <s v="N"/>
    <s v="N"/>
    <s v="N"/>
    <x v="0"/>
    <n v="0"/>
  </r>
  <r>
    <s v="ENTITY"/>
    <s v="CR_FLG"/>
    <x v="1"/>
    <s v="7. Analisar controlos e completude"/>
    <s v="NOK"/>
    <s v="Controlos NOK"/>
    <m/>
    <x v="2"/>
    <d v="2024-06-07T00:00:00"/>
    <x v="5"/>
    <s v="NOK"/>
    <m/>
    <m/>
    <m/>
    <s v="Analisar controlos NOK"/>
    <s v="Y"/>
    <s v="N"/>
    <s v="N"/>
    <s v="N"/>
    <s v="N"/>
    <s v="N"/>
    <x v="0"/>
    <n v="0"/>
  </r>
  <r>
    <s v="INSTRUMENT"/>
    <s v="CRE_FNRP18"/>
    <x v="0"/>
    <s v="9. Concluído"/>
    <s v="OK"/>
    <s v="Concluido, controlos OK"/>
    <m/>
    <x v="0"/>
    <d v="2024-06-07T00:00:00"/>
    <x v="0"/>
    <s v="OK"/>
    <m/>
    <m/>
    <m/>
    <s v="Campo concluido"/>
    <s v="Y"/>
    <s v="N"/>
    <s v="N"/>
    <s v="N"/>
    <s v="N"/>
    <s v="N"/>
    <x v="0"/>
    <n v="0"/>
  </r>
  <r>
    <s v="PROTECTION"/>
    <s v="CRE_INCM_CRRNCY"/>
    <x v="1"/>
    <s v="8. Concluído - sem dados"/>
    <s v="NOK"/>
    <s v="Campo sem mapeamento, para análise da área  de Riscos"/>
    <m/>
    <x v="0"/>
    <d v="2024-06-07T00:00:00"/>
    <x v="6"/>
    <s v="NOK"/>
    <m/>
    <m/>
    <m/>
    <s v="Campo concluído, mas sem ou pouca informação na fonte"/>
    <s v="Y"/>
    <s v="N"/>
    <s v="N"/>
    <s v="N"/>
    <s v="N"/>
    <s v="N"/>
    <x v="0"/>
    <n v="0"/>
  </r>
  <r>
    <s v="PROTECTION"/>
    <s v="CRE_YRLY_EXPNSS"/>
    <x v="1"/>
    <s v="8. Concluído - sem dados"/>
    <s v="OK"/>
    <s v="Campo sem mapeamento, para análise da área  de Riscos"/>
    <m/>
    <x v="0"/>
    <d v="2024-06-07T00:00:00"/>
    <x v="6"/>
    <s v="OK"/>
    <m/>
    <m/>
    <m/>
    <s v="Campo concluído, mas sem ou pouca informação na fonte"/>
    <s v="Y"/>
    <s v="N"/>
    <s v="N"/>
    <s v="N"/>
    <s v="N"/>
    <s v="N"/>
    <x v="0"/>
    <n v="0"/>
  </r>
  <r>
    <s v="PROTECTION"/>
    <s v="CRE_YRLY_INCM"/>
    <x v="1"/>
    <s v="8. Concluído - sem dados"/>
    <s v="OK"/>
    <s v="Campo sem mapeamento, para análise da área  de Riscos"/>
    <m/>
    <x v="0"/>
    <d v="2024-06-07T00:00:00"/>
    <x v="6"/>
    <s v="OK"/>
    <m/>
    <m/>
    <m/>
    <s v="Campo concluído, mas sem ou pouca informação na fonte"/>
    <s v="Y"/>
    <s v="N"/>
    <s v="N"/>
    <s v="N"/>
    <s v="N"/>
    <s v="N"/>
    <x v="0"/>
    <n v="0"/>
  </r>
  <r>
    <s v="INSTRUMENT"/>
    <s v="CRRLTN_CFFCNT"/>
    <x v="1"/>
    <s v="7. Analisar controlos e completude"/>
    <s v="NOK"/>
    <s v="Controlos NOK"/>
    <m/>
    <x v="2"/>
    <d v="2024-06-07T00:00:00"/>
    <x v="5"/>
    <s v="NOK"/>
    <m/>
    <m/>
    <m/>
    <s v="Analisar controlos NOK"/>
    <s v="Y"/>
    <s v="N"/>
    <s v="N"/>
    <s v="N"/>
    <s v="N"/>
    <s v="N"/>
    <x v="0"/>
    <n v="0"/>
  </r>
  <r>
    <s v="INSTRUMENT"/>
    <s v="CRRNCY_DNMNTN"/>
    <x v="0"/>
    <s v="9. Concluído"/>
    <s v="OK"/>
    <s v="Concluido, controlos OK"/>
    <m/>
    <x v="0"/>
    <d v="2024-06-07T00:00:00"/>
    <x v="0"/>
    <s v="OK"/>
    <m/>
    <m/>
    <m/>
    <s v="Campo concluido"/>
    <s v="Y"/>
    <s v="N"/>
    <s v="N"/>
    <s v="N"/>
    <s v="N"/>
    <s v="Y"/>
    <x v="0"/>
    <s v="6.1. Fora âmbito | Campos concluídos - Sem necessidade de espec."/>
  </r>
  <r>
    <s v="INSTRUMENT"/>
    <s v="CRRYNG_AMNT_INSTRMNT"/>
    <x v="0"/>
    <s v="9. Concluído"/>
    <s v="OK"/>
    <s v="Concluido, controlos OK"/>
    <m/>
    <x v="0"/>
    <d v="2024-06-07T00:00:00"/>
    <x v="0"/>
    <s v="OK"/>
    <m/>
    <m/>
    <m/>
    <s v="Campo concluido"/>
    <s v="Y"/>
    <s v="N"/>
    <s v="N"/>
    <s v="N"/>
    <s v="N"/>
    <s v="Y"/>
    <x v="0"/>
    <s v="6.1. Fora âmbito | Campos concluídos - Sem necessidade de espec."/>
  </r>
  <r>
    <s v="ENTITY"/>
    <s v="CSH"/>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ENTITY"/>
    <s v="CSH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INSTRUMENT"/>
    <s v="CSH_SWP_TRP"/>
    <x v="0"/>
    <s v="9. Concluído"/>
    <s v="OK"/>
    <s v="Concluido, controlos OK"/>
    <m/>
    <x v="0"/>
    <d v="2024-06-07T00:00:00"/>
    <x v="0"/>
    <s v="OK"/>
    <m/>
    <m/>
    <m/>
    <s v="Campo concluido"/>
    <s v="Y"/>
    <s v="N"/>
    <s v="N"/>
    <s v="N"/>
    <s v="N"/>
    <s v="Y"/>
    <x v="0"/>
    <s v="6.1. Fora âmbito | Campos concluídos - Sem necessidade de espec."/>
  </r>
  <r>
    <s v="INSTRUMENT"/>
    <s v="CVNNT_STTS"/>
    <x v="1"/>
    <s v="8. Concluído - sem dados"/>
    <s v="OK"/>
    <s v="Campo especificado, mas sem dados. Campo marcado com MISS ou NA"/>
    <m/>
    <x v="0"/>
    <d v="2024-06-07T00:00:00"/>
    <x v="6"/>
    <s v="OK"/>
    <m/>
    <m/>
    <m/>
    <s v="Campo concluído, mas sem ou pouca informação na fonte"/>
    <s v="Y"/>
    <s v="N"/>
    <s v="N"/>
    <s v="N"/>
    <s v="N"/>
    <s v="Y"/>
    <x v="2"/>
    <s v="6.3. Fora âmbito | Fonte Manual LF"/>
  </r>
  <r>
    <s v="INSTRUMENT"/>
    <s v="CVNNT_TYP"/>
    <x v="1"/>
    <s v="9. Concluído"/>
    <s v="OK"/>
    <s v="Concluido, controlos OK"/>
    <m/>
    <x v="0"/>
    <d v="2024-06-07T00:00:00"/>
    <x v="0"/>
    <s v="OK"/>
    <m/>
    <m/>
    <m/>
    <s v="Campo concluido"/>
    <s v="Y"/>
    <s v="N"/>
    <s v="N"/>
    <s v="N"/>
    <s v="N"/>
    <s v="Y"/>
    <x v="2"/>
    <s v="6.3. Fora âmbito | Fonte Manual LF"/>
  </r>
  <r>
    <s v="ENTITY"/>
    <s v="DBT_RPYMNT_CPCTY_SNR_DBT"/>
    <x v="1"/>
    <s v="8. Concluído - sem dados"/>
    <s v="OK"/>
    <s v="Campo especificado, mas sem dados. Campo marcado com MISS ou NA"/>
    <m/>
    <x v="0"/>
    <d v="2024-06-07T00:00:00"/>
    <x v="6"/>
    <s v="OK"/>
    <m/>
    <m/>
    <m/>
    <s v="Campo concluído, mas sem ou pouca informação na fonte"/>
    <s v="Y"/>
    <s v="N"/>
    <s v="N"/>
    <s v="N"/>
    <s v="N"/>
    <s v="Y"/>
    <x v="2"/>
    <s v="6.3. Fora âmbito | Fonte Manual LF"/>
  </r>
  <r>
    <s v="ENTITY"/>
    <s v="DBT_RPYMNT_CPCTY_TTL"/>
    <x v="1"/>
    <s v="9. Concluído"/>
    <s v="OK"/>
    <s v="Concluido, controlos OK"/>
    <m/>
    <x v="0"/>
    <d v="2024-06-07T00:00:00"/>
    <x v="0"/>
    <s v="OK"/>
    <m/>
    <m/>
    <m/>
    <s v="Campo concluido"/>
    <s v="Y"/>
    <s v="N"/>
    <s v="N"/>
    <s v="N"/>
    <s v="N"/>
    <s v="Y"/>
    <x v="0"/>
    <s v="6.1. Fora âmbito | Campos concluídos - Sem necessidade de espec."/>
  </r>
  <r>
    <s v="ENTITY"/>
    <s v="DBT_SRVC_RT"/>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ENTITY"/>
    <s v="DBT_SRVC_RT_12M"/>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INSTRUMENT"/>
    <s v="DBT_YLD"/>
    <x v="1"/>
    <s v="8. Concluído - sem dados"/>
    <s v="OK"/>
    <s v="Concluido, controlos OK"/>
    <m/>
    <x v="0"/>
    <d v="2024-06-07T00:00:00"/>
    <x v="6"/>
    <s v="OK"/>
    <m/>
    <m/>
    <m/>
    <s v="Campo concluído, mas sem ou pouca informação na fonte"/>
    <s v="Y"/>
    <s v="N"/>
    <s v="N"/>
    <s v="N"/>
    <s v="N"/>
    <s v="N"/>
    <x v="0"/>
    <n v="0"/>
  </r>
  <r>
    <s v="ENTITY"/>
    <s v="DCSD"/>
    <x v="1"/>
    <s v="9. Concluído"/>
    <s v="OK"/>
    <s v="Concluido, controlos OK"/>
    <m/>
    <x v="0"/>
    <d v="2024-06-07T00:00:00"/>
    <x v="0"/>
    <s v="OK"/>
    <m/>
    <m/>
    <m/>
    <s v="Campo concluido"/>
    <s v="Y"/>
    <s v="N"/>
    <s v="N"/>
    <s v="N"/>
    <s v="N"/>
    <s v="N"/>
    <x v="0"/>
    <n v="0"/>
  </r>
  <r>
    <s v="ENTITY"/>
    <s v="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Campo com incidência: Para os casos em que o cliente tem operações titularizadas (flag consumo capital = 0) e tem pelo menos uma não titularizada (N/A), a LT está atualmente a reporta N/A."/>
    <x v="1"/>
    <d v="2024-06-07T00:00:00"/>
    <x v="4"/>
    <s v="NOK"/>
    <m/>
    <m/>
    <m/>
    <s v="Pendente de decisão"/>
    <s v="Y"/>
    <s v="N"/>
    <s v="N"/>
    <s v="N"/>
    <s v="N"/>
    <s v="Y"/>
    <x v="1"/>
    <s v="5. Campos com outras possíveis alterações - Dependente de decisões OSI "/>
  </r>
  <r>
    <s v="INSTRUMENT"/>
    <s v="RFNNC_PRPS"/>
    <x v="0"/>
    <s v="2. Alterar especificação"/>
    <s v="OK"/>
    <s v="Alterar especificação. Campo depende do FRBRNC_STTS_INSTRMNT"/>
    <s v="Sempre que o campo FRBRNC_STTS_INSTRMNT =3 o campo RFNNC_PRPS deve estar marcado como Y. Reespecificar, implementar e testar."/>
    <x v="2"/>
    <d v="2024-06-07T00:00:00"/>
    <x v="2"/>
    <s v="OK"/>
    <m/>
    <m/>
    <m/>
    <s v="Melhorias estruturais (garantir coerência entre campos)"/>
    <s v="Y"/>
    <s v="N"/>
    <s v="N"/>
    <s v="N"/>
    <s v="N"/>
    <s v="N"/>
    <x v="0"/>
    <n v="0"/>
  </r>
  <r>
    <s v="INSTRUMENT"/>
    <s v="DPD"/>
    <x v="0"/>
    <s v="7. Analisar controlos e completude"/>
    <s v="NOK"/>
    <s v="Controlos NOK"/>
    <m/>
    <x v="2"/>
    <d v="2024-06-07T00:00:00"/>
    <x v="5"/>
    <s v="NOK"/>
    <m/>
    <m/>
    <m/>
    <s v="Analisar controlos NOK"/>
    <s v="Y"/>
    <s v="N"/>
    <s v="N"/>
    <s v="N"/>
    <s v="N"/>
    <s v="Y"/>
    <x v="1"/>
    <s v="4. Campos com NOK controlos Corporativos"/>
  </r>
  <r>
    <s v="INSTRUMENT"/>
    <s v="DPD_12M"/>
    <x v="0"/>
    <s v="7. Analisar controlos e completude"/>
    <s v="NOK"/>
    <s v="Controlos NOK"/>
    <m/>
    <x v="2"/>
    <d v="2024-06-07T00:00:00"/>
    <x v="5"/>
    <s v="NOK"/>
    <m/>
    <m/>
    <m/>
    <s v="Analisar controlos NOK"/>
    <s v="Y"/>
    <s v="N"/>
    <s v="N"/>
    <s v="N"/>
    <s v="N"/>
    <s v="N"/>
    <x v="0"/>
    <n v="0"/>
  </r>
  <r>
    <s v="INSTRUMENT"/>
    <s v="DPD_12M_FRBRNC_STTS"/>
    <x v="0"/>
    <s v="5.1 Em testes - Re-especificação"/>
    <s v="NOK"/>
    <s v="Em testes. Campo depende do FRBRNC_STTS que está com incidência nos formatos. Não é necessário alterar a especificação do mesmo, apenas testar quando o campo FRBRNC_STTS estiver corrigido."/>
    <m/>
    <x v="2"/>
    <d v="2024-06-07T00:00:00"/>
    <x v="8"/>
    <s v="NOK"/>
    <m/>
    <d v="2022-04-28T00:00:00"/>
    <d v="2022-05-19T00:00:00"/>
    <s v="Melhorias estruturais (garantir coerência entre campos)"/>
    <s v="Y"/>
    <s v="N"/>
    <s v="N"/>
    <s v="N"/>
    <s v="N"/>
    <s v="N"/>
    <x v="0"/>
    <n v="0"/>
  </r>
  <r>
    <s v="INSTRUMENT"/>
    <s v="DPD_12M_PRFRMNG_STTS"/>
    <x v="0"/>
    <s v="5.1 Em testes - Re-especificação"/>
    <s v="NOK"/>
    <s v="Campo depende do histórico do PRFRMNG_STTS. Não é necessário alterar a especificação do mesmo, apenas testar se a metodologia do campo PRFRMNG_STTS for alterada."/>
    <m/>
    <x v="1"/>
    <d v="2025-01-13T00:00:00"/>
    <x v="8"/>
    <s v="OK"/>
    <s v="Alteração da fonte das tabela de Imparidade Reporting para as 8_7 e alteração da data a partir da qual a fonte passa a ser as tabelas de Contabilidade ( 2019 para Dez 2022)"/>
    <d v="2024-09-27T00:00:00"/>
    <m/>
    <s v="Pendente de decisão"/>
    <s v="Y"/>
    <s v="N"/>
    <s v="N"/>
    <s v="N"/>
    <s v="N"/>
    <s v="N"/>
    <x v="0"/>
    <n v="0"/>
  </r>
  <r>
    <s v="INSTRUMENT"/>
    <s v="DPD_24M_FRBRNC_STTS"/>
    <x v="0"/>
    <s v="7. Analisar controlos e completude"/>
    <s v="NOK"/>
    <s v="Controlos NOK"/>
    <m/>
    <x v="2"/>
    <d v="2024-06-07T00:00:00"/>
    <x v="5"/>
    <s v="NOK"/>
    <m/>
    <m/>
    <m/>
    <s v="Analisar controlos NOK"/>
    <s v="Y"/>
    <s v="N"/>
    <s v="N"/>
    <s v="N"/>
    <s v="N"/>
    <s v="N"/>
    <x v="0"/>
    <n v="0"/>
  </r>
  <r>
    <s v="INSTRUMENT"/>
    <s v="DPD_24M_PRFRMNG_STTS"/>
    <x v="0"/>
    <s v="5.1 Em testes - Re-especificação"/>
    <s v="NOK"/>
    <s v="Em testes. Campo depende do campo PRFRMNG_STTS. Não é necessário alterar a especificação do mesmo, apenas testar  se o campo PRFRMNG_STTS for alterado."/>
    <m/>
    <x v="1"/>
    <d v="2025-01-13T00:00:00"/>
    <x v="8"/>
    <s v="OK"/>
    <s v="Alteração da fonte das tabela de Imparidade Reporting para as 8_7 e alteração da data a partir da qual a fonte passa a ser as tabelas de Contabilidade ( 2019 para Dez 2022)"/>
    <d v="2024-09-27T00:00:00"/>
    <m/>
    <s v="Pendente de decisão"/>
    <s v="Y"/>
    <s v="N"/>
    <s v="N"/>
    <s v="N"/>
    <s v="N"/>
    <s v="N"/>
    <x v="0"/>
    <n v="0"/>
  </r>
  <r>
    <s v="INSTRUMENT"/>
    <s v="DPD_FRBRNC_STTS"/>
    <x v="0"/>
    <s v="7. Analisar controlos e completude"/>
    <s v="NOK"/>
    <s v="Controlos NOK"/>
    <m/>
    <x v="2"/>
    <d v="2024-06-07T00:00:00"/>
    <x v="5"/>
    <s v="NOK"/>
    <m/>
    <m/>
    <m/>
    <s v="Analisar controlos NOK"/>
    <s v="Y"/>
    <s v="N"/>
    <s v="N"/>
    <s v="N"/>
    <s v="N"/>
    <s v="N"/>
    <x v="0"/>
    <n v="0"/>
  </r>
  <r>
    <s v="INSTRUMENT"/>
    <s v="DPD_PRFRMNG_STTS"/>
    <x v="0"/>
    <s v="5.1 Em testes - Re-especificação"/>
    <s v="OK"/>
    <s v="Em testes. Campo depende do campo PRFRMNG_STTS. Não é necessário alterar a especificação do mesmo, apenas testar  se o campo PRFRMNG_STTS for alterado."/>
    <m/>
    <x v="1"/>
    <d v="2025-01-13T00:00:00"/>
    <x v="8"/>
    <s v="OK"/>
    <s v="Alteração da fonte das tabela de Imparidade Reporting para as 8_7 e alteração da data a partir da qual a fonte passa a ser as tabelas de Contabilidade ( 2019 para Dez 2022)"/>
    <d v="2024-09-27T00:00:00"/>
    <m/>
    <s v="Pendente de decisão"/>
    <s v="Y"/>
    <s v="N"/>
    <s v="N"/>
    <s v="N"/>
    <s v="N"/>
    <s v="N"/>
    <x v="0"/>
    <n v="0"/>
  </r>
  <r>
    <s v="INSTRUMENT"/>
    <s v="DSTI"/>
    <x v="1"/>
    <s v="1. Especificar"/>
    <s v="OK"/>
    <s v="Em especificação (Campos Novos)"/>
    <m/>
    <x v="2"/>
    <d v="2024-06-07T00:00:00"/>
    <x v="3"/>
    <s v="OK"/>
    <m/>
    <m/>
    <m/>
    <s v="Novo campo"/>
    <s v="Y"/>
    <s v="N"/>
    <s v="N"/>
    <s v="N"/>
    <s v="N"/>
    <s v="N"/>
    <x v="0"/>
    <n v="0"/>
  </r>
  <r>
    <s v="PROTECTION"/>
    <s v="TYP_PRTCTN"/>
    <x v="0"/>
    <s v="2. Alterar especificação"/>
    <s v="NOK"/>
    <s v="Alterar especificação (alteração da fonte para MUG)"/>
    <s v="Campo depende do campo 'cgarant' do MUG"/>
    <x v="0"/>
    <d v="2025-01-13T00:00:00"/>
    <x v="0"/>
    <s v="OK"/>
    <s v="Alteração de especificação com base no campo cgarant_bem e cgarant_rpt do MUG. Controlo NOK - A Corporação ajustou o controlo e estes casos passarão a estar OK_x000a_"/>
    <d v="2024-07-19T00:00:00"/>
    <d v="2024-12-20T00:00:00"/>
    <s v="Necessidade de correção de erros"/>
    <s v="Y"/>
    <s v="Y"/>
    <s v="Y"/>
    <s v="N"/>
    <s v="Y"/>
    <s v="N"/>
    <x v="0"/>
    <n v="0"/>
  </r>
  <r>
    <s v="ENTITY"/>
    <s v="DT_BRTH"/>
    <x v="1"/>
    <s v="7. Analisar controlos e completude"/>
    <s v="NOK"/>
    <s v="Controlos NOK"/>
    <m/>
    <x v="2"/>
    <d v="2024-06-07T00:00:00"/>
    <x v="5"/>
    <s v="NOK"/>
    <m/>
    <m/>
    <m/>
    <s v="Analisar controlos NOK"/>
    <s v="Y"/>
    <s v="N"/>
    <s v="N"/>
    <s v="N"/>
    <s v="N"/>
    <s v="N"/>
    <x v="0"/>
    <n v="0"/>
  </r>
  <r>
    <s v="INSTRUMENT"/>
    <s v="DT_CMPLNT_MRTR_STTS_C19"/>
    <x v="1"/>
    <s v="9. Concluído"/>
    <s v="OK"/>
    <s v="Concluido, controlos OK"/>
    <m/>
    <x v="0"/>
    <d v="2024-06-07T00:00:00"/>
    <x v="0"/>
    <s v="OK"/>
    <m/>
    <m/>
    <m/>
    <s v="Campo concluido"/>
    <s v="Y"/>
    <s v="N"/>
    <s v="N"/>
    <s v="N"/>
    <s v="N"/>
    <s v="N"/>
    <x v="0"/>
    <n v="0"/>
  </r>
  <r>
    <s v="INSTRUMENT"/>
    <s v="DT_CMPLNT_MRTR_STTS_PRVS_C19"/>
    <x v="1"/>
    <s v="9. Concluído"/>
    <s v="OK"/>
    <s v="Concluido, controlos OK"/>
    <m/>
    <x v="0"/>
    <d v="2024-06-07T00:00:00"/>
    <x v="0"/>
    <s v="OK"/>
    <m/>
    <m/>
    <m/>
    <s v="Campo concluido"/>
    <s v="Y"/>
    <s v="N"/>
    <s v="N"/>
    <s v="N"/>
    <s v="N"/>
    <s v="N"/>
    <x v="0"/>
    <n v="0"/>
  </r>
  <r>
    <s v="PROTECTION"/>
    <s v="DT_PRTCTN_VL"/>
    <x v="0"/>
    <s v="5.2 Em testes - Incidência"/>
    <s v="NOK"/>
    <s v="Campo com incidência e controlos NOK. "/>
    <s v="Alteração formato de 0001-01-01 para 0000-00-00"/>
    <x v="0"/>
    <d v="2025-01-13T00:00:00"/>
    <x v="0"/>
    <s v="OK"/>
    <s v="Incidência corrigida. Especificação alterada para campo da GT018, de modo a estar coerente com a especificação do campo PRTCTN_VL_x000a_Controlo NOK (ver caderno de testes a 03/12/2023)"/>
    <d v="2024-07-19T00:00:00"/>
    <d v="2024-12-20T00:00:00"/>
    <s v="Necessidade de correção de erros"/>
    <s v="Y"/>
    <s v="N"/>
    <s v="N"/>
    <s v="N"/>
    <s v="N"/>
    <s v="N"/>
    <x v="0"/>
    <n v="0"/>
  </r>
  <r>
    <s v="ENTITY"/>
    <s v="DT_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x v="1"/>
    <d v="2024-06-07T00:00:00"/>
    <x v="4"/>
    <s v="NOK"/>
    <m/>
    <m/>
    <m/>
    <s v="Pendente de decisão"/>
    <s v="Y"/>
    <s v="N"/>
    <s v="N"/>
    <s v="N"/>
    <s v="N"/>
    <s v="Y"/>
    <x v="1"/>
    <s v="5. Campos com outras possíveis alterações - Dependente de decisões OSI "/>
  </r>
  <r>
    <s v="INSTRUMENT"/>
    <s v="DT_DFLT_STTS_INSTRMNT"/>
    <x v="0"/>
    <s v="5.2 Em testes - Incidência"/>
    <s v="NOK"/>
    <s v="Campo com incidência. É necessário adicionar a data de inception sempre que os contratos não estejam em default_x000a_Campo entregue por IT durante a OSI, no entanto foi detatada a incidência identificada supra"/>
    <s v="Na OSI foram reportados os 1os titulares da Contabilidade, o que para alguns casos, são diferentes do que está na CL01. Apenas será necessário ajustar este campo caso a LT passe a reportar os 1os titulares da Contabilidade."/>
    <x v="2"/>
    <d v="2024-06-07T00:00:00"/>
    <x v="1"/>
    <s v="NOK"/>
    <m/>
    <m/>
    <m/>
    <s v="Melhorias estruturais (garantir coerência entre campos)"/>
    <s v="Y"/>
    <s v="N"/>
    <s v="N"/>
    <s v="N"/>
    <s v="N"/>
    <s v="Y"/>
    <x v="1"/>
    <s v="3. Campos em testes ou c/ incidências"/>
  </r>
  <r>
    <s v="INSTRUMENT"/>
    <s v="DT_END_GP_PPAL"/>
    <x v="0"/>
    <s v="7. Analisar controlos e completude"/>
    <s v="NOK"/>
    <s v="Controlos NOK"/>
    <m/>
    <x v="2"/>
    <d v="2024-06-07T00:00:00"/>
    <x v="5"/>
    <s v="NOK"/>
    <m/>
    <m/>
    <m/>
    <s v="Analisar controlos NOK"/>
    <s v="Y"/>
    <s v="N"/>
    <s v="N"/>
    <s v="N"/>
    <s v="N"/>
    <s v="N"/>
    <x v="0"/>
    <n v="0"/>
  </r>
  <r>
    <s v="INSTRUMENT"/>
    <s v="DT_END_GP_PPAL_C19"/>
    <x v="1"/>
    <s v="9. Concluído"/>
    <s v="OK"/>
    <s v="Concluido, controlos OK"/>
    <m/>
    <x v="0"/>
    <d v="2024-06-07T00:00:00"/>
    <x v="0"/>
    <s v="OK"/>
    <m/>
    <m/>
    <m/>
    <s v="Campo concluido"/>
    <s v="Y"/>
    <s v="N"/>
    <s v="N"/>
    <s v="N"/>
    <s v="N"/>
    <s v="N"/>
    <x v="0"/>
    <n v="0"/>
  </r>
  <r>
    <s v="INSTRUMENT"/>
    <s v="DT_END_INTRST_ONLY"/>
    <x v="0"/>
    <s v="7. Analisar controlos e completude"/>
    <s v="NOK"/>
    <s v="Controlos NOK"/>
    <m/>
    <x v="2"/>
    <d v="2024-06-07T00:00:00"/>
    <x v="5"/>
    <s v="NOK"/>
    <m/>
    <m/>
    <m/>
    <s v="Analisar controlos NOK"/>
    <s v="Y"/>
    <s v="N"/>
    <s v="N"/>
    <s v="N"/>
    <s v="N"/>
    <s v="N"/>
    <x v="0"/>
    <n v="0"/>
  </r>
  <r>
    <s v="INSTRUMENT"/>
    <s v="DT_END_INTRST_ONLY_C19"/>
    <x v="1"/>
    <s v="9. Concluído"/>
    <s v="OK"/>
    <s v="Concluido, controlos OK"/>
    <m/>
    <x v="0"/>
    <d v="2024-06-07T00:00:00"/>
    <x v="0"/>
    <s v="OK"/>
    <m/>
    <m/>
    <m/>
    <s v="Campo concluido"/>
    <s v="Y"/>
    <s v="N"/>
    <s v="N"/>
    <s v="N"/>
    <s v="N"/>
    <s v="N"/>
    <x v="0"/>
    <n v="0"/>
  </r>
  <r>
    <s v="PROTECTION"/>
    <s v="CNSTRCTN_STTS"/>
    <x v="1"/>
    <s v="2. Alterar especificação"/>
    <s v="NOK"/>
    <s v="Campo dependente do MUG"/>
    <s v="Campo depende do campo 'cgarant' do MUG"/>
    <x v="0"/>
    <d v="2025-01-13T00:00:00"/>
    <x v="0"/>
    <s v="OK"/>
    <m/>
    <d v="2024-08-09T00:00:00"/>
    <d v="2024-12-20T00:00:00"/>
    <s v="Necessidade de correção de erros"/>
    <s v="Y"/>
    <s v="N"/>
    <s v="N"/>
    <s v="N"/>
    <s v="N"/>
    <s v="N"/>
    <x v="0"/>
    <n v="0"/>
  </r>
  <r>
    <s v="ENTITY"/>
    <s v="DT_FNNCL_STTMTS"/>
    <x v="0"/>
    <s v="2. Alterar especificação"/>
    <s v="NOK"/>
    <s v="Em especificação (Financial Statments CIB)"/>
    <s v="Campo implementação, mas com falta de informação para o segmento de clientes CIB"/>
    <x v="2"/>
    <d v="2024-06-07T00:00:00"/>
    <x v="2"/>
    <s v="NOK"/>
    <m/>
    <m/>
    <m/>
    <s v="Melhorias estruturais (garantir coerência entre campos)"/>
    <s v="Y"/>
    <s v="N"/>
    <s v="N"/>
    <s v="N"/>
    <s v="N"/>
    <s v="Y"/>
    <x v="2"/>
    <s v="6.4. Fora âmbito | Re-especificação de campos complexos - Dem. Fin. CIB"/>
  </r>
  <r>
    <s v="ENTITY"/>
    <s v="DT_FNNCL_STTMTS_PRVS"/>
    <x v="0"/>
    <s v="2. Alterar especificação"/>
    <s v="NOK"/>
    <s v="Em especificação (Financial Statments CIB)"/>
    <s v="Campo implementação, mas com falta de informação para o segmento de clientes CIB"/>
    <x v="2"/>
    <d v="2024-06-07T00:00:00"/>
    <x v="2"/>
    <s v="NOK"/>
    <m/>
    <m/>
    <m/>
    <s v="Melhorias estruturais (garantir coerência entre campos)"/>
    <s v="Y"/>
    <s v="N"/>
    <s v="N"/>
    <s v="N"/>
    <s v="N"/>
    <s v="Y"/>
    <x v="2"/>
    <s v="6.4. Fora âmbito | Re-especificação de campos complexos - Dem. Fin. CIB"/>
  </r>
  <r>
    <s v="INSTRUMENT"/>
    <s v="RCVD_INTRST_24M"/>
    <x v="0"/>
    <s v="2. Alterar especificação"/>
    <s v="OK"/>
    <s v="Em especificação (Amortizações Capital/ Juros). Campo com dados mas pouca qualidade"/>
    <m/>
    <x v="2"/>
    <d v="2024-06-07T00:00:00"/>
    <x v="2"/>
    <s v="OK"/>
    <m/>
    <m/>
    <m/>
    <s v="Melhorias estruturais (garantir coerência entre campos)"/>
    <s v="Y"/>
    <s v="N"/>
    <s v="N"/>
    <s v="N"/>
    <s v="N"/>
    <s v="Y"/>
    <x v="1"/>
    <s v="2.2 Re-especificação de campos complexos - Resto"/>
  </r>
  <r>
    <s v="INSTRUMENT"/>
    <s v="DT_FRBRNC_STTS_C19"/>
    <x v="1"/>
    <s v="9. Concluído"/>
    <s v="OK"/>
    <s v="Concluido, controlos OK"/>
    <m/>
    <x v="0"/>
    <d v="2024-06-07T00:00:00"/>
    <x v="0"/>
    <s v="OK"/>
    <m/>
    <m/>
    <m/>
    <s v="Campo concluido"/>
    <s v="Y"/>
    <s v="N"/>
    <s v="N"/>
    <s v="N"/>
    <s v="N"/>
    <s v="N"/>
    <x v="0"/>
    <n v="0"/>
  </r>
  <r>
    <s v="INSTRUMENT"/>
    <s v="RCVD_INTRST_12M"/>
    <x v="0"/>
    <s v="2. Alterar especificação"/>
    <s v="NOK"/>
    <s v="Em especificação (Amortizações Capital/ Juros)"/>
    <m/>
    <x v="2"/>
    <d v="2024-06-07T00:00:00"/>
    <x v="2"/>
    <s v="NOK"/>
    <m/>
    <m/>
    <m/>
    <s v="Melhorias estruturais (garantir coerência entre campos)"/>
    <s v="Y"/>
    <s v="N"/>
    <s v="N"/>
    <s v="N"/>
    <s v="N"/>
    <s v="Y"/>
    <x v="1"/>
    <s v="2.2 Re-especificação de campos complexos - Resto"/>
  </r>
  <r>
    <s v="INSTRUMENT"/>
    <s v="DT_FRBRNC_STTS_PRVS_C19"/>
    <x v="1"/>
    <s v="9. Concluído"/>
    <s v="OK"/>
    <s v="Concluido, controlos OK"/>
    <m/>
    <x v="0"/>
    <d v="2024-06-07T00:00:00"/>
    <x v="0"/>
    <s v="OK"/>
    <m/>
    <m/>
    <m/>
    <s v="Campo concluido"/>
    <s v="Y"/>
    <s v="N"/>
    <s v="N"/>
    <s v="N"/>
    <s v="N"/>
    <s v="N"/>
    <x v="0"/>
    <n v="0"/>
  </r>
  <r>
    <s v="PROTECTION"/>
    <s v="DT_FRST_USG"/>
    <x v="1"/>
    <s v="7. Analisar controlos e completude"/>
    <s v="NOK"/>
    <s v="Controlos NOK por parte de Riscos"/>
    <m/>
    <x v="2"/>
    <d v="2024-06-07T00:00:00"/>
    <x v="5"/>
    <s v="NOK"/>
    <m/>
    <m/>
    <m/>
    <s v="Analisar controlos NOK"/>
    <s v="Y"/>
    <s v="N"/>
    <s v="N"/>
    <s v="N"/>
    <s v="N"/>
    <s v="N"/>
    <x v="0"/>
    <n v="0"/>
  </r>
  <r>
    <s v="INSTRUMENT"/>
    <s v="DT_IMPRMNT_STT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N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INSTRUMENT"/>
    <s v="DT_IMPRMNT_STTS_PRV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NOK"/>
    <s v="Alteração da fonte das tabela de Imparidade Reporting para as 8_7 e alteração da data a partir da qual a fonte passa a ser as tabelas de Contabilidade"/>
    <d v="2024-09-27T00:00:00"/>
    <m/>
    <s v="Pendente de decisão"/>
    <s v="Y"/>
    <s v="N"/>
    <s v="N"/>
    <s v="N"/>
    <s v="N"/>
    <s v="N"/>
    <x v="0"/>
    <n v="0"/>
  </r>
  <r>
    <s v="INSTRUMENT"/>
    <s v="DT_INCPTN"/>
    <x v="0"/>
    <s v="7. Analisar controlos e completude"/>
    <s v="NOK"/>
    <s v="Controlos NOK"/>
    <m/>
    <x v="2"/>
    <d v="2024-06-07T00:00:00"/>
    <x v="5"/>
    <s v="NOK"/>
    <m/>
    <m/>
    <m/>
    <s v="Analisar controlos NOK"/>
    <s v="Y"/>
    <s v="N"/>
    <s v="Y"/>
    <s v="N"/>
    <s v="N"/>
    <s v="Y"/>
    <x v="1"/>
    <s v="4. Campos com NOK controlos Corporativos"/>
  </r>
  <r>
    <s v="ENTITY"/>
    <s v="DT_INTRNL_RTNG"/>
    <x v="0"/>
    <s v="5.1 Em testes - Re-especificação"/>
    <s v="NOK"/>
    <s v="Em testes, campo entregue por IT durante a OSI. Incidência nos formatos. Testar e validar controlos NOK"/>
    <m/>
    <x v="1"/>
    <d v="2024-06-07T00:00:00"/>
    <x v="8"/>
    <s v="NOK"/>
    <s v="Campo entregue durante a OSI"/>
    <d v="2024-02-16T00:00:00"/>
    <d v="2024-05-24T00:00:00"/>
    <s v="Necessidade de correção de erros"/>
    <s v="Y"/>
    <s v="N"/>
    <s v="N"/>
    <s v="N"/>
    <s v="N"/>
    <s v="Y"/>
    <x v="1"/>
    <s v="3. Campos em testes ou c/ incidências"/>
  </r>
  <r>
    <s v="INSTRUMENT"/>
    <s v="DT_INTRNL_RTNG"/>
    <x v="0"/>
    <s v="5.1 Em testes - Re-especificação"/>
    <s v="NOK"/>
    <s v="Em testes, campo entregue por IT durante a OSI. Testar e validar controlos"/>
    <m/>
    <x v="1"/>
    <d v="2024-06-07T00:00:00"/>
    <x v="8"/>
    <s v="NOK"/>
    <s v="Campo entregue durante a OSI"/>
    <d v="2024-02-16T00:00:00"/>
    <d v="2024-05-24T00:00:00"/>
    <s v="Necessidade de correção de erros"/>
    <s v="Y"/>
    <s v="N"/>
    <s v="N"/>
    <s v="N"/>
    <s v="N"/>
    <s v="Y"/>
    <x v="1"/>
    <s v="3. Campos em testes ou c/ incidências"/>
  </r>
  <r>
    <s v="ENTITY"/>
    <s v="DT_INTTN_LGL_PRCDNGS_LE"/>
    <x v="0"/>
    <s v="9. Concluído"/>
    <s v="OK"/>
    <s v="Concluido, controlos OK"/>
    <m/>
    <x v="0"/>
    <d v="2024-06-07T00:00:00"/>
    <x v="0"/>
    <s v="OK"/>
    <m/>
    <m/>
    <m/>
    <s v="Campo concluido"/>
    <s v="Y"/>
    <s v="N"/>
    <s v="N"/>
    <s v="N"/>
    <s v="N"/>
    <s v="Y"/>
    <x v="0"/>
    <s v="6.1. Fora âmbito | Campos concluídos - Sem necessidade de espec."/>
  </r>
  <r>
    <s v="PROTECTION"/>
    <s v="DVLPMNT_STTS"/>
    <x v="0"/>
    <s v="2. Alterar especificação"/>
    <s v="NOK"/>
    <s v="Alterar especificação. Campo dependente do MUG"/>
    <s v="Campo depende do campo 'cgarant' do MUG"/>
    <x v="0"/>
    <d v="2025-01-13T00:00:00"/>
    <x v="0"/>
    <s v="OK"/>
    <s v="Mapeamento de acordo com o CNSTRCTN_STTS"/>
    <d v="2024-08-09T00:00:00"/>
    <d v="2024-12-20T00:00:00"/>
    <s v="Necessidade de correção de erros"/>
    <s v="Y"/>
    <s v="N"/>
    <s v="N"/>
    <s v="N"/>
    <s v="N"/>
    <s v="N"/>
    <x v="0"/>
    <n v="0"/>
  </r>
  <r>
    <s v="PROTECTION"/>
    <s v="DT_LST_FLL_APPRSL"/>
    <x v="0"/>
    <s v="5.2 Em testes - Incidência"/>
    <s v="NOK"/>
    <s v="Campo com incidência e controlos NOK"/>
    <s v="1) Campo com incidência, data igual à data da protection_vl 2) Alteração de formatos MISS"/>
    <x v="0"/>
    <d v="2025-01-13T00:00:00"/>
    <x v="0"/>
    <s v="OK"/>
    <s v="Campo está a reportar a data da última avaliação e não a data da última avaliação in person. Implementação não está a aplicar a metodologia de cálculo de acordo com a especificação"/>
    <d v="2024-06-28T00:00:00"/>
    <d v="2024-12-20T00:00:00"/>
    <s v="Necessidade de correção de erros"/>
    <s v="Y"/>
    <s v="N"/>
    <s v="N"/>
    <s v="N"/>
    <s v="N"/>
    <s v="N"/>
    <x v="0"/>
    <n v="0"/>
  </r>
  <r>
    <s v="PROTECTION"/>
    <s v="DT_MTRTY_PRTCTN"/>
    <x v="0"/>
    <s v="7. Analisar controlos e completude"/>
    <s v="NOK"/>
    <s v="Controlos NOK por parte de Riscos"/>
    <m/>
    <x v="2"/>
    <d v="2024-06-07T00:00:00"/>
    <x v="5"/>
    <s v="NOK"/>
    <m/>
    <m/>
    <m/>
    <s v="Analisar controlos NOK"/>
    <s v="Y"/>
    <s v="N"/>
    <s v="N"/>
    <s v="N"/>
    <s v="N"/>
    <s v="N"/>
    <x v="0"/>
    <n v="0"/>
  </r>
  <r>
    <s v="INSTRUMENT"/>
    <s v="SICR_ASSSSMNT_MTHD"/>
    <x v="0"/>
    <s v="3. Pendente de decisão"/>
    <s v="OK"/>
    <s v="Rever com Corporação se a codelist do IMPRMNT_STTS alterou, caso não tenha alterado não é necessário alterar o campo."/>
    <m/>
    <x v="0"/>
    <d v="2024-06-28T00:00:00"/>
    <x v="0"/>
    <s v="OK"/>
    <s v="E-mail enviado para Corporação. Codelist IMPRMNT_STTS não alterou"/>
    <m/>
    <s v="-"/>
    <s v="Campo concluido"/>
    <s v="Y"/>
    <s v="N"/>
    <s v="N"/>
    <s v="N"/>
    <s v="N"/>
    <s v="Y"/>
    <x v="0"/>
    <s v="6.1. Fora âmbito | Campos concluídos - Sem necessidade de espec."/>
  </r>
  <r>
    <s v="INSTRUMENT"/>
    <s v="DT_ORGNL_MTRTY"/>
    <x v="0"/>
    <s v="7. Analisar controlos e completude"/>
    <s v="NOK"/>
    <s v="Controlos NOK"/>
    <m/>
    <x v="2"/>
    <d v="2024-06-07T00:00:00"/>
    <x v="5"/>
    <s v="NOK"/>
    <m/>
    <m/>
    <m/>
    <s v="Analisar controlos NOK"/>
    <s v="Y"/>
    <s v="N"/>
    <s v="N"/>
    <s v="N"/>
    <s v="N"/>
    <s v="Y"/>
    <x v="1"/>
    <s v="4. Campos com NOK controlos Corporativos"/>
  </r>
  <r>
    <s v="PROTECTION"/>
    <s v="NTNL_ID"/>
    <x v="0"/>
    <s v="5.2 Em testes - Incidência"/>
    <s v="NOK"/>
    <s v="Campo com incidência (Formatos). Remover aspas"/>
    <m/>
    <x v="0"/>
    <d v="2025-01-13T00:00:00"/>
    <x v="0"/>
    <s v="OK"/>
    <m/>
    <d v="2024-08-09T00:00:00"/>
    <d v="2024-12-20T00:00:00"/>
    <s v="Necessidade de correção de erros"/>
    <s v="Y"/>
    <s v="N"/>
    <s v="N"/>
    <s v="N"/>
    <s v="N"/>
    <s v="N"/>
    <x v="0"/>
    <n v="0"/>
  </r>
  <r>
    <s v="INSTRUMENT"/>
    <s v="DT_PRFRMNG_STT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ENTITY"/>
    <s v="DT_PRFRMNG_STTS_LE"/>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x v="1"/>
    <d v="2024-06-07T00:00:00"/>
    <x v="4"/>
    <s v="NOK"/>
    <m/>
    <m/>
    <m/>
    <s v="Pendente de decisão"/>
    <s v="Y"/>
    <s v="N"/>
    <s v="N"/>
    <s v="N"/>
    <s v="N"/>
    <s v="Y"/>
    <x v="1"/>
    <s v="5. Campos com outras possíveis alterações - Dependente de decisões OSI "/>
  </r>
  <r>
    <s v="INSTRUMENT"/>
    <s v="DT_PRFRMNG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INSTRUMENT"/>
    <s v="IFRS9_BHVRL_MTRTY"/>
    <x v="0"/>
    <s v="2. Alterar especificação"/>
    <s v="OK"/>
    <s v="Alterar especificação. Necessidade de alteração da fonte para fins de reconciliação"/>
    <s v="Em curso. Aguardamos resposta da equipa de Imparidade. Sempre que o campo for nulo colocar 111111111 valor de NA"/>
    <x v="1"/>
    <d v="2025-01-13T00:00:00"/>
    <x v="8"/>
    <s v="OK"/>
    <s v="Alteração de fonte e tabelas reporting para tabelas terminadas em 7_8_x000a_"/>
    <d v="2024-08-30T00:00:00"/>
    <m/>
    <s v="Necessidade de correção de erros"/>
    <s v="Y"/>
    <s v="N"/>
    <s v="Y"/>
    <s v="N"/>
    <s v="N"/>
    <s v="Y"/>
    <x v="0"/>
    <s v="6.2.  Fora âmbito | Campos em testes ou c/ incidências (LT - PM)"/>
  </r>
  <r>
    <s v="INSTRUMENT"/>
    <s v="DT_PST_D"/>
    <x v="0"/>
    <s v="7. Analisar controlos e completude"/>
    <s v="NOK"/>
    <s v="Controlos NOK"/>
    <m/>
    <x v="2"/>
    <d v="2024-06-07T00:00:00"/>
    <x v="5"/>
    <s v="NOK"/>
    <m/>
    <m/>
    <m/>
    <s v="Analisar controlos NOK"/>
    <s v="Y"/>
    <s v="N"/>
    <s v="N"/>
    <s v="N"/>
    <s v="N"/>
    <s v="Y"/>
    <x v="1"/>
    <s v="4. Campos com NOK controlos Corporativos"/>
  </r>
  <r>
    <s v="ENTITY"/>
    <s v="DT_RFRNC"/>
    <x v="0"/>
    <s v="9. Concluído"/>
    <s v="OK"/>
    <s v="Concluido, controlos OK"/>
    <m/>
    <x v="0"/>
    <d v="2024-06-07T00:00:00"/>
    <x v="0"/>
    <s v="OK"/>
    <m/>
    <m/>
    <m/>
    <s v="Campo concluido"/>
    <s v="Y"/>
    <s v="N"/>
    <s v="Y"/>
    <s v="N"/>
    <s v="N"/>
    <s v="Y"/>
    <x v="0"/>
    <s v="6.1. Fora âmbito | Campos concluídos - Sem necessidade de espec."/>
  </r>
  <r>
    <s v="INSTR_ENTITY"/>
    <s v="DT_RFRNC"/>
    <x v="0"/>
    <s v="9. Concluído"/>
    <s v="OK"/>
    <s v="Concluido, controlos OK"/>
    <m/>
    <x v="0"/>
    <d v="2024-06-07T00:00:00"/>
    <x v="0"/>
    <s v="OK"/>
    <m/>
    <m/>
    <m/>
    <s v="Campo concluido"/>
    <s v="Y"/>
    <s v="N"/>
    <s v="Y"/>
    <s v="N"/>
    <s v="N"/>
    <s v="Y"/>
    <x v="0"/>
    <s v="6.1. Fora âmbito | Campos concluídos - Sem necessidade de espec."/>
  </r>
  <r>
    <s v="INSTR_PROTECTION"/>
    <s v="DT_RFRNC"/>
    <x v="0"/>
    <s v="9. Concluído"/>
    <s v="OK"/>
    <s v="Concluido, controlos OK"/>
    <m/>
    <x v="0"/>
    <d v="2024-06-07T00:00:00"/>
    <x v="0"/>
    <s v="OK"/>
    <m/>
    <m/>
    <m/>
    <s v="Campo concluido"/>
    <s v="Y"/>
    <s v="Y"/>
    <s v="Y"/>
    <s v="N"/>
    <s v="N"/>
    <s v="N"/>
    <x v="0"/>
    <n v="0"/>
  </r>
  <r>
    <s v="INSTRUMENT"/>
    <s v="DT_RFRNC"/>
    <x v="0"/>
    <s v="9. Concluído"/>
    <s v="OK"/>
    <s v="Concluido, controlos OK"/>
    <m/>
    <x v="0"/>
    <d v="2024-06-07T00:00:00"/>
    <x v="0"/>
    <s v="OK"/>
    <m/>
    <m/>
    <m/>
    <s v="Campo concluido"/>
    <s v="Y"/>
    <s v="Y"/>
    <s v="Y"/>
    <s v="N"/>
    <s v="Y"/>
    <s v="Y"/>
    <x v="0"/>
    <s v="6.1. Fora âmbito | Campos concluídos - Sem necessidade de espec."/>
  </r>
  <r>
    <s v="PROTECTION"/>
    <s v="DT_RFRNC"/>
    <x v="0"/>
    <s v="9. Concluído"/>
    <s v="OK"/>
    <s v="Concluido, controlos OK"/>
    <m/>
    <x v="0"/>
    <d v="2024-06-07T00:00:00"/>
    <x v="0"/>
    <s v="OK"/>
    <m/>
    <m/>
    <m/>
    <s v="Campo concluido"/>
    <s v="Y"/>
    <s v="Y"/>
    <s v="Y"/>
    <s v="N"/>
    <s v="Y"/>
    <s v="N"/>
    <x v="0"/>
    <n v="0"/>
  </r>
  <r>
    <s v="INSTRUMENT"/>
    <s v="DT_STRT_GP_PPAL"/>
    <x v="0"/>
    <s v="7. Analisar controlos e completude"/>
    <s v="NOK"/>
    <s v="Controlos NOK"/>
    <m/>
    <x v="2"/>
    <d v="2024-06-07T00:00:00"/>
    <x v="5"/>
    <s v="NOK"/>
    <m/>
    <m/>
    <m/>
    <s v="Analisar controlos NOK"/>
    <s v="Y"/>
    <s v="N"/>
    <s v="N"/>
    <s v="N"/>
    <s v="N"/>
    <s v="N"/>
    <x v="0"/>
    <n v="0"/>
  </r>
  <r>
    <s v="INSTRUMENT"/>
    <s v="DT_STRT_INTRST_ONLY"/>
    <x v="0"/>
    <s v="7. Analisar controlos e completude"/>
    <s v="NOK"/>
    <s v="Controlos NOK"/>
    <m/>
    <x v="2"/>
    <d v="2024-06-07T00:00:00"/>
    <x v="5"/>
    <s v="NOK"/>
    <m/>
    <m/>
    <m/>
    <s v="Analisar controlos NOK"/>
    <s v="Y"/>
    <s v="N"/>
    <s v="N"/>
    <s v="N"/>
    <s v="N"/>
    <s v="N"/>
    <x v="0"/>
    <n v="0"/>
  </r>
  <r>
    <s v="INSTRUMENT"/>
    <s v="DT_VLTN"/>
    <x v="1"/>
    <s v="9. Concluído"/>
    <s v="OK"/>
    <s v="Concluido, controlos OK"/>
    <m/>
    <x v="0"/>
    <d v="2024-06-07T00:00:00"/>
    <x v="0"/>
    <s v="OK"/>
    <m/>
    <m/>
    <m/>
    <s v="Campo concluido"/>
    <s v="Y"/>
    <s v="N"/>
    <s v="N"/>
    <s v="N"/>
    <s v="N"/>
    <s v="N"/>
    <x v="0"/>
    <n v="0"/>
  </r>
  <r>
    <s v="INSTRUMENT"/>
    <s v="POCI"/>
    <x v="0"/>
    <s v="9. Concluído"/>
    <s v="OK"/>
    <s v="Concluido, controlos OK"/>
    <m/>
    <x v="0"/>
    <d v="2024-08-16T00:00:00"/>
    <x v="2"/>
    <m/>
    <s v="Alterar especificação para a tabela de Contabilidade FR004 campo Flag_POCI. Campo estava a mapear informação das tabelas de Imparidade, no entanto ficou definido que o Owner da informação deveria ser Contabilidade, neste sentido é necessário alterar a fonte para a tabela da Contabilidade"/>
    <m/>
    <m/>
    <s v="Campo concluido"/>
    <s v="Y"/>
    <s v="N"/>
    <s v="N"/>
    <s v="N"/>
    <s v="N"/>
    <s v="N"/>
    <x v="0"/>
    <n v="0"/>
  </r>
  <r>
    <s v="INSTRUMENT"/>
    <s v="EAD"/>
    <x v="0"/>
    <s v="5.1 Em testes - Re-especificação"/>
    <s v="OK"/>
    <s v="Em testes. Campo com incidências, mas corrigida na LT no âmbito da OSI."/>
    <m/>
    <x v="1"/>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 &quot;nas várias chaves FR, onde &quot;saldo capital&quot; é obtido através das contas cargabal, cruzamento fr802 e cruzamento com matriz de contas 805 para o nome perimentro corporativo_x000a_Verificamos que o aprovisionamento do campo está correto de acordo com as regras especificadas"/>
    <d v="2024-02-16T00:00:00"/>
    <d v="2024-05-24T00:00:00"/>
    <s v="Necessidade de correção de erros"/>
    <s v="Y"/>
    <s v="Y"/>
    <s v="N"/>
    <s v="N"/>
    <s v="Y"/>
    <s v="Y"/>
    <x v="1"/>
    <s v="3. Campos em testes ou c/ incidências"/>
  </r>
  <r>
    <s v="INSTRUMENT"/>
    <s v="EBA_CMPLNT_MRTR_ST_C19"/>
    <x v="1"/>
    <s v="9. Concluído"/>
    <s v="OK"/>
    <s v="Concluido, controlos OK"/>
    <m/>
    <x v="0"/>
    <d v="2024-06-07T00:00:00"/>
    <x v="0"/>
    <s v="OK"/>
    <m/>
    <m/>
    <m/>
    <s v="Campo concluido"/>
    <s v="Y"/>
    <s v="N"/>
    <s v="N"/>
    <s v="N"/>
    <s v="N"/>
    <s v="N"/>
    <x v="0"/>
    <n v="0"/>
  </r>
  <r>
    <s v="INSTRUMENT"/>
    <s v="OTSTNDNG_NMNL_AMNT_INSTRMNT_PRVS"/>
    <x v="0"/>
    <s v="5.2 Em testes - Incidência"/>
    <s v="OK"/>
    <s v="Campo com incidência"/>
    <s v="Diferenças na fonte_x000a__x000a_Regra utilizada na OSI:_x000a_cast(NVL((LT02_PRVS.GRSS_CRRYNG_AMNT_INSTRMNT_PRVS - NVL(ACCRD_T1.ACCRD_INTRST_INSTRMNT_PRVS,0)) ,11111111111.00) as decimal(21,2)) as  OTSTNDNG_NMNL_AMNT_INSTRMNT_PRVS"/>
    <x v="1"/>
    <d v="2024-06-28T00:00:00"/>
    <x v="2"/>
    <s v="NOK"/>
    <s v="Campo está a assumir apenas valores negativos, 0.00, MISS ou N/A. É necessário replicar o cálculo da LT001 para um ano atrás. LCM pediu para que o campo fonte fosse criado diretamente na LT001, eliminando a necessidade de replicar o calculo da LT001 para um ano antes da data de referência._x000a_Alteração de especificação aquando da entrega dos campos da LT001 da equipa de IT"/>
    <m/>
    <m/>
    <s v="Pendente de decisão"/>
    <s v="Y"/>
    <s v="N"/>
    <s v="N"/>
    <s v="N"/>
    <s v="N"/>
    <s v="N"/>
    <x v="0"/>
    <n v="0"/>
  </r>
  <r>
    <s v="INSTRUMENT"/>
    <s v="INSTLMNT_PAY"/>
    <x v="1"/>
    <s v="2. Alterar especificação"/>
    <s v="OK"/>
    <s v="Campo especificado, mas com pouca qualidade de dados"/>
    <m/>
    <x v="2"/>
    <d v="2024-06-07T00:00:00"/>
    <x v="2"/>
    <s v="OK"/>
    <m/>
    <m/>
    <m/>
    <s v="Campo concluído, mas sem ou pouca informação na fonte"/>
    <s v="Y"/>
    <s v="N"/>
    <s v="N"/>
    <s v="N"/>
    <s v="N"/>
    <s v="N"/>
    <x v="0"/>
    <n v="0"/>
  </r>
  <r>
    <s v="ENTITY"/>
    <s v="EC_GRP_ID"/>
    <x v="1"/>
    <s v="1. Especificar"/>
    <s v="OK"/>
    <s v="Em especificação (Campos Novos)"/>
    <m/>
    <x v="2"/>
    <d v="2024-06-07T00:00:00"/>
    <x v="3"/>
    <s v="OK"/>
    <m/>
    <m/>
    <m/>
    <s v="Novo campo"/>
    <s v="Y"/>
    <s v="N"/>
    <s v="N"/>
    <s v="N"/>
    <s v="N"/>
    <s v="Y"/>
    <x v="1"/>
    <s v="2.2 Re-especificação de campos complexos - Resto"/>
  </r>
  <r>
    <s v="ENTITY"/>
    <s v="EC_GRP_NM"/>
    <x v="1"/>
    <s v="1. Especificar"/>
    <s v="OK"/>
    <s v="Em especificação (Campos Novos)"/>
    <m/>
    <x v="2"/>
    <d v="2024-06-07T00:00:00"/>
    <x v="3"/>
    <s v="OK"/>
    <m/>
    <m/>
    <m/>
    <s v="Novo campo"/>
    <s v="Y"/>
    <s v="N"/>
    <s v="Y"/>
    <s v="N"/>
    <s v="N"/>
    <s v="Y"/>
    <x v="1"/>
    <s v="2.2 Re-especificação de campos complexos - Resto"/>
  </r>
  <r>
    <s v="ENTITY"/>
    <s v="ECNMC_ACTVTY"/>
    <x v="0"/>
    <s v="9. Concluído"/>
    <s v="OK"/>
    <s v="Concluido, controlos OK"/>
    <m/>
    <x v="0"/>
    <d v="2024-06-07T00:00:00"/>
    <x v="0"/>
    <s v="OK"/>
    <m/>
    <m/>
    <m/>
    <s v="Campo concluido"/>
    <s v="Y"/>
    <s v="N"/>
    <s v="Y"/>
    <s v="N"/>
    <s v="Y"/>
    <s v="Y"/>
    <x v="0"/>
    <s v="6.1. Fora âmbito | Campos concluídos - Sem necessidade de espec."/>
  </r>
  <r>
    <s v="INSTRUMENT"/>
    <s v="EIR"/>
    <x v="0"/>
    <s v="7. Analisar controlos e completude"/>
    <s v="NOK"/>
    <s v="Controlos NOK"/>
    <m/>
    <x v="2"/>
    <d v="2024-06-07T00:00:00"/>
    <x v="5"/>
    <s v="NOK"/>
    <m/>
    <m/>
    <m/>
    <s v="Analisar controlos NOK"/>
    <s v="Y"/>
    <s v="N"/>
    <s v="N"/>
    <s v="N"/>
    <s v="N"/>
    <s v="Y"/>
    <x v="1"/>
    <s v="4. Campos com NOK controlos Corporativos"/>
  </r>
  <r>
    <s v="INSTRUMENT"/>
    <s v="EIR_INCPTN"/>
    <x v="0"/>
    <s v="7. Analisar controlos e completude"/>
    <s v="NOK"/>
    <s v="Controlos NOK"/>
    <m/>
    <x v="2"/>
    <d v="2024-06-07T00:00:00"/>
    <x v="5"/>
    <s v="NOK"/>
    <m/>
    <m/>
    <m/>
    <s v="Analisar controlos NOK"/>
    <s v="Y"/>
    <s v="N"/>
    <s v="Y"/>
    <s v="N"/>
    <s v="N"/>
    <s v="N"/>
    <x v="0"/>
    <n v="0"/>
  </r>
  <r>
    <s v="INSTRUMENT"/>
    <s v="ELGBLTY_ECB"/>
    <x v="1"/>
    <s v="9. Concluído"/>
    <s v="OK"/>
    <s v="Concluido, controlos OK"/>
    <m/>
    <x v="0"/>
    <d v="2024-06-07T00:00:00"/>
    <x v="0"/>
    <s v="OK"/>
    <m/>
    <m/>
    <m/>
    <s v="Campo concluido"/>
    <s v="Y"/>
    <s v="N"/>
    <s v="N"/>
    <s v="N"/>
    <s v="N"/>
    <s v="N"/>
    <x v="0"/>
    <n v="0"/>
  </r>
  <r>
    <s v="ENTITY"/>
    <s v="EMPLYMNT_STTS"/>
    <x v="1"/>
    <s v="9. Concluído"/>
    <s v="OK"/>
    <s v="Concluido, controlos OK"/>
    <m/>
    <x v="0"/>
    <d v="2024-06-07T00:00:00"/>
    <x v="0"/>
    <s v="OK"/>
    <m/>
    <m/>
    <m/>
    <s v="Campo concluido"/>
    <s v="Y"/>
    <s v="N"/>
    <s v="N"/>
    <s v="N"/>
    <s v="N"/>
    <s v="N"/>
    <x v="0"/>
    <n v="0"/>
  </r>
  <r>
    <s v="ENTITY"/>
    <s v="EMPLYMNT_STTS_INTRNL"/>
    <x v="1"/>
    <s v="9. Concluído"/>
    <s v="OK"/>
    <s v="Concluido, controlos OK"/>
    <m/>
    <x v="0"/>
    <d v="2024-06-07T00:00:00"/>
    <x v="0"/>
    <s v="OK"/>
    <m/>
    <m/>
    <m/>
    <s v="Campo concluido"/>
    <s v="Y"/>
    <s v="N"/>
    <s v="N"/>
    <s v="N"/>
    <s v="N"/>
    <s v="N"/>
    <x v="0"/>
    <n v="0"/>
  </r>
  <r>
    <s v="ENTITY"/>
    <s v="ENTRPRS_SZ_LE"/>
    <x v="0"/>
    <s v="7. Analisar controlos e completude"/>
    <s v="NOK"/>
    <s v="Controlos NOK"/>
    <m/>
    <x v="2"/>
    <d v="2024-06-07T00:00:00"/>
    <x v="5"/>
    <s v="NOK"/>
    <m/>
    <m/>
    <m/>
    <s v="Analisar controlos NOK"/>
    <s v="Y"/>
    <s v="N"/>
    <s v="N"/>
    <s v="N"/>
    <s v="N"/>
    <s v="N"/>
    <x v="0"/>
    <n v="0"/>
  </r>
  <r>
    <s v="ENTITY"/>
    <s v="ENTTY_ID"/>
    <x v="0"/>
    <s v="7. Analisar controlos e completude"/>
    <s v="NOK"/>
    <s v="Controlos NOK"/>
    <m/>
    <x v="2"/>
    <d v="2024-06-07T00:00:00"/>
    <x v="5"/>
    <s v="NOK"/>
    <m/>
    <m/>
    <m/>
    <s v="Analisar controlos NOK"/>
    <s v="Y"/>
    <s v="N"/>
    <s v="Y"/>
    <s v="N"/>
    <s v="Y"/>
    <s v="Y"/>
    <x v="1"/>
    <s v="4. Campos com NOK controlos Corporativos"/>
  </r>
  <r>
    <s v="INSTR_ENTITY"/>
    <s v="ENTTY_ID"/>
    <x v="0"/>
    <s v="7. Analisar controlos e completude"/>
    <s v="NOK"/>
    <s v="Controlos NOK"/>
    <m/>
    <x v="2"/>
    <d v="2024-06-07T00:00:00"/>
    <x v="5"/>
    <s v="NOK"/>
    <m/>
    <m/>
    <m/>
    <s v="Analisar controlos NOK"/>
    <s v="Y"/>
    <s v="N"/>
    <s v="Y"/>
    <s v="N"/>
    <s v="N"/>
    <s v="Y"/>
    <x v="1"/>
    <s v="4. Campos com NOK controlos Corporativos"/>
  </r>
  <r>
    <s v="ENTITY"/>
    <s v="ENTTY_NM"/>
    <x v="0"/>
    <s v="9. Concluído"/>
    <s v="OK"/>
    <s v="Concluido, controlos OK"/>
    <m/>
    <x v="0"/>
    <d v="2024-06-07T00:00:00"/>
    <x v="0"/>
    <s v="OK"/>
    <m/>
    <m/>
    <m/>
    <s v="Campo concluido"/>
    <s v="Y"/>
    <s v="N"/>
    <s v="Y"/>
    <s v="N"/>
    <s v="N"/>
    <s v="Y"/>
    <x v="0"/>
    <s v="6.1. Fora âmbito | Campos concluídos - Sem necessidade de espec."/>
  </r>
  <r>
    <s v="ENTITY"/>
    <s v="EQTY"/>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Y"/>
    <x v="2"/>
    <s v="6.4. Fora âmbito | Re-especificação de campos complexos - Dem. Fin. CIB"/>
  </r>
  <r>
    <s v="ENTITY"/>
    <s v="EQTY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EXPCTD_LSS_CRR"/>
    <x v="1"/>
    <s v="4.1 Em implementação - Re-especificação"/>
    <s v="OK"/>
    <s v="Aguarda implementação de IT"/>
    <m/>
    <x v="2"/>
    <d v="2024-06-17T00:00:00"/>
    <x v="8"/>
    <s v="OK"/>
    <m/>
    <d v="2024-02-02T00:00:00"/>
    <d v="2024-03-28T00:00:00"/>
    <s v="Novo campo"/>
    <s v="Y"/>
    <s v="N"/>
    <s v="N"/>
    <s v="N"/>
    <s v="N"/>
    <s v="N"/>
    <x v="0"/>
    <n v="0"/>
  </r>
  <r>
    <s v="INSTRUMENT"/>
    <s v="EXPSR_IN_SCP"/>
    <x v="0"/>
    <s v="9. Concluído"/>
    <s v="OK"/>
    <s v="Concluido, controlos OK"/>
    <m/>
    <x v="0"/>
    <d v="2024-06-07T00:00:00"/>
    <x v="0"/>
    <s v="OK"/>
    <m/>
    <m/>
    <m/>
    <s v="Campo concluido"/>
    <s v="Y"/>
    <s v="N"/>
    <s v="N"/>
    <s v="N"/>
    <s v="N"/>
    <s v="Y"/>
    <x v="0"/>
    <s v="6.1. Fora âmbito | Campos concluídos - Sem necessidade de espec."/>
  </r>
  <r>
    <s v="INSTRUMENT"/>
    <s v="FRBRNC_STTS_INSTRMNT"/>
    <x v="0"/>
    <s v="2. Alterar especificação"/>
    <s v="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x v="2"/>
    <d v="2024-06-07T00:00:00"/>
    <x v="2"/>
    <s v="OK"/>
    <m/>
    <m/>
    <m/>
    <s v="Melhorias estruturais (garantir coerência entre campos)"/>
    <s v="Y"/>
    <s v="N"/>
    <s v="Y"/>
    <s v="N"/>
    <s v="N"/>
    <s v="Y"/>
    <x v="1"/>
    <s v="2.2 Re-especificação de campos complexos - Resto"/>
  </r>
  <r>
    <s v="ENTITY"/>
    <s v="EXTRNL_RTNG_PRVS"/>
    <x v="0"/>
    <s v="2. Alterar especificação"/>
    <s v="OK"/>
    <s v="Alterar especificação para casos em informação na fonte."/>
    <s v="Quando não existe informação na fonte em vez de MISS substituir por NA"/>
    <x v="1"/>
    <d v="2024-06-07T00:00:00"/>
    <x v="2"/>
    <s v="OK"/>
    <m/>
    <m/>
    <m/>
    <s v="Alteração de especificação por parte do BCE"/>
    <s v="Y"/>
    <s v="N"/>
    <s v="N"/>
    <s v="N"/>
    <s v="N"/>
    <s v="Y"/>
    <x v="1"/>
    <s v="2.2 Re-especificação de campos complexos - Resto"/>
  </r>
  <r>
    <s v="ENTITY"/>
    <s v="EXTRNL_RTNG_NM"/>
    <x v="0"/>
    <s v="2. Alterar especificação"/>
    <s v="NOK"/>
    <s v="Alterar especificação para casos em informação na fonte."/>
    <s v="Quando não existe informação na fonte em vez de MISS substituir por NA"/>
    <x v="1"/>
    <d v="2024-06-07T00:00:00"/>
    <x v="2"/>
    <s v="NOK"/>
    <m/>
    <m/>
    <m/>
    <s v="Alteração de especificação por parte do BCE"/>
    <s v="Y"/>
    <s v="N"/>
    <s v="N"/>
    <s v="N"/>
    <s v="N"/>
    <s v="Y"/>
    <x v="1"/>
    <s v="2.2 Re-especificação de campos complexos - Resto"/>
  </r>
  <r>
    <s v="INSTRUMENT"/>
    <s v="FLD_SYNDCTN"/>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ENTITY"/>
    <s v="FLG_BNKRPTCY_IN_GRP"/>
    <x v="0"/>
    <s v="9. Concluído"/>
    <s v="OK"/>
    <s v="Concluido, controlos OK"/>
    <m/>
    <x v="0"/>
    <d v="2024-06-07T00:00:00"/>
    <x v="0"/>
    <s v="OK"/>
    <m/>
    <m/>
    <m/>
    <s v="Campo concluido"/>
    <s v="Y"/>
    <s v="N"/>
    <s v="N"/>
    <s v="N"/>
    <s v="N"/>
    <s v="N"/>
    <x v="0"/>
    <n v="0"/>
  </r>
  <r>
    <s v="ENTITY"/>
    <s v="FLG_HGH_CDS"/>
    <x v="0"/>
    <s v="9. Concluído"/>
    <s v="OK"/>
    <s v="Concluido, controlos OK"/>
    <m/>
    <x v="0"/>
    <d v="2024-06-07T00:00:00"/>
    <x v="0"/>
    <s v="OK"/>
    <m/>
    <m/>
    <m/>
    <s v="Campo concluido"/>
    <s v="Y"/>
    <s v="N"/>
    <s v="N"/>
    <s v="N"/>
    <s v="N"/>
    <s v="N"/>
    <x v="0"/>
    <n v="0"/>
  </r>
  <r>
    <s v="ENTITY"/>
    <s v="FLG_ISDA_CRDT_EVNT"/>
    <x v="0"/>
    <s v="9. Concluído"/>
    <s v="OK"/>
    <s v="Concluido, controlos OK"/>
    <m/>
    <x v="0"/>
    <d v="2024-06-07T00:00:00"/>
    <x v="0"/>
    <s v="OK"/>
    <m/>
    <m/>
    <m/>
    <s v="Campo concluido"/>
    <s v="Y"/>
    <s v="N"/>
    <s v="N"/>
    <s v="N"/>
    <s v="N"/>
    <s v="N"/>
    <x v="0"/>
    <n v="0"/>
  </r>
  <r>
    <s v="INSTRUMENT"/>
    <s v="FLG_LBO"/>
    <x v="1"/>
    <s v="9. Concluído"/>
    <s v="OK"/>
    <s v="Concluido, controlos OK"/>
    <m/>
    <x v="0"/>
    <d v="2024-06-07T00:00:00"/>
    <x v="0"/>
    <s v="OK"/>
    <m/>
    <m/>
    <m/>
    <s v="Campo concluido"/>
    <s v="Y"/>
    <s v="N"/>
    <s v="N"/>
    <s v="N"/>
    <s v="N"/>
    <s v="Y"/>
    <x v="2"/>
    <s v="6.3. Fora âmbito | Fonte Manual LF"/>
  </r>
  <r>
    <s v="ENTITY"/>
    <s v="FLG_NN_ACCRL"/>
    <x v="0"/>
    <s v="9. Concluído"/>
    <s v="OK"/>
    <s v="Concluido, controlos OK"/>
    <m/>
    <x v="0"/>
    <d v="2024-06-07T00:00:00"/>
    <x v="0"/>
    <s v="OK"/>
    <m/>
    <m/>
    <m/>
    <s v="Campo concluido"/>
    <s v="Y"/>
    <s v="N"/>
    <s v="N"/>
    <s v="N"/>
    <s v="N"/>
    <s v="N"/>
    <x v="0"/>
    <n v="0"/>
  </r>
  <r>
    <s v="ENTITY"/>
    <s v="FLG_RQST_BNKRPTCY"/>
    <x v="0"/>
    <s v="9. Concluído"/>
    <s v="OK"/>
    <s v="Concluido, controlos OK"/>
    <m/>
    <x v="0"/>
    <d v="2024-06-07T00:00:00"/>
    <x v="0"/>
    <s v="OK"/>
    <m/>
    <m/>
    <m/>
    <s v="Campo concluido"/>
    <s v="Y"/>
    <s v="N"/>
    <s v="N"/>
    <s v="N"/>
    <s v="N"/>
    <s v="N"/>
    <x v="0"/>
    <n v="0"/>
  </r>
  <r>
    <s v="ENTITY"/>
    <s v="FLG_RQST_DSTRSSD_RSTRCTRNG"/>
    <x v="0"/>
    <s v="1. Especificar"/>
    <s v="NOK"/>
    <s v="Em especificação, rever fonte"/>
    <m/>
    <x v="2"/>
    <d v="2024-06-07T00:00:00"/>
    <x v="3"/>
    <s v="NOK"/>
    <m/>
    <m/>
    <m/>
    <s v="Melhorias estruturais (garantir coerência entre campos)"/>
    <s v="Y"/>
    <s v="N"/>
    <s v="N"/>
    <s v="N"/>
    <s v="N"/>
    <s v="N"/>
    <x v="0"/>
    <n v="0"/>
  </r>
  <r>
    <s v="ENTITY"/>
    <s v="FLG_RQST_EMRGNCY_FNDNG"/>
    <x v="0"/>
    <s v="9. Concluído"/>
    <s v="OK"/>
    <s v="Concluido, controlos OK"/>
    <m/>
    <x v="0"/>
    <d v="2024-06-07T00:00:00"/>
    <x v="0"/>
    <s v="OK"/>
    <m/>
    <m/>
    <m/>
    <s v="Campo concluido"/>
    <s v="Y"/>
    <s v="N"/>
    <s v="N"/>
    <s v="N"/>
    <s v="N"/>
    <s v="Y"/>
    <x v="0"/>
    <s v="6.1. Fora âmbito | Campos concluídos - Sem necessidade de espec."/>
  </r>
  <r>
    <s v="ENTITY"/>
    <s v="FLG_SLL_WTH_LSS"/>
    <x v="0"/>
    <s v="9. Concluído"/>
    <s v="OK"/>
    <s v="Concluido, controlos OK"/>
    <m/>
    <x v="0"/>
    <d v="2024-06-07T00:00:00"/>
    <x v="0"/>
    <s v="OK"/>
    <m/>
    <m/>
    <m/>
    <s v="Campo concluido"/>
    <s v="Y"/>
    <s v="N"/>
    <s v="N"/>
    <s v="N"/>
    <s v="N"/>
    <s v="N"/>
    <x v="0"/>
    <n v="0"/>
  </r>
  <r>
    <s v="ENTITY"/>
    <s v="FR_CSH_FLW"/>
    <x v="0"/>
    <s v="1. Especificar"/>
    <s v="OK"/>
    <s v="Em especificação (Campos Novos)"/>
    <m/>
    <x v="2"/>
    <d v="2024-06-07T00:00:00"/>
    <x v="3"/>
    <s v="OK"/>
    <m/>
    <m/>
    <m/>
    <s v="Novo campo"/>
    <s v="Y"/>
    <s v="N"/>
    <s v="N"/>
    <s v="N"/>
    <s v="N"/>
    <s v="Y"/>
    <x v="1"/>
    <s v="2.2 Re-especificação de campos complexos - Resto"/>
  </r>
  <r>
    <s v="ENTITY"/>
    <s v="FR_CSH_FLW_T1"/>
    <x v="0"/>
    <s v="1. Especificar"/>
    <s v="OK"/>
    <s v="Em especificação (Campos Novos)"/>
    <m/>
    <x v="2"/>
    <d v="2024-06-07T00:00:00"/>
    <x v="3"/>
    <s v="OK"/>
    <m/>
    <m/>
    <m/>
    <s v="Novo campo"/>
    <s v="Y"/>
    <s v="N"/>
    <s v="N"/>
    <s v="N"/>
    <s v="N"/>
    <s v="Y"/>
    <x v="1"/>
    <s v="2.2 Re-especificação de campos complexos - Resto"/>
  </r>
  <r>
    <s v="ENTITY"/>
    <s v="FR_CSH_FLW_T2"/>
    <x v="0"/>
    <s v="1. Especificar"/>
    <s v="OK"/>
    <s v="Em especificação (Campos Novos)"/>
    <m/>
    <x v="2"/>
    <d v="2024-06-07T00:00:00"/>
    <x v="3"/>
    <s v="OK"/>
    <m/>
    <m/>
    <m/>
    <s v="Novo campo"/>
    <s v="Y"/>
    <s v="N"/>
    <s v="N"/>
    <s v="N"/>
    <s v="N"/>
    <s v="Y"/>
    <x v="1"/>
    <s v="2.2 Re-especificação de campos complexos - Resto"/>
  </r>
  <r>
    <s v="ENTITY"/>
    <s v="FR_CSH_FLW_T3"/>
    <x v="0"/>
    <s v="1. Especificar"/>
    <s v="OK"/>
    <s v="Em especificação (Campos Novos)"/>
    <m/>
    <x v="2"/>
    <d v="2024-06-07T00:00:00"/>
    <x v="3"/>
    <s v="OK"/>
    <m/>
    <m/>
    <m/>
    <s v="Novo campo"/>
    <s v="Y"/>
    <s v="N"/>
    <s v="N"/>
    <s v="N"/>
    <s v="N"/>
    <s v="Y"/>
    <x v="1"/>
    <s v="2.2 Re-especificação de campos complexos - Resto"/>
  </r>
  <r>
    <s v="INSTRUMENT"/>
    <s v="FRBRNC_STTS_C19"/>
    <x v="1"/>
    <s v="9. Concluído"/>
    <s v="OK"/>
    <s v="Concluido, controlos OK"/>
    <m/>
    <x v="0"/>
    <d v="2024-06-07T00:00:00"/>
    <x v="0"/>
    <s v="OK"/>
    <m/>
    <m/>
    <m/>
    <s v="Campo concluido"/>
    <s v="Y"/>
    <s v="N"/>
    <s v="N"/>
    <s v="N"/>
    <s v="N"/>
    <s v="N"/>
    <x v="0"/>
    <n v="0"/>
  </r>
  <r>
    <s v="ENTITY"/>
    <s v="EXTRNL_RTNG"/>
    <x v="0"/>
    <s v="2. Alterar especificação"/>
    <s v="OK"/>
    <s v="Alterar especificação para casos em informação na fonte."/>
    <s v="Quando não existe informação na fonte em vez de MISS substituir por NA"/>
    <x v="1"/>
    <d v="2024-06-07T00:00:00"/>
    <x v="2"/>
    <s v="OK"/>
    <m/>
    <m/>
    <m/>
    <s v="Alteração de especificação por parte do BCE"/>
    <s v="Y"/>
    <s v="N"/>
    <s v="N"/>
    <s v="N"/>
    <s v="N"/>
    <s v="Y"/>
    <x v="1"/>
    <s v="2.2 Re-especificação de campos complexos - Resto"/>
  </r>
  <r>
    <s v="ENTITY"/>
    <s v="GCC_PRNT_ID"/>
    <x v="0"/>
    <s v="9. Concluído"/>
    <s v="OK"/>
    <s v="Concluido, controlos OK"/>
    <m/>
    <x v="0"/>
    <d v="2024-06-07T00:00:00"/>
    <x v="0"/>
    <s v="OK"/>
    <m/>
    <m/>
    <m/>
    <s v="Campo concluido"/>
    <s v="Y"/>
    <s v="N"/>
    <s v="N"/>
    <s v="N"/>
    <s v="N"/>
    <s v="Y"/>
    <x v="0"/>
    <s v="6.1. Fora âmbito | Campos concluídos - Sem necessidade de espec."/>
  </r>
  <r>
    <s v="ENTITY"/>
    <s v="GCC_PRNT_NM"/>
    <x v="0"/>
    <s v="9. Concluído"/>
    <s v="OK"/>
    <s v="Concluido, controlos OK"/>
    <m/>
    <x v="0"/>
    <d v="2024-06-07T00:00:00"/>
    <x v="0"/>
    <s v="OK"/>
    <m/>
    <m/>
    <m/>
    <s v="Campo concluido"/>
    <s v="Y"/>
    <s v="N"/>
    <s v="N"/>
    <s v="N"/>
    <s v="N"/>
    <s v="Y"/>
    <x v="0"/>
    <s v="6.1. Fora âmbito | Campos concluídos - Sem necessidade de espec."/>
  </r>
  <r>
    <s v="ENTITY"/>
    <s v="GDWILL"/>
    <x v="0"/>
    <s v="9. Concluído"/>
    <s v="OK"/>
    <s v="Concluido, controlos OK"/>
    <m/>
    <x v="0"/>
    <d v="2024-06-07T00:00:00"/>
    <x v="0"/>
    <s v="OK"/>
    <m/>
    <m/>
    <m/>
    <s v="Campo concluido"/>
    <s v="Y"/>
    <s v="N"/>
    <s v="N"/>
    <s v="N"/>
    <s v="N"/>
    <s v="N"/>
    <x v="0"/>
    <n v="0"/>
  </r>
  <r>
    <s v="ENTITY"/>
    <s v="GDWILL_PRVS"/>
    <x v="0"/>
    <s v="9. Concluído"/>
    <s v="OK"/>
    <s v="Concluido, controlos OK"/>
    <m/>
    <x v="0"/>
    <d v="2024-06-07T00:00:00"/>
    <x v="0"/>
    <s v="OK"/>
    <m/>
    <m/>
    <m/>
    <s v="Campo concluido"/>
    <s v="Y"/>
    <s v="N"/>
    <s v="N"/>
    <s v="N"/>
    <s v="N"/>
    <s v="N"/>
    <x v="0"/>
    <n v="0"/>
  </r>
  <r>
    <s v="INSTRUMENT"/>
    <s v="GRC_PRD_CPTL_INTRST_C19"/>
    <x v="1"/>
    <s v="9. Concluído"/>
    <s v="OK"/>
    <s v="Concluido, controlos OK"/>
    <m/>
    <x v="0"/>
    <d v="2024-06-07T00:00:00"/>
    <x v="0"/>
    <s v="OK"/>
    <m/>
    <m/>
    <m/>
    <s v="Campo concluido"/>
    <s v="Y"/>
    <s v="N"/>
    <s v="N"/>
    <s v="N"/>
    <s v="N"/>
    <s v="N"/>
    <x v="0"/>
    <n v="0"/>
  </r>
  <r>
    <s v="INSTRUMENT"/>
    <s v="GRNTR_ID"/>
    <x v="1"/>
    <s v="9. Concluído"/>
    <s v="OK"/>
    <s v="Concluido, controlos OK"/>
    <m/>
    <x v="0"/>
    <d v="2024-06-07T00:00:00"/>
    <x v="0"/>
    <s v="OK"/>
    <m/>
    <m/>
    <m/>
    <s v="Campo concluido"/>
    <s v="Y"/>
    <s v="N"/>
    <s v="N"/>
    <s v="N"/>
    <s v="N"/>
    <s v="N"/>
    <x v="0"/>
    <n v="0"/>
  </r>
  <r>
    <s v="INSTRUMENT"/>
    <s v="GRNTR_ID_TYP"/>
    <x v="1"/>
    <s v="9. Concluído"/>
    <s v="OK"/>
    <s v="Concluido, controlos OK"/>
    <m/>
    <x v="0"/>
    <d v="2024-06-07T00:00:00"/>
    <x v="0"/>
    <s v="OK"/>
    <m/>
    <m/>
    <m/>
    <s v="Campo concluido"/>
    <s v="Y"/>
    <s v="N"/>
    <s v="N"/>
    <s v="N"/>
    <s v="N"/>
    <s v="N"/>
    <x v="0"/>
    <n v="0"/>
  </r>
  <r>
    <s v="ENTITY"/>
    <s v="GRP_EBITDA"/>
    <x v="0"/>
    <s v="9. Concluído"/>
    <s v="OK"/>
    <s v="Concluido, controlos OK"/>
    <m/>
    <x v="0"/>
    <d v="2024-06-07T00:00:00"/>
    <x v="0"/>
    <s v="OK"/>
    <m/>
    <m/>
    <m/>
    <s v="Campo concluido"/>
    <s v="Y"/>
    <s v="N"/>
    <s v="N"/>
    <s v="N"/>
    <s v="N"/>
    <s v="Y"/>
    <x v="0"/>
    <s v="6.1. Fora âmbito | Campos concluídos - Sem necessidade de espec."/>
  </r>
  <r>
    <s v="ENTITY"/>
    <s v="GRP_EQTY"/>
    <x v="0"/>
    <s v="9. Concluído"/>
    <s v="OK"/>
    <s v="Concluido, controlos OK"/>
    <m/>
    <x v="0"/>
    <d v="2024-06-07T00:00:00"/>
    <x v="0"/>
    <s v="OK"/>
    <m/>
    <m/>
    <m/>
    <s v="Campo concluido"/>
    <s v="Y"/>
    <s v="N"/>
    <s v="Y"/>
    <s v="N"/>
    <s v="N"/>
    <s v="Y"/>
    <x v="0"/>
    <s v="6.1. Fora âmbito | Campos concluídos - Sem necessidade de espec."/>
  </r>
  <r>
    <s v="ENTITY"/>
    <s v="GRP_NT_DBT"/>
    <x v="0"/>
    <s v="9. Concluído"/>
    <s v="OK"/>
    <s v="Concluido, controlos OK"/>
    <m/>
    <x v="0"/>
    <d v="2024-06-07T00:00:00"/>
    <x v="0"/>
    <s v="OK"/>
    <m/>
    <m/>
    <m/>
    <s v="Campo concluido"/>
    <s v="Y"/>
    <s v="N"/>
    <s v="N"/>
    <s v="N"/>
    <s v="N"/>
    <s v="Y"/>
    <x v="0"/>
    <s v="6.1. Fora âmbito | Campos concluídos - Sem necessidade de espec."/>
  </r>
  <r>
    <s v="ENTITY"/>
    <s v="GRP_TTL_DBT"/>
    <x v="1"/>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N"/>
    <x v="0"/>
    <n v="0"/>
  </r>
  <r>
    <s v="INSTRUMENT"/>
    <s v="GRSS_CRRYNG_AMNT_INSTRMNT"/>
    <x v="0"/>
    <s v="9. Concluído"/>
    <s v="OK"/>
    <s v="Concluido, controlos OK"/>
    <m/>
    <x v="0"/>
    <d v="2024-06-07T00:00:00"/>
    <x v="0"/>
    <s v="OK"/>
    <m/>
    <m/>
    <m/>
    <s v="Campo concluido"/>
    <s v="Y"/>
    <s v="Y"/>
    <s v="Y"/>
    <s v="N"/>
    <s v="Y"/>
    <s v="Y"/>
    <x v="0"/>
    <s v="6.1. Fora âmbito | Campos concluídos - Sem necessidade de espec."/>
  </r>
  <r>
    <s v="INSTRUMENT"/>
    <s v="HEDGE_ID"/>
    <x v="1"/>
    <s v="9. Concluído"/>
    <s v="OK"/>
    <s v="Concluido, controlos OK"/>
    <m/>
    <x v="0"/>
    <d v="2024-06-07T00:00:00"/>
    <x v="0"/>
    <s v="OK"/>
    <m/>
    <m/>
    <m/>
    <s v="Campo concluido"/>
    <s v="Y"/>
    <s v="N"/>
    <s v="N"/>
    <s v="N"/>
    <s v="N"/>
    <s v="N"/>
    <x v="0"/>
    <n v="0"/>
  </r>
  <r>
    <s v="PROTECTION"/>
    <s v="HRCT_MV"/>
    <x v="0"/>
    <s v="9. Concluído"/>
    <s v="OK"/>
    <s v="Concluido, controlos OK"/>
    <m/>
    <x v="0"/>
    <d v="2024-06-07T00:00:00"/>
    <x v="0"/>
    <s v="OK"/>
    <m/>
    <m/>
    <m/>
    <s v="Campo concluido"/>
    <s v="Y"/>
    <s v="N"/>
    <s v="N"/>
    <s v="N"/>
    <s v="N"/>
    <s v="N"/>
    <x v="0"/>
    <n v="0"/>
  </r>
  <r>
    <s v="INSTRUMENT"/>
    <s v="IDCMB"/>
    <x v="1"/>
    <s v="5.1 Em testes - Re-especificação"/>
    <s v="NOK"/>
    <s v="Em testes pela equipa de CDO"/>
    <m/>
    <x v="1"/>
    <d v="2024-06-07T00:00:00"/>
    <x v="8"/>
    <s v="NOK"/>
    <m/>
    <d v="2024-02-06T00:00:00"/>
    <d v="2024-02-08T00:00:00"/>
    <s v="Novo campo"/>
    <s v="Y"/>
    <s v="Y"/>
    <s v="Y"/>
    <s v="N"/>
    <s v="Y"/>
    <s v="Y"/>
    <x v="1"/>
    <s v="3. Campos em testes ou c/ incidências"/>
  </r>
  <r>
    <s v="ENTITY"/>
    <s v="EBITDA_PRVS"/>
    <x v="0"/>
    <s v="2. Alterar especificação"/>
    <s v="OK"/>
    <s v="Alterar especificação (Luis Bastos enviou nova metodologia do campo)"/>
    <m/>
    <x v="2"/>
    <d v="2024-06-07T00:00:00"/>
    <x v="2"/>
    <s v="OK"/>
    <m/>
    <m/>
    <m/>
    <s v="Melhorias estruturais (garantir coerência entre campos)"/>
    <s v="Y"/>
    <s v="N"/>
    <s v="N"/>
    <s v="N"/>
    <s v="N"/>
    <s v="Y"/>
    <x v="2"/>
    <s v="6.4. Fora âmbito | Re-especificação de campos complexos - Dem. Fin. CIB"/>
  </r>
  <r>
    <s v="INSTRUMENT"/>
    <s v="IFRS9_CCF"/>
    <x v="0"/>
    <s v="9. Concluído"/>
    <s v="OK"/>
    <s v="Concluido, controlos OK"/>
    <m/>
    <x v="0"/>
    <d v="2024-06-07T00:00:00"/>
    <x v="0"/>
    <s v="OK"/>
    <s v="Campo Imparidade"/>
    <m/>
    <m/>
    <s v="Campo concluido"/>
    <s v="Y"/>
    <s v="N"/>
    <s v="N"/>
    <s v="N"/>
    <s v="N"/>
    <s v="N"/>
    <x v="0"/>
    <n v="0"/>
  </r>
  <r>
    <s v="INSTRUMENT"/>
    <s v="IFRS9_EAD"/>
    <x v="0"/>
    <s v="7. Analisar controlos e completude"/>
    <s v="NOK"/>
    <s v="Controlos NOK"/>
    <m/>
    <x v="2"/>
    <d v="2024-06-07T00:00:00"/>
    <x v="5"/>
    <s v="NOK"/>
    <s v="Campo Imparidade"/>
    <m/>
    <m/>
    <s v="Analisar controlos NOK"/>
    <s v="Y"/>
    <s v="N"/>
    <s v="N"/>
    <s v="N"/>
    <s v="N"/>
    <s v="N"/>
    <x v="0"/>
    <n v="0"/>
  </r>
  <r>
    <s v="INSTRUMENT"/>
    <s v="IFRS9_LGD"/>
    <x v="0"/>
    <s v="9. Concluído"/>
    <s v="OK"/>
    <s v="Concluido, controlos OK"/>
    <m/>
    <x v="0"/>
    <d v="2024-06-07T00:00:00"/>
    <x v="0"/>
    <s v="OK"/>
    <s v="Campo Imparidade"/>
    <m/>
    <m/>
    <s v="Campo concluido"/>
    <s v="Y"/>
    <s v="N"/>
    <s v="N"/>
    <s v="N"/>
    <s v="N"/>
    <s v="N"/>
    <x v="0"/>
    <n v="0"/>
  </r>
  <r>
    <s v="INSTRUMENT"/>
    <s v="IMPRMNT_ASSSSMNT_MTHD"/>
    <x v="0"/>
    <s v="9. Concluído"/>
    <s v="OK"/>
    <s v="Concluido, controlos OK"/>
    <m/>
    <x v="0"/>
    <d v="2024-06-07T00:00:00"/>
    <x v="0"/>
    <s v="OK"/>
    <m/>
    <m/>
    <m/>
    <s v="Campo concluido"/>
    <s v="Y"/>
    <s v="N"/>
    <s v="N"/>
    <s v="N"/>
    <s v="N"/>
    <s v="Y"/>
    <x v="0"/>
    <s v="6.1. Fora âmbito | Campos concluídos - Sem necessidade de espec."/>
  </r>
  <r>
    <s v="INSTRUMENT"/>
    <s v="IMPRMNT_CLCLTN_MTHD"/>
    <x v="0"/>
    <s v="7. Analisar controlos e completude"/>
    <s v="NOK"/>
    <s v="Controlos NOK"/>
    <m/>
    <x v="2"/>
    <d v="2024-06-07T00:00:00"/>
    <x v="5"/>
    <s v="NOK"/>
    <m/>
    <m/>
    <m/>
    <s v="Analisar controlos NOK"/>
    <s v="Y"/>
    <s v="N"/>
    <s v="N"/>
    <s v="N"/>
    <s v="N"/>
    <s v="N"/>
    <x v="0"/>
    <n v="0"/>
  </r>
  <r>
    <s v="INSTRUMENT"/>
    <s v="IMPRMNT_STTS"/>
    <x v="0"/>
    <s v="3. Pendente de decisão"/>
    <s v="NOK"/>
    <s v="Rever com a Corporação se a nova code list foi apenas para a OSI (relativamente ao tema dos POCI)."/>
    <m/>
    <x v="1"/>
    <d v="2025-01-13T00:00:00"/>
    <x v="8"/>
    <s v="NOK"/>
    <s v="Alteração da fonte das tabela de Imparidade Reporting para as 8_7 e alteração da data a partir da qual a fonte passa a ser as tabelas de Contabilidade"/>
    <d v="2024-09-27T00:00:00"/>
    <m/>
    <s v="Pendente de decisão"/>
    <s v="Y"/>
    <s v="Y"/>
    <s v="Y"/>
    <s v="N"/>
    <s v="N"/>
    <s v="Y"/>
    <x v="0"/>
    <s v="6.2.  Fora âmbito | Campos em testes ou c/ incidências (LT - PM)"/>
  </r>
  <r>
    <s v="INSTRUMENT"/>
    <s v="IMPRMNT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ENTITY"/>
    <s v="INCM_SC"/>
    <x v="1"/>
    <s v="1. Especificar"/>
    <s v="OK"/>
    <s v="Em especificação (Salários)"/>
    <m/>
    <x v="2"/>
    <d v="2024-06-07T00:00:00"/>
    <x v="3"/>
    <s v="OK"/>
    <m/>
    <m/>
    <m/>
    <s v="Melhorias estruturais (garantir coerência entre campos)"/>
    <s v="Y"/>
    <s v="N"/>
    <s v="N"/>
    <s v="N"/>
    <s v="N"/>
    <s v="N"/>
    <x v="0"/>
    <n v="0"/>
  </r>
  <r>
    <s v="ENTITY"/>
    <s v="EBITDA"/>
    <x v="0"/>
    <s v="2. Alterar especificação"/>
    <s v="OK"/>
    <s v="Alterar especificação (Luis Bastos enviou nova metodologia do campo)"/>
    <m/>
    <x v="2"/>
    <d v="2024-06-07T00:00:00"/>
    <x v="2"/>
    <s v="OK"/>
    <m/>
    <m/>
    <m/>
    <s v="Melhorias estruturais (garantir coerência entre campos)"/>
    <s v="Y"/>
    <s v="N"/>
    <s v="N"/>
    <s v="N"/>
    <s v="N"/>
    <s v="Y"/>
    <x v="2"/>
    <s v="6.4. Fora âmbito | Re-especificação de campos complexos - Dem. Fin. CIB"/>
  </r>
  <r>
    <s v="INSTRUMENT"/>
    <s v="INSTR_SNRTY_CLSS"/>
    <x v="1"/>
    <s v="9. Concluído"/>
    <s v="OK"/>
    <s v="Concluido, controlos OK"/>
    <m/>
    <x v="0"/>
    <d v="2024-06-07T00:00:00"/>
    <x v="0"/>
    <s v="OK"/>
    <m/>
    <m/>
    <m/>
    <s v="Campo concluido"/>
    <s v="Y"/>
    <s v="N"/>
    <s v="N"/>
    <s v="N"/>
    <s v="N"/>
    <s v="Y"/>
    <x v="0"/>
    <s v="6.1. Fora âmbito | Campos concluídos - Sem necessidade de espec."/>
  </r>
  <r>
    <s v="INSTRUMENT"/>
    <s v="INSTRMNT_CLSS"/>
    <x v="1"/>
    <s v="9. Concluído"/>
    <s v="OK"/>
    <s v="Concluido, controlos OK"/>
    <m/>
    <x v="0"/>
    <d v="2024-06-07T00:00:00"/>
    <x v="0"/>
    <s v="OK"/>
    <m/>
    <m/>
    <m/>
    <s v="Campo concluido"/>
    <s v="Y"/>
    <s v="N"/>
    <s v="N"/>
    <s v="N"/>
    <s v="N"/>
    <s v="N"/>
    <x v="0"/>
    <n v="0"/>
  </r>
  <r>
    <s v="INSTR_ENTITY"/>
    <s v="INSTRMNT_ID"/>
    <x v="0"/>
    <s v="9. Concluído"/>
    <s v="OK"/>
    <s v="Concluido, controlos OK"/>
    <m/>
    <x v="0"/>
    <d v="2024-06-07T00:00:00"/>
    <x v="0"/>
    <s v="OK"/>
    <m/>
    <m/>
    <m/>
    <s v="Campo concluido"/>
    <s v="Y"/>
    <s v="N"/>
    <s v="Y"/>
    <s v="N"/>
    <s v="N"/>
    <s v="Y"/>
    <x v="0"/>
    <s v="6.1. Fora âmbito | Campos concluídos - Sem necessidade de espec."/>
  </r>
  <r>
    <s v="INSTR_PROTECTION"/>
    <s v="INSTRMNT_ID"/>
    <x v="0"/>
    <s v="9. Concluído"/>
    <s v="OK"/>
    <s v="Concluido, controlos OK"/>
    <m/>
    <x v="0"/>
    <d v="2024-06-07T00:00:00"/>
    <x v="0"/>
    <s v="OK"/>
    <m/>
    <m/>
    <m/>
    <s v="Campo concluido"/>
    <s v="Y"/>
    <s v="Y"/>
    <s v="Y"/>
    <s v="N"/>
    <s v="N"/>
    <s v="N"/>
    <x v="0"/>
    <n v="0"/>
  </r>
  <r>
    <s v="INSTRUMENT"/>
    <s v="INSTRMNT_ID"/>
    <x v="0"/>
    <s v="9. Concluído"/>
    <s v="OK"/>
    <s v="Concluido, controlos OK"/>
    <m/>
    <x v="0"/>
    <d v="2024-06-07T00:00:00"/>
    <x v="0"/>
    <s v="OK"/>
    <m/>
    <m/>
    <m/>
    <s v="Campo concluido"/>
    <s v="Y"/>
    <s v="Y"/>
    <s v="Y"/>
    <s v="N"/>
    <s v="Y"/>
    <s v="Y"/>
    <x v="0"/>
    <s v="6.1. Fora âmbito | Campos concluídos - Sem necessidade de espec."/>
  </r>
  <r>
    <s v="ENTITY"/>
    <s v="INTRNL_RTNG"/>
    <x v="0"/>
    <s v="5.1 Em testes - Re-especificação"/>
    <s v="NOK"/>
    <s v="Em testes"/>
    <m/>
    <x v="1"/>
    <d v="2024-06-07T00:00:00"/>
    <x v="8"/>
    <s v="NOK"/>
    <s v="Campo entregue durante a OSI"/>
    <d v="2024-02-16T00:00:00"/>
    <d v="2024-05-24T00:00:00"/>
    <s v="Necessidade de correção de erros"/>
    <s v="Y"/>
    <s v="N"/>
    <s v="N"/>
    <s v="N"/>
    <s v="N"/>
    <s v="Y"/>
    <x v="1"/>
    <s v="3. Campos em testes ou c/ incidências"/>
  </r>
  <r>
    <s v="INSTRUMENT"/>
    <s v="INTRNL_RTNG"/>
    <x v="0"/>
    <s v="5.1 Em testes - Re-especificação"/>
    <s v="NOK"/>
    <s v="Em testes"/>
    <m/>
    <x v="1"/>
    <d v="2024-06-07T00:00:00"/>
    <x v="8"/>
    <s v="NOK"/>
    <s v="Campo entregue durante a OSI"/>
    <d v="2024-02-16T00:00:00"/>
    <d v="2024-05-24T00:00:00"/>
    <s v="Necessidade de correção de erros"/>
    <s v="Y"/>
    <s v="N"/>
    <s v="N"/>
    <s v="N"/>
    <s v="N"/>
    <s v="Y"/>
    <x v="1"/>
    <s v="3. Campos em testes ou c/ incidências"/>
  </r>
  <r>
    <s v="INSTRUMENT"/>
    <s v="INTRNL_RTNG_INCPTN"/>
    <x v="0"/>
    <s v="5.2 Em testes - Incidência"/>
    <s v="NOK"/>
    <s v="Alterar especificação, campo com incidência. Controlos NOK"/>
    <s v="Na LT apenas foi especifido os restantes internal ratings, estando em falta o internal rating à data de inception."/>
    <x v="2"/>
    <d v="2024-06-07T00:00:00"/>
    <x v="1"/>
    <s v="NOK"/>
    <m/>
    <m/>
    <m/>
    <s v="Melhorias estruturais (garantir coerência entre campos)"/>
    <s v="Y"/>
    <s v="N"/>
    <s v="N"/>
    <s v="N"/>
    <s v="N"/>
    <s v="Y"/>
    <x v="1"/>
    <s v="3. Campos em testes ou c/ incidências"/>
  </r>
  <r>
    <s v="ENTITY"/>
    <s v="INTRNL_RTNG_PRVS"/>
    <x v="0"/>
    <s v="5.1 Em testes - Re-especificação"/>
    <s v="OK"/>
    <s v="Em testes, campo entregue por IT durante a OSI. Testar e validar controlos"/>
    <m/>
    <x v="1"/>
    <d v="2024-06-07T00:00:00"/>
    <x v="8"/>
    <s v="OK"/>
    <s v="Campo entregue durante a OSI"/>
    <d v="2024-02-16T00:00:00"/>
    <d v="2024-05-24T00:00:00"/>
    <s v="Necessidade de correção de erros"/>
    <s v="Y"/>
    <s v="N"/>
    <s v="N"/>
    <s v="N"/>
    <s v="N"/>
    <s v="Y"/>
    <x v="1"/>
    <s v="3. Campos em testes ou c/ incidências"/>
  </r>
  <r>
    <s v="ENTITY"/>
    <s v="INTRNL_SGMNT"/>
    <x v="0"/>
    <s v="9. Concluído"/>
    <s v="OK"/>
    <s v="Concluido, controlos OK"/>
    <m/>
    <x v="0"/>
    <d v="2024-06-07T00:00:00"/>
    <x v="0"/>
    <s v="OK"/>
    <m/>
    <m/>
    <m/>
    <s v="Campo concluido"/>
    <s v="Y"/>
    <s v="N"/>
    <s v="N"/>
    <s v="N"/>
    <s v="N"/>
    <s v="Y"/>
    <x v="0"/>
    <s v="6.1. Fora âmbito | Campos concluídos - Sem necessidade de espec."/>
  </r>
  <r>
    <s v="INSTRUMENT"/>
    <s v="INTRNL_SGMNT"/>
    <x v="0"/>
    <s v="9. Concluído"/>
    <s v="OK"/>
    <s v="Concluido, controlos OK"/>
    <m/>
    <x v="0"/>
    <d v="2024-06-07T00:00:00"/>
    <x v="0"/>
    <s v="OK"/>
    <m/>
    <m/>
    <m/>
    <s v="Campo concluido"/>
    <s v="Y"/>
    <s v="N"/>
    <s v="N"/>
    <s v="N"/>
    <s v="Y"/>
    <s v="Y"/>
    <x v="0"/>
    <s v="6.1. Fora âmbito | Campos concluídos - Sem necessidade de espec."/>
  </r>
  <r>
    <s v="INSTRUMENT"/>
    <s v="INTRNL_SGMNT_CAT_MSTA"/>
    <x v="1"/>
    <s v="9. Concluído"/>
    <s v="OK"/>
    <s v="Concluido, controlos OK"/>
    <m/>
    <x v="0"/>
    <d v="2024-06-07T00:00:00"/>
    <x v="0"/>
    <s v="OK"/>
    <m/>
    <m/>
    <m/>
    <s v="Campo concluido"/>
    <s v="Y"/>
    <s v="N"/>
    <s v="N"/>
    <s v="N"/>
    <s v="Y"/>
    <s v="N"/>
    <x v="0"/>
    <n v="0"/>
  </r>
  <r>
    <s v="INSTRUMENT"/>
    <s v="INTRNL_SGMNT_CATGSUB"/>
    <x v="1"/>
    <s v="9. Concluído"/>
    <s v="OK"/>
    <s v="Concluido, controlos OK"/>
    <m/>
    <x v="0"/>
    <d v="2024-06-07T00:00:00"/>
    <x v="0"/>
    <s v="OK"/>
    <m/>
    <m/>
    <m/>
    <s v="Campo concluido"/>
    <s v="Y"/>
    <s v="N"/>
    <s v="N"/>
    <s v="N"/>
    <s v="Y"/>
    <s v="N"/>
    <x v="0"/>
    <n v="0"/>
  </r>
  <r>
    <s v="INSTRUMENT"/>
    <s v="INTRNL_SGMNT_IFRS9"/>
    <x v="1"/>
    <s v="9. Concluído"/>
    <s v="OK"/>
    <s v="Concluido, controlos OK"/>
    <m/>
    <x v="0"/>
    <d v="2024-06-07T00:00:00"/>
    <x v="0"/>
    <s v="OK"/>
    <s v="Campo Imparidade"/>
    <m/>
    <m/>
    <s v="Campo concluido"/>
    <s v="Y"/>
    <s v="N"/>
    <s v="N"/>
    <s v="N"/>
    <s v="N"/>
    <s v="N"/>
    <x v="0"/>
    <n v="0"/>
  </r>
  <r>
    <s v="ENTITY"/>
    <s v="INTRNL_UNT"/>
    <x v="0"/>
    <s v="9. Concluído"/>
    <s v="OK"/>
    <s v="Concluido, controlos OK"/>
    <m/>
    <x v="0"/>
    <d v="2024-06-07T00:00:00"/>
    <x v="0"/>
    <s v="OK"/>
    <m/>
    <m/>
    <m/>
    <s v="Campo concluido"/>
    <s v="Y"/>
    <s v="N"/>
    <s v="N"/>
    <s v="N"/>
    <s v="N"/>
    <s v="Y"/>
    <x v="0"/>
    <s v="6.1. Fora âmbito | Campos concluídos - Sem necessidade de espec."/>
  </r>
  <r>
    <s v="INSTRUMENT"/>
    <s v="INTRNL_UNT"/>
    <x v="0"/>
    <s v="9. Concluído"/>
    <s v="OK"/>
    <s v="Concluido, controlos OK"/>
    <m/>
    <x v="0"/>
    <d v="2024-06-07T00:00:00"/>
    <x v="0"/>
    <s v="OK"/>
    <m/>
    <m/>
    <m/>
    <s v="Campo concluido"/>
    <s v="Y"/>
    <s v="N"/>
    <s v="N"/>
    <s v="N"/>
    <s v="N"/>
    <s v="Y"/>
    <x v="0"/>
    <s v="6.1. Fora âmbito | Campos concluídos - Sem necessidade de espec."/>
  </r>
  <r>
    <s v="INSTRUMENT"/>
    <s v="INTRST_RT_RST_FRQNCY"/>
    <x v="0"/>
    <s v="9. Concluído"/>
    <s v="OK"/>
    <s v="Concluido, controlos OK"/>
    <m/>
    <x v="0"/>
    <d v="2024-06-07T00:00:00"/>
    <x v="0"/>
    <s v="OK"/>
    <m/>
    <m/>
    <m/>
    <s v="Campo concluido"/>
    <s v="Y"/>
    <s v="N"/>
    <s v="N"/>
    <s v="N"/>
    <s v="N"/>
    <s v="N"/>
    <x v="0"/>
    <n v="0"/>
  </r>
  <r>
    <s v="INSTRUMENT"/>
    <s v="ISIN"/>
    <x v="1"/>
    <s v="9. Concluído"/>
    <s v="OK"/>
    <s v="Concluido, controlos OK"/>
    <m/>
    <x v="0"/>
    <d v="2024-06-07T00:00:00"/>
    <x v="0"/>
    <s v="OK"/>
    <m/>
    <m/>
    <m/>
    <s v="Campo concluido"/>
    <s v="Y"/>
    <s v="N"/>
    <s v="N"/>
    <s v="N"/>
    <s v="N"/>
    <s v="N"/>
    <x v="0"/>
    <n v="0"/>
  </r>
  <r>
    <s v="INSTRUMENT"/>
    <s v="ISIN_SCRTSTN"/>
    <x v="1"/>
    <s v="9. Concluído"/>
    <s v="OK"/>
    <s v="Concluido, controlos OK"/>
    <m/>
    <x v="0"/>
    <d v="2024-06-07T00:00:00"/>
    <x v="0"/>
    <s v="OK"/>
    <m/>
    <m/>
    <m/>
    <s v="Campo concluido"/>
    <s v="Y"/>
    <s v="N"/>
    <s v="N"/>
    <s v="N"/>
    <s v="N"/>
    <s v="N"/>
    <x v="0"/>
    <n v="0"/>
  </r>
  <r>
    <s v="INSTRUMENT"/>
    <s v="ISSR_CNTRY"/>
    <x v="1"/>
    <s v="9. Concluído"/>
    <s v="OK"/>
    <s v="Concluido, controlos OK"/>
    <m/>
    <x v="0"/>
    <d v="2024-06-07T00:00:00"/>
    <x v="0"/>
    <s v="OK"/>
    <m/>
    <m/>
    <m/>
    <s v="Campo concluido"/>
    <s v="Y"/>
    <s v="N"/>
    <s v="Y"/>
    <s v="N"/>
    <s v="N"/>
    <s v="N"/>
    <x v="0"/>
    <n v="0"/>
  </r>
  <r>
    <s v="INSTRUMENT"/>
    <s v="ISSR_ESA_2010"/>
    <x v="1"/>
    <s v="7. Analisar controlos e completude"/>
    <s v="NOK"/>
    <s v="Controlos NOK"/>
    <m/>
    <x v="2"/>
    <d v="2024-06-07T00:00:00"/>
    <x v="5"/>
    <s v="NOK"/>
    <m/>
    <m/>
    <m/>
    <s v="Analisar controlos NOK"/>
    <s v="Y"/>
    <s v="N"/>
    <s v="N"/>
    <s v="N"/>
    <s v="N"/>
    <s v="N"/>
    <x v="0"/>
    <n v="0"/>
  </r>
  <r>
    <s v="INSTRUMENT"/>
    <s v="ISSR_ID"/>
    <x v="1"/>
    <s v="9. Concluído"/>
    <s v="OK"/>
    <s v="Concluido, controlos OK"/>
    <m/>
    <x v="0"/>
    <d v="2024-06-07T00:00:00"/>
    <x v="0"/>
    <s v="OK"/>
    <m/>
    <m/>
    <m/>
    <s v="Campo concluido"/>
    <s v="Y"/>
    <s v="N"/>
    <s v="N"/>
    <s v="N"/>
    <s v="N"/>
    <s v="N"/>
    <x v="0"/>
    <n v="0"/>
  </r>
  <r>
    <s v="INSTRUMENT"/>
    <s v="ISSR_ID_TYP"/>
    <x v="1"/>
    <s v="9. Concluído"/>
    <s v="OK"/>
    <s v="Concluido, controlos OK"/>
    <m/>
    <x v="0"/>
    <d v="2024-06-07T00:00:00"/>
    <x v="0"/>
    <s v="OK"/>
    <m/>
    <m/>
    <m/>
    <s v="Campo concluido"/>
    <s v="Y"/>
    <s v="N"/>
    <s v="N"/>
    <s v="N"/>
    <s v="N"/>
    <s v="N"/>
    <x v="0"/>
    <n v="0"/>
  </r>
  <r>
    <s v="INSTRUMENT"/>
    <s v="ISSR_NACE_SCTR"/>
    <x v="1"/>
    <s v="9. Concluído"/>
    <s v="OK"/>
    <s v="Concluido, controlos OK"/>
    <m/>
    <x v="0"/>
    <d v="2024-06-07T00:00:00"/>
    <x v="0"/>
    <s v="OK"/>
    <m/>
    <m/>
    <m/>
    <s v="Campo concluido"/>
    <s v="Y"/>
    <s v="N"/>
    <s v="Y"/>
    <s v="N"/>
    <s v="N"/>
    <s v="N"/>
    <x v="0"/>
    <n v="0"/>
  </r>
  <r>
    <s v="INSTRUMENT"/>
    <s v="ISSR_RTNG"/>
    <x v="1"/>
    <s v="8. Concluído - sem dados"/>
    <s v="OK"/>
    <s v="Campo especificado, mas sem dados. Campo marcado com MISS ou NA"/>
    <m/>
    <x v="0"/>
    <d v="2024-06-07T00:00:00"/>
    <x v="6"/>
    <s v="OK"/>
    <m/>
    <m/>
    <m/>
    <s v="Campo concluído, mas sem ou pouca informação na fonte"/>
    <s v="Y"/>
    <s v="N"/>
    <s v="N"/>
    <s v="N"/>
    <s v="N"/>
    <s v="N"/>
    <x v="0"/>
    <n v="0"/>
  </r>
  <r>
    <s v="INSTRUMENT"/>
    <s v="ISSR_RTNG_SRC"/>
    <x v="1"/>
    <s v="8. Concluído - sem dados"/>
    <s v="OK"/>
    <s v="Campo especificado, mas sem dados. Campo marcado com MISS ou NA"/>
    <m/>
    <x v="0"/>
    <d v="2024-06-07T00:00:00"/>
    <x v="6"/>
    <s v="OK"/>
    <m/>
    <m/>
    <m/>
    <s v="Campo concluído, mas sem ou pouca informação na fonte"/>
    <s v="Y"/>
    <s v="N"/>
    <s v="N"/>
    <s v="N"/>
    <s v="N"/>
    <s v="N"/>
    <x v="0"/>
    <n v="0"/>
  </r>
  <r>
    <s v="INSTRUMENT"/>
    <s v="ISSR_TYP"/>
    <x v="1"/>
    <s v="9. Concluído"/>
    <s v="OK"/>
    <s v="Concluido, controlos OK"/>
    <m/>
    <x v="0"/>
    <d v="2024-06-07T00:00:00"/>
    <x v="0"/>
    <s v="OK"/>
    <m/>
    <m/>
    <m/>
    <s v="Campo concluido"/>
    <s v="Y"/>
    <s v="N"/>
    <s v="N"/>
    <s v="N"/>
    <s v="N"/>
    <s v="N"/>
    <x v="0"/>
    <n v="0"/>
  </r>
  <r>
    <s v="INSTR_ENTITY"/>
    <s v="JNT_LBLTY_AMNT"/>
    <x v="0"/>
    <s v="9. Concluído"/>
    <s v="OK"/>
    <s v="Concluido, controlos OK"/>
    <m/>
    <x v="0"/>
    <d v="2024-06-07T00:00:00"/>
    <x v="0"/>
    <s v="OK"/>
    <m/>
    <m/>
    <m/>
    <s v="Campo concluido"/>
    <s v="Y"/>
    <s v="N"/>
    <s v="N"/>
    <s v="N"/>
    <s v="N"/>
    <s v="Y"/>
    <x v="0"/>
    <s v="6.1. Fora âmbito | Campos concluídos - Sem necessidade de espec."/>
  </r>
  <r>
    <s v="INSTRUMENT"/>
    <s v="LCL_INSTMRNT_ID"/>
    <x v="1"/>
    <s v="7. Analisar controlos e completude"/>
    <s v="NOK"/>
    <s v="Controlos NOK"/>
    <m/>
    <x v="2"/>
    <d v="2024-06-07T00:00:00"/>
    <x v="5"/>
    <s v="NOK"/>
    <m/>
    <m/>
    <m/>
    <s v="Analisar controlos NOK"/>
    <s v="Y"/>
    <s v="Y"/>
    <s v="Y"/>
    <s v="N"/>
    <s v="N"/>
    <s v="N"/>
    <x v="0"/>
    <n v="0"/>
  </r>
  <r>
    <s v="INSTRUMENT"/>
    <s v="LCR_BFFR_CTGRY"/>
    <x v="1"/>
    <s v="9. Concluído"/>
    <s v="OK"/>
    <s v="Concluido, controlos OK"/>
    <m/>
    <x v="0"/>
    <d v="2024-06-07T00:00:00"/>
    <x v="0"/>
    <s v="OK"/>
    <m/>
    <m/>
    <m/>
    <s v="Campo concluido"/>
    <s v="Y"/>
    <s v="N"/>
    <s v="N"/>
    <s v="N"/>
    <s v="N"/>
    <s v="N"/>
    <x v="0"/>
    <n v="0"/>
  </r>
  <r>
    <s v="INSTRUMENT"/>
    <s v="LCRE"/>
    <x v="0"/>
    <s v="3. Pendente de decisão"/>
    <s v="OK"/>
    <s v="Verificar necessidade de alteração da fonte para fins de reconciliação. Rever Fonte"/>
    <s v="Ficheiro enviado pela área. Rever se é necessário alterar a especificação de modo a estar de acordo com imparidade. Foi decisão que a informação a reportar deveria reconciliar com a informação de imparidade e por essa mesma razão não se utilizou os dados da LT"/>
    <x v="1"/>
    <d v="2024-06-07T00:00:00"/>
    <x v="4"/>
    <s v="OK"/>
    <m/>
    <m/>
    <m/>
    <s v="Pendente de decisão"/>
    <s v="Y"/>
    <s v="N"/>
    <s v="N"/>
    <s v="N"/>
    <s v="N"/>
    <s v="N"/>
    <x v="0"/>
    <n v="0"/>
  </r>
  <r>
    <s v="ENTITY"/>
    <s v="LEI"/>
    <x v="0"/>
    <s v="9. Concluído"/>
    <s v="OK"/>
    <s v="Concluido, controlos OK"/>
    <m/>
    <x v="0"/>
    <d v="2024-06-07T00:00:00"/>
    <x v="0"/>
    <s v="OK"/>
    <m/>
    <m/>
    <m/>
    <s v="Campo concluido"/>
    <s v="Y"/>
    <s v="N"/>
    <s v="Y"/>
    <s v="N"/>
    <s v="N"/>
    <s v="Y"/>
    <x v="0"/>
    <s v="6.1. Fora âmbito | Campos concluídos - Sem necessidade de espec."/>
  </r>
  <r>
    <s v="INSTRUMENT"/>
    <s v="LGD"/>
    <x v="0"/>
    <s v="9. Concluído"/>
    <s v="OK"/>
    <s v="Concluido, controlos OK"/>
    <m/>
    <x v="0"/>
    <d v="2024-06-07T00:00:00"/>
    <x v="0"/>
    <s v="OK"/>
    <m/>
    <m/>
    <m/>
    <s v="Campo concluido"/>
    <s v="Y"/>
    <s v="N"/>
    <s v="N"/>
    <s v="N"/>
    <s v="N"/>
    <s v="Y"/>
    <x v="0"/>
    <s v="6.1. Fora âmbito | Campos concluídos - Sem necessidade de espec."/>
  </r>
  <r>
    <s v="INSTRUMENT"/>
    <s v="LGL_PRCDNG_STTS"/>
    <x v="0"/>
    <s v="9. Concluído"/>
    <s v="OK"/>
    <s v="Concluido, controlos OK"/>
    <m/>
    <x v="0"/>
    <d v="2024-06-07T00:00:00"/>
    <x v="0"/>
    <s v="OK"/>
    <m/>
    <m/>
    <m/>
    <s v="Campo concluido"/>
    <s v="Y"/>
    <s v="N"/>
    <s v="N"/>
    <s v="N"/>
    <s v="N"/>
    <s v="N"/>
    <x v="0"/>
    <n v="0"/>
  </r>
  <r>
    <s v="ENTITY"/>
    <s v="LGL_PRCDNG_STTS_LE"/>
    <x v="0"/>
    <s v="7. Analisar controlos e completude"/>
    <s v="NOK"/>
    <s v="Controlos NOK"/>
    <m/>
    <x v="2"/>
    <d v="2024-06-07T00:00:00"/>
    <x v="5"/>
    <s v="NOK"/>
    <m/>
    <m/>
    <m/>
    <s v="Analisar controlos NOK"/>
    <s v="Y"/>
    <s v="N"/>
    <s v="N"/>
    <s v="N"/>
    <s v="N"/>
    <s v="Y"/>
    <x v="1"/>
    <s v="4. Campos com NOK controlos Corporativos"/>
  </r>
  <r>
    <s v="INSTRUMENT"/>
    <s v="LND_DRGTN"/>
    <x v="1"/>
    <s v="9. Concluído"/>
    <s v="OK"/>
    <s v="Concluido, controlos OK"/>
    <m/>
    <x v="0"/>
    <d v="2024-06-07T00:00:00"/>
    <x v="0"/>
    <s v="OK"/>
    <m/>
    <m/>
    <m/>
    <s v="Campo concluido"/>
    <s v="Y"/>
    <s v="N"/>
    <s v="N"/>
    <s v="N"/>
    <s v="N"/>
    <s v="N"/>
    <x v="0"/>
    <n v="0"/>
  </r>
  <r>
    <s v="INSTRUMENT"/>
    <s v="LSTI"/>
    <x v="1"/>
    <s v="1. Especificar"/>
    <s v="OK"/>
    <s v="Em especificação (Campos Novos)"/>
    <m/>
    <x v="2"/>
    <d v="2024-06-07T00:00:00"/>
    <x v="3"/>
    <s v="OK"/>
    <m/>
    <m/>
    <m/>
    <s v="Novo campo"/>
    <s v="Y"/>
    <s v="N"/>
    <s v="N"/>
    <s v="N"/>
    <s v="N"/>
    <s v="N"/>
    <x v="0"/>
    <n v="0"/>
  </r>
  <r>
    <s v="ENTITY"/>
    <s v="LTI"/>
    <x v="1"/>
    <s v="1. Especificar"/>
    <s v="NOK"/>
    <s v="Em especificação (Salários)"/>
    <m/>
    <x v="2"/>
    <d v="2024-06-07T00:00:00"/>
    <x v="3"/>
    <s v="NOK"/>
    <m/>
    <m/>
    <m/>
    <s v="Melhorias estruturais (garantir coerência entre campos)"/>
    <s v="Y"/>
    <s v="N"/>
    <s v="N"/>
    <s v="N"/>
    <s v="N"/>
    <s v="N"/>
    <x v="0"/>
    <n v="0"/>
  </r>
  <r>
    <s v="INSTRUMENT"/>
    <s v="LTI_INSTRMNT"/>
    <x v="1"/>
    <s v="1. Especificar"/>
    <s v="OK"/>
    <s v="Em especificação (Campos Novos)"/>
    <m/>
    <x v="2"/>
    <d v="2024-06-07T00:00:00"/>
    <x v="3"/>
    <s v="OK"/>
    <m/>
    <m/>
    <m/>
    <s v="Novo campo"/>
    <s v="Y"/>
    <s v="N"/>
    <s v="N"/>
    <s v="N"/>
    <s v="N"/>
    <s v="N"/>
    <x v="0"/>
    <n v="0"/>
  </r>
  <r>
    <s v="INSTRUMENT"/>
    <s v="LTV"/>
    <x v="0"/>
    <s v="7. Analisar controlos e completude"/>
    <s v="NOK"/>
    <s v="Controlos NOK"/>
    <m/>
    <x v="2"/>
    <d v="2024-06-07T00:00:00"/>
    <x v="5"/>
    <s v="NOK"/>
    <m/>
    <m/>
    <m/>
    <s v="Analisar controlos NOK"/>
    <s v="Y"/>
    <s v="N"/>
    <s v="Y"/>
    <s v="N"/>
    <s v="N"/>
    <s v="N"/>
    <x v="0"/>
    <n v="0"/>
  </r>
  <r>
    <s v="INSTRUMENT"/>
    <s v="LTV_INCPTN"/>
    <x v="0"/>
    <s v="9. Concluído"/>
    <s v="OK"/>
    <s v="Concluido, controlos OK"/>
    <m/>
    <x v="0"/>
    <d v="2024-06-07T00:00:00"/>
    <x v="0"/>
    <s v="OK"/>
    <m/>
    <m/>
    <m/>
    <s v="Campo concluido"/>
    <s v="Y"/>
    <s v="N"/>
    <s v="Y"/>
    <s v="N"/>
    <s v="N"/>
    <s v="N"/>
    <x v="0"/>
    <n v="0"/>
  </r>
  <r>
    <s v="INSTRUMENT"/>
    <s v="LTV_NPE"/>
    <x v="0"/>
    <s v="5.1 Em testes - Re-especificação"/>
    <s v="OK"/>
    <s v="Em testes. Campo depende do campo PRFRMNG_STTS. Não é necessário alterar a especificação do mesmo, apenas testar  se o campo PRFRMNG_STTS for alterado."/>
    <m/>
    <x v="1"/>
    <d v="2024-06-07T00:00:00"/>
    <x v="8"/>
    <s v="OK"/>
    <m/>
    <d v="2022-05-16T00:00:00"/>
    <d v="2022-05-27T00:00:00"/>
    <s v="Pendente de decisão"/>
    <s v="Y"/>
    <s v="N"/>
    <s v="N"/>
    <s v="N"/>
    <s v="N"/>
    <s v="N"/>
    <x v="0"/>
    <n v="0"/>
  </r>
  <r>
    <s v="ENTITY"/>
    <s v="LVRG"/>
    <x v="0"/>
    <s v="9. Concluído"/>
    <s v="OK"/>
    <s v="Concluido, controlos OK"/>
    <m/>
    <x v="0"/>
    <d v="2024-06-07T00:00:00"/>
    <x v="0"/>
    <s v="OK"/>
    <m/>
    <m/>
    <m/>
    <s v="Campo concluido"/>
    <s v="Y"/>
    <s v="N"/>
    <s v="N"/>
    <s v="N"/>
    <s v="N"/>
    <s v="Y"/>
    <x v="0"/>
    <s v="6.1. Fora âmbito | Campos concluídos - Sem necessidade de espec."/>
  </r>
  <r>
    <s v="INSTRUMENT"/>
    <s v="LVRG_FNNC_FLG"/>
    <x v="1"/>
    <s v="9. Concluído"/>
    <s v="OK"/>
    <s v="Concluido, controlos OK"/>
    <m/>
    <x v="0"/>
    <d v="2024-06-07T00:00:00"/>
    <x v="0"/>
    <s v="OK"/>
    <m/>
    <m/>
    <m/>
    <s v="Campo concluido"/>
    <s v="Y"/>
    <s v="N"/>
    <s v="N"/>
    <s v="N"/>
    <s v="N"/>
    <s v="Y"/>
    <x v="2"/>
    <s v="6.3. Fora âmbito | Fonte Manual LF"/>
  </r>
  <r>
    <s v="ENTITY"/>
    <s v="LVRG_PRVS"/>
    <x v="0"/>
    <s v="9. Concluído"/>
    <s v="OK"/>
    <s v="Concluido, controlos OK"/>
    <m/>
    <x v="0"/>
    <d v="2024-06-07T00:00:00"/>
    <x v="0"/>
    <s v="OK"/>
    <m/>
    <m/>
    <m/>
    <s v="Campo concluido"/>
    <s v="Y"/>
    <s v="N"/>
    <s v="N"/>
    <s v="N"/>
    <s v="N"/>
    <s v="Y"/>
    <x v="0"/>
    <s v="6.1. Fora âmbito | Campos concluídos - Sem necessidade de espec."/>
  </r>
  <r>
    <s v="INSTR_ENTITY"/>
    <s v="MN_ENTTY_ID"/>
    <x v="0"/>
    <s v="5.2 Em testes - Incidência"/>
    <s v="OK"/>
    <s v="Campo com incidências. Verificar necessidade de alteração da fonte para fins de reconciliação._x000a_Campo novo, enviado para especificação em Fevereiro e entregue por IT em Março (durante a OSI), no entanto campo está com incidências nas garantias prestadas (detetadas no decurso da OSI)"/>
    <s v="Rever se os 1os titulares devem ser os da FR ou os da CL001 (clientes)"/>
    <x v="1"/>
    <d v="2024-06-07T00:00:00"/>
    <x v="1"/>
    <s v="OK"/>
    <m/>
    <d v="2024-02-02T00:00:00"/>
    <d v="2024-03-21T00:00:00"/>
    <s v="Pendente de decisão"/>
    <s v="Y"/>
    <s v="N"/>
    <s v="Y"/>
    <s v="N"/>
    <s v="N"/>
    <s v="Y"/>
    <x v="1"/>
    <s v="3. Campos em testes ou c/ incidências"/>
  </r>
  <r>
    <s v="PROTECTION"/>
    <s v="MN_PRPS"/>
    <x v="1"/>
    <s v="7. Analisar controlos e completude"/>
    <s v="NOK"/>
    <s v="Controlos NOK"/>
    <m/>
    <x v="2"/>
    <d v="2024-06-07T00:00:00"/>
    <x v="5"/>
    <s v="NOK"/>
    <m/>
    <m/>
    <m/>
    <s v="Analisar controlos NOK"/>
    <s v="Y"/>
    <s v="N"/>
    <s v="N"/>
    <s v="N"/>
    <s v="N"/>
    <s v="N"/>
    <x v="0"/>
    <n v="0"/>
  </r>
  <r>
    <s v="ENTITY"/>
    <s v="MNTHL_INCM"/>
    <x v="1"/>
    <s v="1. Especificar"/>
    <s v="OK"/>
    <s v="Em especificação (Salários)"/>
    <m/>
    <x v="2"/>
    <d v="2024-06-07T00:00:00"/>
    <x v="3"/>
    <s v="OK"/>
    <m/>
    <m/>
    <m/>
    <s v="Melhorias estruturais (garantir coerência entre campos)"/>
    <s v="Y"/>
    <s v="N"/>
    <s v="N"/>
    <s v="N"/>
    <s v="N"/>
    <s v="N"/>
    <x v="0"/>
    <n v="0"/>
  </r>
  <r>
    <s v="ENTITY"/>
    <s v="MNTHL_INCM_SLR"/>
    <x v="1"/>
    <s v="1. Especificar"/>
    <s v="NOK"/>
    <s v="Em especificação (Salários)"/>
    <m/>
    <x v="2"/>
    <d v="2024-06-07T00:00:00"/>
    <x v="3"/>
    <s v="NOK"/>
    <m/>
    <m/>
    <m/>
    <s v="Melhorias estruturais (garantir coerência entre campos)"/>
    <s v="Y"/>
    <s v="N"/>
    <s v="N"/>
    <s v="N"/>
    <s v="N"/>
    <s v="N"/>
    <x v="0"/>
    <n v="0"/>
  </r>
  <r>
    <s v="ENTITY"/>
    <s v="MNTHL_TRNVR"/>
    <x v="1"/>
    <s v="1. Especificar"/>
    <s v="OK"/>
    <s v="Em especificação (Salários)"/>
    <m/>
    <x v="2"/>
    <d v="2024-06-07T00:00:00"/>
    <x v="3"/>
    <s v="OK"/>
    <m/>
    <m/>
    <m/>
    <s v="Melhorias estruturais (garantir coerência entre campos)"/>
    <s v="Y"/>
    <s v="N"/>
    <s v="N"/>
    <s v="N"/>
    <s v="N"/>
    <s v="N"/>
    <x v="0"/>
    <n v="0"/>
  </r>
  <r>
    <s v="INSTRUMENT"/>
    <s v="MTRTY_LTST_FRBRNC_MSR_C19"/>
    <x v="1"/>
    <s v="9. Concluído"/>
    <s v="OK"/>
    <s v="Concluido, controlos OK"/>
    <m/>
    <x v="0"/>
    <d v="2024-06-07T00:00:00"/>
    <x v="0"/>
    <s v="OK"/>
    <m/>
    <m/>
    <m/>
    <s v="Campo concluido"/>
    <s v="Y"/>
    <s v="N"/>
    <s v="N"/>
    <s v="N"/>
    <s v="N"/>
    <s v="N"/>
    <x v="0"/>
    <n v="0"/>
  </r>
  <r>
    <s v="INSTRUMENT"/>
    <s v="MTRTY_LTST_MRTR_C19"/>
    <x v="1"/>
    <s v="9. Concluído"/>
    <s v="OK"/>
    <s v="Concluido, controlos OK"/>
    <m/>
    <x v="0"/>
    <d v="2024-06-07T00:00:00"/>
    <x v="0"/>
    <s v="OK"/>
    <m/>
    <m/>
    <m/>
    <s v="Campo concluido"/>
    <s v="Y"/>
    <s v="N"/>
    <s v="N"/>
    <s v="N"/>
    <s v="N"/>
    <s v="N"/>
    <x v="0"/>
    <n v="0"/>
  </r>
  <r>
    <s v="INSTRUMENT"/>
    <s v="NMBR_FRBRNC_MSRS"/>
    <x v="0"/>
    <s v="9. Concluído"/>
    <s v="OK"/>
    <s v="Concluido, controlos OK"/>
    <m/>
    <x v="0"/>
    <d v="2024-06-07T00:00:00"/>
    <x v="0"/>
    <s v="OK"/>
    <m/>
    <m/>
    <m/>
    <s v="Campo concluido"/>
    <s v="Y"/>
    <s v="N"/>
    <s v="N"/>
    <s v="N"/>
    <s v="N"/>
    <s v="Y"/>
    <x v="0"/>
    <s v="6.1. Fora âmbito | Campos concluídos - Sem necessidade de espec."/>
  </r>
  <r>
    <s v="ENTITY"/>
    <s v="NT_INCM"/>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ENTITY"/>
    <s v="NT_INCM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RWA_MTHD"/>
    <x v="0"/>
    <s v="5.1 Em testes - Re-especificação"/>
    <s v="OK"/>
    <s v="Em testes, campo entregue por IT durante a OSI. Testar e validar controlos"/>
    <s v="Alteração de formato de 11111111.00 para 11111111"/>
    <x v="0"/>
    <d v="2024-06-20T00:00:00"/>
    <x v="0"/>
    <s v="OK"/>
    <s v="Incidência relativamente ao formatos corrigida. Controlos testados e OK"/>
    <m/>
    <d v="2024-06-20T00:00:00"/>
    <s v="Campo concluido"/>
    <s v="Y"/>
    <s v="N"/>
    <s v="N"/>
    <s v="N"/>
    <s v="N"/>
    <s v="Y"/>
    <x v="0"/>
    <s v="6.1. Fora âmbito | Campos concluídos - Sem necessidade de espec."/>
  </r>
  <r>
    <s v="INSTRUMENT"/>
    <s v="OBSRVD_AGNT_ID"/>
    <x v="0"/>
    <s v="9. Concluído"/>
    <s v="OK"/>
    <s v="Concluido, controlos OK"/>
    <m/>
    <x v="0"/>
    <d v="2024-06-07T00:00:00"/>
    <x v="0"/>
    <s v="OK"/>
    <m/>
    <m/>
    <m/>
    <s v="Campo concluido"/>
    <s v="Y"/>
    <s v="N"/>
    <s v="N"/>
    <s v="N"/>
    <s v="N"/>
    <s v="Y"/>
    <x v="0"/>
    <s v="6.1. Fora âmbito | Campos concluídos - Sem necessidade de espec."/>
  </r>
  <r>
    <s v="INSTRUMENT"/>
    <s v="OBSRVD_AGNT_NM"/>
    <x v="0"/>
    <s v="9. Concluído"/>
    <s v="OK"/>
    <s v="Concluido, controlos OK"/>
    <m/>
    <x v="0"/>
    <d v="2024-06-07T00:00:00"/>
    <x v="0"/>
    <s v="OK"/>
    <m/>
    <m/>
    <m/>
    <s v="Campo concluido"/>
    <s v="Y"/>
    <s v="N"/>
    <s v="N"/>
    <s v="N"/>
    <s v="N"/>
    <s v="Y"/>
    <x v="0"/>
    <s v="6.1. Fora âmbito | Campos concluídos - Sem necessidade de espec."/>
  </r>
  <r>
    <s v="INSTRUMENT"/>
    <s v="OFF_BLNC_SHT_AMNT_INSTRMNT"/>
    <x v="0"/>
    <s v="7. Analisar controlos e completude"/>
    <s v="NOK"/>
    <s v="Controlos NOK"/>
    <m/>
    <x v="2"/>
    <d v="2024-06-07T00:00:00"/>
    <x v="5"/>
    <s v="NOK"/>
    <m/>
    <m/>
    <m/>
    <s v="Analisar controlos NOK"/>
    <s v="Y"/>
    <s v="Y"/>
    <s v="N"/>
    <s v="N"/>
    <s v="Y"/>
    <s v="Y"/>
    <x v="1"/>
    <s v="4. Campos com NOK controlos Corporativos"/>
  </r>
  <r>
    <s v="INSTRUMENT"/>
    <s v="OFF_BLNC_SHT_AMNT_INSTRMNT_PRVS"/>
    <x v="0"/>
    <s v="5.2 Em testes - Incidência"/>
    <s v="OK"/>
    <s v="Campo com incidência"/>
    <s v="MISS deviam estar a ser reportados como NA ou zero"/>
    <x v="1"/>
    <d v="2025-01-13T00:00:00"/>
    <x v="8"/>
    <s v="OK"/>
    <s v="Campo está a assumir apenas valores 0.00, MISS ou N/A. É necessário replicar o cálculo da LT001 para um ano atrás. LCM pediu para que o campo fonte fosse criado diretamente na LT001, eliminando a necessidade de replicar o calculo da LT001 para um ano antes da data de referência."/>
    <d v="2024-06-28T00:00:00"/>
    <m/>
    <s v="Necessidade de correção de erros"/>
    <s v="Y"/>
    <s v="N"/>
    <s v="N"/>
    <s v="N"/>
    <s v="N"/>
    <s v="N"/>
    <x v="0"/>
    <n v="0"/>
  </r>
  <r>
    <s v="PROTECTION"/>
    <s v="DT_ORGNL_PRTCTN_VL"/>
    <x v="0"/>
    <s v="5.2 Em testes - Incidência"/>
    <s v="NOK"/>
    <s v="Campo com incidência e controlos NOK"/>
    <s v="1) Campo com incidência, data igual à data da protection_vl 2) Alteração de formatos MISS"/>
    <x v="0"/>
    <d v="2025-01-13T00:00:00"/>
    <x v="0"/>
    <s v="OK"/>
    <m/>
    <d v="2024-09-20T00:00:00"/>
    <d v="2024-12-20T00:00:00"/>
    <s v="Necessidade de correção de erros"/>
    <s v="Y"/>
    <s v="N"/>
    <s v="N"/>
    <s v="N"/>
    <s v="N"/>
    <s v="N"/>
    <x v="0"/>
    <n v="0"/>
  </r>
  <r>
    <s v="ENTITY"/>
    <s v="OSI_ID"/>
    <x v="0"/>
    <s v="9. Concluído"/>
    <s v="OK"/>
    <s v="Concluido, controlos OK"/>
    <m/>
    <x v="0"/>
    <d v="2024-06-07T00:00:00"/>
    <x v="0"/>
    <s v="OK"/>
    <m/>
    <m/>
    <m/>
    <s v="Campo concluido"/>
    <s v="Y"/>
    <s v="N"/>
    <s v="N"/>
    <s v="N"/>
    <s v="N"/>
    <s v="Y"/>
    <x v="0"/>
    <s v="6.1. Fora âmbito | Campos concluídos - Sem necessidade de espec."/>
  </r>
  <r>
    <s v="INSTRUMENT"/>
    <s v="OTSTNDNG_NMNL_AMNT_INSTRMNT"/>
    <x v="0"/>
    <s v="7. Analisar controlos e completude"/>
    <s v="NOK"/>
    <s v="Controlos NOK"/>
    <m/>
    <x v="2"/>
    <d v="2024-06-07T00:00:00"/>
    <x v="5"/>
    <s v="NOK"/>
    <m/>
    <m/>
    <m/>
    <s v="Analisar controlos NOK"/>
    <s v="Y"/>
    <s v="N"/>
    <s v="N"/>
    <s v="N"/>
    <s v="N"/>
    <s v="Y"/>
    <x v="1"/>
    <s v="4. Campos com NOK controlos Corporativos"/>
  </r>
  <r>
    <s v="INSTRUMENT"/>
    <s v="DT_FRBRNC_STTS_PRV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x v="2"/>
    <d v="2024-06-07T00:00:00"/>
    <x v="2"/>
    <s v="NOK"/>
    <m/>
    <m/>
    <m/>
    <s v="Melhorias estruturais (garantir coerência entre campos)"/>
    <s v="Y"/>
    <s v="N"/>
    <s v="N"/>
    <s v="N"/>
    <s v="N"/>
    <s v="N"/>
    <x v="0"/>
    <n v="0"/>
  </r>
  <r>
    <s v="ENTITY"/>
    <s v="OWND_BY_SPNSR"/>
    <x v="1"/>
    <s v="9. Concluído"/>
    <s v="OK"/>
    <s v="Concluido, controlos OK"/>
    <m/>
    <x v="0"/>
    <d v="2024-06-07T00:00:00"/>
    <x v="0"/>
    <s v="OK"/>
    <m/>
    <m/>
    <m/>
    <s v="Campo concluido"/>
    <s v="Y"/>
    <s v="N"/>
    <s v="N"/>
    <s v="N"/>
    <s v="N"/>
    <s v="Y"/>
    <x v="2"/>
    <s v="6.3. Fora âmbito | Fonte Manual LF"/>
  </r>
  <r>
    <s v="INSTRUMENT"/>
    <s v="PBLC_GRNT_SCHM_C19_NM"/>
    <x v="1"/>
    <s v="9. Concluído"/>
    <s v="OK"/>
    <s v="Concluido, controlos OK"/>
    <m/>
    <x v="0"/>
    <d v="2024-06-07T00:00:00"/>
    <x v="0"/>
    <s v="OK"/>
    <m/>
    <m/>
    <m/>
    <s v="Campo concluido"/>
    <s v="Y"/>
    <s v="N"/>
    <s v="N"/>
    <s v="N"/>
    <s v="N"/>
    <s v="N"/>
    <x v="0"/>
    <n v="0"/>
  </r>
  <r>
    <s v="INSTRUMENT"/>
    <s v="PD_CRR_INCPTN"/>
    <x v="0"/>
    <s v="5.2 Em testes - Incidência"/>
    <s v="OK"/>
    <s v="Campo com incidência"/>
    <s v="Campo com incidência. Confirmar com Tecnologia que o campo está alterado com base no que foi identificado na OSI"/>
    <x v="2"/>
    <d v="2024-06-07T00:00:00"/>
    <x v="1"/>
    <s v="OK"/>
    <m/>
    <d v="2024-02-16T00:00:00"/>
    <d v="2024-05-27T00:00:00"/>
    <s v="Melhorias estruturais (garantir coerência entre campos)"/>
    <s v="Y"/>
    <s v="N"/>
    <s v="N"/>
    <s v="N"/>
    <s v="N"/>
    <s v="Y"/>
    <x v="1"/>
    <s v="3. Campos em testes ou c/ incidências"/>
  </r>
  <r>
    <s v="ENTITY"/>
    <s v="PD_CRR_RD"/>
    <x v="0"/>
    <s v="7. Analisar controlos e completude"/>
    <s v="NOK"/>
    <s v="Controlos NOK"/>
    <m/>
    <x v="2"/>
    <d v="2024-06-07T00:00:00"/>
    <x v="5"/>
    <s v="NOK"/>
    <m/>
    <m/>
    <m/>
    <s v="Analisar controlos NOK"/>
    <s v="Y"/>
    <s v="N"/>
    <s v="N"/>
    <s v="N"/>
    <s v="N"/>
    <s v="Y"/>
    <x v="1"/>
    <s v="4. Campos com NOK controlos Corporativos"/>
  </r>
  <r>
    <s v="INSTRUMENT"/>
    <s v="PD_CRR_RD"/>
    <x v="0"/>
    <s v="7. Analisar controlos e completude"/>
    <s v="NOK"/>
    <s v="Controlos NOK"/>
    <m/>
    <x v="2"/>
    <d v="2024-06-07T00:00:00"/>
    <x v="5"/>
    <s v="NOK"/>
    <m/>
    <m/>
    <m/>
    <s v="Analisar controlos NOK"/>
    <s v="Y"/>
    <s v="N"/>
    <s v="N"/>
    <s v="N"/>
    <s v="N"/>
    <s v="Y"/>
    <x v="1"/>
    <s v="4. Campos com NOK controlos Corporativos"/>
  </r>
  <r>
    <s v="ENTITY"/>
    <s v="PD_CRR_RD_T1"/>
    <x v="1"/>
    <s v="5.1 Em testes - Re-especificação"/>
    <s v="NOK"/>
    <s v="Em testes"/>
    <m/>
    <x v="1"/>
    <d v="2024-06-07T00:00:00"/>
    <x v="8"/>
    <s v="NOK"/>
    <m/>
    <d v="2022-07-08T00:00:00"/>
    <d v="2023-12-07T00:00:00"/>
    <s v="Necessidade de correção de erros"/>
    <s v="Y"/>
    <s v="N"/>
    <s v="N"/>
    <s v="N"/>
    <s v="N"/>
    <s v="N"/>
    <x v="0"/>
    <n v="0"/>
  </r>
  <r>
    <s v="INSTRUMENT"/>
    <s v="PD_CRR_RD_T1"/>
    <x v="1"/>
    <s v="5.1 Em testes - Re-especificação"/>
    <s v="NOK"/>
    <s v="Em testes"/>
    <m/>
    <x v="1"/>
    <d v="2024-06-07T00:00:00"/>
    <x v="8"/>
    <s v="NOK"/>
    <m/>
    <d v="2023-12-21T00:00:00"/>
    <d v="2024-02-08T00:00:00"/>
    <s v="Necessidade de correção de erros"/>
    <s v="Y"/>
    <s v="N"/>
    <s v="N"/>
    <s v="N"/>
    <s v="N"/>
    <s v="N"/>
    <x v="0"/>
    <n v="0"/>
  </r>
  <r>
    <s v="INSTRUMENT"/>
    <s v="PD_IFRS9_12M_INCPTN"/>
    <x v="0"/>
    <s v="9. Concluído"/>
    <s v="OK"/>
    <s v="Concluido, controlos OK"/>
    <m/>
    <x v="0"/>
    <d v="2024-06-07T00:00:00"/>
    <x v="0"/>
    <s v="OK"/>
    <s v="Campo Imparidade"/>
    <m/>
    <m/>
    <s v="Campo concluido"/>
    <s v="Y"/>
    <s v="N"/>
    <s v="N"/>
    <s v="N"/>
    <s v="N"/>
    <s v="Y"/>
    <x v="0"/>
    <s v="6.1. Fora âmbito | Campos concluídos - Sem necessidade de espec."/>
  </r>
  <r>
    <s v="ENTITY"/>
    <s v="PD_IFRS9_12M_RD"/>
    <x v="0"/>
    <s v="3. Pendente de decisão"/>
    <s v="NOK"/>
    <s v="Controlos NOK justificados no âmbito da OSI. _x000a_1) Contratos fora do universo de IFRS9 2) Clientes que não são primeiros titulares de nenhum contrato_x000a_Alterar especificação  caso a LT passe a reportar os 1os titulares da Contabilidade."/>
    <m/>
    <x v="2"/>
    <d v="2024-06-07T00:00:00"/>
    <x v="4"/>
    <s v="NOK"/>
    <s v="Campo Imparidade"/>
    <m/>
    <m/>
    <s v="Analisar controlos NOK"/>
    <s v="Y"/>
    <s v="N"/>
    <s v="N"/>
    <s v="N"/>
    <s v="N"/>
    <s v="Y"/>
    <x v="1"/>
    <s v="5. Campos com outras possíveis alterações - Dependente de decisões OSI "/>
  </r>
  <r>
    <s v="INSTRUMENT"/>
    <s v="PD_IFRS9_12M_RD"/>
    <x v="0"/>
    <s v="7. Analisar controlos e completude"/>
    <s v="NOK"/>
    <m/>
    <m/>
    <x v="1"/>
    <d v="2024-06-07T00:00:00"/>
    <x v="5"/>
    <s v="NOK"/>
    <s v="Campo Imparidade"/>
    <m/>
    <m/>
    <s v="Pendente de decisão"/>
    <s v="Y"/>
    <s v="N"/>
    <s v="N"/>
    <s v="N"/>
    <s v="N"/>
    <s v="Y"/>
    <x v="1"/>
    <s v="4. Campos com NOK controlos Corporativos"/>
  </r>
  <r>
    <s v="ENTITY"/>
    <s v="PD_IFRS9_12M_RD_T1"/>
    <x v="1"/>
    <s v="7. Analisar controlos e completude"/>
    <s v="NOK"/>
    <s v="Controlos NOK"/>
    <m/>
    <x v="2"/>
    <d v="2024-06-07T00:00:00"/>
    <x v="5"/>
    <s v="NOK"/>
    <s v="Campo Imparidade"/>
    <m/>
    <m/>
    <s v="Analisar controlos NOK"/>
    <s v="Y"/>
    <s v="N"/>
    <s v="N"/>
    <s v="N"/>
    <s v="N"/>
    <s v="N"/>
    <x v="0"/>
    <n v="0"/>
  </r>
  <r>
    <s v="INSTRUMENT"/>
    <s v="PD_IFRS9_12M_RD_T1"/>
    <x v="0"/>
    <s v="7. Analisar controlos e completude"/>
    <s v="NOK"/>
    <s v="Controlos NOK"/>
    <m/>
    <x v="2"/>
    <d v="2024-06-07T00:00:00"/>
    <x v="5"/>
    <s v="NOK"/>
    <s v="Campo Imparidade"/>
    <m/>
    <m/>
    <s v="Analisar controlos NOK"/>
    <s v="Y"/>
    <s v="N"/>
    <s v="N"/>
    <s v="N"/>
    <s v="N"/>
    <s v="N"/>
    <x v="0"/>
    <n v="0"/>
  </r>
  <r>
    <s v="INSTRUMENT"/>
    <s v="PD_IFRS9_LFTM_INCPTN"/>
    <x v="0"/>
    <s v="9. Concluído"/>
    <s v="OK"/>
    <s v="Concluido, controlos OK"/>
    <m/>
    <x v="0"/>
    <d v="2024-06-07T00:00:00"/>
    <x v="0"/>
    <s v="OK"/>
    <s v="Campo Imparidade"/>
    <m/>
    <m/>
    <s v="Campo concluido"/>
    <s v="Y"/>
    <s v="N"/>
    <s v="N"/>
    <s v="N"/>
    <s v="N"/>
    <s v="Y"/>
    <x v="0"/>
    <s v="6.1. Fora âmbito | Campos concluídos - Sem necessidade de espec."/>
  </r>
  <r>
    <s v="INSTRUMENT"/>
    <s v="PD_IFRS9_RMNNG_LFTM_INCPTN"/>
    <x v="0"/>
    <s v="9. Concluído"/>
    <s v="OK"/>
    <s v="Concluido, controlos OK"/>
    <m/>
    <x v="0"/>
    <d v="2024-06-07T00:00:00"/>
    <x v="0"/>
    <s v="OK"/>
    <s v="Campo Imparidade"/>
    <m/>
    <m/>
    <s v="Campo concluido"/>
    <s v="Y"/>
    <s v="N"/>
    <s v="N"/>
    <s v="N"/>
    <s v="N"/>
    <s v="Y"/>
    <x v="0"/>
    <s v="6.1. Fora âmbito | Campos concluídos - Sem necessidade de espec."/>
  </r>
  <r>
    <s v="INSTRUMENT"/>
    <s v="PD_IFRS9_RMNNG_LFTM_RD"/>
    <x v="0"/>
    <s v="9. Concluído"/>
    <s v="OK"/>
    <s v="Concluido, controlos OK"/>
    <m/>
    <x v="0"/>
    <d v="2024-06-07T00:00:00"/>
    <x v="0"/>
    <s v="OK"/>
    <s v="Campo Imparidade"/>
    <m/>
    <m/>
    <s v="Campo concluido"/>
    <s v="Y"/>
    <s v="N"/>
    <s v="N"/>
    <s v="N"/>
    <s v="N"/>
    <s v="Y"/>
    <x v="0"/>
    <s v="6.1. Fora âmbito | Campos concluídos - Sem necessidade de espec."/>
  </r>
  <r>
    <s v="INSTRUMENT"/>
    <s v="PMNT_PBLC_GRNT_SCHM_C19"/>
    <x v="1"/>
    <s v="9. Concluído"/>
    <s v="OK"/>
    <s v="Concluido, controlos OK"/>
    <m/>
    <x v="0"/>
    <d v="2024-06-07T00:00:00"/>
    <x v="0"/>
    <s v="OK"/>
    <m/>
    <m/>
    <m/>
    <s v="Campo concluido"/>
    <s v="Y"/>
    <s v="N"/>
    <s v="N"/>
    <s v="N"/>
    <s v="N"/>
    <s v="N"/>
    <x v="0"/>
    <n v="0"/>
  </r>
  <r>
    <s v="INSTRUMENT"/>
    <s v="DT_FRBRNC_STT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x v="2"/>
    <d v="2024-06-07T00:00:00"/>
    <x v="2"/>
    <s v="NOK"/>
    <m/>
    <m/>
    <m/>
    <s v="Melhorias estruturais (garantir coerência entre campos)"/>
    <s v="Y"/>
    <s v="N"/>
    <s v="N"/>
    <s v="N"/>
    <s v="N"/>
    <s v="Y"/>
    <x v="1"/>
    <s v="2.2 Re-especificação de campos complexos - Resto"/>
  </r>
  <r>
    <s v="INSTRUMENT"/>
    <s v="PRCH_UNDR_RSL_AGR"/>
    <x v="1"/>
    <s v="9. Concluído"/>
    <s v="OK"/>
    <s v="Concluido, controlos OK"/>
    <m/>
    <x v="0"/>
    <d v="2024-06-07T00:00:00"/>
    <x v="0"/>
    <s v="OK"/>
    <m/>
    <m/>
    <m/>
    <s v="Campo concluido"/>
    <s v="Y"/>
    <s v="N"/>
    <s v="N"/>
    <s v="N"/>
    <s v="N"/>
    <s v="N"/>
    <x v="0"/>
    <n v="0"/>
  </r>
  <r>
    <s v="INSTRUMENT"/>
    <s v="PRDCT"/>
    <x v="0"/>
    <s v="9. Concluído"/>
    <s v="OK"/>
    <s v="Concluido, controlos OK"/>
    <m/>
    <x v="0"/>
    <d v="2024-06-07T00:00:00"/>
    <x v="0"/>
    <s v="OK"/>
    <m/>
    <m/>
    <m/>
    <s v="Campo concluido"/>
    <s v="Y"/>
    <s v="N"/>
    <s v="N"/>
    <s v="Y"/>
    <s v="N"/>
    <s v="N"/>
    <x v="0"/>
    <n v="0"/>
  </r>
  <r>
    <s v="INSTRUMENT"/>
    <s v="PRDNTL_PRTFL"/>
    <x v="1"/>
    <s v="9. Concluído"/>
    <s v="OK"/>
    <s v="Concluido, controlos OK"/>
    <m/>
    <x v="0"/>
    <d v="2024-06-07T00:00:00"/>
    <x v="0"/>
    <s v="OK"/>
    <m/>
    <m/>
    <m/>
    <s v="Campo concluido"/>
    <s v="Y"/>
    <s v="N"/>
    <s v="N"/>
    <s v="N"/>
    <s v="N"/>
    <s v="Y"/>
    <x v="0"/>
    <s v="6.1. Fora âmbito | Campos concluídos - Sem necessidade de espec."/>
  </r>
  <r>
    <s v="INSTRUMENT"/>
    <s v="PRFRMNG_STTS"/>
    <x v="0"/>
    <s v="3. Pendente de decisão"/>
    <s v="NOK"/>
    <s v="Verificar necessidade de alteração da fonte para fins de reconciliação. Rever Fonte"/>
    <m/>
    <x v="1"/>
    <d v="2025-01-13T00:00:00"/>
    <x v="8"/>
    <s v="NOK"/>
    <s v="Alteração da fonte das tabela de Imparidade Reporting para as 8_7 e alteração da data a partir da qual a fonte passa a ser as tabelas de Contabilidade"/>
    <d v="2024-09-27T00:00:00"/>
    <m/>
    <s v="Pendente de decisão"/>
    <s v="Y"/>
    <s v="Y"/>
    <s v="Y"/>
    <s v="N"/>
    <s v="N"/>
    <s v="Y"/>
    <x v="0"/>
    <s v="6.2.  Fora âmbito | Campos em testes ou c/ incidências (LT - PM)"/>
  </r>
  <r>
    <s v="ENTITY"/>
    <s v="PRFRMNG_STTS_LE"/>
    <x v="0"/>
    <s v="9. Concluído"/>
    <s v="OK"/>
    <s v="Concluido, controlos OK"/>
    <m/>
    <x v="0"/>
    <d v="2024-06-07T00:00:00"/>
    <x v="0"/>
    <s v="OK"/>
    <m/>
    <m/>
    <m/>
    <s v="Campo concluido"/>
    <s v="Y"/>
    <s v="N"/>
    <s v="N"/>
    <s v="N"/>
    <s v="N"/>
    <s v="Y"/>
    <x v="0"/>
    <s v="6.1. Fora âmbito | Campos concluídos - Sem necessidade de espec."/>
  </r>
  <r>
    <s v="INSTRUMENT"/>
    <s v="PRFRMNG_STTS_PRVS"/>
    <x v="0"/>
    <s v="5.1 Em testes - Re-especificação"/>
    <s v="OK"/>
    <s v="Em testes. Campo depende do campo PRFRMNG_STTS. Não é necessário alterar a especificação do mesmo, apenas testar  se o campo PRFRMNG_STTS for alterado."/>
    <m/>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INSTRUMENT"/>
    <s v="PRJCT_FNNC_LN"/>
    <x v="0"/>
    <s v="9. Concluído"/>
    <s v="OK"/>
    <s v="Concluido, controlos OK"/>
    <m/>
    <x v="0"/>
    <d v="2024-06-07T00:00:00"/>
    <x v="0"/>
    <s v="OK"/>
    <m/>
    <m/>
    <m/>
    <s v="Campo concluido"/>
    <s v="Y"/>
    <s v="N"/>
    <s v="Y"/>
    <s v="N"/>
    <s v="N"/>
    <s v="N"/>
    <x v="0"/>
    <n v="0"/>
  </r>
  <r>
    <s v="PROTECTION"/>
    <s v="PRM_LCTN"/>
    <x v="1"/>
    <s v="5.1 Em testes - Re-especificação"/>
    <s v="NOK"/>
    <s v="Em testes"/>
    <m/>
    <x v="0"/>
    <d v="2025-01-13T00:00:00"/>
    <x v="0"/>
    <s v="OK"/>
    <s v="100220 Casos que deviam ser N e estão a ser reportados MISS"/>
    <d v="2024-06-28T00:00:00"/>
    <d v="2024-12-20T00:00:00"/>
    <s v="Necessidade de correção de erros"/>
    <s v="Y"/>
    <s v="N"/>
    <s v="N"/>
    <s v="N"/>
    <s v="N"/>
    <s v="N"/>
    <x v="0"/>
    <n v="0"/>
  </r>
  <r>
    <s v="INSTRUMENT"/>
    <s v="PRMRY_ASST_CLSSF"/>
    <x v="1"/>
    <s v="9. Concluído"/>
    <s v="OK"/>
    <s v="Concluido, controlos OK"/>
    <m/>
    <x v="0"/>
    <d v="2024-06-07T00:00:00"/>
    <x v="0"/>
    <s v="OK"/>
    <m/>
    <m/>
    <m/>
    <s v="Campo concluido"/>
    <s v="Y"/>
    <s v="N"/>
    <s v="Y"/>
    <s v="N"/>
    <s v="N"/>
    <s v="N"/>
    <x v="0"/>
    <n v="0"/>
  </r>
  <r>
    <s v="INSTRUMENT"/>
    <s v="PRPS"/>
    <x v="0"/>
    <s v="9. Concluído"/>
    <s v="OK"/>
    <s v="Concluido, controlos OK"/>
    <m/>
    <x v="0"/>
    <d v="2024-06-07T00:00:00"/>
    <x v="0"/>
    <s v="OK"/>
    <m/>
    <m/>
    <m/>
    <s v="Campo concluido"/>
    <s v="Y"/>
    <s v="N"/>
    <s v="N"/>
    <s v="N"/>
    <s v="N"/>
    <s v="Y"/>
    <x v="0"/>
    <s v="6.1. Fora âmbito | Campos concluídos - Sem necessidade de espec."/>
  </r>
  <r>
    <s v="ENTITY"/>
    <s v="PRSN_TYP"/>
    <x v="1"/>
    <s v="4.1 Em implementação - Re-especificação"/>
    <s v="OK"/>
    <s v="Aguarda implementação de IT"/>
    <m/>
    <x v="2"/>
    <d v="2024-06-17T00:00:00"/>
    <x v="8"/>
    <s v="OK"/>
    <m/>
    <d v="2024-01-12T00:00:00"/>
    <d v="2024-03-21T00:00:00"/>
    <s v="Novo campo"/>
    <s v="Y"/>
    <s v="N"/>
    <s v="N"/>
    <s v="N"/>
    <s v="N"/>
    <s v="N"/>
    <x v="0"/>
    <n v="0"/>
  </r>
  <r>
    <s v="INSTRUMENT"/>
    <s v="PRT_LCR_BFFR"/>
    <x v="1"/>
    <s v="9. Concluído"/>
    <s v="OK"/>
    <s v="Concluido, controlos OK"/>
    <m/>
    <x v="0"/>
    <d v="2024-06-07T00:00:00"/>
    <x v="0"/>
    <s v="OK"/>
    <m/>
    <m/>
    <m/>
    <s v="Campo concluido"/>
    <s v="Y"/>
    <s v="N"/>
    <s v="N"/>
    <s v="N"/>
    <s v="N"/>
    <s v="N"/>
    <x v="0"/>
    <n v="0"/>
  </r>
  <r>
    <s v="INSTR_PROTECTION"/>
    <s v="PRTCTN_ALLCTD_VL"/>
    <x v="0"/>
    <s v="9. Concluído"/>
    <s v="OK"/>
    <s v="Concluido, controlos OK"/>
    <m/>
    <x v="0"/>
    <d v="2024-06-07T00:00:00"/>
    <x v="0"/>
    <s v="OK"/>
    <m/>
    <m/>
    <m/>
    <s v="Campo concluido"/>
    <s v="Y"/>
    <s v="N"/>
    <s v="Y"/>
    <s v="N"/>
    <s v="N"/>
    <s v="N"/>
    <x v="0"/>
    <n v="0"/>
  </r>
  <r>
    <s v="PROTECTION"/>
    <s v="PRTCTN_CLLD"/>
    <x v="0"/>
    <s v="7. Analisar controlos e completude"/>
    <s v="NOK"/>
    <s v="Controlos NOK"/>
    <m/>
    <x v="2"/>
    <d v="2024-06-07T00:00:00"/>
    <x v="5"/>
    <s v="NOK"/>
    <m/>
    <m/>
    <m/>
    <s v="Analisar controlos NOK"/>
    <s v="Y"/>
    <s v="N"/>
    <s v="N"/>
    <s v="N"/>
    <s v="N"/>
    <s v="N"/>
    <x v="0"/>
    <n v="0"/>
  </r>
  <r>
    <s v="PROTECTION"/>
    <s v="PRTCTN_FRCD_SL_VL"/>
    <x v="0"/>
    <s v="9. Concluído"/>
    <s v="OK"/>
    <s v="Concluido, controlos OK"/>
    <m/>
    <x v="0"/>
    <d v="2024-06-07T00:00:00"/>
    <x v="0"/>
    <s v="OK"/>
    <m/>
    <m/>
    <m/>
    <s v="Campo concluido"/>
    <s v="Y"/>
    <s v="N"/>
    <s v="N"/>
    <s v="N"/>
    <s v="N"/>
    <s v="N"/>
    <x v="0"/>
    <n v="0"/>
  </r>
  <r>
    <s v="INSTR_PROTECTION"/>
    <s v="PRTCTN_ID"/>
    <x v="0"/>
    <s v="7. Analisar controlos e completude"/>
    <s v="NOK"/>
    <s v="Controlos NOK"/>
    <m/>
    <x v="2"/>
    <d v="2024-06-07T00:00:00"/>
    <x v="5"/>
    <s v="NOK"/>
    <m/>
    <m/>
    <m/>
    <s v="Analisar controlos NOK"/>
    <s v="Y"/>
    <s v="Y"/>
    <s v="Y"/>
    <s v="N"/>
    <s v="N"/>
    <s v="N"/>
    <x v="0"/>
    <n v="0"/>
  </r>
  <r>
    <s v="PROTECTION"/>
    <s v="PRTCTN_ID"/>
    <x v="0"/>
    <s v="7. Analisar controlos e completude"/>
    <s v="NOK"/>
    <s v="Controlos NOK"/>
    <m/>
    <x v="2"/>
    <d v="2024-06-07T00:00:00"/>
    <x v="5"/>
    <s v="NOK"/>
    <m/>
    <m/>
    <m/>
    <s v="Analisar controlos NOK"/>
    <s v="Y"/>
    <s v="Y"/>
    <s v="Y"/>
    <s v="N"/>
    <s v="Y"/>
    <s v="N"/>
    <x v="0"/>
    <n v="0"/>
  </r>
  <r>
    <s v="PROTECTION"/>
    <s v="PRTCTN_PRVDR_ID"/>
    <x v="0"/>
    <s v="7. Analisar controlos e completude"/>
    <s v="NOK"/>
    <s v="Controlos NOK"/>
    <m/>
    <x v="2"/>
    <d v="2024-06-07T00:00:00"/>
    <x v="5"/>
    <s v="NOK"/>
    <m/>
    <m/>
    <m/>
    <s v="Analisar controlos NOK"/>
    <s v="Y"/>
    <s v="N"/>
    <s v="N"/>
    <s v="N"/>
    <s v="N"/>
    <s v="N"/>
    <x v="0"/>
    <n v="0"/>
  </r>
  <r>
    <s v="PROTECTION"/>
    <s v="PRTCTN_TYP_PBLC_GRNT_SCHM_C19"/>
    <x v="1"/>
    <s v="7. Analisar controlos e completude"/>
    <s v="NOK"/>
    <s v="Controlos NOK"/>
    <m/>
    <x v="2"/>
    <d v="2024-06-07T00:00:00"/>
    <x v="5"/>
    <s v="NOK"/>
    <m/>
    <m/>
    <m/>
    <s v="Analisar controlos NOK"/>
    <s v="Y"/>
    <s v="N"/>
    <s v="N"/>
    <s v="N"/>
    <s v="N"/>
    <s v="N"/>
    <x v="0"/>
    <n v="0"/>
  </r>
  <r>
    <s v="ENTITY"/>
    <s v="DT_EXTRNL_RTNG"/>
    <x v="0"/>
    <s v="2. Alterar especificação"/>
    <s v="OK"/>
    <s v="Alterar especificação para casos em informação na fonte."/>
    <s v="Quando não existe informação na fonte em vez de MISS substituir por NA"/>
    <x v="1"/>
    <d v="2024-06-07T00:00:00"/>
    <x v="2"/>
    <s v="OK"/>
    <m/>
    <m/>
    <m/>
    <s v="Alteração de especificação por parte do BCE"/>
    <s v="Y"/>
    <s v="N"/>
    <s v="N"/>
    <s v="N"/>
    <s v="N"/>
    <s v="Y"/>
    <x v="1"/>
    <s v="2.2 Re-especificação de campos complexos - Resto"/>
  </r>
  <r>
    <s v="PROTECTION"/>
    <s v="ORGNL_PRTCTN_VL"/>
    <x v="0"/>
    <s v="5.2 Em testes - Incidência"/>
    <s v="OK"/>
    <s v="Campo com incidência"/>
    <s v="1) Campo com incidência, está a reportar apenas valores de MISS e N/A"/>
    <x v="1"/>
    <d v="2025-01-13T00:00:00"/>
    <x v="8"/>
    <s v="NOK"/>
    <s v="14 casos com valor original da proteção a zero"/>
    <d v="2024-09-20T00:00:00"/>
    <m/>
    <s v="Necessidade de correção de erros"/>
    <s v="Y"/>
    <s v="N"/>
    <s v="Y"/>
    <s v="N"/>
    <s v="N"/>
    <s v="N"/>
    <x v="0"/>
    <n v="0"/>
  </r>
  <r>
    <s v="PROTECTION"/>
    <s v="PRTCTN_VL_PRVS"/>
    <x v="0"/>
    <s v="9. Concluído"/>
    <s v="OK"/>
    <s v="Concluido, controlos OK"/>
    <m/>
    <x v="0"/>
    <d v="2024-06-07T00:00:00"/>
    <x v="0"/>
    <s v="OK"/>
    <m/>
    <m/>
    <m/>
    <s v="Campo concluido"/>
    <s v="Y"/>
    <s v="N"/>
    <s v="N"/>
    <s v="N"/>
    <s v="N"/>
    <s v="N"/>
    <x v="0"/>
    <n v="0"/>
  </r>
  <r>
    <s v="PROTECTION"/>
    <s v="PRTCTN_VLTN_APPRCH"/>
    <x v="0"/>
    <s v="7. Analisar controlos e completude"/>
    <s v="NOK"/>
    <s v="Controlos NOK"/>
    <m/>
    <x v="2"/>
    <d v="2024-06-07T00:00:00"/>
    <x v="5"/>
    <s v="NOK"/>
    <m/>
    <m/>
    <m/>
    <s v="Analisar controlos NOK"/>
    <s v="Y"/>
    <s v="N"/>
    <s v="N"/>
    <s v="N"/>
    <s v="N"/>
    <s v="N"/>
    <x v="0"/>
    <n v="0"/>
  </r>
  <r>
    <s v="INSTRUMENT"/>
    <s v="PRVSNS_OFF_BLNC_SHT"/>
    <x v="0"/>
    <s v="9. Concluído"/>
    <s v="OK"/>
    <s v="Concluido, controlos OK"/>
    <m/>
    <x v="0"/>
    <d v="2024-06-07T00:00:00"/>
    <x v="0"/>
    <s v="OK"/>
    <m/>
    <m/>
    <m/>
    <s v="Campo concluido"/>
    <s v="Y"/>
    <s v="Y"/>
    <s v="N"/>
    <s v="N"/>
    <s v="N"/>
    <s v="N"/>
    <x v="0"/>
    <n v="0"/>
  </r>
  <r>
    <s v="INSTRUMENT"/>
    <s v="PYMNT_FRQNCY"/>
    <x v="0"/>
    <s v="5.2 Em testes - Incidência"/>
    <s v="OK"/>
    <s v="Campo com incidência. Verificar necessidade de alteração da fonte para fins de reconciliação"/>
    <s v="Utilizada informação de imparidade, sempre que não exista reportar info da LT, tendo em conta que caso TYP-AMRTSTN seja 4 este campo também deverá ser igual a 4. Este último critério não está atualmente a ser aplicado na LT. Rever se devemos utilizar a informação de IFRS9 ou manter a de alm"/>
    <x v="1"/>
    <d v="2024-06-07T00:00:00"/>
    <x v="1"/>
    <s v="OK"/>
    <m/>
    <m/>
    <m/>
    <s v="Pendente de decisão"/>
    <s v="Y"/>
    <s v="N"/>
    <s v="N"/>
    <s v="N"/>
    <s v="N"/>
    <s v="N"/>
    <x v="0"/>
    <n v="0"/>
  </r>
  <r>
    <s v="INSTRUMENT"/>
    <s v="PYMNT_INTRST_ONLY"/>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x v="1"/>
    <d v="2024-06-07T00:00:00"/>
    <x v="4"/>
    <s v="NOK"/>
    <m/>
    <m/>
    <m/>
    <s v="Pendente de decisão"/>
    <s v="Y"/>
    <s v="N"/>
    <s v="N"/>
    <s v="N"/>
    <s v="N"/>
    <s v="Y"/>
    <x v="1"/>
    <s v="5. Campos com outras possíveis alterações - Dependente de decisões OSI "/>
  </r>
  <r>
    <s v="INSTRUMENT"/>
    <s v="RCRS"/>
    <x v="0"/>
    <s v="9. Concluído"/>
    <s v="OK"/>
    <s v="Concluido, controlos OK"/>
    <m/>
    <x v="0"/>
    <d v="2024-06-07T00:00:00"/>
    <x v="0"/>
    <s v="OK"/>
    <m/>
    <m/>
    <m/>
    <s v="Campo concluido"/>
    <s v="Y"/>
    <s v="N"/>
    <s v="N"/>
    <s v="N"/>
    <s v="N"/>
    <s v="N"/>
    <x v="0"/>
    <n v="0"/>
  </r>
  <r>
    <s v="INSTRUMENT"/>
    <s v="RCVD_AMRTSTN_12M"/>
    <x v="0"/>
    <s v="7. Analisar controlos e completude"/>
    <s v="NOK"/>
    <s v="Controlos NOK"/>
    <m/>
    <x v="2"/>
    <d v="2024-06-07T00:00:00"/>
    <x v="5"/>
    <s v="NOK"/>
    <m/>
    <m/>
    <m/>
    <s v="Analisar controlos NOK"/>
    <s v="Y"/>
    <s v="N"/>
    <s v="N"/>
    <s v="N"/>
    <s v="N"/>
    <s v="Y"/>
    <x v="1"/>
    <s v="4. Campos com NOK controlos Corporativos"/>
  </r>
  <r>
    <s v="INSTRUMENT"/>
    <s v="RCVD_AMRTSTN_24M"/>
    <x v="0"/>
    <s v="9. Concluído"/>
    <s v="OK"/>
    <s v="Concluido, controlos OK"/>
    <m/>
    <x v="0"/>
    <d v="2024-06-07T00:00:00"/>
    <x v="0"/>
    <s v="OK"/>
    <m/>
    <m/>
    <m/>
    <s v="Campo concluido"/>
    <s v="Y"/>
    <s v="N"/>
    <s v="N"/>
    <s v="N"/>
    <s v="N"/>
    <s v="Y"/>
    <x v="0"/>
    <s v="6.1. Fora âmbito | Campos concluídos - Sem necessidade de espec."/>
  </r>
  <r>
    <s v="PROTECTION"/>
    <s v="DT_CNSTRCTN_STTS"/>
    <x v="1"/>
    <s v="2. Alterar especificação"/>
    <s v="NOK"/>
    <s v="Campo dependente do MUG"/>
    <s v="Criação de uma tabela auxiliar de histórico dos estados de construção numa ótica diária"/>
    <x v="1"/>
    <d v="2024-10-03T00:00:00"/>
    <x v="2"/>
    <s v="NOK"/>
    <m/>
    <m/>
    <m/>
    <s v="Necessidade de correção de erros"/>
    <s v="Y"/>
    <s v="N"/>
    <s v="N"/>
    <s v="N"/>
    <s v="N"/>
    <s v="N"/>
    <x v="0"/>
    <n v="0"/>
  </r>
  <r>
    <s v="INSTRUMENT"/>
    <s v="DFLT_STTS_INSTRMNT"/>
    <x v="0"/>
    <s v="2. Alterar especificação"/>
    <s v="NOK"/>
    <s v="É necessário adicionar este campo como obrigatório  para as linhas manuais (CMAH) e rever com a Leonor a tabela de parametrização (a área identificou incidências de acordo com o GUIA). Na OSI apenas foi adicionado a informação para ajustes manuais."/>
    <m/>
    <x v="1"/>
    <d v="2024-06-07T00:00:00"/>
    <x v="2"/>
    <s v="NOK"/>
    <m/>
    <m/>
    <m/>
    <s v="Necessidade de correção de erros"/>
    <s v="Y"/>
    <s v="Y"/>
    <s v="Y"/>
    <s v="N"/>
    <s v="N"/>
    <s v="Y"/>
    <x v="1"/>
    <s v="2.2 Re-especificação de campos complexos - Resto"/>
  </r>
  <r>
    <s v="INSTRUMENT"/>
    <s v="CMMTMNT_INSTRMNT"/>
    <x v="0"/>
    <s v="2. Alterar especificação"/>
    <s v="OK"/>
    <s v="Alterar especificação (Área enviou nova metodologia do campo)"/>
    <s v="Nova metodologia identificada pelo Rafael Pessoa durante OSI IFRS9, é necessário alterar a especificação para GRSS_CRRYNG_AMNT_INSTRMNT - OFF_BLNC_SHT_AMNT_INSTRMNT"/>
    <x v="2"/>
    <d v="2024-06-07T00:00:00"/>
    <x v="2"/>
    <s v="OK"/>
    <m/>
    <m/>
    <m/>
    <s v="Melhorias estruturais (garantir coerência entre campos)"/>
    <s v="Y"/>
    <s v="N"/>
    <s v="N"/>
    <s v="N"/>
    <s v="N"/>
    <s v="N"/>
    <x v="0"/>
    <n v="0"/>
  </r>
  <r>
    <s v="INSTRUMENT"/>
    <s v="RFRNC_RT"/>
    <x v="1"/>
    <s v="9. Concluído"/>
    <s v="OK"/>
    <s v="Concluido, controlos OK"/>
    <m/>
    <x v="0"/>
    <d v="2024-06-07T00:00:00"/>
    <x v="0"/>
    <s v="OK"/>
    <m/>
    <m/>
    <m/>
    <s v="Campo concluido"/>
    <s v="Y"/>
    <s v="N"/>
    <s v="N"/>
    <s v="N"/>
    <s v="N"/>
    <s v="N"/>
    <x v="0"/>
    <n v="0"/>
  </r>
  <r>
    <s v="PROTECTION"/>
    <s v="RL_ESTT_ADDRSS"/>
    <x v="1"/>
    <s v="7. Analisar controlos e completude"/>
    <s v="NOK"/>
    <s v="Controlos NOK"/>
    <m/>
    <x v="2"/>
    <d v="2024-06-07T00:00:00"/>
    <x v="5"/>
    <s v="NOK"/>
    <m/>
    <m/>
    <m/>
    <s v="Analisar controlos NOK"/>
    <s v="Y"/>
    <s v="N"/>
    <s v="N"/>
    <s v="N"/>
    <s v="Y"/>
    <s v="N"/>
    <x v="0"/>
    <n v="0"/>
  </r>
  <r>
    <s v="INSTRUMENT"/>
    <s v="CMLTV_RCVRS_SNC_DFLT_INSTRMNT"/>
    <x v="0"/>
    <s v="2. Alterar especificação"/>
    <s v="OK"/>
    <s v="Campo especificado, mas sem dados. Campo marcado com MISS ou NA"/>
    <m/>
    <x v="2"/>
    <d v="2024-06-07T00:00:00"/>
    <x v="2"/>
    <s v="OK"/>
    <m/>
    <m/>
    <m/>
    <s v="Campo concluído, mas sem ou pouca informação na fonte"/>
    <s v="Y"/>
    <s v="N"/>
    <s v="N"/>
    <s v="N"/>
    <s v="N"/>
    <s v="N"/>
    <x v="0"/>
    <n v="0"/>
  </r>
  <r>
    <s v="PROTECTION"/>
    <s v="RL_ESTT_CLLTRL_LCTN_INT"/>
    <x v="1"/>
    <s v="7. Analisar controlos e completude"/>
    <s v="NOK"/>
    <s v="Controlos NOK"/>
    <m/>
    <x v="2"/>
    <d v="2024-06-07T00:00:00"/>
    <x v="5"/>
    <s v="NOK"/>
    <m/>
    <m/>
    <m/>
    <s v="Analisar controlos NOK"/>
    <s v="Y"/>
    <s v="N"/>
    <s v="N"/>
    <s v="N"/>
    <s v="Y"/>
    <s v="N"/>
    <x v="0"/>
    <n v="0"/>
  </r>
  <r>
    <s v="PROTECTION"/>
    <s v="RL_ESTT_CTY"/>
    <x v="1"/>
    <s v="7. Analisar controlos e completude"/>
    <s v="NOK"/>
    <s v="Controlos NOK"/>
    <m/>
    <x v="2"/>
    <d v="2024-06-07T00:00:00"/>
    <x v="5"/>
    <s v="NOK"/>
    <m/>
    <m/>
    <m/>
    <s v="Analisar controlos NOK"/>
    <s v="Y"/>
    <s v="N"/>
    <s v="N"/>
    <s v="N"/>
    <s v="Y"/>
    <s v="N"/>
    <x v="0"/>
    <n v="0"/>
  </r>
  <r>
    <s v="PROTECTION"/>
    <s v="RL_ESTT_PST_CD"/>
    <x v="0"/>
    <s v="7. Analisar controlos e completude"/>
    <s v="NOK"/>
    <s v="Controlos NOK"/>
    <m/>
    <x v="2"/>
    <d v="2024-06-07T00:00:00"/>
    <x v="5"/>
    <s v="NOK"/>
    <m/>
    <m/>
    <m/>
    <s v="Analisar controlos NOK"/>
    <s v="Y"/>
    <s v="N"/>
    <s v="Y"/>
    <s v="N"/>
    <s v="Y"/>
    <s v="N"/>
    <x v="0"/>
    <n v="0"/>
  </r>
  <r>
    <s v="INSTRUMENT"/>
    <s v="RRE_FNRP18"/>
    <x v="1"/>
    <s v="9. Concluído"/>
    <s v="OK"/>
    <s v="Concluido, controlos OK"/>
    <m/>
    <x v="0"/>
    <d v="2024-06-07T00:00:00"/>
    <x v="0"/>
    <s v="OK"/>
    <m/>
    <m/>
    <m/>
    <s v="Campo concluido"/>
    <s v="Y"/>
    <s v="N"/>
    <s v="N"/>
    <s v="N"/>
    <s v="N"/>
    <s v="N"/>
    <x v="0"/>
    <n v="0"/>
  </r>
  <r>
    <s v="ENTITY"/>
    <s v="RTNG_MTHD"/>
    <x v="0"/>
    <s v="5.1 Em testes - Re-especificação"/>
    <s v="NOK"/>
    <s v="Em testes, campo entregue por IT durante a OSI. Testar e validar controlos"/>
    <m/>
    <x v="1"/>
    <d v="2024-06-07T00:00:00"/>
    <x v="8"/>
    <s v="NOK"/>
    <m/>
    <d v="2024-02-16T00:00:00"/>
    <d v="2024-03-21T00:00:00"/>
    <s v="Alteração de especificação por parte do BCE"/>
    <s v="Y"/>
    <s v="N"/>
    <s v="N"/>
    <s v="N"/>
    <s v="N"/>
    <s v="Y"/>
    <x v="1"/>
    <s v="3. Campos em testes ou c/ incidências"/>
  </r>
  <r>
    <s v="INSTRUMENT"/>
    <s v="RTNG_MTHD"/>
    <x v="0"/>
    <s v="5.1 Em testes - Re-especificação"/>
    <s v="NOK"/>
    <s v="Em testes, campo entregue por IT durante a OSI. Testar e validar controlos"/>
    <m/>
    <x v="1"/>
    <d v="2024-06-07T00:00:00"/>
    <x v="8"/>
    <s v="NOK"/>
    <m/>
    <d v="2024-02-16T00:00:00"/>
    <d v="2024-03-21T00:00:00"/>
    <s v="Alteração de especificação por parte do BCE"/>
    <s v="Y"/>
    <s v="N"/>
    <s v="N"/>
    <s v="N"/>
    <s v="N"/>
    <s v="Y"/>
    <x v="1"/>
    <s v="3. Campos em testes ou c/ incidências"/>
  </r>
  <r>
    <s v="ENTITY"/>
    <s v="RTNG_SCL"/>
    <x v="0"/>
    <s v="9. Concluído"/>
    <s v="OK"/>
    <s v="Concluido, controlos OK"/>
    <m/>
    <x v="0"/>
    <d v="2024-06-07T00:00:00"/>
    <x v="0"/>
    <s v="OK"/>
    <m/>
    <m/>
    <m/>
    <s v="Campo concluido"/>
    <s v="Y"/>
    <s v="N"/>
    <s v="N"/>
    <s v="N"/>
    <s v="N"/>
    <s v="Y"/>
    <x v="0"/>
    <s v="6.1. Fora âmbito | Campos concluídos - Sem necessidade de espec."/>
  </r>
  <r>
    <s v="INSTRUMENT"/>
    <s v="RTNG_SCL"/>
    <x v="0"/>
    <s v="9. Concluído"/>
    <s v="OK"/>
    <s v="Concluido, controlos OK"/>
    <m/>
    <x v="0"/>
    <d v="2024-06-07T00:00:00"/>
    <x v="0"/>
    <s v="OK"/>
    <m/>
    <m/>
    <m/>
    <s v="Campo concluido"/>
    <s v="Y"/>
    <s v="N"/>
    <s v="N"/>
    <s v="N"/>
    <s v="N"/>
    <s v="Y"/>
    <x v="0"/>
    <s v="6.1. Fora âmbito | Campos concluídos - Sem necessidade de espec."/>
  </r>
  <r>
    <s v="INSTRUMENT"/>
    <s v="RTNTN_SHR"/>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RWA"/>
    <x v="0"/>
    <s v="5.1 Em testes - Re-especificação"/>
    <s v="OK"/>
    <s v="Em testes. Campo com incidências, mas corrigida na LT no âmbito da OSI."/>
    <m/>
    <x v="1"/>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quot; nas várias chaves FR, onde &quot;saldo capital&quot; é obtido através das contas cargabal, cruzamento fr802 e cruzamento com matriz de contas CT805 para o nome perimentro corporativo_x000a_Verificamos que o aprovisionamento do campo está correto de acordo com as regras especificadas"/>
    <d v="2024-02-16T00:00:00"/>
    <d v="2024-03-21T00:00:00"/>
    <s v="Necessidade de correção de erros"/>
    <s v="Y"/>
    <s v="Y"/>
    <s v="N"/>
    <s v="N"/>
    <s v="N"/>
    <s v="Y"/>
    <x v="1"/>
    <s v="3. Campos em testes ou c/ incidências"/>
  </r>
  <r>
    <s v="INSTRUMENT"/>
    <s v="DT_LGL_FNL_MTRTY"/>
    <x v="0"/>
    <s v="5.2 Em testes - Incidência"/>
    <s v="NOK"/>
    <s v="Controlos NOK e com Incidência nos formatos. "/>
    <s v="Alterarção formato de 99999999 para 1111-11-11."/>
    <x v="1"/>
    <d v="2024-06-07T00:00:00"/>
    <x v="1"/>
    <s v="NOK"/>
    <m/>
    <m/>
    <m/>
    <s v="Necessidade de correção de erros"/>
    <s v="Y"/>
    <s v="N"/>
    <s v="Y"/>
    <s v="N"/>
    <s v="N"/>
    <s v="Y"/>
    <x v="1"/>
    <s v="3. Campos em testes ou c/ incidências"/>
  </r>
  <r>
    <s v="INSTRUMENT"/>
    <s v="SBJCT_PBLC_GRNT_SCHM_C19"/>
    <x v="1"/>
    <s v="9. Concluído"/>
    <s v="OK"/>
    <s v="Concluido, controlos OK"/>
    <m/>
    <x v="0"/>
    <d v="2024-06-07T00:00:00"/>
    <x v="0"/>
    <s v="OK"/>
    <m/>
    <m/>
    <m/>
    <s v="Campo concluido"/>
    <s v="Y"/>
    <s v="N"/>
    <s v="N"/>
    <s v="N"/>
    <s v="N"/>
    <s v="N"/>
    <x v="0"/>
    <n v="0"/>
  </r>
  <r>
    <s v="INSTRUMENT"/>
    <s v="DT_NXT_INTRST_RT_RST"/>
    <x v="0"/>
    <s v="5.2 Em testes - Incidência"/>
    <s v="NOK"/>
    <s v="Controlos NOK e com Incidência nos formatos."/>
    <s v=" Alteração formato de 0001-01-01 para 0000-00-00."/>
    <x v="1"/>
    <d v="2024-06-07T00:00:00"/>
    <x v="1"/>
    <s v="NOK"/>
    <m/>
    <m/>
    <m/>
    <s v="Necessidade de correção de erros"/>
    <s v="Y"/>
    <s v="N"/>
    <s v="N"/>
    <s v="N"/>
    <s v="N"/>
    <s v="N"/>
    <x v="0"/>
    <n v="0"/>
  </r>
  <r>
    <s v="INSTRUMENT"/>
    <s v="SME_FNRP18"/>
    <x v="0"/>
    <s v="9. Concluído"/>
    <s v="OK"/>
    <s v="Concluido, controlos OK"/>
    <m/>
    <x v="0"/>
    <d v="2024-06-07T00:00:00"/>
    <x v="0"/>
    <s v="OK"/>
    <m/>
    <m/>
    <m/>
    <s v="Campo concluido"/>
    <s v="Y"/>
    <s v="N"/>
    <s v="N"/>
    <s v="N"/>
    <s v="N"/>
    <s v="N"/>
    <x v="0"/>
    <n v="0"/>
  </r>
  <r>
    <s v="ENTITY"/>
    <s v="SNGL_PRPS_VHCL"/>
    <x v="1"/>
    <s v="9. Concluído"/>
    <s v="OK"/>
    <s v="Concluido, controlos OK"/>
    <m/>
    <x v="0"/>
    <d v="2024-06-07T00:00:00"/>
    <x v="0"/>
    <s v="OK"/>
    <m/>
    <m/>
    <m/>
    <s v="Campo concluido"/>
    <s v="Y"/>
    <s v="N"/>
    <s v="N"/>
    <s v="N"/>
    <s v="N"/>
    <s v="N"/>
    <x v="0"/>
    <n v="0"/>
  </r>
  <r>
    <s v="INSTRUMENT"/>
    <s v="SPCLTV_LNDNG"/>
    <x v="1"/>
    <s v="7. Analisar controlos e completude"/>
    <s v="NOK"/>
    <s v="Controlos NOK"/>
    <m/>
    <x v="2"/>
    <d v="2024-06-07T00:00:00"/>
    <x v="5"/>
    <s v="NOK"/>
    <m/>
    <m/>
    <m/>
    <s v="Analisar controlos NOK"/>
    <s v="Y"/>
    <s v="N"/>
    <s v="N"/>
    <s v="N"/>
    <s v="N"/>
    <s v="N"/>
    <x v="0"/>
    <n v="0"/>
  </r>
  <r>
    <s v="INSTRUMENT"/>
    <s v="SPNSR_NM"/>
    <x v="1"/>
    <s v="8. Concluído - sem dados"/>
    <s v="OK"/>
    <s v="Campo especificado, mas sem dados. Campo marcado com MISS ou NA"/>
    <m/>
    <x v="0"/>
    <d v="2024-06-07T00:00:00"/>
    <x v="6"/>
    <s v="OK"/>
    <m/>
    <m/>
    <m/>
    <s v="Campo concluído, mas sem ou pouca informação na fonte"/>
    <s v="Y"/>
    <s v="N"/>
    <s v="N"/>
    <s v="N"/>
    <s v="N"/>
    <s v="Y"/>
    <x v="2"/>
    <s v="6.3. Fora âmbito | Fonte Manual LF"/>
  </r>
  <r>
    <s v="INSTRUMENT"/>
    <s v="SPRD"/>
    <x v="1"/>
    <s v="9. Concluído"/>
    <s v="OK"/>
    <s v="Concluido, controlos OK"/>
    <m/>
    <x v="0"/>
    <d v="2024-06-07T00:00:00"/>
    <x v="0"/>
    <s v="OK"/>
    <m/>
    <m/>
    <m/>
    <s v="Campo concluido"/>
    <s v="Y"/>
    <s v="N"/>
    <s v="N"/>
    <s v="N"/>
    <s v="N"/>
    <s v="N"/>
    <x v="0"/>
    <n v="0"/>
  </r>
  <r>
    <s v="INSTRUMENT"/>
    <s v="SRCS_ENCMBRNC"/>
    <x v="1"/>
    <s v="9. Concluído"/>
    <s v="OK"/>
    <s v="Concluido, controlos OK"/>
    <m/>
    <x v="0"/>
    <d v="2024-06-07T00:00:00"/>
    <x v="0"/>
    <s v="OK"/>
    <m/>
    <m/>
    <m/>
    <s v="Campo concluido"/>
    <s v="Y"/>
    <s v="N"/>
    <s v="N"/>
    <s v="N"/>
    <s v="N"/>
    <s v="N"/>
    <x v="0"/>
    <n v="0"/>
  </r>
  <r>
    <s v="INSTRUMENT"/>
    <s v="STTS_UNDRWRTTN_TRNSCTN"/>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UBPORTFOLIO_ID"/>
    <x v="0"/>
    <s v="9. Concluído"/>
    <s v="OK"/>
    <s v="Concluido, controlos OK"/>
    <m/>
    <x v="0"/>
    <d v="2024-06-07T00:00:00"/>
    <x v="0"/>
    <s v="OK"/>
    <m/>
    <m/>
    <m/>
    <s v="Campo concluido"/>
    <s v="Y"/>
    <s v="Y"/>
    <s v="Y"/>
    <s v="N"/>
    <s v="Y"/>
    <s v="Y"/>
    <x v="0"/>
    <s v="6.1. Fora âmbito | Campos concluídos - Sem necessidade de espec."/>
  </r>
  <r>
    <s v="INSTRUMENT"/>
    <s v="SYNDCT_RL"/>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AGNT"/>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CNTRCT_ID"/>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LNDRS"/>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SHR"/>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N_TYP"/>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ENTITY"/>
    <s v="TAX_ID"/>
    <x v="1"/>
    <s v="7. Analisar controlos e completude"/>
    <s v="NOK"/>
    <s v="Campo especificado, mas com problemas a montante"/>
    <m/>
    <x v="2"/>
    <d v="2024-06-07T00:00:00"/>
    <x v="5"/>
    <s v="NOK"/>
    <m/>
    <m/>
    <m/>
    <s v="Analisar controlos NOK"/>
    <s v="Y"/>
    <s v="N"/>
    <s v="N"/>
    <s v="N"/>
    <s v="N"/>
    <s v="N"/>
    <x v="0"/>
    <n v="0"/>
  </r>
  <r>
    <s v="PROTECTION"/>
    <s v="TAX_ID"/>
    <x v="1"/>
    <s v="7. Analisar controlos e completude"/>
    <s v="NOK"/>
    <s v="Concluido, controlos por parte de Riscos"/>
    <m/>
    <x v="2"/>
    <d v="2024-06-07T00:00:00"/>
    <x v="5"/>
    <s v="NOK"/>
    <m/>
    <m/>
    <m/>
    <s v="Analisar controlos NOK"/>
    <s v="Y"/>
    <s v="N"/>
    <s v="N"/>
    <s v="N"/>
    <s v="N"/>
    <s v="N"/>
    <x v="0"/>
    <n v="0"/>
  </r>
  <r>
    <s v="INSTR_PROTECTION"/>
    <s v="THRD_PRTY_PRRTY_CLMS"/>
    <x v="0"/>
    <s v="9. Concluído"/>
    <s v="OK"/>
    <s v="Concluido, controlos OK"/>
    <m/>
    <x v="0"/>
    <d v="2024-06-07T00:00:00"/>
    <x v="0"/>
    <s v="OK"/>
    <m/>
    <m/>
    <m/>
    <s v="Campo concluido"/>
    <s v="Y"/>
    <s v="N"/>
    <s v="N"/>
    <s v="N"/>
    <s v="N"/>
    <s v="N"/>
    <x v="0"/>
    <n v="0"/>
  </r>
  <r>
    <s v="INSTRUMENT"/>
    <s v="TRNCH"/>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ENTITY"/>
    <s v="TTL_DBT"/>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Y"/>
    <x v="2"/>
    <s v="6.4. Fora âmbito | Re-especificação de campos complexos - Dem. Fin. CIB"/>
  </r>
  <r>
    <s v="ENTITY"/>
    <s v="TTL_DBT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ACCRD_INTRST_INSTRMNT"/>
    <x v="0"/>
    <s v="2. Alterar especificação"/>
    <s v="OK"/>
    <s v="Alterar especificação (Área enviou nova metodologia do campo)"/>
    <m/>
    <x v="2"/>
    <d v="2024-06-07T00:00:00"/>
    <x v="2"/>
    <s v="OK"/>
    <m/>
    <m/>
    <m/>
    <s v="Melhorias estruturais (garantir coerência entre campos)"/>
    <s v="Y"/>
    <s v="N"/>
    <s v="N"/>
    <s v="N"/>
    <s v="N"/>
    <s v="Y"/>
    <x v="1"/>
    <s v="2.2 Re-especificação de campos complexos - Resto"/>
  </r>
  <r>
    <s v="ENTITY"/>
    <s v="TTL_LVRG_RT"/>
    <x v="1"/>
    <s v="9. Concluído"/>
    <s v="OK"/>
    <s v="Concluido, controlos OK"/>
    <m/>
    <x v="0"/>
    <d v="2024-06-07T00:00:00"/>
    <x v="0"/>
    <s v="OK"/>
    <m/>
    <m/>
    <m/>
    <s v="Campo concluido"/>
    <s v="Y"/>
    <s v="N"/>
    <s v="N"/>
    <s v="N"/>
    <s v="N"/>
    <s v="Y"/>
    <x v="0"/>
    <s v="6.1. Fora âmbito | Campos concluídos - Sem necessidade de espec."/>
  </r>
  <r>
    <s v="ENTITY"/>
    <s v="TTL_LVRG_RT_PRVS"/>
    <x v="1"/>
    <s v="9. Concluído"/>
    <s v="OK"/>
    <s v="Concluido, controlos OK"/>
    <m/>
    <x v="0"/>
    <d v="2024-06-07T00:00:00"/>
    <x v="0"/>
    <s v="OK"/>
    <m/>
    <m/>
    <m/>
    <s v="Campo concluido"/>
    <s v="Y"/>
    <s v="N"/>
    <s v="N"/>
    <s v="N"/>
    <s v="N"/>
    <s v="Y"/>
    <x v="0"/>
    <s v="6.1. Fora âmbito | Campos concluídos - Sem necessidade de espec."/>
  </r>
  <r>
    <s v="INSTRUMENT"/>
    <s v="TYP_AMRTSTN"/>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x v="1"/>
    <d v="2024-06-07T00:00:00"/>
    <x v="4"/>
    <s v="NOK"/>
    <m/>
    <m/>
    <m/>
    <s v="Pendente de decisão"/>
    <s v="Y"/>
    <s v="N"/>
    <s v="N"/>
    <s v="N"/>
    <s v="N"/>
    <s v="Y"/>
    <x v="1"/>
    <s v="5. Campos com outras possíveis alterações - Dependente de decisões OSI "/>
  </r>
  <r>
    <s v="INSTRUMENT"/>
    <s v="TYP_CMPLNT_MRTR_C19"/>
    <x v="1"/>
    <s v="9. Concluído"/>
    <s v="OK"/>
    <s v="Concluido, controlos OK"/>
    <m/>
    <x v="0"/>
    <d v="2024-06-07T00:00:00"/>
    <x v="0"/>
    <s v="OK"/>
    <m/>
    <m/>
    <m/>
    <s v="Campo concluido"/>
    <s v="Y"/>
    <s v="N"/>
    <s v="N"/>
    <s v="N"/>
    <s v="N"/>
    <s v="N"/>
    <x v="0"/>
    <n v="0"/>
  </r>
  <r>
    <s v="INSTRUMENT"/>
    <s v="TYP_CRE_OPRTN"/>
    <x v="1"/>
    <s v="7. Analisar controlos e completude"/>
    <s v="NOK"/>
    <s v="Controlos NOK"/>
    <m/>
    <x v="2"/>
    <d v="2024-06-07T00:00:00"/>
    <x v="5"/>
    <s v="NOK"/>
    <m/>
    <m/>
    <m/>
    <s v="Analisar controlos NOK"/>
    <s v="Y"/>
    <s v="N"/>
    <s v="N"/>
    <s v="N"/>
    <s v="N"/>
    <s v="N"/>
    <x v="0"/>
    <n v="0"/>
  </r>
  <r>
    <s v="INSTRUMENT"/>
    <s v="TYP_INSTRMNT"/>
    <x v="0"/>
    <s v="9. Concluído"/>
    <s v="OK"/>
    <s v="Concluido, controlos OK"/>
    <m/>
    <x v="0"/>
    <d v="2024-06-07T00:00:00"/>
    <x v="0"/>
    <s v="OK"/>
    <m/>
    <m/>
    <m/>
    <s v="Campo concluido"/>
    <s v="Y"/>
    <s v="Y"/>
    <s v="Y"/>
    <s v="N"/>
    <s v="N"/>
    <s v="Y"/>
    <x v="0"/>
    <s v="6.1. Fora âmbito | Campos concluídos - Sem necessidade de espec."/>
  </r>
  <r>
    <s v="INSTRUMENT"/>
    <s v="TYP_INTRST_RT"/>
    <x v="0"/>
    <s v="9. Concluído"/>
    <s v="OK"/>
    <s v="Concluido, controlos OK"/>
    <m/>
    <x v="0"/>
    <d v="2024-06-07T00:00:00"/>
    <x v="0"/>
    <s v="OK"/>
    <m/>
    <m/>
    <m/>
    <s v="Campo concluido"/>
    <s v="Y"/>
    <s v="N"/>
    <s v="N"/>
    <s v="N"/>
    <s v="N"/>
    <s v="N"/>
    <x v="0"/>
    <n v="0"/>
  </r>
  <r>
    <s v="PROTECTION"/>
    <s v="PRTCTN_VL"/>
    <x v="0"/>
    <s v="5.2 Em testes - Incidência"/>
    <s v="OK"/>
    <s v="Campo com incidência"/>
    <s v="Incidências: Casos em que valor é 0"/>
    <x v="1"/>
    <d v="2024-09-27T00:00:00"/>
    <x v="1"/>
    <s v="NOK"/>
    <s v="44 garantias com valor zero."/>
    <m/>
    <m/>
    <s v="Necessidade de correção de erros"/>
    <s v="Y"/>
    <s v="Y"/>
    <s v="Y"/>
    <s v="N"/>
    <s v="N"/>
    <s v="N"/>
    <x v="0"/>
    <n v="0"/>
  </r>
  <r>
    <s v="PROTECTION"/>
    <s v="PRTCTN_VL_NPE"/>
    <x v="0"/>
    <s v="5.1 Em testes - Re-especificação"/>
    <s v="OK"/>
    <s v="Campo depende do histórico do PRFRMNG_STTS. Não é necessário alterar a especificação do mesmo, apenas testar se a metodologia do campo PRFRMNG_STTS for alterada. "/>
    <m/>
    <x v="1"/>
    <d v="2024-10-03T00:00:00"/>
    <x v="8"/>
    <s v="OK"/>
    <m/>
    <m/>
    <m/>
    <s v="Pendente de decisão"/>
    <s v="Y"/>
    <s v="N"/>
    <s v="N"/>
    <s v="N"/>
    <s v="N"/>
    <s v="N"/>
    <x v="0"/>
    <n v="0"/>
  </r>
  <r>
    <s v="PROTECTION"/>
    <s v="TYP_PRTCTN_INTRNL"/>
    <x v="0"/>
    <s v="7. Analisar controlos e completude"/>
    <s v="NOK"/>
    <s v="Controlos NOK"/>
    <m/>
    <x v="2"/>
    <d v="2024-06-07T00:00:00"/>
    <x v="5"/>
    <s v="NOK"/>
    <m/>
    <m/>
    <m/>
    <s v="Analisar controlos NOK"/>
    <s v="Y"/>
    <s v="N"/>
    <s v="N"/>
    <s v="N"/>
    <s v="N"/>
    <s v="N"/>
    <x v="0"/>
    <n v="0"/>
  </r>
  <r>
    <s v="PROTECTION"/>
    <s v="TYP_PRTCTN_VL"/>
    <x v="0"/>
    <s v="7. Analisar controlos e completude"/>
    <s v="NOK"/>
    <s v="Controlos NOK"/>
    <m/>
    <x v="2"/>
    <d v="2024-06-07T00:00:00"/>
    <x v="5"/>
    <s v="NOK"/>
    <m/>
    <m/>
    <m/>
    <s v="Analisar controlos NOK"/>
    <s v="Y"/>
    <s v="N"/>
    <s v="N"/>
    <s v="N"/>
    <s v="N"/>
    <s v="N"/>
    <x v="0"/>
    <n v="0"/>
  </r>
  <r>
    <s v="INSTRUMENT"/>
    <s v="TYPE_OF_PLCMNT"/>
    <x v="1"/>
    <s v="9. Concluído"/>
    <s v="OK"/>
    <s v="Concluido, controlos OK"/>
    <m/>
    <x v="0"/>
    <d v="2024-06-07T00:00:00"/>
    <x v="0"/>
    <s v="OK"/>
    <m/>
    <m/>
    <m/>
    <s v="Campo concluido"/>
    <s v="Y"/>
    <s v="N"/>
    <s v="N"/>
    <s v="N"/>
    <s v="N"/>
    <s v="N"/>
    <x v="0"/>
    <n v="0"/>
  </r>
  <r>
    <s v="INSTRUMENT"/>
    <s v="VLTN_CRRNCY"/>
    <x v="1"/>
    <s v="9. Concluído"/>
    <s v="OK"/>
    <s v="Concluido, controlos OK"/>
    <m/>
    <x v="0"/>
    <d v="2024-06-07T00:00:00"/>
    <x v="0"/>
    <s v="OK"/>
    <m/>
    <m/>
    <m/>
    <s v="Campo concluido"/>
    <s v="Y"/>
    <s v="N"/>
    <s v="N"/>
    <s v="N"/>
    <s v="N"/>
    <s v="N"/>
    <x v="0"/>
    <n v="0"/>
  </r>
  <r>
    <s v="INSTRUMENT"/>
    <s v="VLTN_TYP"/>
    <x v="1"/>
    <s v="9. Concluído"/>
    <s v="OK"/>
    <s v="Concluido, controlos OK"/>
    <m/>
    <x v="0"/>
    <d v="2024-06-07T00:00:00"/>
    <x v="0"/>
    <s v="OK"/>
    <m/>
    <m/>
    <m/>
    <s v="Campo concluido"/>
    <s v="Y"/>
    <s v="N"/>
    <s v="N"/>
    <s v="N"/>
    <s v="N"/>
    <s v="N"/>
    <x v="0"/>
    <n v="0"/>
  </r>
  <r>
    <s v="ENTITY"/>
    <s v="WTCH_LST"/>
    <x v="0"/>
    <s v="9. Concluído"/>
    <s v="OK"/>
    <s v="Concluido, controlos OK"/>
    <m/>
    <x v="0"/>
    <d v="2024-06-07T00:00:00"/>
    <x v="0"/>
    <s v="OK"/>
    <m/>
    <m/>
    <m/>
    <s v="Campo concluido"/>
    <s v="Y"/>
    <s v="N"/>
    <s v="N"/>
    <s v="N"/>
    <s v="N"/>
    <s v="Y"/>
    <x v="0"/>
    <s v="6.1. Fora âmbito | Campos concluídos - Sem necessidade de espec."/>
  </r>
  <r>
    <s v="PROTECTION"/>
    <s v="YR_CNSTRCTN"/>
    <x v="1"/>
    <s v="1. Especificar"/>
    <s v="OK"/>
    <s v="Em especificação (Campos Novos)"/>
    <m/>
    <x v="2"/>
    <d v="2024-06-07T00:00:00"/>
    <x v="3"/>
    <s v="OK"/>
    <m/>
    <m/>
    <m/>
    <s v="Novo campo"/>
    <s v="Y"/>
    <s v="N"/>
    <s v="Y"/>
    <s v="N"/>
    <s v="Y"/>
    <s v="N"/>
    <x v="0"/>
    <n v="0"/>
  </r>
  <r>
    <s v="ENTITY"/>
    <s v="ADDRSS_CTY"/>
    <x v="1"/>
    <s v="1. Especificar"/>
    <m/>
    <m/>
    <m/>
    <x v="2"/>
    <d v="2025-01-10T00:00:00"/>
    <x v="3"/>
    <m/>
    <m/>
    <m/>
    <m/>
    <m/>
    <s v="Y"/>
    <s v="N"/>
    <s v="N"/>
    <s v="N"/>
    <s v="N"/>
    <s v="N"/>
    <x v="3"/>
    <n v="0"/>
  </r>
  <r>
    <s v="ENTITY"/>
    <s v="ADDRSS_STRT"/>
    <x v="1"/>
    <s v="1. Especificar"/>
    <m/>
    <m/>
    <m/>
    <x v="2"/>
    <d v="2025-01-10T00:00:00"/>
    <x v="3"/>
    <m/>
    <m/>
    <m/>
    <m/>
    <m/>
    <s v="Y"/>
    <s v="N"/>
    <s v="N"/>
    <s v="N"/>
    <s v="N"/>
    <s v="N"/>
    <x v="3"/>
    <n v="0"/>
  </r>
  <r>
    <s v="ENTITY"/>
    <s v="DT_ENTRPRS_SZ"/>
    <x v="1"/>
    <s v="1. Especificar"/>
    <m/>
    <m/>
    <m/>
    <x v="2"/>
    <d v="2025-01-10T00:00:00"/>
    <x v="3"/>
    <m/>
    <m/>
    <m/>
    <m/>
    <m/>
    <s v="Y"/>
    <s v="N"/>
    <s v="N"/>
    <s v="N"/>
    <s v="N"/>
    <s v="N"/>
    <x v="3"/>
    <n v="0"/>
  </r>
  <r>
    <s v="ENTITY"/>
    <s v="NMBR_EMPLYS"/>
    <x v="1"/>
    <s v="1. Especificar"/>
    <m/>
    <m/>
    <m/>
    <x v="2"/>
    <d v="2025-01-10T00:00:00"/>
    <x v="3"/>
    <m/>
    <m/>
    <m/>
    <m/>
    <m/>
    <s v="Y"/>
    <s v="N"/>
    <s v="N"/>
    <s v="N"/>
    <s v="N"/>
    <s v="N"/>
    <x v="3"/>
    <n v="0"/>
  </r>
  <r>
    <s v="ENTITY"/>
    <s v="LGL_FRM"/>
    <x v="1"/>
    <s v="1. Especificar"/>
    <m/>
    <m/>
    <m/>
    <x v="2"/>
    <d v="2025-01-10T00:00:00"/>
    <x v="3"/>
    <m/>
    <m/>
    <m/>
    <m/>
    <m/>
    <s v="Y"/>
    <s v="N"/>
    <s v="N"/>
    <s v="N"/>
    <s v="N"/>
    <s v="N"/>
    <x v="3"/>
    <n v="0"/>
  </r>
  <r>
    <s v="ENTITY"/>
    <s v="HD_OFFC_UNDRTKNG_ID"/>
    <x v="1"/>
    <s v="1. Especificar"/>
    <m/>
    <m/>
    <m/>
    <x v="2"/>
    <d v="2025-01-10T00:00:00"/>
    <x v="3"/>
    <m/>
    <m/>
    <m/>
    <m/>
    <m/>
    <s v="Y"/>
    <s v="N"/>
    <s v="N"/>
    <s v="N"/>
    <s v="N"/>
    <s v="N"/>
    <x v="3"/>
    <n v="0"/>
  </r>
  <r>
    <s v="ENTITY"/>
    <s v="IMMDT_PRNT_UNDRTKNG_ID"/>
    <x v="1"/>
    <s v="1. Especificar"/>
    <m/>
    <m/>
    <m/>
    <x v="2"/>
    <d v="2025-01-10T00:00:00"/>
    <x v="3"/>
    <m/>
    <m/>
    <m/>
    <m/>
    <m/>
    <s v="Y"/>
    <s v="N"/>
    <s v="N"/>
    <s v="N"/>
    <s v="N"/>
    <s v="N"/>
    <x v="3"/>
    <n v="0"/>
  </r>
  <r>
    <s v="ENTITY"/>
    <s v="ULTMT_PRNT_UNDRTKNG_ID"/>
    <x v="1"/>
    <s v="1. Especificar"/>
    <m/>
    <m/>
    <m/>
    <x v="2"/>
    <d v="2025-01-10T00:00:00"/>
    <x v="3"/>
    <m/>
    <m/>
    <m/>
    <m/>
    <m/>
    <s v="Y"/>
    <s v="N"/>
    <s v="N"/>
    <s v="N"/>
    <s v="N"/>
    <s v="N"/>
    <x v="3"/>
    <n v="0"/>
  </r>
  <r>
    <s v="ENTITY"/>
    <s v="TTL_ASSTS"/>
    <x v="1"/>
    <s v="1. Especificar"/>
    <m/>
    <m/>
    <m/>
    <x v="2"/>
    <d v="2025-01-10T00:00:00"/>
    <x v="3"/>
    <m/>
    <m/>
    <m/>
    <m/>
    <m/>
    <s v="Y"/>
    <s v="N"/>
    <s v="N"/>
    <s v="N"/>
    <s v="N"/>
    <s v="N"/>
    <x v="3"/>
    <n v="0"/>
  </r>
  <r>
    <s v="ENTITY"/>
    <s v="ENTTY_ID_BDR"/>
    <x v="1"/>
    <s v="1. Especificar"/>
    <m/>
    <m/>
    <m/>
    <x v="2"/>
    <d v="2025-01-10T00:00:00"/>
    <x v="3"/>
    <m/>
    <m/>
    <m/>
    <m/>
    <m/>
    <s v="Y"/>
    <s v="N"/>
    <s v="N"/>
    <s v="N"/>
    <s v="N"/>
    <s v="N"/>
    <x v="3"/>
    <n v="0"/>
  </r>
  <r>
    <s v="INSTRUMENT"/>
    <s v="CPN_RT_FLTNG"/>
    <x v="1"/>
    <s v="1. Especificar"/>
    <m/>
    <m/>
    <m/>
    <x v="2"/>
    <d v="2025-01-10T00:00:00"/>
    <x v="3"/>
    <m/>
    <m/>
    <m/>
    <m/>
    <m/>
    <s v="Y"/>
    <s v="N"/>
    <s v="N"/>
    <s v="N"/>
    <s v="N"/>
    <s v="N"/>
    <x v="3"/>
    <n v="0"/>
  </r>
  <r>
    <s v="INSTRUMENT"/>
    <s v="INTRST_RT_CP"/>
    <x v="1"/>
    <s v="1. Especificar"/>
    <m/>
    <m/>
    <m/>
    <x v="2"/>
    <d v="2025-01-10T00:00:00"/>
    <x v="3"/>
    <m/>
    <m/>
    <m/>
    <m/>
    <m/>
    <s v="Y"/>
    <s v="N"/>
    <s v="N"/>
    <s v="N"/>
    <s v="N"/>
    <s v="N"/>
    <x v="3"/>
    <n v="0"/>
  </r>
  <r>
    <s v="INSTRUMENT"/>
    <s v="INTRST_RT_FLR"/>
    <x v="1"/>
    <s v="1. Especificar"/>
    <m/>
    <m/>
    <m/>
    <x v="2"/>
    <d v="2025-01-10T00:00:00"/>
    <x v="3"/>
    <m/>
    <m/>
    <m/>
    <m/>
    <m/>
    <s v="Y"/>
    <s v="N"/>
    <s v="N"/>
    <s v="N"/>
    <s v="N"/>
    <s v="N"/>
    <x v="3"/>
    <n v="0"/>
  </r>
  <r>
    <s v="INSTRUMENT"/>
    <s v="NMNL_INTRST_RT_FEE"/>
    <x v="1"/>
    <s v="1. Especificar"/>
    <m/>
    <m/>
    <m/>
    <x v="2"/>
    <d v="2025-01-10T00:00:00"/>
    <x v="3"/>
    <m/>
    <m/>
    <m/>
    <m/>
    <m/>
    <s v="Y"/>
    <s v="N"/>
    <s v="N"/>
    <s v="N"/>
    <s v="N"/>
    <s v="N"/>
    <x v="3"/>
    <n v="0"/>
  </r>
  <r>
    <s v="INSTRUMENT"/>
    <s v="DT_STTLMNT"/>
    <x v="1"/>
    <s v="1. Especificar"/>
    <m/>
    <m/>
    <m/>
    <x v="2"/>
    <d v="2025-01-10T00:00:00"/>
    <x v="3"/>
    <m/>
    <m/>
    <m/>
    <m/>
    <m/>
    <s v="Y"/>
    <s v="N"/>
    <s v="N"/>
    <s v="N"/>
    <s v="N"/>
    <s v="N"/>
    <x v="3"/>
    <n v="0"/>
  </r>
  <r>
    <s v="INSTRUMENT"/>
    <s v="TRNSFRRD_AMNT"/>
    <x v="1"/>
    <s v="1. Especificar"/>
    <m/>
    <m/>
    <m/>
    <x v="2"/>
    <d v="2025-01-10T00:00:00"/>
    <x v="3"/>
    <m/>
    <m/>
    <m/>
    <m/>
    <m/>
    <s v="Y"/>
    <s v="N"/>
    <s v="N"/>
    <s v="N"/>
    <s v="N"/>
    <s v="N"/>
    <x v="3"/>
    <n v="0"/>
  </r>
  <r>
    <s v="INSTRUMENT"/>
    <s v="TYP_SCRTZTN"/>
    <x v="1"/>
    <s v="1. Especificar"/>
    <m/>
    <m/>
    <m/>
    <x v="2"/>
    <d v="2025-01-10T00:00:00"/>
    <x v="3"/>
    <m/>
    <m/>
    <m/>
    <m/>
    <m/>
    <s v="Y"/>
    <s v="N"/>
    <s v="N"/>
    <s v="N"/>
    <s v="N"/>
    <s v="N"/>
    <x v="3"/>
    <n v="0"/>
  </r>
  <r>
    <s v="INSTRUMENT"/>
    <s v="TYP_OFF_BLNC_PRDCT"/>
    <x v="1"/>
    <s v="1. Especificar"/>
    <m/>
    <m/>
    <m/>
    <x v="2"/>
    <d v="2025-01-10T00:00:00"/>
    <x v="3"/>
    <m/>
    <m/>
    <m/>
    <m/>
    <m/>
    <s v="Y"/>
    <s v="Y"/>
    <s v="Y"/>
    <s v="N"/>
    <s v="N"/>
    <s v="Y"/>
    <x v="1"/>
    <s v="1. Novos Campos"/>
  </r>
  <r>
    <s v="INSTRUMENT"/>
    <s v="BLNC_SHT_RCGNTN"/>
    <x v="1"/>
    <s v="1. Especificar"/>
    <m/>
    <m/>
    <m/>
    <x v="2"/>
    <d v="2025-01-10T00:00:00"/>
    <x v="3"/>
    <m/>
    <m/>
    <m/>
    <m/>
    <m/>
    <s v="Y"/>
    <s v="N"/>
    <s v="N"/>
    <s v="N"/>
    <s v="N"/>
    <s v="N"/>
    <x v="3"/>
    <n v="0"/>
  </r>
  <r>
    <s v="INSTRUMENT"/>
    <s v="FLG_DFLT"/>
    <x v="1"/>
    <s v="1. Especificar"/>
    <m/>
    <m/>
    <m/>
    <x v="2"/>
    <d v="2025-01-10T00:00:00"/>
    <x v="3"/>
    <m/>
    <m/>
    <m/>
    <m/>
    <m/>
    <s v="Y"/>
    <s v="N"/>
    <s v="N"/>
    <s v="N"/>
    <s v="N"/>
    <s v="N"/>
    <x v="3"/>
    <n v="0"/>
  </r>
  <r>
    <s v="INSTRUMENT"/>
    <s v="FLG_HGH_RSK"/>
    <x v="1"/>
    <s v="1. Especificar"/>
    <m/>
    <m/>
    <m/>
    <x v="2"/>
    <d v="2025-01-10T00:00:00"/>
    <x v="3"/>
    <m/>
    <m/>
    <m/>
    <m/>
    <m/>
    <s v="Y"/>
    <s v="N"/>
    <s v="N"/>
    <s v="N"/>
    <s v="N"/>
    <s v="N"/>
    <x v="3"/>
    <n v="0"/>
  </r>
  <r>
    <s v="INSTRUMENT"/>
    <s v="PRTNR"/>
    <x v="1"/>
    <s v="1. Especificar"/>
    <m/>
    <m/>
    <m/>
    <x v="2"/>
    <d v="2025-01-10T00:00:00"/>
    <x v="3"/>
    <m/>
    <m/>
    <m/>
    <m/>
    <m/>
    <s v="Y"/>
    <s v="N"/>
    <s v="N"/>
    <s v="Y"/>
    <s v="N"/>
    <s v="N"/>
    <x v="3"/>
    <n v="0"/>
  </r>
  <r>
    <s v="INSTRUMENT"/>
    <s v="INCNTVS"/>
    <x v="1"/>
    <s v="1. Especificar"/>
    <m/>
    <m/>
    <m/>
    <x v="2"/>
    <d v="2025-01-10T00:00:00"/>
    <x v="3"/>
    <m/>
    <m/>
    <m/>
    <m/>
    <m/>
    <s v="Y"/>
    <s v="N"/>
    <s v="N"/>
    <s v="Y"/>
    <s v="N"/>
    <s v="N"/>
    <x v="3"/>
    <n v="0"/>
  </r>
  <r>
    <s v="INSTRUMENT"/>
    <s v="OTHR_OPRTNG_INCM"/>
    <x v="1"/>
    <s v="1. Especificar"/>
    <m/>
    <m/>
    <m/>
    <x v="2"/>
    <d v="2025-01-10T00:00:00"/>
    <x v="3"/>
    <m/>
    <m/>
    <m/>
    <m/>
    <m/>
    <s v="Y"/>
    <s v="N"/>
    <s v="N"/>
    <s v="Y"/>
    <s v="N"/>
    <s v="N"/>
    <x v="3"/>
    <n v="0"/>
  </r>
  <r>
    <s v="INSTRUMENT"/>
    <s v="RFRRL_FS"/>
    <x v="1"/>
    <s v="1. Especificar"/>
    <m/>
    <m/>
    <m/>
    <x v="2"/>
    <d v="2025-01-10T00:00:00"/>
    <x v="3"/>
    <m/>
    <m/>
    <m/>
    <m/>
    <m/>
    <s v="Y"/>
    <s v="N"/>
    <s v="N"/>
    <s v="Y"/>
    <s v="N"/>
    <s v="N"/>
    <x v="3"/>
    <n v="0"/>
  </r>
  <r>
    <s v="INSTRUMENT"/>
    <s v="INSRNC_CMSSNS"/>
    <x v="1"/>
    <s v="1. Especificar"/>
    <m/>
    <m/>
    <m/>
    <x v="2"/>
    <d v="2025-01-10T00:00:00"/>
    <x v="3"/>
    <m/>
    <m/>
    <m/>
    <m/>
    <m/>
    <s v="Y"/>
    <s v="N"/>
    <s v="N"/>
    <s v="Y"/>
    <s v="N"/>
    <s v="N"/>
    <x v="3"/>
    <n v="0"/>
  </r>
  <r>
    <s v="INSTRUMENT"/>
    <s v="OTHR_INCM_AND_CHRGS"/>
    <x v="1"/>
    <s v="1. Especificar"/>
    <m/>
    <m/>
    <m/>
    <x v="2"/>
    <d v="2025-01-10T00:00:00"/>
    <x v="3"/>
    <m/>
    <m/>
    <m/>
    <m/>
    <m/>
    <s v="Y"/>
    <s v="N"/>
    <s v="N"/>
    <s v="Y"/>
    <s v="N"/>
    <s v="N"/>
    <x v="3"/>
    <n v="0"/>
  </r>
  <r>
    <s v="INSTRUMENT"/>
    <s v="TX_ON_PRFT"/>
    <x v="1"/>
    <s v="1. Especificar"/>
    <m/>
    <m/>
    <m/>
    <x v="2"/>
    <d v="2025-01-10T00:00:00"/>
    <x v="3"/>
    <m/>
    <m/>
    <m/>
    <m/>
    <m/>
    <s v="Y"/>
    <s v="N"/>
    <s v="N"/>
    <s v="Y"/>
    <s v="N"/>
    <s v="N"/>
    <x v="3"/>
    <n v="0"/>
  </r>
  <r>
    <s v="PROTECTION"/>
    <s v="LND_AR"/>
    <x v="1"/>
    <s v="1. Especificar"/>
    <m/>
    <m/>
    <m/>
    <x v="2"/>
    <d v="2025-01-10T00:00:00"/>
    <x v="3"/>
    <m/>
    <m/>
    <m/>
    <m/>
    <m/>
    <s v="Y"/>
    <s v="N"/>
    <s v="N"/>
    <s v="N"/>
    <s v="N"/>
    <s v="N"/>
    <x v="3"/>
    <n v="0"/>
  </r>
  <r>
    <s v="PROTECTION"/>
    <s v="LN_PSTN"/>
    <x v="1"/>
    <s v="1. Especificar"/>
    <m/>
    <m/>
    <m/>
    <x v="2"/>
    <d v="2025-01-10T00:00:00"/>
    <x v="3"/>
    <m/>
    <m/>
    <m/>
    <m/>
    <m/>
    <s v="Y"/>
    <s v="N"/>
    <s v="N"/>
    <s v="N"/>
    <s v="N"/>
    <s v="N"/>
    <x v="3"/>
    <n v="0"/>
  </r>
  <r>
    <s v="PROTECTION"/>
    <s v="RL_ESTT_LNGTD"/>
    <x v="1"/>
    <s v="1. Especificar"/>
    <m/>
    <m/>
    <m/>
    <x v="2"/>
    <d v="2025-01-10T00:00:00"/>
    <x v="3"/>
    <m/>
    <m/>
    <m/>
    <m/>
    <m/>
    <s v="Y"/>
    <s v="N"/>
    <s v="N"/>
    <s v="N"/>
    <s v="N"/>
    <s v="N"/>
    <x v="3"/>
    <n v="0"/>
  </r>
  <r>
    <s v="PROTECTION"/>
    <s v="RL_ESTT_LTTD"/>
    <x v="1"/>
    <s v="1. Especificar"/>
    <m/>
    <m/>
    <m/>
    <x v="2"/>
    <d v="2025-01-10T00:00:00"/>
    <x v="3"/>
    <m/>
    <m/>
    <m/>
    <m/>
    <m/>
    <s v="Y"/>
    <s v="N"/>
    <s v="N"/>
    <s v="N"/>
    <s v="N"/>
    <s v="N"/>
    <x v="3"/>
    <n v="0"/>
  </r>
  <r>
    <s v="INSTR_ACTIVITY"/>
    <s v="PRCNTG_ACTVTY"/>
    <x v="1"/>
    <s v="1. Especificar"/>
    <m/>
    <m/>
    <m/>
    <x v="2"/>
    <d v="2025-01-10T00:00:00"/>
    <x v="3"/>
    <m/>
    <m/>
    <m/>
    <m/>
    <m/>
    <s v="Y"/>
    <s v="Y"/>
    <s v="Y"/>
    <s v="N"/>
    <s v="N"/>
    <s v="N"/>
    <x v="3"/>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6">
  <r>
    <s v="INSTRUMENT"/>
    <s v="ACCMLTD_CHNGS_FV_CR_INSTRMNT"/>
    <x v="0"/>
    <s v="9. Concluído"/>
    <s v="OK"/>
    <s v="Concluido, controlos OK"/>
    <m/>
    <s v="Campo Fechado"/>
    <d v="2024-06-07T00:00:00"/>
    <x v="0"/>
    <s v="OK"/>
    <m/>
    <m/>
    <m/>
    <x v="0"/>
  </r>
  <r>
    <s v="INSTRUMENT"/>
    <s v="ACCMLTD_IMPRMNT_INSTRMNT"/>
    <x v="0"/>
    <s v="9. Concluído"/>
    <s v="OK"/>
    <s v="Concluido, controlos OK"/>
    <m/>
    <s v="Campo Fechado"/>
    <d v="2024-06-07T00:00:00"/>
    <x v="0"/>
    <s v="OK"/>
    <m/>
    <m/>
    <m/>
    <x v="0"/>
  </r>
  <r>
    <s v="INSTRUMENT"/>
    <s v="ACCMLTD_IMPRMNT_INSTRMNT_PRVS"/>
    <x v="0"/>
    <s v="5.2 Em testes - Incidência"/>
    <s v="OK"/>
    <s v="Campo com incidência. Verificar fonte LT"/>
    <m/>
    <s v="Sim"/>
    <d v="2024-06-07T00:00:00"/>
    <x v="1"/>
    <s v="OK"/>
    <m/>
    <m/>
    <m/>
    <x v="1"/>
  </r>
  <r>
    <s v="INSTRUMENT"/>
    <s v="ACCMLTD_WRTFFS_INSTRMNT"/>
    <x v="0"/>
    <s v="9. Concluído"/>
    <s v="OK"/>
    <s v="Concluido, controlos OK"/>
    <m/>
    <s v="Campo Fechado"/>
    <d v="2024-06-07T00:00:00"/>
    <x v="0"/>
    <s v="OK"/>
    <m/>
    <m/>
    <m/>
    <x v="0"/>
  </r>
  <r>
    <s v="INSTRUMENT"/>
    <s v="ACCNTNG_CLSSFCTN"/>
    <x v="0"/>
    <s v="9. Concluído"/>
    <s v="OK"/>
    <s v="Concluido, controlos OK"/>
    <m/>
    <s v="Campo Fechado"/>
    <d v="2024-06-07T00:00:00"/>
    <x v="0"/>
    <s v="OK"/>
    <m/>
    <m/>
    <m/>
    <x v="0"/>
  </r>
  <r>
    <s v="ENTITY"/>
    <s v="ACCNTNG_FRMWRK_SL"/>
    <x v="0"/>
    <s v="2. Alterar especificação"/>
    <s v="OK"/>
    <s v="Em especificação (Financial Statments CIB)"/>
    <s v="Campo implementação, mas com falta de informação para o segmento de clientes CIB"/>
    <s v="Não"/>
    <d v="2024-06-07T00:00:00"/>
    <x v="2"/>
    <s v="OK"/>
    <m/>
    <m/>
    <m/>
    <x v="2"/>
  </r>
  <r>
    <s v="INSTRUMENT"/>
    <s v="TYP_MRTGG"/>
    <x v="0"/>
    <s v="3. Pendente de decisão"/>
    <s v="NOK"/>
    <s v="Alteração da Code list por parte do BCE"/>
    <m/>
    <s v="Sim"/>
    <d v="2024-10-03T00:00:00"/>
    <x v="2"/>
    <s v="NOK"/>
    <s v="Alterar especificação de acordo com codelist atual. No MUG existem apenas garantias elegiveis para cálculo de capital? Se sim, TYP_MRTGG irá assumir os valores 1, 5 e N/A. Caso contrário assumirá os valores  1, 5, 6 e N/A."/>
    <m/>
    <m/>
    <x v="3"/>
  </r>
  <r>
    <s v="INSTRUMENT"/>
    <s v="AMNT_D_AT_MTRTY"/>
    <x v="0"/>
    <s v="1. Especificar"/>
    <s v="NOK"/>
    <s v="Em especificação"/>
    <m/>
    <s v="Não"/>
    <d v="2024-06-07T00:00:00"/>
    <x v="3"/>
    <s v="NOK"/>
    <m/>
    <m/>
    <m/>
    <x v="4"/>
  </r>
  <r>
    <s v="ENTITY"/>
    <s v="ANNL_TRNVR_LE"/>
    <x v="0"/>
    <s v="2. Alterar especificação"/>
    <s v="OK"/>
    <s v="Em especificação (Financial Statments CIB)"/>
    <s v="Campo implementação, mas com falta de informação para o segmento de clientes CIB"/>
    <s v="Não"/>
    <d v="2024-06-07T00:00:00"/>
    <x v="2"/>
    <s v="OK"/>
    <m/>
    <m/>
    <m/>
    <x v="2"/>
  </r>
  <r>
    <s v="ENTITY"/>
    <s v="ANNL_TRNVR_LE_BDR"/>
    <x v="1"/>
    <s v="9. Concluído"/>
    <s v="OK"/>
    <s v="Concluido, controlos OK"/>
    <m/>
    <s v="Campo Fechado"/>
    <d v="2024-06-07T00:00:00"/>
    <x v="0"/>
    <s v="OK"/>
    <m/>
    <m/>
    <m/>
    <x v="0"/>
  </r>
  <r>
    <s v="ENTITY"/>
    <s v="ANNL_TRNVR_PRVS"/>
    <x v="0"/>
    <s v="2. Alterar especificação"/>
    <s v="OK"/>
    <s v="Em especificação (Financial Statments CIB)"/>
    <s v="Campo implementação, mas com falta de informação para o segmento de clientes CIB"/>
    <s v="Não"/>
    <d v="2024-06-07T00:00:00"/>
    <x v="2"/>
    <s v="OK"/>
    <m/>
    <m/>
    <m/>
    <x v="2"/>
  </r>
  <r>
    <s v="ENTITY"/>
    <s v="ANNL_TRNVR_PRVS_BDR"/>
    <x v="1"/>
    <s v="9. Concluído"/>
    <s v="OK"/>
    <s v="Concluido, controlos OK"/>
    <m/>
    <s v="Campo Fechado"/>
    <d v="2024-06-07T00:00:00"/>
    <x v="0"/>
    <s v="OK"/>
    <m/>
    <m/>
    <m/>
    <x v="0"/>
  </r>
  <r>
    <s v="INSTRUMENT"/>
    <s v="ANNLSD_AGRD_RT"/>
    <x v="0"/>
    <s v="3. Pendente de decisão"/>
    <s v="OK"/>
    <s v="Verificar necessidade de alteração da fonte para fins de reconciliação. Rever Fonte"/>
    <s v="Rever se devemos utilizar a informação de IFRS9 ou manter a de alm"/>
    <s v="Sim"/>
    <d v="2024-06-07T00:00:00"/>
    <x v="4"/>
    <s v="OK"/>
    <m/>
    <m/>
    <m/>
    <x v="5"/>
  </r>
  <r>
    <s v="PROTECTION"/>
    <s v="APPRSL_CRRNCY"/>
    <x v="0"/>
    <s v="7. Analisar controlos e completude"/>
    <s v="NOK"/>
    <s v="Controlos NOK"/>
    <m/>
    <s v="Não"/>
    <d v="2024-06-07T00:00:00"/>
    <x v="5"/>
    <s v="NOK"/>
    <m/>
    <m/>
    <m/>
    <x v="6"/>
  </r>
  <r>
    <s v="PROTECTION"/>
    <s v="APPRSR"/>
    <x v="0"/>
    <s v="7. Analisar controlos e completude"/>
    <s v="NOK"/>
    <s v="Controlos NOK"/>
    <m/>
    <s v="Não"/>
    <d v="2024-06-07T00:00:00"/>
    <x v="5"/>
    <s v="NOK"/>
    <m/>
    <m/>
    <m/>
    <x v="6"/>
  </r>
  <r>
    <s v="INSTRUMENT"/>
    <s v="ARRRS_INSTRMNT"/>
    <x v="0"/>
    <s v="7. Analisar controlos e completude"/>
    <s v="NOK"/>
    <s v="Controlos NOK"/>
    <m/>
    <s v="Não"/>
    <d v="2024-06-07T00:00:00"/>
    <x v="5"/>
    <s v="NOK"/>
    <m/>
    <m/>
    <m/>
    <x v="6"/>
  </r>
  <r>
    <s v="INSTRUMENT"/>
    <s v="ARRRS_INSTRMNT_12M"/>
    <x v="0"/>
    <s v="7. Analisar controlos e completude"/>
    <s v="NOK"/>
    <s v="Controlos NOK"/>
    <m/>
    <s v="Não"/>
    <d v="2024-06-07T00:00:00"/>
    <x v="5"/>
    <s v="NOK"/>
    <m/>
    <m/>
    <m/>
    <x v="6"/>
  </r>
  <r>
    <s v="INSTRUMENT"/>
    <s v="ASST_SCRT_CLSS"/>
    <x v="1"/>
    <s v="9. Concluído"/>
    <s v="OK"/>
    <s v="Concluido, controlos OK"/>
    <m/>
    <s v="Campo Fechado"/>
    <d v="2024-06-07T00:00:00"/>
    <x v="0"/>
    <s v="OK"/>
    <m/>
    <m/>
    <m/>
    <x v="0"/>
  </r>
  <r>
    <s v="INSTRUMENT"/>
    <s v="BRCHD_CVNNTS"/>
    <x v="0"/>
    <s v="8. Concluído - sem dados"/>
    <s v="OK"/>
    <s v="Campo especificado, mas sem dados. Campo marcado com MISS ou NA"/>
    <m/>
    <s v="Campo Fechado"/>
    <d v="2024-06-07T00:00:00"/>
    <x v="6"/>
    <s v="OK"/>
    <m/>
    <m/>
    <m/>
    <x v="7"/>
  </r>
  <r>
    <s v="ENTITY"/>
    <s v="CAPEX"/>
    <x v="0"/>
    <s v="2. Alterar especificação"/>
    <s v="OK"/>
    <s v="Em especificação (Financial Statments CIB)"/>
    <s v="Campo implementação, mas com falta de informação para o segmento de clientes CIB"/>
    <s v="Não"/>
    <d v="2024-06-07T00:00:00"/>
    <x v="2"/>
    <s v="OK"/>
    <m/>
    <m/>
    <m/>
    <x v="2"/>
  </r>
  <r>
    <s v="ENTITY"/>
    <s v="CAPEX_PRVS"/>
    <x v="0"/>
    <s v="2. Alterar especificação"/>
    <s v="OK"/>
    <s v="Em especificação (Financial Statments CIB)"/>
    <s v="Campo implementação, mas com falta de informação para o segmento de clientes CIB"/>
    <s v="Não"/>
    <d v="2024-06-07T00:00:00"/>
    <x v="2"/>
    <s v="OK"/>
    <m/>
    <m/>
    <m/>
    <x v="2"/>
  </r>
  <r>
    <s v="INSTRUMENT"/>
    <s v="CCF"/>
    <x v="0"/>
    <s v="9. Concluído"/>
    <s v="OK"/>
    <s v="Concluido, controlos OK"/>
    <m/>
    <s v="Campo Fechado"/>
    <d v="2024-06-07T00:00:00"/>
    <x v="0"/>
    <s v="OK"/>
    <m/>
    <m/>
    <m/>
    <x v="0"/>
  </r>
  <r>
    <s v="INSTRUMENT"/>
    <s v="CHNNL_ORGNTN"/>
    <x v="1"/>
    <s v="4.1 Em implementação - Re-especificação"/>
    <s v="NOK"/>
    <s v="Aguarda implementação de IT"/>
    <m/>
    <s v="Não"/>
    <d v="2024-06-07T00:00:00"/>
    <x v="7"/>
    <s v="NOK"/>
    <m/>
    <d v="2024-01-05T00:00:00"/>
    <m/>
    <x v="2"/>
  </r>
  <r>
    <s v="ENTITY"/>
    <s v="CLLCTN_MD"/>
    <x v="1"/>
    <s v="9. Concluído"/>
    <s v="OK"/>
    <s v="Concluido, controlos OK"/>
    <m/>
    <s v="Campo Fechado"/>
    <d v="2024-06-07T00:00:00"/>
    <x v="0"/>
    <s v="OK"/>
    <m/>
    <m/>
    <m/>
    <x v="0"/>
  </r>
  <r>
    <s v="ENTITY"/>
    <s v="TTL_INTRST_PD"/>
    <x v="1"/>
    <s v="2. Alterar especificação"/>
    <s v="NOK"/>
    <s v="Em especificação (Amortizações Capital/ Juros)"/>
    <m/>
    <s v="Não"/>
    <d v="2024-06-07T00:00:00"/>
    <x v="2"/>
    <s v="NOK"/>
    <m/>
    <m/>
    <m/>
    <x v="2"/>
  </r>
  <r>
    <s v="INSTRUMENT"/>
    <s v="CMMTMNT_INCPTN_INSTRMNT"/>
    <x v="0"/>
    <s v="7. Analisar controlos e completude"/>
    <s v="NOK"/>
    <s v="Analisar controlos e completude"/>
    <m/>
    <s v="Não"/>
    <d v="2024-06-07T00:00:00"/>
    <x v="5"/>
    <s v="NOK"/>
    <m/>
    <m/>
    <m/>
    <x v="6"/>
  </r>
  <r>
    <s v="PROTECTION"/>
    <s v="RL_ESTT_CLLTRL_LCTN"/>
    <x v="0"/>
    <s v="2. Alterar especificação"/>
    <s v="NOK"/>
    <s v="Alterados 3 casos. Campo está a devolver PT para todas as proteções, no entanto estas não estão localizadas em PT e alterou-se a localização para os respetivos paises."/>
    <m/>
    <s v="Não"/>
    <d v="2024-06-07T00:00:00"/>
    <x v="2"/>
    <s v="NOK"/>
    <m/>
    <m/>
    <m/>
    <x v="2"/>
  </r>
  <r>
    <s v="INSTRUMENT"/>
    <s v="CMPLNT_MRTR_C19_NM"/>
    <x v="1"/>
    <s v="9. Concluído"/>
    <s v="OK"/>
    <s v="Concluido, controlos OK"/>
    <m/>
    <s v="Campo Fechado"/>
    <d v="2024-06-07T00:00:00"/>
    <x v="0"/>
    <s v="OK"/>
    <m/>
    <m/>
    <m/>
    <x v="0"/>
  </r>
  <r>
    <s v="INSTRUMENT"/>
    <s v="CNSMPTN_FNRP18"/>
    <x v="1"/>
    <s v="9. Concluído"/>
    <s v="OK"/>
    <s v="Concluido, controlos OK"/>
    <m/>
    <s v="Campo Fechado"/>
    <d v="2024-06-07T00:00:00"/>
    <x v="0"/>
    <s v="OK"/>
    <m/>
    <m/>
    <m/>
    <x v="0"/>
  </r>
  <r>
    <s v="PROTECTION"/>
    <s v="DT_APPRSL_PRVS"/>
    <x v="0"/>
    <s v="5.2 Em testes - Incidência"/>
    <s v="NOK"/>
    <s v="Campo com incidência e controlos NOK"/>
    <s v="1) Campo com incidência, data igual à data da protection_vl 2) Alteração de formatos MISS"/>
    <s v="Campo Fechado"/>
    <d v="2025-01-13T00:00:00"/>
    <x v="0"/>
    <s v="OK"/>
    <s v="Alteraração da definição do campo no Guia da Corporação. Campo passou a reportar a data da avaliação completa anterior à data da última avaliação  completa._x000a_"/>
    <d v="2024-07-12T00:00:00"/>
    <d v="2024-12-20T00:00:00"/>
    <x v="3"/>
  </r>
  <r>
    <s v="INSTRUMENT"/>
    <s v="CNTRCT_ID"/>
    <x v="0"/>
    <s v="9. Concluído"/>
    <s v="OK"/>
    <s v="Concluido, controlos OK"/>
    <m/>
    <s v="Campo Fechado"/>
    <d v="2024-06-07T00:00:00"/>
    <x v="0"/>
    <s v="OK"/>
    <m/>
    <m/>
    <m/>
    <x v="0"/>
  </r>
  <r>
    <s v="INSTRUMENT"/>
    <s v="CNTRCT_ID_BDR"/>
    <x v="1"/>
    <s v="9. Concluído"/>
    <s v="OK"/>
    <s v="Concluido, controlos OK"/>
    <m/>
    <s v="Campo Fechado"/>
    <d v="2024-06-07T00:00:00"/>
    <x v="0"/>
    <s v="OK"/>
    <m/>
    <m/>
    <m/>
    <x v="0"/>
  </r>
  <r>
    <s v="ENTITY"/>
    <s v="CNTRY"/>
    <x v="0"/>
    <s v="9. Concluído"/>
    <s v="OK"/>
    <s v="Concluido, controlos OK"/>
    <m/>
    <s v="Campo Fechado"/>
    <d v="2024-06-07T00:00:00"/>
    <x v="0"/>
    <s v="OK"/>
    <m/>
    <m/>
    <m/>
    <x v="0"/>
  </r>
  <r>
    <s v="ENTITY"/>
    <s v="COD_SOC"/>
    <x v="0"/>
    <s v="9. Concluído"/>
    <s v="OK"/>
    <s v="Concluido, controlos OK"/>
    <m/>
    <s v="Campo Fechado"/>
    <d v="2024-06-07T00:00:00"/>
    <x v="0"/>
    <s v="OK"/>
    <m/>
    <m/>
    <m/>
    <x v="0"/>
  </r>
  <r>
    <s v="INSTR_ENTITY"/>
    <s v="COD_SOC"/>
    <x v="0"/>
    <s v="9. Concluído"/>
    <s v="OK"/>
    <s v="Concluido, controlos OK"/>
    <m/>
    <s v="Campo Fechado"/>
    <d v="2024-06-07T00:00:00"/>
    <x v="0"/>
    <s v="OK"/>
    <m/>
    <m/>
    <m/>
    <x v="0"/>
  </r>
  <r>
    <s v="INSTR_PROTECTION"/>
    <s v="COD_SOC"/>
    <x v="0"/>
    <s v="9. Concluído"/>
    <s v="OK"/>
    <s v="Concluido, controlos OK"/>
    <m/>
    <s v="Campo Fechado"/>
    <d v="2024-06-07T00:00:00"/>
    <x v="0"/>
    <s v="OK"/>
    <m/>
    <m/>
    <m/>
    <x v="0"/>
  </r>
  <r>
    <s v="INSTRUMENT"/>
    <s v="COD_SOC"/>
    <x v="0"/>
    <s v="9. Concluído"/>
    <s v="OK"/>
    <s v="Concluido, controlos OK"/>
    <m/>
    <s v="Campo Fechado"/>
    <d v="2024-06-07T00:00:00"/>
    <x v="0"/>
    <s v="OK"/>
    <m/>
    <m/>
    <m/>
    <x v="0"/>
  </r>
  <r>
    <s v="PROTECTION"/>
    <s v="COD_SOC"/>
    <x v="0"/>
    <s v="9. Concluído"/>
    <s v="OK"/>
    <s v="Concluido, controlos OK"/>
    <m/>
    <s v="Campo Fechado"/>
    <d v="2024-06-07T00:00:00"/>
    <x v="0"/>
    <s v="OK"/>
    <m/>
    <m/>
    <m/>
    <x v="0"/>
  </r>
  <r>
    <s v="INSTRUMENT"/>
    <s v="COD_SOC_INTRGRP"/>
    <x v="0"/>
    <s v="4.1 Em implementação - Re-especificação"/>
    <s v="NOK"/>
    <s v="Aguarda implementação de IT"/>
    <m/>
    <s v="Não"/>
    <d v="2024-06-17T00:00:00"/>
    <x v="8"/>
    <s v="NOK"/>
    <m/>
    <d v="2024-01-12T00:00:00"/>
    <d v="2024-03-28T00:00:00"/>
    <x v="4"/>
  </r>
  <r>
    <s v="INSTRUMENT"/>
    <s v="CPN_CRRNCY"/>
    <x v="1"/>
    <s v="9. Concluído"/>
    <s v="OK"/>
    <s v="Concluido, controlos OK"/>
    <m/>
    <s v="Campo Fechado"/>
    <d v="2024-06-07T00:00:00"/>
    <x v="0"/>
    <s v="OK"/>
    <m/>
    <m/>
    <m/>
    <x v="0"/>
  </r>
  <r>
    <s v="INSTRUMENT"/>
    <s v="CPN_RT_FXD"/>
    <x v="1"/>
    <s v="9. Concluído"/>
    <s v="OK"/>
    <s v="Concluido, controlos OK"/>
    <m/>
    <s v="Campo Fechado"/>
    <d v="2024-06-07T00:00:00"/>
    <x v="0"/>
    <s v="OK"/>
    <m/>
    <m/>
    <m/>
    <x v="0"/>
  </r>
  <r>
    <s v="ENTITY"/>
    <s v="CR_FLG"/>
    <x v="1"/>
    <s v="7. Analisar controlos e completude"/>
    <s v="NOK"/>
    <s v="Controlos NOK"/>
    <m/>
    <s v="Não"/>
    <d v="2024-06-07T00:00:00"/>
    <x v="5"/>
    <s v="NOK"/>
    <m/>
    <m/>
    <m/>
    <x v="6"/>
  </r>
  <r>
    <s v="INSTRUMENT"/>
    <s v="CRE_FNRP18"/>
    <x v="0"/>
    <s v="9. Concluído"/>
    <s v="OK"/>
    <s v="Concluido, controlos OK"/>
    <m/>
    <s v="Campo Fechado"/>
    <d v="2024-06-07T00:00:00"/>
    <x v="0"/>
    <s v="OK"/>
    <m/>
    <m/>
    <m/>
    <x v="0"/>
  </r>
  <r>
    <s v="PROTECTION"/>
    <s v="CRE_INCM_CRRNCY"/>
    <x v="1"/>
    <s v="8. Concluído - sem dados"/>
    <s v="NOK"/>
    <s v="Campo sem mapeamento, para análise da área  de Riscos"/>
    <m/>
    <s v="Campo Fechado"/>
    <d v="2024-06-07T00:00:00"/>
    <x v="6"/>
    <s v="NOK"/>
    <m/>
    <m/>
    <m/>
    <x v="7"/>
  </r>
  <r>
    <s v="PROTECTION"/>
    <s v="CRE_YRLY_EXPNSS"/>
    <x v="1"/>
    <s v="8. Concluído - sem dados"/>
    <s v="OK"/>
    <s v="Campo sem mapeamento, para análise da área  de Riscos"/>
    <m/>
    <s v="Campo Fechado"/>
    <d v="2024-06-07T00:00:00"/>
    <x v="6"/>
    <s v="OK"/>
    <m/>
    <m/>
    <m/>
    <x v="7"/>
  </r>
  <r>
    <s v="PROTECTION"/>
    <s v="CRE_YRLY_INCM"/>
    <x v="1"/>
    <s v="8. Concluído - sem dados"/>
    <s v="OK"/>
    <s v="Campo sem mapeamento, para análise da área  de Riscos"/>
    <m/>
    <s v="Campo Fechado"/>
    <d v="2024-06-07T00:00:00"/>
    <x v="6"/>
    <s v="OK"/>
    <m/>
    <m/>
    <m/>
    <x v="7"/>
  </r>
  <r>
    <s v="INSTRUMENT"/>
    <s v="CRRLTN_CFFCNT"/>
    <x v="1"/>
    <s v="7. Analisar controlos e completude"/>
    <s v="NOK"/>
    <s v="Controlos NOK"/>
    <m/>
    <s v="Não"/>
    <d v="2024-06-07T00:00:00"/>
    <x v="5"/>
    <s v="NOK"/>
    <m/>
    <m/>
    <m/>
    <x v="6"/>
  </r>
  <r>
    <s v="INSTRUMENT"/>
    <s v="CRRNCY_DNMNTN"/>
    <x v="0"/>
    <s v="9. Concluído"/>
    <s v="OK"/>
    <s v="Concluido, controlos OK"/>
    <m/>
    <s v="Campo Fechado"/>
    <d v="2024-06-07T00:00:00"/>
    <x v="0"/>
    <s v="OK"/>
    <m/>
    <m/>
    <m/>
    <x v="0"/>
  </r>
  <r>
    <s v="INSTRUMENT"/>
    <s v="CRRYNG_AMNT_INSTRMNT"/>
    <x v="0"/>
    <s v="9. Concluído"/>
    <s v="OK"/>
    <s v="Concluido, controlos OK"/>
    <m/>
    <s v="Campo Fechado"/>
    <d v="2024-06-07T00:00:00"/>
    <x v="0"/>
    <s v="OK"/>
    <m/>
    <m/>
    <m/>
    <x v="0"/>
  </r>
  <r>
    <s v="ENTITY"/>
    <s v="CSH"/>
    <x v="0"/>
    <s v="2. Alterar especificação"/>
    <s v="OK"/>
    <s v="Em especificação (Financial Statments CIB)"/>
    <s v="Campo implementação, mas com falta de informação para o segmento de clientes CIB"/>
    <s v="Não"/>
    <d v="2024-06-07T00:00:00"/>
    <x v="2"/>
    <s v="OK"/>
    <m/>
    <m/>
    <m/>
    <x v="2"/>
  </r>
  <r>
    <s v="ENTITY"/>
    <s v="CSH_PRVS"/>
    <x v="0"/>
    <s v="2. Alterar especificação"/>
    <s v="OK"/>
    <s v="Em especificação (Financial Statments CIB)"/>
    <s v="Campo implementação, mas com falta de informação para o segmento de clientes CIB"/>
    <s v="Não"/>
    <d v="2024-06-07T00:00:00"/>
    <x v="2"/>
    <s v="OK"/>
    <m/>
    <m/>
    <m/>
    <x v="2"/>
  </r>
  <r>
    <s v="INSTRUMENT"/>
    <s v="CSH_SWP_TRP"/>
    <x v="0"/>
    <s v="9. Concluído"/>
    <s v="OK"/>
    <s v="Concluido, controlos OK"/>
    <m/>
    <s v="Campo Fechado"/>
    <d v="2024-06-07T00:00:00"/>
    <x v="0"/>
    <s v="OK"/>
    <m/>
    <m/>
    <m/>
    <x v="0"/>
  </r>
  <r>
    <s v="INSTRUMENT"/>
    <s v="CVNNT_STTS"/>
    <x v="1"/>
    <s v="8. Concluído - sem dados"/>
    <s v="OK"/>
    <s v="Campo especificado, mas sem dados. Campo marcado com MISS ou NA"/>
    <m/>
    <s v="Campo Fechado"/>
    <d v="2024-06-07T00:00:00"/>
    <x v="6"/>
    <s v="OK"/>
    <m/>
    <m/>
    <m/>
    <x v="7"/>
  </r>
  <r>
    <s v="INSTRUMENT"/>
    <s v="CVNNT_TYP"/>
    <x v="1"/>
    <s v="9. Concluído"/>
    <s v="OK"/>
    <s v="Concluido, controlos OK"/>
    <m/>
    <s v="Campo Fechado"/>
    <d v="2024-06-07T00:00:00"/>
    <x v="0"/>
    <s v="OK"/>
    <m/>
    <m/>
    <m/>
    <x v="0"/>
  </r>
  <r>
    <s v="ENTITY"/>
    <s v="DBT_RPYMNT_CPCTY_SNR_DBT"/>
    <x v="1"/>
    <s v="8. Concluído - sem dados"/>
    <s v="OK"/>
    <s v="Campo especificado, mas sem dados. Campo marcado com MISS ou NA"/>
    <m/>
    <s v="Campo Fechado"/>
    <d v="2024-06-07T00:00:00"/>
    <x v="6"/>
    <s v="OK"/>
    <m/>
    <m/>
    <m/>
    <x v="7"/>
  </r>
  <r>
    <s v="ENTITY"/>
    <s v="DBT_RPYMNT_CPCTY_TTL"/>
    <x v="1"/>
    <s v="9. Concluído"/>
    <s v="OK"/>
    <s v="Concluido, controlos OK"/>
    <m/>
    <s v="Campo Fechado"/>
    <d v="2024-06-07T00:00:00"/>
    <x v="0"/>
    <s v="OK"/>
    <m/>
    <m/>
    <m/>
    <x v="0"/>
  </r>
  <r>
    <s v="ENTITY"/>
    <s v="DBT_SRVC_RT"/>
    <x v="0"/>
    <s v="2. Alterar especificação"/>
    <s v="OK"/>
    <s v="Em especificação (Financial Statments CIB)"/>
    <s v="Campo implementação, mas com falta de informação para o segmento de clientes CIB"/>
    <s v="Não"/>
    <d v="2024-06-07T00:00:00"/>
    <x v="2"/>
    <s v="OK"/>
    <m/>
    <m/>
    <m/>
    <x v="2"/>
  </r>
  <r>
    <s v="ENTITY"/>
    <s v="DBT_SRVC_RT_12M"/>
    <x v="0"/>
    <s v="2. Alterar especificação"/>
    <s v="OK"/>
    <s v="Em especificação (Financial Statments CIB)"/>
    <s v="Campo implementação, mas com falta de informação para o segmento de clientes CIB"/>
    <s v="Não"/>
    <d v="2024-06-07T00:00:00"/>
    <x v="2"/>
    <s v="OK"/>
    <m/>
    <m/>
    <m/>
    <x v="2"/>
  </r>
  <r>
    <s v="INSTRUMENT"/>
    <s v="DBT_YLD"/>
    <x v="1"/>
    <s v="8. Concluído - sem dados"/>
    <s v="OK"/>
    <s v="Concluido, controlos OK"/>
    <m/>
    <s v="Campo Fechado"/>
    <d v="2024-06-07T00:00:00"/>
    <x v="6"/>
    <s v="OK"/>
    <m/>
    <m/>
    <m/>
    <x v="7"/>
  </r>
  <r>
    <s v="ENTITY"/>
    <s v="DCSD"/>
    <x v="1"/>
    <s v="9. Concluído"/>
    <s v="OK"/>
    <s v="Concluido, controlos OK"/>
    <m/>
    <s v="Campo Fechado"/>
    <d v="2024-06-07T00:00:00"/>
    <x v="0"/>
    <s v="OK"/>
    <m/>
    <m/>
    <m/>
    <x v="0"/>
  </r>
  <r>
    <s v="ENTITY"/>
    <s v="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Campo com incidência: Para os casos em que o cliente tem operações titularizadas (flag consumo capital = 0) e tem pelo menos uma não titularizada (N/A), a LT está atualmente a reporta N/A."/>
    <s v="Sim"/>
    <d v="2024-06-07T00:00:00"/>
    <x v="4"/>
    <s v="NOK"/>
    <m/>
    <m/>
    <m/>
    <x v="5"/>
  </r>
  <r>
    <s v="INSTRUMENT"/>
    <s v="RFNNC_PRPS"/>
    <x v="0"/>
    <s v="2. Alterar especificação"/>
    <s v="OK"/>
    <s v="Alterar especificação. Campo depende do FRBRNC_STTS_INSTRMNT"/>
    <s v="Sempre que o campo FRBRNC_STTS_INSTRMNT =3 o campo RFNNC_PRPS deve estar marcado como Y. Reespecificar, implementar e testar."/>
    <s v="Não"/>
    <d v="2024-06-07T00:00:00"/>
    <x v="2"/>
    <s v="OK"/>
    <m/>
    <m/>
    <m/>
    <x v="2"/>
  </r>
  <r>
    <s v="INSTRUMENT"/>
    <s v="DPD"/>
    <x v="0"/>
    <s v="7. Analisar controlos e completude"/>
    <s v="NOK"/>
    <s v="Controlos NOK"/>
    <m/>
    <s v="Não"/>
    <d v="2024-06-07T00:00:00"/>
    <x v="5"/>
    <s v="NOK"/>
    <m/>
    <m/>
    <m/>
    <x v="6"/>
  </r>
  <r>
    <s v="INSTRUMENT"/>
    <s v="DPD_12M"/>
    <x v="0"/>
    <s v="7. Analisar controlos e completude"/>
    <s v="NOK"/>
    <s v="Controlos NOK"/>
    <m/>
    <s v="Não"/>
    <d v="2024-06-07T00:00:00"/>
    <x v="5"/>
    <s v="NOK"/>
    <m/>
    <m/>
    <m/>
    <x v="6"/>
  </r>
  <r>
    <s v="INSTRUMENT"/>
    <s v="DPD_12M_FRBRNC_STTS"/>
    <x v="0"/>
    <s v="5.1 Em testes - Re-especificação"/>
    <s v="NOK"/>
    <s v="Em testes. Campo depende do FRBRNC_STTS que está com incidência nos formatos. Não é necessário alterar a especificação do mesmo, apenas testar quando o campo FRBRNC_STTS estiver corrigido."/>
    <m/>
    <s v="Não"/>
    <d v="2024-06-07T00:00:00"/>
    <x v="8"/>
    <s v="NOK"/>
    <m/>
    <d v="2022-04-28T00:00:00"/>
    <d v="2022-05-19T00:00:00"/>
    <x v="2"/>
  </r>
  <r>
    <s v="INSTRUMENT"/>
    <s v="DPD_12M_PRFRMNG_STTS"/>
    <x v="0"/>
    <s v="5.1 Em testes - Re-especificação"/>
    <s v="NOK"/>
    <s v="Campo depende do histórico do PRFRMNG_STTS. Não é necessário alterar a especificação do mesmo, apenas testar se a metodologia do campo PRFRMNG_STTS for alterada."/>
    <m/>
    <s v="Sim"/>
    <d v="2025-01-13T00:00:00"/>
    <x v="8"/>
    <s v="OK"/>
    <s v="Alteração da fonte das tabela de Imparidade Reporting para as 8_7 e alteração da data a partir da qual a fonte passa a ser as tabelas de Contabilidade ( 2019 para Dez 2022)"/>
    <d v="2024-09-27T00:00:00"/>
    <m/>
    <x v="5"/>
  </r>
  <r>
    <s v="INSTRUMENT"/>
    <s v="DPD_24M_FRBRNC_STTS"/>
    <x v="0"/>
    <s v="7. Analisar controlos e completude"/>
    <s v="NOK"/>
    <s v="Controlos NOK"/>
    <m/>
    <s v="Não"/>
    <d v="2024-06-07T00:00:00"/>
    <x v="5"/>
    <s v="NOK"/>
    <m/>
    <m/>
    <m/>
    <x v="6"/>
  </r>
  <r>
    <s v="INSTRUMENT"/>
    <s v="DPD_24M_PRFRMNG_STTS"/>
    <x v="0"/>
    <s v="5.1 Em testes - Re-especificação"/>
    <s v="NOK"/>
    <s v="Em testes. Campo depende do campo PRFRMNG_STTS. Não é necessário alterar a especificação do mesmo, apenas testar  se o campo PRFRMNG_STTS for alterado."/>
    <m/>
    <s v="Sim"/>
    <d v="2025-01-13T00:00:00"/>
    <x v="8"/>
    <s v="OK"/>
    <s v="Alteração da fonte das tabela de Imparidade Reporting para as 8_7 e alteração da data a partir da qual a fonte passa a ser as tabelas de Contabilidade ( 2019 para Dez 2022)"/>
    <d v="2024-09-27T00:00:00"/>
    <m/>
    <x v="5"/>
  </r>
  <r>
    <s v="INSTRUMENT"/>
    <s v="DPD_FRBRNC_STTS"/>
    <x v="0"/>
    <s v="7. Analisar controlos e completude"/>
    <s v="NOK"/>
    <s v="Controlos NOK"/>
    <m/>
    <s v="Não"/>
    <d v="2024-06-07T00:00:00"/>
    <x v="5"/>
    <s v="NOK"/>
    <m/>
    <m/>
    <m/>
    <x v="6"/>
  </r>
  <r>
    <s v="INSTRUMENT"/>
    <s v="DPD_PRFRMNG_STTS"/>
    <x v="0"/>
    <s v="5.1 Em testes - Re-especificação"/>
    <s v="OK"/>
    <s v="Em testes. Campo depende do campo PRFRMNG_STTS. Não é necessário alterar a especificação do mesmo, apenas testar  se o campo PRFRMNG_STTS for alterado."/>
    <m/>
    <s v="Sim"/>
    <d v="2025-01-13T00:00:00"/>
    <x v="8"/>
    <s v="OK"/>
    <s v="Alteração da fonte das tabela de Imparidade Reporting para as 8_7 e alteração da data a partir da qual a fonte passa a ser as tabelas de Contabilidade ( 2019 para Dez 2022)"/>
    <d v="2024-09-27T00:00:00"/>
    <m/>
    <x v="5"/>
  </r>
  <r>
    <s v="INSTRUMENT"/>
    <s v="DSTI"/>
    <x v="1"/>
    <s v="1. Especificar"/>
    <s v="OK"/>
    <s v="Em especificação (Campos Novos)"/>
    <m/>
    <s v="Não"/>
    <d v="2024-06-07T00:00:00"/>
    <x v="3"/>
    <s v="OK"/>
    <m/>
    <m/>
    <m/>
    <x v="4"/>
  </r>
  <r>
    <s v="PROTECTION"/>
    <s v="TYP_PRTCTN"/>
    <x v="0"/>
    <s v="2. Alterar especificação"/>
    <s v="NOK"/>
    <s v="Alterar especificação (alteração da fonte para MUG)"/>
    <s v="Campo depende do campo 'cgarant' do MUG"/>
    <s v="Campo Fechado"/>
    <d v="2025-01-13T00:00:00"/>
    <x v="0"/>
    <s v="OK"/>
    <s v="Alteração de especificação com base no campo cgarant_bem e cgarant_rpt do MUG. Controlo NOK - A Corporação ajustou o controlo e estes casos passarão a estar OK_x000a_"/>
    <d v="2024-07-19T00:00:00"/>
    <d v="2024-12-20T00:00:00"/>
    <x v="1"/>
  </r>
  <r>
    <s v="ENTITY"/>
    <s v="DT_BRTH"/>
    <x v="1"/>
    <s v="7. Analisar controlos e completude"/>
    <s v="NOK"/>
    <s v="Controlos NOK"/>
    <m/>
    <s v="Não"/>
    <d v="2024-06-07T00:00:00"/>
    <x v="5"/>
    <s v="NOK"/>
    <m/>
    <m/>
    <m/>
    <x v="6"/>
  </r>
  <r>
    <s v="INSTRUMENT"/>
    <s v="DT_CMPLNT_MRTR_STTS_C19"/>
    <x v="1"/>
    <s v="9. Concluído"/>
    <s v="OK"/>
    <s v="Concluido, controlos OK"/>
    <m/>
    <s v="Campo Fechado"/>
    <d v="2024-06-07T00:00:00"/>
    <x v="0"/>
    <s v="OK"/>
    <m/>
    <m/>
    <m/>
    <x v="0"/>
  </r>
  <r>
    <s v="INSTRUMENT"/>
    <s v="DT_CMPLNT_MRTR_STTS_PRVS_C19"/>
    <x v="1"/>
    <s v="9. Concluído"/>
    <s v="OK"/>
    <s v="Concluido, controlos OK"/>
    <m/>
    <s v="Campo Fechado"/>
    <d v="2024-06-07T00:00:00"/>
    <x v="0"/>
    <s v="OK"/>
    <m/>
    <m/>
    <m/>
    <x v="0"/>
  </r>
  <r>
    <s v="PROTECTION"/>
    <s v="DT_PRTCTN_VL"/>
    <x v="0"/>
    <s v="5.2 Em testes - Incidência"/>
    <s v="NOK"/>
    <s v="Campo com incidência e controlos NOK. "/>
    <s v="Alteração formato de 0001-01-01 para 0000-00-00"/>
    <s v="Campo Fechado"/>
    <d v="2025-01-13T00:00:00"/>
    <x v="0"/>
    <s v="OK"/>
    <s v="Incidência corrigida. Especificação alterada para campo da GT018, de modo a estar coerente com a especificação do campo PRTCTN_VL_x000a_Controlo NOK (ver caderno de testes a 03/12/2023)"/>
    <d v="2024-07-19T00:00:00"/>
    <d v="2024-12-20T00:00:00"/>
    <x v="1"/>
  </r>
  <r>
    <s v="ENTITY"/>
    <s v="DT_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s v="Sim"/>
    <d v="2024-06-07T00:00:00"/>
    <x v="4"/>
    <s v="NOK"/>
    <m/>
    <m/>
    <m/>
    <x v="5"/>
  </r>
  <r>
    <s v="INSTRUMENT"/>
    <s v="DT_DFLT_STTS_INSTRMNT"/>
    <x v="0"/>
    <s v="5.2 Em testes - Incidência"/>
    <s v="NOK"/>
    <s v="Campo com incidência. É necessário adicionar a data de inception sempre que os contratos não estejam em default_x000a_Campo entregue por IT durante a OSI, no entanto foi detatada a incidência identificada supra"/>
    <s v="Na OSI foram reportados os 1os titulares da Contabilidade, o que para alguns casos, são diferentes do que está na CL01. Apenas será necessário ajustar este campo caso a LT passe a reportar os 1os titulares da Contabilidade."/>
    <s v="Não"/>
    <d v="2024-06-07T00:00:00"/>
    <x v="1"/>
    <s v="NOK"/>
    <m/>
    <m/>
    <m/>
    <x v="2"/>
  </r>
  <r>
    <s v="INSTRUMENT"/>
    <s v="DT_END_GP_PPAL"/>
    <x v="0"/>
    <s v="7. Analisar controlos e completude"/>
    <s v="NOK"/>
    <s v="Controlos NOK"/>
    <m/>
    <s v="Não"/>
    <d v="2024-06-07T00:00:00"/>
    <x v="5"/>
    <s v="NOK"/>
    <m/>
    <m/>
    <m/>
    <x v="6"/>
  </r>
  <r>
    <s v="INSTRUMENT"/>
    <s v="DT_END_GP_PPAL_C19"/>
    <x v="1"/>
    <s v="9. Concluído"/>
    <s v="OK"/>
    <s v="Concluido, controlos OK"/>
    <m/>
    <s v="Campo Fechado"/>
    <d v="2024-06-07T00:00:00"/>
    <x v="0"/>
    <s v="OK"/>
    <m/>
    <m/>
    <m/>
    <x v="0"/>
  </r>
  <r>
    <s v="INSTRUMENT"/>
    <s v="DT_END_INTRST_ONLY"/>
    <x v="0"/>
    <s v="7. Analisar controlos e completude"/>
    <s v="NOK"/>
    <s v="Controlos NOK"/>
    <m/>
    <s v="Não"/>
    <d v="2024-06-07T00:00:00"/>
    <x v="5"/>
    <s v="NOK"/>
    <m/>
    <m/>
    <m/>
    <x v="6"/>
  </r>
  <r>
    <s v="INSTRUMENT"/>
    <s v="DT_END_INTRST_ONLY_C19"/>
    <x v="1"/>
    <s v="9. Concluído"/>
    <s v="OK"/>
    <s v="Concluido, controlos OK"/>
    <m/>
    <s v="Campo Fechado"/>
    <d v="2024-06-07T00:00:00"/>
    <x v="0"/>
    <s v="OK"/>
    <m/>
    <m/>
    <m/>
    <x v="0"/>
  </r>
  <r>
    <s v="PROTECTION"/>
    <s v="CNSTRCTN_STTS"/>
    <x v="1"/>
    <s v="2. Alterar especificação"/>
    <s v="NOK"/>
    <s v="Campo dependente do MUG"/>
    <s v="Campo depende do campo 'cgarant' do MUG"/>
    <s v="Campo Fechado"/>
    <d v="2025-01-13T00:00:00"/>
    <x v="0"/>
    <s v="OK"/>
    <m/>
    <d v="2024-08-09T00:00:00"/>
    <d v="2024-12-20T00:00:00"/>
    <x v="1"/>
  </r>
  <r>
    <s v="ENTITY"/>
    <s v="DT_FNNCL_STTMTS"/>
    <x v="0"/>
    <s v="2. Alterar especificação"/>
    <s v="NOK"/>
    <s v="Em especificação (Financial Statments CIB)"/>
    <s v="Campo implementação, mas com falta de informação para o segmento de clientes CIB"/>
    <s v="Não"/>
    <d v="2024-06-07T00:00:00"/>
    <x v="2"/>
    <s v="NOK"/>
    <m/>
    <m/>
    <m/>
    <x v="2"/>
  </r>
  <r>
    <s v="ENTITY"/>
    <s v="DT_FNNCL_STTMTS_PRVS"/>
    <x v="0"/>
    <s v="2. Alterar especificação"/>
    <s v="NOK"/>
    <s v="Em especificação (Financial Statments CIB)"/>
    <s v="Campo implementação, mas com falta de informação para o segmento de clientes CIB"/>
    <s v="Não"/>
    <d v="2024-06-07T00:00:00"/>
    <x v="2"/>
    <s v="NOK"/>
    <m/>
    <m/>
    <m/>
    <x v="2"/>
  </r>
  <r>
    <s v="INSTRUMENT"/>
    <s v="RCVD_INTRST_24M"/>
    <x v="0"/>
    <s v="2. Alterar especificação"/>
    <s v="OK"/>
    <s v="Em especificação (Amortizações Capital/ Juros). Campo com dados mas pouca qualidade"/>
    <m/>
    <s v="Não"/>
    <d v="2024-06-07T00:00:00"/>
    <x v="2"/>
    <s v="OK"/>
    <m/>
    <m/>
    <m/>
    <x v="2"/>
  </r>
  <r>
    <s v="INSTRUMENT"/>
    <s v="DT_FRBRNC_STTS_C19"/>
    <x v="1"/>
    <s v="9. Concluído"/>
    <s v="OK"/>
    <s v="Concluido, controlos OK"/>
    <m/>
    <s v="Campo Fechado"/>
    <d v="2024-06-07T00:00:00"/>
    <x v="0"/>
    <s v="OK"/>
    <m/>
    <m/>
    <m/>
    <x v="0"/>
  </r>
  <r>
    <s v="INSTRUMENT"/>
    <s v="RCVD_INTRST_12M"/>
    <x v="0"/>
    <s v="2. Alterar especificação"/>
    <s v="NOK"/>
    <s v="Em especificação (Amortizações Capital/ Juros)"/>
    <m/>
    <s v="Não"/>
    <d v="2024-06-07T00:00:00"/>
    <x v="2"/>
    <s v="NOK"/>
    <m/>
    <m/>
    <m/>
    <x v="2"/>
  </r>
  <r>
    <s v="INSTRUMENT"/>
    <s v="DT_FRBRNC_STTS_PRVS_C19"/>
    <x v="1"/>
    <s v="9. Concluído"/>
    <s v="OK"/>
    <s v="Concluido, controlos OK"/>
    <m/>
    <s v="Campo Fechado"/>
    <d v="2024-06-07T00:00:00"/>
    <x v="0"/>
    <s v="OK"/>
    <m/>
    <m/>
    <m/>
    <x v="0"/>
  </r>
  <r>
    <s v="PROTECTION"/>
    <s v="DT_FRST_USG"/>
    <x v="1"/>
    <s v="7. Analisar controlos e completude"/>
    <s v="NOK"/>
    <s v="Controlos NOK por parte de Riscos"/>
    <m/>
    <s v="Não"/>
    <d v="2024-06-07T00:00:00"/>
    <x v="5"/>
    <s v="NOK"/>
    <m/>
    <m/>
    <m/>
    <x v="6"/>
  </r>
  <r>
    <s v="INSTRUMENT"/>
    <s v="DT_IMPRMNT_STT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NOK"/>
    <s v="Alteração da fonte das tabela de Imparidade Reporting para as 8_7 e alteração da data a partir da qual a fonte passa a ser as tabelas de Contabilidade"/>
    <d v="2024-09-27T00:00:00"/>
    <m/>
    <x v="5"/>
  </r>
  <r>
    <s v="INSTRUMENT"/>
    <s v="DT_IMPRMNT_STTS_PRV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NOK"/>
    <s v="Alteração da fonte das tabela de Imparidade Reporting para as 8_7 e alteração da data a partir da qual a fonte passa a ser as tabelas de Contabilidade"/>
    <d v="2024-09-27T00:00:00"/>
    <m/>
    <x v="5"/>
  </r>
  <r>
    <s v="INSTRUMENT"/>
    <s v="DT_INCPTN"/>
    <x v="0"/>
    <s v="7. Analisar controlos e completude"/>
    <s v="NOK"/>
    <s v="Controlos NOK"/>
    <m/>
    <s v="Não"/>
    <d v="2024-06-07T00:00:00"/>
    <x v="5"/>
    <s v="NOK"/>
    <m/>
    <m/>
    <m/>
    <x v="6"/>
  </r>
  <r>
    <s v="ENTITY"/>
    <s v="DT_INTRNL_RTNG"/>
    <x v="0"/>
    <s v="5.1 Em testes - Re-especificação"/>
    <s v="NOK"/>
    <s v="Em testes, campo entregue por IT durante a OSI. Incidência nos formatos. Testar e validar controlos NOK"/>
    <m/>
    <s v="Sim"/>
    <d v="2024-06-07T00:00:00"/>
    <x v="8"/>
    <s v="NOK"/>
    <s v="Campo entregue durante a OSI"/>
    <d v="2024-02-16T00:00:00"/>
    <d v="2024-05-24T00:00:00"/>
    <x v="1"/>
  </r>
  <r>
    <s v="INSTRUMENT"/>
    <s v="DT_INTRNL_RTNG"/>
    <x v="0"/>
    <s v="5.1 Em testes - Re-especificação"/>
    <s v="NOK"/>
    <s v="Em testes, campo entregue por IT durante a OSI. Testar e validar controlos"/>
    <m/>
    <s v="Sim"/>
    <d v="2024-06-07T00:00:00"/>
    <x v="8"/>
    <s v="NOK"/>
    <s v="Campo entregue durante a OSI"/>
    <d v="2024-02-16T00:00:00"/>
    <d v="2024-05-24T00:00:00"/>
    <x v="1"/>
  </r>
  <r>
    <s v="ENTITY"/>
    <s v="DT_INTTN_LGL_PRCDNGS_LE"/>
    <x v="0"/>
    <s v="9. Concluído"/>
    <s v="OK"/>
    <s v="Concluido, controlos OK"/>
    <m/>
    <s v="Campo Fechado"/>
    <d v="2024-06-07T00:00:00"/>
    <x v="0"/>
    <s v="OK"/>
    <m/>
    <m/>
    <m/>
    <x v="0"/>
  </r>
  <r>
    <s v="PROTECTION"/>
    <s v="DVLPMNT_STTS"/>
    <x v="0"/>
    <s v="2. Alterar especificação"/>
    <s v="NOK"/>
    <s v="Alterar especificação. Campo dependente do MUG"/>
    <s v="Campo depende do campo 'cgarant' do MUG"/>
    <s v="Campo Fechado"/>
    <d v="2025-01-13T00:00:00"/>
    <x v="0"/>
    <s v="OK"/>
    <s v="Mapeamento de acordo com o CNSTRCTN_STTS"/>
    <d v="2024-08-09T00:00:00"/>
    <d v="2024-12-20T00:00:00"/>
    <x v="1"/>
  </r>
  <r>
    <s v="PROTECTION"/>
    <s v="DT_LST_FLL_APPRSL"/>
    <x v="0"/>
    <s v="5.2 Em testes - Incidência"/>
    <s v="NOK"/>
    <s v="Campo com incidência e controlos NOK"/>
    <s v="1) Campo com incidência, data igual à data da protection_vl 2) Alteração de formatos MISS"/>
    <s v="Campo Fechado"/>
    <d v="2025-01-13T00:00:00"/>
    <x v="0"/>
    <s v="OK"/>
    <s v="Campo está a reportar a data da última avaliação e não a data da última avaliação in person. Implementação não está a aplicar a metodologia de cálculo de acordo com a especificação"/>
    <d v="2024-06-28T00:00:00"/>
    <d v="2024-12-20T00:00:00"/>
    <x v="1"/>
  </r>
  <r>
    <s v="PROTECTION"/>
    <s v="DT_MTRTY_PRTCTN"/>
    <x v="0"/>
    <s v="7. Analisar controlos e completude"/>
    <s v="NOK"/>
    <s v="Controlos NOK por parte de Riscos"/>
    <m/>
    <s v="Não"/>
    <d v="2024-06-07T00:00:00"/>
    <x v="5"/>
    <s v="NOK"/>
    <m/>
    <m/>
    <m/>
    <x v="6"/>
  </r>
  <r>
    <s v="INSTRUMENT"/>
    <s v="SICR_ASSSSMNT_MTHD"/>
    <x v="0"/>
    <s v="3. Pendente de decisão"/>
    <s v="OK"/>
    <s v="Rever com Corporação se a codelist do IMPRMNT_STTS alterou, caso não tenha alterado não é necessário alterar o campo."/>
    <m/>
    <s v="Campo Fechado"/>
    <d v="2024-06-28T00:00:00"/>
    <x v="0"/>
    <s v="OK"/>
    <s v="E-mail enviado para Corporação. Codelist IMPRMNT_STTS não alterou"/>
    <m/>
    <s v="-"/>
    <x v="0"/>
  </r>
  <r>
    <s v="INSTRUMENT"/>
    <s v="DT_ORGNL_MTRTY"/>
    <x v="0"/>
    <s v="7. Analisar controlos e completude"/>
    <s v="NOK"/>
    <s v="Controlos NOK"/>
    <m/>
    <s v="Não"/>
    <d v="2024-06-07T00:00:00"/>
    <x v="5"/>
    <s v="NOK"/>
    <m/>
    <m/>
    <m/>
    <x v="6"/>
  </r>
  <r>
    <s v="PROTECTION"/>
    <s v="NTNL_ID"/>
    <x v="0"/>
    <s v="5.2 Em testes - Incidência"/>
    <s v="NOK"/>
    <s v="Campo com incidência (Formatos). Remover aspas"/>
    <m/>
    <s v="Campo Fechado"/>
    <d v="2025-01-13T00:00:00"/>
    <x v="0"/>
    <s v="OK"/>
    <m/>
    <d v="2024-08-09T00:00:00"/>
    <d v="2024-12-20T00:00:00"/>
    <x v="1"/>
  </r>
  <r>
    <s v="INSTRUMENT"/>
    <s v="DT_PRFRMNG_STT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OK"/>
    <s v="Alteração da fonte das tabela de Imparidade Reporting para as 8_7 e alteração da data a partir da qual a fonte passa a ser as tabelas de Contabilidade"/>
    <d v="2024-09-27T00:00:00"/>
    <m/>
    <x v="5"/>
  </r>
  <r>
    <s v="ENTITY"/>
    <s v="DT_PRFRMNG_STTS_LE"/>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s v="Sim"/>
    <d v="2024-06-07T00:00:00"/>
    <x v="4"/>
    <s v="NOK"/>
    <m/>
    <m/>
    <m/>
    <x v="5"/>
  </r>
  <r>
    <s v="INSTRUMENT"/>
    <s v="DT_PRFRMNG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OK"/>
    <s v="Alteração da fonte das tabela de Imparidade Reporting para as 8_7 e alteração da data a partir da qual a fonte passa a ser as tabelas de Contabilidade"/>
    <d v="2024-09-27T00:00:00"/>
    <m/>
    <x v="5"/>
  </r>
  <r>
    <s v="INSTRUMENT"/>
    <s v="IFRS9_BHVRL_MTRTY"/>
    <x v="0"/>
    <s v="2. Alterar especificação"/>
    <s v="OK"/>
    <s v="Alterar especificação. Necessidade de alteração da fonte para fins de reconciliação"/>
    <s v="Em curso. Aguardamos resposta da equipa de Imparidade. Sempre que o campo for nulo colocar 111111111 valor de NA"/>
    <s v="Sim"/>
    <d v="2025-01-13T00:00:00"/>
    <x v="8"/>
    <s v="OK"/>
    <s v="Alteração de fonte e tabelas reporting para tabelas terminadas em 7_8_x000a_"/>
    <d v="2024-08-30T00:00:00"/>
    <m/>
    <x v="1"/>
  </r>
  <r>
    <s v="INSTRUMENT"/>
    <s v="DT_PST_D"/>
    <x v="0"/>
    <s v="7. Analisar controlos e completude"/>
    <s v="NOK"/>
    <s v="Controlos NOK"/>
    <m/>
    <s v="Não"/>
    <d v="2024-06-07T00:00:00"/>
    <x v="5"/>
    <s v="NOK"/>
    <m/>
    <m/>
    <m/>
    <x v="6"/>
  </r>
  <r>
    <s v="ENTITY"/>
    <s v="DT_RFRNC"/>
    <x v="0"/>
    <s v="9. Concluído"/>
    <s v="OK"/>
    <s v="Concluido, controlos OK"/>
    <m/>
    <s v="Campo Fechado"/>
    <d v="2024-06-07T00:00:00"/>
    <x v="0"/>
    <s v="OK"/>
    <m/>
    <m/>
    <m/>
    <x v="0"/>
  </r>
  <r>
    <s v="INSTR_ENTITY"/>
    <s v="DT_RFRNC"/>
    <x v="0"/>
    <s v="9. Concluído"/>
    <s v="OK"/>
    <s v="Concluido, controlos OK"/>
    <m/>
    <s v="Campo Fechado"/>
    <d v="2024-06-07T00:00:00"/>
    <x v="0"/>
    <s v="OK"/>
    <m/>
    <m/>
    <m/>
    <x v="0"/>
  </r>
  <r>
    <s v="INSTR_PROTECTION"/>
    <s v="DT_RFRNC"/>
    <x v="0"/>
    <s v="9. Concluído"/>
    <s v="OK"/>
    <s v="Concluido, controlos OK"/>
    <m/>
    <s v="Campo Fechado"/>
    <d v="2024-06-07T00:00:00"/>
    <x v="0"/>
    <s v="OK"/>
    <m/>
    <m/>
    <m/>
    <x v="0"/>
  </r>
  <r>
    <s v="INSTRUMENT"/>
    <s v="DT_RFRNC"/>
    <x v="0"/>
    <s v="9. Concluído"/>
    <s v="OK"/>
    <s v="Concluido, controlos OK"/>
    <m/>
    <s v="Campo Fechado"/>
    <d v="2024-06-07T00:00:00"/>
    <x v="0"/>
    <s v="OK"/>
    <m/>
    <m/>
    <m/>
    <x v="0"/>
  </r>
  <r>
    <s v="PROTECTION"/>
    <s v="DT_RFRNC"/>
    <x v="0"/>
    <s v="9. Concluído"/>
    <s v="OK"/>
    <s v="Concluido, controlos OK"/>
    <m/>
    <s v="Campo Fechado"/>
    <d v="2024-06-07T00:00:00"/>
    <x v="0"/>
    <s v="OK"/>
    <m/>
    <m/>
    <m/>
    <x v="0"/>
  </r>
  <r>
    <s v="INSTRUMENT"/>
    <s v="DT_STRT_GP_PPAL"/>
    <x v="0"/>
    <s v="7. Analisar controlos e completude"/>
    <s v="NOK"/>
    <s v="Controlos NOK"/>
    <m/>
    <s v="Não"/>
    <d v="2024-06-07T00:00:00"/>
    <x v="5"/>
    <s v="NOK"/>
    <m/>
    <m/>
    <m/>
    <x v="6"/>
  </r>
  <r>
    <s v="INSTRUMENT"/>
    <s v="DT_STRT_INTRST_ONLY"/>
    <x v="0"/>
    <s v="7. Analisar controlos e completude"/>
    <s v="NOK"/>
    <s v="Controlos NOK"/>
    <m/>
    <s v="Não"/>
    <d v="2024-06-07T00:00:00"/>
    <x v="5"/>
    <s v="NOK"/>
    <m/>
    <m/>
    <m/>
    <x v="6"/>
  </r>
  <r>
    <s v="INSTRUMENT"/>
    <s v="DT_VLTN"/>
    <x v="1"/>
    <s v="9. Concluído"/>
    <s v="OK"/>
    <s v="Concluido, controlos OK"/>
    <m/>
    <s v="Campo Fechado"/>
    <d v="2024-06-07T00:00:00"/>
    <x v="0"/>
    <s v="OK"/>
    <m/>
    <m/>
    <m/>
    <x v="0"/>
  </r>
  <r>
    <s v="INSTRUMENT"/>
    <s v="POCI"/>
    <x v="0"/>
    <s v="9. Concluído"/>
    <s v="OK"/>
    <s v="Concluido, controlos OK"/>
    <m/>
    <s v="Campo Fechado"/>
    <d v="2024-08-16T00:00:00"/>
    <x v="2"/>
    <m/>
    <s v="Alterar especificação para a tabela de Contabilidade FR004 campo Flag_POCI. Campo estava a mapear informação das tabelas de Imparidade, no entanto ficou definido que o Owner da informação deveria ser Contabilidade, neste sentido é necessário alterar a fonte para a tabela da Contabilidade"/>
    <m/>
    <m/>
    <x v="0"/>
  </r>
  <r>
    <s v="INSTRUMENT"/>
    <s v="EAD"/>
    <x v="0"/>
    <s v="5.1 Em testes - Re-especificação"/>
    <s v="OK"/>
    <s v="Em testes. Campo com incidências, mas corrigida na LT no âmbito da OSI."/>
    <m/>
    <s v="Sim"/>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 &quot;nas várias chaves FR, onde &quot;saldo capital&quot; é obtido através das contas cargabal, cruzamento fr802 e cruzamento com matriz de contas 805 para o nome perimentro corporativo_x000a_Verificamos que o aprovisionamento do campo está correto de acordo com as regras especificadas"/>
    <d v="2024-02-16T00:00:00"/>
    <d v="2024-05-24T00:00:00"/>
    <x v="1"/>
  </r>
  <r>
    <s v="INSTRUMENT"/>
    <s v="EBA_CMPLNT_MRTR_ST_C19"/>
    <x v="1"/>
    <s v="9. Concluído"/>
    <s v="OK"/>
    <s v="Concluido, controlos OK"/>
    <m/>
    <s v="Campo Fechado"/>
    <d v="2024-06-07T00:00:00"/>
    <x v="0"/>
    <s v="OK"/>
    <m/>
    <m/>
    <m/>
    <x v="0"/>
  </r>
  <r>
    <s v="INSTRUMENT"/>
    <s v="OTSTNDNG_NMNL_AMNT_INSTRMNT_PRVS"/>
    <x v="0"/>
    <s v="5.2 Em testes - Incidência"/>
    <s v="OK"/>
    <s v="Campo com incidência"/>
    <s v="Diferenças na fonte_x000a__x000a_Regra utilizada na OSI:_x000a_cast(NVL((LT02_PRVS.GRSS_CRRYNG_AMNT_INSTRMNT_PRVS - NVL(ACCRD_T1.ACCRD_INTRST_INSTRMNT_PRVS,0)) ,11111111111.00) as decimal(21,2)) as  OTSTNDNG_NMNL_AMNT_INSTRMNT_PRVS"/>
    <s v="Sim"/>
    <d v="2024-06-28T00:00:00"/>
    <x v="2"/>
    <s v="NOK"/>
    <s v="Campo está a assumir apenas valores negativos, 0.00, MISS ou N/A. É necessário replicar o cálculo da LT001 para um ano atrás. LCM pediu para que o campo fonte fosse criado diretamente na LT001, eliminando a necessidade de replicar o calculo da LT001 para um ano antes da data de referência._x000a_Alteração de especificação aquando da entrega dos campos da LT001 da equipa de IT"/>
    <m/>
    <m/>
    <x v="5"/>
  </r>
  <r>
    <s v="INSTRUMENT"/>
    <s v="INSTLMNT_PAY"/>
    <x v="1"/>
    <s v="2. Alterar especificação"/>
    <s v="OK"/>
    <s v="Campo especificado, mas com pouca qualidade de dados"/>
    <m/>
    <s v="Não"/>
    <d v="2024-06-07T00:00:00"/>
    <x v="2"/>
    <s v="OK"/>
    <m/>
    <m/>
    <m/>
    <x v="7"/>
  </r>
  <r>
    <s v="ENTITY"/>
    <s v="EC_GRP_ID"/>
    <x v="1"/>
    <s v="1. Especificar"/>
    <s v="OK"/>
    <s v="Em especificação (Campos Novos)"/>
    <m/>
    <s v="Não"/>
    <d v="2024-06-07T00:00:00"/>
    <x v="3"/>
    <s v="OK"/>
    <m/>
    <m/>
    <m/>
    <x v="4"/>
  </r>
  <r>
    <s v="ENTITY"/>
    <s v="EC_GRP_NM"/>
    <x v="1"/>
    <s v="1. Especificar"/>
    <s v="OK"/>
    <s v="Em especificação (Campos Novos)"/>
    <m/>
    <s v="Não"/>
    <d v="2024-06-07T00:00:00"/>
    <x v="3"/>
    <s v="OK"/>
    <m/>
    <m/>
    <m/>
    <x v="4"/>
  </r>
  <r>
    <s v="ENTITY"/>
    <s v="ECNMC_ACTVTY"/>
    <x v="0"/>
    <s v="9. Concluído"/>
    <s v="OK"/>
    <s v="Concluido, controlos OK"/>
    <m/>
    <s v="Campo Fechado"/>
    <d v="2024-06-07T00:00:00"/>
    <x v="0"/>
    <s v="OK"/>
    <m/>
    <m/>
    <m/>
    <x v="0"/>
  </r>
  <r>
    <s v="INSTRUMENT"/>
    <s v="EIR"/>
    <x v="0"/>
    <s v="7. Analisar controlos e completude"/>
    <s v="NOK"/>
    <s v="Controlos NOK"/>
    <m/>
    <s v="Não"/>
    <d v="2024-06-07T00:00:00"/>
    <x v="5"/>
    <s v="NOK"/>
    <m/>
    <m/>
    <m/>
    <x v="6"/>
  </r>
  <r>
    <s v="INSTRUMENT"/>
    <s v="EIR_INCPTN"/>
    <x v="0"/>
    <s v="7. Analisar controlos e completude"/>
    <s v="NOK"/>
    <s v="Controlos NOK"/>
    <m/>
    <s v="Não"/>
    <d v="2024-06-07T00:00:00"/>
    <x v="5"/>
    <s v="NOK"/>
    <m/>
    <m/>
    <m/>
    <x v="6"/>
  </r>
  <r>
    <s v="INSTRUMENT"/>
    <s v="ELGBLTY_ECB"/>
    <x v="1"/>
    <s v="9. Concluído"/>
    <s v="OK"/>
    <s v="Concluido, controlos OK"/>
    <m/>
    <s v="Campo Fechado"/>
    <d v="2024-06-07T00:00:00"/>
    <x v="0"/>
    <s v="OK"/>
    <m/>
    <m/>
    <m/>
    <x v="0"/>
  </r>
  <r>
    <s v="ENTITY"/>
    <s v="EMPLYMNT_STTS"/>
    <x v="1"/>
    <s v="9. Concluído"/>
    <s v="OK"/>
    <s v="Concluido, controlos OK"/>
    <m/>
    <s v="Campo Fechado"/>
    <d v="2024-06-07T00:00:00"/>
    <x v="0"/>
    <s v="OK"/>
    <m/>
    <m/>
    <m/>
    <x v="0"/>
  </r>
  <r>
    <s v="ENTITY"/>
    <s v="EMPLYMNT_STTS_INTRNL"/>
    <x v="1"/>
    <s v="9. Concluído"/>
    <s v="OK"/>
    <s v="Concluido, controlos OK"/>
    <m/>
    <s v="Campo Fechado"/>
    <d v="2024-06-07T00:00:00"/>
    <x v="0"/>
    <s v="OK"/>
    <m/>
    <m/>
    <m/>
    <x v="0"/>
  </r>
  <r>
    <s v="ENTITY"/>
    <s v="ENTRPRS_SZ_LE"/>
    <x v="0"/>
    <s v="7. Analisar controlos e completude"/>
    <s v="NOK"/>
    <s v="Controlos NOK"/>
    <m/>
    <s v="Não"/>
    <d v="2024-06-07T00:00:00"/>
    <x v="5"/>
    <s v="NOK"/>
    <m/>
    <m/>
    <m/>
    <x v="6"/>
  </r>
  <r>
    <s v="ENTITY"/>
    <s v="ENTTY_ID"/>
    <x v="0"/>
    <s v="7. Analisar controlos e completude"/>
    <s v="NOK"/>
    <s v="Controlos NOK"/>
    <m/>
    <s v="Não"/>
    <d v="2024-06-07T00:00:00"/>
    <x v="5"/>
    <s v="NOK"/>
    <m/>
    <m/>
    <m/>
    <x v="6"/>
  </r>
  <r>
    <s v="INSTR_ENTITY"/>
    <s v="ENTTY_ID"/>
    <x v="0"/>
    <s v="7. Analisar controlos e completude"/>
    <s v="NOK"/>
    <s v="Controlos NOK"/>
    <m/>
    <s v="Não"/>
    <d v="2024-06-07T00:00:00"/>
    <x v="5"/>
    <s v="NOK"/>
    <m/>
    <m/>
    <m/>
    <x v="6"/>
  </r>
  <r>
    <s v="ENTITY"/>
    <s v="ENTTY_NM"/>
    <x v="0"/>
    <s v="9. Concluído"/>
    <s v="OK"/>
    <s v="Concluido, controlos OK"/>
    <m/>
    <s v="Campo Fechado"/>
    <d v="2024-06-07T00:00:00"/>
    <x v="0"/>
    <s v="OK"/>
    <m/>
    <m/>
    <m/>
    <x v="0"/>
  </r>
  <r>
    <s v="ENTITY"/>
    <s v="EQTY"/>
    <x v="0"/>
    <s v="2. Alterar especificação"/>
    <s v="OK"/>
    <s v="Em especificação (Financial Statments CIB)"/>
    <s v="Campo implementação, mas com falta de informação para o segmento de clientes CIB"/>
    <s v="Não"/>
    <d v="2024-06-07T00:00:00"/>
    <x v="2"/>
    <s v="OK"/>
    <m/>
    <m/>
    <m/>
    <x v="2"/>
  </r>
  <r>
    <s v="ENTITY"/>
    <s v="EQTY_PRVS"/>
    <x v="0"/>
    <s v="2. Alterar especificação"/>
    <s v="OK"/>
    <s v="Em especificação (Financial Statments CIB)"/>
    <s v="Campo implementação, mas com falta de informação para o segmento de clientes CIB"/>
    <s v="Não"/>
    <d v="2024-06-07T00:00:00"/>
    <x v="2"/>
    <s v="OK"/>
    <m/>
    <m/>
    <m/>
    <x v="2"/>
  </r>
  <r>
    <s v="INSTRUMENT"/>
    <s v="EXPCTD_LSS_CRR"/>
    <x v="1"/>
    <s v="4.1 Em implementação - Re-especificação"/>
    <s v="OK"/>
    <s v="Aguarda implementação de IT"/>
    <m/>
    <s v="Não"/>
    <d v="2024-06-17T00:00:00"/>
    <x v="8"/>
    <s v="OK"/>
    <m/>
    <d v="2024-02-02T00:00:00"/>
    <d v="2024-03-28T00:00:00"/>
    <x v="4"/>
  </r>
  <r>
    <s v="INSTRUMENT"/>
    <s v="EXPSR_IN_SCP"/>
    <x v="0"/>
    <s v="9. Concluído"/>
    <s v="OK"/>
    <s v="Concluido, controlos OK"/>
    <m/>
    <s v="Campo Fechado"/>
    <d v="2024-06-07T00:00:00"/>
    <x v="0"/>
    <s v="OK"/>
    <m/>
    <m/>
    <m/>
    <x v="0"/>
  </r>
  <r>
    <s v="INSTRUMENT"/>
    <s v="FRBRNC_STTS_INSTRMNT"/>
    <x v="0"/>
    <s v="2. Alterar especificação"/>
    <s v="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s v="Não"/>
    <d v="2024-06-07T00:00:00"/>
    <x v="2"/>
    <s v="OK"/>
    <m/>
    <m/>
    <m/>
    <x v="2"/>
  </r>
  <r>
    <s v="ENTITY"/>
    <s v="EXTRNL_RTNG_PRVS"/>
    <x v="0"/>
    <s v="2. Alterar especificação"/>
    <s v="OK"/>
    <s v="Alterar especificação para casos em informação na fonte."/>
    <s v="Quando não existe informação na fonte em vez de MISS substituir por NA"/>
    <s v="Sim"/>
    <d v="2024-06-07T00:00:00"/>
    <x v="2"/>
    <s v="OK"/>
    <m/>
    <m/>
    <m/>
    <x v="3"/>
  </r>
  <r>
    <s v="ENTITY"/>
    <s v="EXTRNL_RTNG_NM"/>
    <x v="0"/>
    <s v="2. Alterar especificação"/>
    <s v="NOK"/>
    <s v="Alterar especificação para casos em informação na fonte."/>
    <s v="Quando não existe informação na fonte em vez de MISS substituir por NA"/>
    <s v="Sim"/>
    <d v="2024-06-07T00:00:00"/>
    <x v="2"/>
    <s v="NOK"/>
    <m/>
    <m/>
    <m/>
    <x v="3"/>
  </r>
  <r>
    <s v="INSTRUMENT"/>
    <s v="FLD_SYNDCTN"/>
    <x v="1"/>
    <s v="6. Outros Desenvolvimentos"/>
    <s v="OK"/>
    <s v="Em implementação IT BST (Sindicados)"/>
    <s v="Aguarda desenvolvimentos nas plataformas Loan IQ e Mercurio"/>
    <s v="Não"/>
    <d v="2024-06-07T00:00:00"/>
    <x v="9"/>
    <s v="OK"/>
    <m/>
    <m/>
    <m/>
    <x v="2"/>
  </r>
  <r>
    <s v="ENTITY"/>
    <s v="FLG_BNKRPTCY_IN_GRP"/>
    <x v="0"/>
    <s v="9. Concluído"/>
    <s v="OK"/>
    <s v="Concluido, controlos OK"/>
    <m/>
    <s v="Campo Fechado"/>
    <d v="2024-06-07T00:00:00"/>
    <x v="0"/>
    <s v="OK"/>
    <m/>
    <m/>
    <m/>
    <x v="0"/>
  </r>
  <r>
    <s v="ENTITY"/>
    <s v="FLG_HGH_CDS"/>
    <x v="0"/>
    <s v="9. Concluído"/>
    <s v="OK"/>
    <s v="Concluido, controlos OK"/>
    <m/>
    <s v="Campo Fechado"/>
    <d v="2024-06-07T00:00:00"/>
    <x v="0"/>
    <s v="OK"/>
    <m/>
    <m/>
    <m/>
    <x v="0"/>
  </r>
  <r>
    <s v="ENTITY"/>
    <s v="FLG_ISDA_CRDT_EVNT"/>
    <x v="0"/>
    <s v="9. Concluído"/>
    <s v="OK"/>
    <s v="Concluido, controlos OK"/>
    <m/>
    <s v="Campo Fechado"/>
    <d v="2024-06-07T00:00:00"/>
    <x v="0"/>
    <s v="OK"/>
    <m/>
    <m/>
    <m/>
    <x v="0"/>
  </r>
  <r>
    <s v="INSTRUMENT"/>
    <s v="FLG_LBO"/>
    <x v="1"/>
    <s v="9. Concluído"/>
    <s v="OK"/>
    <s v="Concluido, controlos OK"/>
    <m/>
    <s v="Campo Fechado"/>
    <d v="2024-06-07T00:00:00"/>
    <x v="0"/>
    <s v="OK"/>
    <m/>
    <m/>
    <m/>
    <x v="0"/>
  </r>
  <r>
    <s v="ENTITY"/>
    <s v="FLG_NN_ACCRL"/>
    <x v="0"/>
    <s v="9. Concluído"/>
    <s v="OK"/>
    <s v="Concluido, controlos OK"/>
    <m/>
    <s v="Campo Fechado"/>
    <d v="2024-06-07T00:00:00"/>
    <x v="0"/>
    <s v="OK"/>
    <m/>
    <m/>
    <m/>
    <x v="0"/>
  </r>
  <r>
    <s v="ENTITY"/>
    <s v="FLG_RQST_BNKRPTCY"/>
    <x v="0"/>
    <s v="9. Concluído"/>
    <s v="OK"/>
    <s v="Concluido, controlos OK"/>
    <m/>
    <s v="Campo Fechado"/>
    <d v="2024-06-07T00:00:00"/>
    <x v="0"/>
    <s v="OK"/>
    <m/>
    <m/>
    <m/>
    <x v="0"/>
  </r>
  <r>
    <s v="ENTITY"/>
    <s v="FLG_RQST_DSTRSSD_RSTRCTRNG"/>
    <x v="0"/>
    <s v="1. Especificar"/>
    <s v="NOK"/>
    <s v="Em especificação, rever fonte"/>
    <m/>
    <s v="Não"/>
    <d v="2024-06-07T00:00:00"/>
    <x v="3"/>
    <s v="NOK"/>
    <m/>
    <m/>
    <m/>
    <x v="2"/>
  </r>
  <r>
    <s v="ENTITY"/>
    <s v="FLG_RQST_EMRGNCY_FNDNG"/>
    <x v="0"/>
    <s v="9. Concluído"/>
    <s v="OK"/>
    <s v="Concluido, controlos OK"/>
    <m/>
    <s v="Campo Fechado"/>
    <d v="2024-06-07T00:00:00"/>
    <x v="0"/>
    <s v="OK"/>
    <m/>
    <m/>
    <m/>
    <x v="0"/>
  </r>
  <r>
    <s v="ENTITY"/>
    <s v="FLG_SLL_WTH_LSS"/>
    <x v="0"/>
    <s v="9. Concluído"/>
    <s v="OK"/>
    <s v="Concluido, controlos OK"/>
    <m/>
    <s v="Campo Fechado"/>
    <d v="2024-06-07T00:00:00"/>
    <x v="0"/>
    <s v="OK"/>
    <m/>
    <m/>
    <m/>
    <x v="0"/>
  </r>
  <r>
    <s v="ENTITY"/>
    <s v="FR_CSH_FLW"/>
    <x v="0"/>
    <s v="1. Especificar"/>
    <s v="OK"/>
    <s v="Em especificação (Campos Novos)"/>
    <m/>
    <s v="Não"/>
    <d v="2024-06-07T00:00:00"/>
    <x v="3"/>
    <s v="OK"/>
    <m/>
    <m/>
    <m/>
    <x v="4"/>
  </r>
  <r>
    <s v="ENTITY"/>
    <s v="FR_CSH_FLW_T1"/>
    <x v="0"/>
    <s v="1. Especificar"/>
    <s v="OK"/>
    <s v="Em especificação (Campos Novos)"/>
    <m/>
    <s v="Não"/>
    <d v="2024-06-07T00:00:00"/>
    <x v="3"/>
    <s v="OK"/>
    <m/>
    <m/>
    <m/>
    <x v="4"/>
  </r>
  <r>
    <s v="ENTITY"/>
    <s v="FR_CSH_FLW_T2"/>
    <x v="0"/>
    <s v="1. Especificar"/>
    <s v="OK"/>
    <s v="Em especificação (Campos Novos)"/>
    <m/>
    <s v="Não"/>
    <d v="2024-06-07T00:00:00"/>
    <x v="3"/>
    <s v="OK"/>
    <m/>
    <m/>
    <m/>
    <x v="4"/>
  </r>
  <r>
    <s v="ENTITY"/>
    <s v="FR_CSH_FLW_T3"/>
    <x v="0"/>
    <s v="1. Especificar"/>
    <s v="OK"/>
    <s v="Em especificação (Campos Novos)"/>
    <m/>
    <s v="Não"/>
    <d v="2024-06-07T00:00:00"/>
    <x v="3"/>
    <s v="OK"/>
    <m/>
    <m/>
    <m/>
    <x v="4"/>
  </r>
  <r>
    <s v="INSTRUMENT"/>
    <s v="FRBRNC_STTS_C19"/>
    <x v="1"/>
    <s v="9. Concluído"/>
    <s v="OK"/>
    <s v="Concluido, controlos OK"/>
    <m/>
    <s v="Campo Fechado"/>
    <d v="2024-06-07T00:00:00"/>
    <x v="0"/>
    <s v="OK"/>
    <m/>
    <m/>
    <m/>
    <x v="0"/>
  </r>
  <r>
    <s v="ENTITY"/>
    <s v="EXTRNL_RTNG"/>
    <x v="0"/>
    <s v="2. Alterar especificação"/>
    <s v="OK"/>
    <s v="Alterar especificação para casos em informação na fonte."/>
    <s v="Quando não existe informação na fonte em vez de MISS substituir por NA"/>
    <s v="Sim"/>
    <d v="2024-06-07T00:00:00"/>
    <x v="2"/>
    <s v="OK"/>
    <m/>
    <m/>
    <m/>
    <x v="3"/>
  </r>
  <r>
    <s v="ENTITY"/>
    <s v="GCC_PRNT_ID"/>
    <x v="0"/>
    <s v="9. Concluído"/>
    <s v="OK"/>
    <s v="Concluido, controlos OK"/>
    <m/>
    <s v="Campo Fechado"/>
    <d v="2024-06-07T00:00:00"/>
    <x v="0"/>
    <s v="OK"/>
    <m/>
    <m/>
    <m/>
    <x v="0"/>
  </r>
  <r>
    <s v="ENTITY"/>
    <s v="GCC_PRNT_NM"/>
    <x v="0"/>
    <s v="9. Concluído"/>
    <s v="OK"/>
    <s v="Concluido, controlos OK"/>
    <m/>
    <s v="Campo Fechado"/>
    <d v="2024-06-07T00:00:00"/>
    <x v="0"/>
    <s v="OK"/>
    <m/>
    <m/>
    <m/>
    <x v="0"/>
  </r>
  <r>
    <s v="ENTITY"/>
    <s v="GDWILL"/>
    <x v="0"/>
    <s v="9. Concluído"/>
    <s v="OK"/>
    <s v="Concluido, controlos OK"/>
    <m/>
    <s v="Campo Fechado"/>
    <d v="2024-06-07T00:00:00"/>
    <x v="0"/>
    <s v="OK"/>
    <m/>
    <m/>
    <m/>
    <x v="0"/>
  </r>
  <r>
    <s v="ENTITY"/>
    <s v="GDWILL_PRVS"/>
    <x v="0"/>
    <s v="9. Concluído"/>
    <s v="OK"/>
    <s v="Concluido, controlos OK"/>
    <m/>
    <s v="Campo Fechado"/>
    <d v="2024-06-07T00:00:00"/>
    <x v="0"/>
    <s v="OK"/>
    <m/>
    <m/>
    <m/>
    <x v="0"/>
  </r>
  <r>
    <s v="INSTRUMENT"/>
    <s v="GRC_PRD_CPTL_INTRST_C19"/>
    <x v="1"/>
    <s v="9. Concluído"/>
    <s v="OK"/>
    <s v="Concluido, controlos OK"/>
    <m/>
    <s v="Campo Fechado"/>
    <d v="2024-06-07T00:00:00"/>
    <x v="0"/>
    <s v="OK"/>
    <m/>
    <m/>
    <m/>
    <x v="0"/>
  </r>
  <r>
    <s v="INSTRUMENT"/>
    <s v="GRNTR_ID"/>
    <x v="1"/>
    <s v="9. Concluído"/>
    <s v="OK"/>
    <s v="Concluido, controlos OK"/>
    <m/>
    <s v="Campo Fechado"/>
    <d v="2024-06-07T00:00:00"/>
    <x v="0"/>
    <s v="OK"/>
    <m/>
    <m/>
    <m/>
    <x v="0"/>
  </r>
  <r>
    <s v="INSTRUMENT"/>
    <s v="GRNTR_ID_TYP"/>
    <x v="1"/>
    <s v="9. Concluído"/>
    <s v="OK"/>
    <s v="Concluido, controlos OK"/>
    <m/>
    <s v="Campo Fechado"/>
    <d v="2024-06-07T00:00:00"/>
    <x v="0"/>
    <s v="OK"/>
    <m/>
    <m/>
    <m/>
    <x v="0"/>
  </r>
  <r>
    <s v="ENTITY"/>
    <s v="GRP_EBITDA"/>
    <x v="0"/>
    <s v="9. Concluído"/>
    <s v="OK"/>
    <s v="Concluido, controlos OK"/>
    <m/>
    <s v="Campo Fechado"/>
    <d v="2024-06-07T00:00:00"/>
    <x v="0"/>
    <s v="OK"/>
    <m/>
    <m/>
    <m/>
    <x v="0"/>
  </r>
  <r>
    <s v="ENTITY"/>
    <s v="GRP_EQTY"/>
    <x v="0"/>
    <s v="9. Concluído"/>
    <s v="OK"/>
    <s v="Concluido, controlos OK"/>
    <m/>
    <s v="Campo Fechado"/>
    <d v="2024-06-07T00:00:00"/>
    <x v="0"/>
    <s v="OK"/>
    <m/>
    <m/>
    <m/>
    <x v="0"/>
  </r>
  <r>
    <s v="ENTITY"/>
    <s v="GRP_NT_DBT"/>
    <x v="0"/>
    <s v="9. Concluído"/>
    <s v="OK"/>
    <s v="Concluido, controlos OK"/>
    <m/>
    <s v="Campo Fechado"/>
    <d v="2024-06-07T00:00:00"/>
    <x v="0"/>
    <s v="OK"/>
    <m/>
    <m/>
    <m/>
    <x v="0"/>
  </r>
  <r>
    <s v="ENTITY"/>
    <s v="GRP_TTL_DBT"/>
    <x v="1"/>
    <s v="2. Alterar especificação"/>
    <s v="OK"/>
    <s v="Em especificação (Financial Statments CIB)"/>
    <s v="Campo implementação, mas com falta de informação para o segmento de clientes CIB"/>
    <s v="Não"/>
    <d v="2024-06-07T00:00:00"/>
    <x v="2"/>
    <s v="OK"/>
    <m/>
    <m/>
    <m/>
    <x v="2"/>
  </r>
  <r>
    <s v="INSTRUMENT"/>
    <s v="GRSS_CRRYNG_AMNT_INSTRMNT"/>
    <x v="0"/>
    <s v="9. Concluído"/>
    <s v="OK"/>
    <s v="Concluido, controlos OK"/>
    <m/>
    <s v="Campo Fechado"/>
    <d v="2024-06-07T00:00:00"/>
    <x v="0"/>
    <s v="OK"/>
    <m/>
    <m/>
    <m/>
    <x v="0"/>
  </r>
  <r>
    <s v="INSTRUMENT"/>
    <s v="HEDGE_ID"/>
    <x v="1"/>
    <s v="9. Concluído"/>
    <s v="OK"/>
    <s v="Concluido, controlos OK"/>
    <m/>
    <s v="Campo Fechado"/>
    <d v="2024-06-07T00:00:00"/>
    <x v="0"/>
    <s v="OK"/>
    <m/>
    <m/>
    <m/>
    <x v="0"/>
  </r>
  <r>
    <s v="PROTECTION"/>
    <s v="HRCT_MV"/>
    <x v="0"/>
    <s v="9. Concluído"/>
    <s v="OK"/>
    <s v="Concluido, controlos OK"/>
    <m/>
    <s v="Campo Fechado"/>
    <d v="2024-06-07T00:00:00"/>
    <x v="0"/>
    <s v="OK"/>
    <m/>
    <m/>
    <m/>
    <x v="0"/>
  </r>
  <r>
    <s v="INSTRUMENT"/>
    <s v="IDCMB"/>
    <x v="1"/>
    <s v="5.1 Em testes - Re-especificação"/>
    <s v="NOK"/>
    <s v="Em testes pela equipa de CDO"/>
    <m/>
    <s v="Sim"/>
    <d v="2024-06-07T00:00:00"/>
    <x v="8"/>
    <s v="NOK"/>
    <m/>
    <d v="2024-02-06T00:00:00"/>
    <d v="2024-02-08T00:00:00"/>
    <x v="4"/>
  </r>
  <r>
    <s v="ENTITY"/>
    <s v="EBITDA_PRVS"/>
    <x v="0"/>
    <s v="2. Alterar especificação"/>
    <s v="OK"/>
    <s v="Alterar especificação (Luis Bastos enviou nova metodologia do campo)"/>
    <m/>
    <s v="Não"/>
    <d v="2024-06-07T00:00:00"/>
    <x v="2"/>
    <s v="OK"/>
    <m/>
    <m/>
    <m/>
    <x v="2"/>
  </r>
  <r>
    <s v="INSTRUMENT"/>
    <s v="IFRS9_CCF"/>
    <x v="0"/>
    <s v="9. Concluído"/>
    <s v="OK"/>
    <s v="Concluido, controlos OK"/>
    <m/>
    <s v="Campo Fechado"/>
    <d v="2024-06-07T00:00:00"/>
    <x v="0"/>
    <s v="OK"/>
    <s v="Campo Imparidade"/>
    <m/>
    <m/>
    <x v="0"/>
  </r>
  <r>
    <s v="INSTRUMENT"/>
    <s v="IFRS9_EAD"/>
    <x v="0"/>
    <s v="7. Analisar controlos e completude"/>
    <s v="NOK"/>
    <s v="Controlos NOK"/>
    <m/>
    <s v="Não"/>
    <d v="2024-06-07T00:00:00"/>
    <x v="5"/>
    <s v="NOK"/>
    <s v="Campo Imparidade"/>
    <m/>
    <m/>
    <x v="6"/>
  </r>
  <r>
    <s v="INSTRUMENT"/>
    <s v="IFRS9_LGD"/>
    <x v="0"/>
    <s v="9. Concluído"/>
    <s v="OK"/>
    <s v="Concluido, controlos OK"/>
    <m/>
    <s v="Campo Fechado"/>
    <d v="2024-06-07T00:00:00"/>
    <x v="0"/>
    <s v="OK"/>
    <s v="Campo Imparidade"/>
    <m/>
    <m/>
    <x v="0"/>
  </r>
  <r>
    <s v="INSTRUMENT"/>
    <s v="IMPRMNT_ASSSSMNT_MTHD"/>
    <x v="0"/>
    <s v="9. Concluído"/>
    <s v="OK"/>
    <s v="Concluido, controlos OK"/>
    <m/>
    <s v="Campo Fechado"/>
    <d v="2024-06-07T00:00:00"/>
    <x v="0"/>
    <s v="OK"/>
    <m/>
    <m/>
    <m/>
    <x v="0"/>
  </r>
  <r>
    <s v="INSTRUMENT"/>
    <s v="IMPRMNT_CLCLTN_MTHD"/>
    <x v="0"/>
    <s v="7. Analisar controlos e completude"/>
    <s v="NOK"/>
    <s v="Controlos NOK"/>
    <m/>
    <s v="Não"/>
    <d v="2024-06-07T00:00:00"/>
    <x v="5"/>
    <s v="NOK"/>
    <m/>
    <m/>
    <m/>
    <x v="6"/>
  </r>
  <r>
    <s v="INSTRUMENT"/>
    <s v="IMPRMNT_STTS"/>
    <x v="0"/>
    <s v="3. Pendente de decisão"/>
    <s v="NOK"/>
    <s v="Rever com a Corporação se a nova code list foi apenas para a OSI (relativamente ao tema dos POCI)."/>
    <m/>
    <s v="Sim"/>
    <d v="2025-01-13T00:00:00"/>
    <x v="8"/>
    <s v="NOK"/>
    <s v="Alteração da fonte das tabela de Imparidade Reporting para as 8_7 e alteração da data a partir da qual a fonte passa a ser as tabelas de Contabilidade"/>
    <d v="2024-09-27T00:00:00"/>
    <m/>
    <x v="5"/>
  </r>
  <r>
    <s v="INSTRUMENT"/>
    <s v="IMPRMNT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OK"/>
    <s v="Alteração da fonte das tabela de Imparidade Reporting para as 8_7 e alteração da data a partir da qual a fonte passa a ser as tabelas de Contabilidade"/>
    <d v="2024-09-27T00:00:00"/>
    <m/>
    <x v="5"/>
  </r>
  <r>
    <s v="ENTITY"/>
    <s v="INCM_SC"/>
    <x v="1"/>
    <s v="1. Especificar"/>
    <s v="OK"/>
    <s v="Em especificação (Salários)"/>
    <m/>
    <s v="Não"/>
    <d v="2024-06-07T00:00:00"/>
    <x v="3"/>
    <s v="OK"/>
    <m/>
    <m/>
    <m/>
    <x v="2"/>
  </r>
  <r>
    <s v="ENTITY"/>
    <s v="EBITDA"/>
    <x v="0"/>
    <s v="2. Alterar especificação"/>
    <s v="OK"/>
    <s v="Alterar especificação (Luis Bastos enviou nova metodologia do campo)"/>
    <m/>
    <s v="Não"/>
    <d v="2024-06-07T00:00:00"/>
    <x v="2"/>
    <s v="OK"/>
    <m/>
    <m/>
    <m/>
    <x v="2"/>
  </r>
  <r>
    <s v="INSTRUMENT"/>
    <s v="INSTR_SNRTY_CLSS"/>
    <x v="1"/>
    <s v="9. Concluído"/>
    <s v="OK"/>
    <s v="Concluido, controlos OK"/>
    <m/>
    <s v="Campo Fechado"/>
    <d v="2024-06-07T00:00:00"/>
    <x v="0"/>
    <s v="OK"/>
    <m/>
    <m/>
    <m/>
    <x v="0"/>
  </r>
  <r>
    <s v="INSTRUMENT"/>
    <s v="INSTRMNT_CLSS"/>
    <x v="1"/>
    <s v="9. Concluído"/>
    <s v="OK"/>
    <s v="Concluido, controlos OK"/>
    <m/>
    <s v="Campo Fechado"/>
    <d v="2024-06-07T00:00:00"/>
    <x v="0"/>
    <s v="OK"/>
    <m/>
    <m/>
    <m/>
    <x v="0"/>
  </r>
  <r>
    <s v="INSTR_ENTITY"/>
    <s v="INSTRMNT_ID"/>
    <x v="0"/>
    <s v="9. Concluído"/>
    <s v="OK"/>
    <s v="Concluido, controlos OK"/>
    <m/>
    <s v="Campo Fechado"/>
    <d v="2024-06-07T00:00:00"/>
    <x v="0"/>
    <s v="OK"/>
    <m/>
    <m/>
    <m/>
    <x v="0"/>
  </r>
  <r>
    <s v="INSTR_PROTECTION"/>
    <s v="INSTRMNT_ID"/>
    <x v="0"/>
    <s v="9. Concluído"/>
    <s v="OK"/>
    <s v="Concluido, controlos OK"/>
    <m/>
    <s v="Campo Fechado"/>
    <d v="2024-06-07T00:00:00"/>
    <x v="0"/>
    <s v="OK"/>
    <m/>
    <m/>
    <m/>
    <x v="0"/>
  </r>
  <r>
    <s v="INSTRUMENT"/>
    <s v="INSTRMNT_ID"/>
    <x v="0"/>
    <s v="9. Concluído"/>
    <s v="OK"/>
    <s v="Concluido, controlos OK"/>
    <m/>
    <s v="Campo Fechado"/>
    <d v="2024-06-07T00:00:00"/>
    <x v="0"/>
    <s v="OK"/>
    <m/>
    <m/>
    <m/>
    <x v="0"/>
  </r>
  <r>
    <s v="ENTITY"/>
    <s v="INTRNL_RTNG"/>
    <x v="0"/>
    <s v="5.1 Em testes - Re-especificação"/>
    <s v="NOK"/>
    <s v="Em testes"/>
    <m/>
    <s v="Sim"/>
    <d v="2024-06-07T00:00:00"/>
    <x v="8"/>
    <s v="NOK"/>
    <s v="Campo entregue durante a OSI"/>
    <d v="2024-02-16T00:00:00"/>
    <d v="2024-05-24T00:00:00"/>
    <x v="1"/>
  </r>
  <r>
    <s v="INSTRUMENT"/>
    <s v="INTRNL_RTNG"/>
    <x v="0"/>
    <s v="5.1 Em testes - Re-especificação"/>
    <s v="NOK"/>
    <s v="Em testes"/>
    <m/>
    <s v="Sim"/>
    <d v="2024-06-07T00:00:00"/>
    <x v="8"/>
    <s v="NOK"/>
    <s v="Campo entregue durante a OSI"/>
    <d v="2024-02-16T00:00:00"/>
    <d v="2024-05-24T00:00:00"/>
    <x v="1"/>
  </r>
  <r>
    <s v="INSTRUMENT"/>
    <s v="INTRNL_RTNG_INCPTN"/>
    <x v="0"/>
    <s v="5.2 Em testes - Incidência"/>
    <s v="NOK"/>
    <s v="Alterar especificação, campo com incidência. Controlos NOK"/>
    <s v="Na LT apenas foi especifido os restantes internal ratings, estando em falta o internal rating à data de inception."/>
    <s v="Não"/>
    <d v="2024-06-07T00:00:00"/>
    <x v="1"/>
    <s v="NOK"/>
    <m/>
    <m/>
    <m/>
    <x v="2"/>
  </r>
  <r>
    <s v="ENTITY"/>
    <s v="INTRNL_RTNG_PRVS"/>
    <x v="0"/>
    <s v="5.1 Em testes - Re-especificação"/>
    <s v="OK"/>
    <s v="Em testes, campo entregue por IT durante a OSI. Testar e validar controlos"/>
    <m/>
    <s v="Sim"/>
    <d v="2024-06-07T00:00:00"/>
    <x v="8"/>
    <s v="OK"/>
    <s v="Campo entregue durante a OSI"/>
    <d v="2024-02-16T00:00:00"/>
    <d v="2024-05-24T00:00:00"/>
    <x v="1"/>
  </r>
  <r>
    <s v="ENTITY"/>
    <s v="INTRNL_SGMNT"/>
    <x v="0"/>
    <s v="9. Concluído"/>
    <s v="OK"/>
    <s v="Concluido, controlos OK"/>
    <m/>
    <s v="Campo Fechado"/>
    <d v="2024-06-07T00:00:00"/>
    <x v="0"/>
    <s v="OK"/>
    <m/>
    <m/>
    <m/>
    <x v="0"/>
  </r>
  <r>
    <s v="INSTRUMENT"/>
    <s v="INTRNL_SGMNT"/>
    <x v="0"/>
    <s v="9. Concluído"/>
    <s v="OK"/>
    <s v="Concluido, controlos OK"/>
    <m/>
    <s v="Campo Fechado"/>
    <d v="2024-06-07T00:00:00"/>
    <x v="0"/>
    <s v="OK"/>
    <m/>
    <m/>
    <m/>
    <x v="0"/>
  </r>
  <r>
    <s v="INSTRUMENT"/>
    <s v="INTRNL_SGMNT_CAT_MSTA"/>
    <x v="1"/>
    <s v="9. Concluído"/>
    <s v="OK"/>
    <s v="Concluido, controlos OK"/>
    <m/>
    <s v="Campo Fechado"/>
    <d v="2024-06-07T00:00:00"/>
    <x v="0"/>
    <s v="OK"/>
    <m/>
    <m/>
    <m/>
    <x v="0"/>
  </r>
  <r>
    <s v="INSTRUMENT"/>
    <s v="INTRNL_SGMNT_CATGSUB"/>
    <x v="1"/>
    <s v="9. Concluído"/>
    <s v="OK"/>
    <s v="Concluido, controlos OK"/>
    <m/>
    <s v="Campo Fechado"/>
    <d v="2024-06-07T00:00:00"/>
    <x v="0"/>
    <s v="OK"/>
    <m/>
    <m/>
    <m/>
    <x v="0"/>
  </r>
  <r>
    <s v="INSTRUMENT"/>
    <s v="INTRNL_SGMNT_IFRS9"/>
    <x v="1"/>
    <s v="9. Concluído"/>
    <s v="OK"/>
    <s v="Concluido, controlos OK"/>
    <m/>
    <s v="Campo Fechado"/>
    <d v="2024-06-07T00:00:00"/>
    <x v="0"/>
    <s v="OK"/>
    <s v="Campo Imparidade"/>
    <m/>
    <m/>
    <x v="0"/>
  </r>
  <r>
    <s v="ENTITY"/>
    <s v="INTRNL_UNT"/>
    <x v="0"/>
    <s v="9. Concluído"/>
    <s v="OK"/>
    <s v="Concluido, controlos OK"/>
    <m/>
    <s v="Campo Fechado"/>
    <d v="2024-06-07T00:00:00"/>
    <x v="0"/>
    <s v="OK"/>
    <m/>
    <m/>
    <m/>
    <x v="0"/>
  </r>
  <r>
    <s v="INSTRUMENT"/>
    <s v="INTRNL_UNT"/>
    <x v="0"/>
    <s v="9. Concluído"/>
    <s v="OK"/>
    <s v="Concluido, controlos OK"/>
    <m/>
    <s v="Campo Fechado"/>
    <d v="2024-06-07T00:00:00"/>
    <x v="0"/>
    <s v="OK"/>
    <m/>
    <m/>
    <m/>
    <x v="0"/>
  </r>
  <r>
    <s v="INSTRUMENT"/>
    <s v="INTRST_RT_RST_FRQNCY"/>
    <x v="0"/>
    <s v="9. Concluído"/>
    <s v="OK"/>
    <s v="Concluido, controlos OK"/>
    <m/>
    <s v="Campo Fechado"/>
    <d v="2024-06-07T00:00:00"/>
    <x v="0"/>
    <s v="OK"/>
    <m/>
    <m/>
    <m/>
    <x v="0"/>
  </r>
  <r>
    <s v="INSTRUMENT"/>
    <s v="ISIN"/>
    <x v="1"/>
    <s v="9. Concluído"/>
    <s v="OK"/>
    <s v="Concluido, controlos OK"/>
    <m/>
    <s v="Campo Fechado"/>
    <d v="2024-06-07T00:00:00"/>
    <x v="0"/>
    <s v="OK"/>
    <m/>
    <m/>
    <m/>
    <x v="0"/>
  </r>
  <r>
    <s v="INSTRUMENT"/>
    <s v="ISIN_SCRTSTN"/>
    <x v="1"/>
    <s v="9. Concluído"/>
    <s v="OK"/>
    <s v="Concluido, controlos OK"/>
    <m/>
    <s v="Campo Fechado"/>
    <d v="2024-06-07T00:00:00"/>
    <x v="0"/>
    <s v="OK"/>
    <m/>
    <m/>
    <m/>
    <x v="0"/>
  </r>
  <r>
    <s v="INSTRUMENT"/>
    <s v="ISSR_CNTRY"/>
    <x v="1"/>
    <s v="9. Concluído"/>
    <s v="OK"/>
    <s v="Concluido, controlos OK"/>
    <m/>
    <s v="Campo Fechado"/>
    <d v="2024-06-07T00:00:00"/>
    <x v="0"/>
    <s v="OK"/>
    <m/>
    <m/>
    <m/>
    <x v="0"/>
  </r>
  <r>
    <s v="INSTRUMENT"/>
    <s v="ISSR_ESA_2010"/>
    <x v="1"/>
    <s v="7. Analisar controlos e completude"/>
    <s v="NOK"/>
    <s v="Controlos NOK"/>
    <m/>
    <s v="Não"/>
    <d v="2024-06-07T00:00:00"/>
    <x v="5"/>
    <s v="NOK"/>
    <m/>
    <m/>
    <m/>
    <x v="6"/>
  </r>
  <r>
    <s v="INSTRUMENT"/>
    <s v="ISSR_ID"/>
    <x v="1"/>
    <s v="9. Concluído"/>
    <s v="OK"/>
    <s v="Concluido, controlos OK"/>
    <m/>
    <s v="Campo Fechado"/>
    <d v="2024-06-07T00:00:00"/>
    <x v="0"/>
    <s v="OK"/>
    <m/>
    <m/>
    <m/>
    <x v="0"/>
  </r>
  <r>
    <s v="INSTRUMENT"/>
    <s v="ISSR_ID_TYP"/>
    <x v="1"/>
    <s v="9. Concluído"/>
    <s v="OK"/>
    <s v="Concluido, controlos OK"/>
    <m/>
    <s v="Campo Fechado"/>
    <d v="2024-06-07T00:00:00"/>
    <x v="0"/>
    <s v="OK"/>
    <m/>
    <m/>
    <m/>
    <x v="0"/>
  </r>
  <r>
    <s v="INSTRUMENT"/>
    <s v="ISSR_NACE_SCTR"/>
    <x v="1"/>
    <s v="9. Concluído"/>
    <s v="OK"/>
    <s v="Concluido, controlos OK"/>
    <m/>
    <s v="Campo Fechado"/>
    <d v="2024-06-07T00:00:00"/>
    <x v="0"/>
    <s v="OK"/>
    <m/>
    <m/>
    <m/>
    <x v="0"/>
  </r>
  <r>
    <s v="INSTRUMENT"/>
    <s v="ISSR_RTNG"/>
    <x v="1"/>
    <s v="8. Concluído - sem dados"/>
    <s v="OK"/>
    <s v="Campo especificado, mas sem dados. Campo marcado com MISS ou NA"/>
    <m/>
    <s v="Campo Fechado"/>
    <d v="2024-06-07T00:00:00"/>
    <x v="6"/>
    <s v="OK"/>
    <m/>
    <m/>
    <m/>
    <x v="7"/>
  </r>
  <r>
    <s v="INSTRUMENT"/>
    <s v="ISSR_RTNG_SRC"/>
    <x v="1"/>
    <s v="8. Concluído - sem dados"/>
    <s v="OK"/>
    <s v="Campo especificado, mas sem dados. Campo marcado com MISS ou NA"/>
    <m/>
    <s v="Campo Fechado"/>
    <d v="2024-06-07T00:00:00"/>
    <x v="6"/>
    <s v="OK"/>
    <m/>
    <m/>
    <m/>
    <x v="7"/>
  </r>
  <r>
    <s v="INSTRUMENT"/>
    <s v="ISSR_TYP"/>
    <x v="1"/>
    <s v="9. Concluído"/>
    <s v="OK"/>
    <s v="Concluido, controlos OK"/>
    <m/>
    <s v="Campo Fechado"/>
    <d v="2024-06-07T00:00:00"/>
    <x v="0"/>
    <s v="OK"/>
    <m/>
    <m/>
    <m/>
    <x v="0"/>
  </r>
  <r>
    <s v="INSTR_ENTITY"/>
    <s v="JNT_LBLTY_AMNT"/>
    <x v="0"/>
    <s v="9. Concluído"/>
    <s v="OK"/>
    <s v="Concluido, controlos OK"/>
    <m/>
    <s v="Campo Fechado"/>
    <d v="2024-06-07T00:00:00"/>
    <x v="0"/>
    <s v="OK"/>
    <m/>
    <m/>
    <m/>
    <x v="0"/>
  </r>
  <r>
    <s v="INSTRUMENT"/>
    <s v="LCL_INSTMRNT_ID"/>
    <x v="1"/>
    <s v="7. Analisar controlos e completude"/>
    <s v="NOK"/>
    <s v="Controlos NOK"/>
    <m/>
    <s v="Não"/>
    <d v="2024-06-07T00:00:00"/>
    <x v="5"/>
    <s v="NOK"/>
    <m/>
    <m/>
    <m/>
    <x v="6"/>
  </r>
  <r>
    <s v="INSTRUMENT"/>
    <s v="LCR_BFFR_CTGRY"/>
    <x v="1"/>
    <s v="9. Concluído"/>
    <s v="OK"/>
    <s v="Concluido, controlos OK"/>
    <m/>
    <s v="Campo Fechado"/>
    <d v="2024-06-07T00:00:00"/>
    <x v="0"/>
    <s v="OK"/>
    <m/>
    <m/>
    <m/>
    <x v="0"/>
  </r>
  <r>
    <s v="INSTRUMENT"/>
    <s v="LCRE"/>
    <x v="0"/>
    <s v="3. Pendente de decisão"/>
    <s v="OK"/>
    <s v="Verificar necessidade de alteração da fonte para fins de reconciliação. Rever Fonte"/>
    <s v="Ficheiro enviado pela área. Rever se é necessário alterar a especificação de modo a estar de acordo com imparidade. Foi decisão que a informação a reportar deveria reconciliar com a informação de imparidade e por essa mesma razão não se utilizou os dados da LT"/>
    <s v="Sim"/>
    <d v="2024-06-07T00:00:00"/>
    <x v="4"/>
    <s v="OK"/>
    <m/>
    <m/>
    <m/>
    <x v="5"/>
  </r>
  <r>
    <s v="ENTITY"/>
    <s v="LEI"/>
    <x v="0"/>
    <s v="9. Concluído"/>
    <s v="OK"/>
    <s v="Concluido, controlos OK"/>
    <m/>
    <s v="Campo Fechado"/>
    <d v="2024-06-07T00:00:00"/>
    <x v="0"/>
    <s v="OK"/>
    <m/>
    <m/>
    <m/>
    <x v="0"/>
  </r>
  <r>
    <s v="INSTRUMENT"/>
    <s v="LGD"/>
    <x v="0"/>
    <s v="9. Concluído"/>
    <s v="OK"/>
    <s v="Concluido, controlos OK"/>
    <m/>
    <s v="Campo Fechado"/>
    <d v="2024-06-07T00:00:00"/>
    <x v="0"/>
    <s v="OK"/>
    <m/>
    <m/>
    <m/>
    <x v="0"/>
  </r>
  <r>
    <s v="INSTRUMENT"/>
    <s v="LGL_PRCDNG_STTS"/>
    <x v="0"/>
    <s v="9. Concluído"/>
    <s v="OK"/>
    <s v="Concluido, controlos OK"/>
    <m/>
    <s v="Campo Fechado"/>
    <d v="2024-06-07T00:00:00"/>
    <x v="0"/>
    <s v="OK"/>
    <m/>
    <m/>
    <m/>
    <x v="0"/>
  </r>
  <r>
    <s v="ENTITY"/>
    <s v="LGL_PRCDNG_STTS_LE"/>
    <x v="0"/>
    <s v="7. Analisar controlos e completude"/>
    <s v="NOK"/>
    <s v="Controlos NOK"/>
    <m/>
    <s v="Não"/>
    <d v="2024-06-07T00:00:00"/>
    <x v="5"/>
    <s v="NOK"/>
    <m/>
    <m/>
    <m/>
    <x v="6"/>
  </r>
  <r>
    <s v="INSTRUMENT"/>
    <s v="LND_DRGTN"/>
    <x v="1"/>
    <s v="9. Concluído"/>
    <s v="OK"/>
    <s v="Concluido, controlos OK"/>
    <m/>
    <s v="Campo Fechado"/>
    <d v="2024-06-07T00:00:00"/>
    <x v="0"/>
    <s v="OK"/>
    <m/>
    <m/>
    <m/>
    <x v="0"/>
  </r>
  <r>
    <s v="INSTRUMENT"/>
    <s v="LSTI"/>
    <x v="1"/>
    <s v="1. Especificar"/>
    <s v="OK"/>
    <s v="Em especificação (Campos Novos)"/>
    <m/>
    <s v="Não"/>
    <d v="2024-06-07T00:00:00"/>
    <x v="3"/>
    <s v="OK"/>
    <m/>
    <m/>
    <m/>
    <x v="4"/>
  </r>
  <r>
    <s v="ENTITY"/>
    <s v="LTI"/>
    <x v="1"/>
    <s v="1. Especificar"/>
    <s v="NOK"/>
    <s v="Em especificação (Salários)"/>
    <m/>
    <s v="Não"/>
    <d v="2024-06-07T00:00:00"/>
    <x v="3"/>
    <s v="NOK"/>
    <m/>
    <m/>
    <m/>
    <x v="2"/>
  </r>
  <r>
    <s v="INSTRUMENT"/>
    <s v="LTI_INSTRMNT"/>
    <x v="1"/>
    <s v="1. Especificar"/>
    <s v="OK"/>
    <s v="Em especificação (Campos Novos)"/>
    <m/>
    <s v="Não"/>
    <d v="2024-06-07T00:00:00"/>
    <x v="3"/>
    <s v="OK"/>
    <m/>
    <m/>
    <m/>
    <x v="4"/>
  </r>
  <r>
    <s v="INSTRUMENT"/>
    <s v="LTV"/>
    <x v="0"/>
    <s v="7. Analisar controlos e completude"/>
    <s v="NOK"/>
    <s v="Controlos NOK"/>
    <m/>
    <s v="Não"/>
    <d v="2024-06-07T00:00:00"/>
    <x v="5"/>
    <s v="NOK"/>
    <m/>
    <m/>
    <m/>
    <x v="6"/>
  </r>
  <r>
    <s v="INSTRUMENT"/>
    <s v="LTV_INCPTN"/>
    <x v="0"/>
    <s v="9. Concluído"/>
    <s v="OK"/>
    <s v="Concluido, controlos OK"/>
    <m/>
    <s v="Campo Fechado"/>
    <d v="2024-06-07T00:00:00"/>
    <x v="0"/>
    <s v="OK"/>
    <m/>
    <m/>
    <m/>
    <x v="0"/>
  </r>
  <r>
    <s v="INSTRUMENT"/>
    <s v="LTV_NPE"/>
    <x v="0"/>
    <s v="5.1 Em testes - Re-especificação"/>
    <s v="OK"/>
    <s v="Em testes. Campo depende do campo PRFRMNG_STTS. Não é necessário alterar a especificação do mesmo, apenas testar  se o campo PRFRMNG_STTS for alterado."/>
    <m/>
    <s v="Sim"/>
    <d v="2024-06-07T00:00:00"/>
    <x v="8"/>
    <s v="OK"/>
    <m/>
    <d v="2022-05-16T00:00:00"/>
    <d v="2022-05-27T00:00:00"/>
    <x v="5"/>
  </r>
  <r>
    <s v="ENTITY"/>
    <s v="LVRG"/>
    <x v="0"/>
    <s v="9. Concluído"/>
    <s v="OK"/>
    <s v="Concluido, controlos OK"/>
    <m/>
    <s v="Campo Fechado"/>
    <d v="2024-06-07T00:00:00"/>
    <x v="0"/>
    <s v="OK"/>
    <m/>
    <m/>
    <m/>
    <x v="0"/>
  </r>
  <r>
    <s v="INSTRUMENT"/>
    <s v="LVRG_FNNC_FLG"/>
    <x v="1"/>
    <s v="9. Concluído"/>
    <s v="OK"/>
    <s v="Concluido, controlos OK"/>
    <m/>
    <s v="Campo Fechado"/>
    <d v="2024-06-07T00:00:00"/>
    <x v="0"/>
    <s v="OK"/>
    <m/>
    <m/>
    <m/>
    <x v="0"/>
  </r>
  <r>
    <s v="ENTITY"/>
    <s v="LVRG_PRVS"/>
    <x v="0"/>
    <s v="9. Concluído"/>
    <s v="OK"/>
    <s v="Concluido, controlos OK"/>
    <m/>
    <s v="Campo Fechado"/>
    <d v="2024-06-07T00:00:00"/>
    <x v="0"/>
    <s v="OK"/>
    <m/>
    <m/>
    <m/>
    <x v="0"/>
  </r>
  <r>
    <s v="INSTR_ENTITY"/>
    <s v="MN_ENTTY_ID"/>
    <x v="0"/>
    <s v="5.2 Em testes - Incidência"/>
    <s v="OK"/>
    <s v="Campo com incidências. Verificar necessidade de alteração da fonte para fins de reconciliação._x000a_Campo novo, enviado para especificação em Fevereiro e entregue por IT em Março (durante a OSI), no entanto campo está com incidências nas garantias prestadas (detetadas no decurso da OSI)"/>
    <s v="Rever se os 1os titulares devem ser os da FR ou os da CL001 (clientes)"/>
    <s v="Sim"/>
    <d v="2024-06-07T00:00:00"/>
    <x v="1"/>
    <s v="OK"/>
    <m/>
    <d v="2024-02-02T00:00:00"/>
    <d v="2024-03-21T00:00:00"/>
    <x v="5"/>
  </r>
  <r>
    <s v="PROTECTION"/>
    <s v="MN_PRPS"/>
    <x v="1"/>
    <s v="7. Analisar controlos e completude"/>
    <s v="NOK"/>
    <s v="Controlos NOK"/>
    <m/>
    <s v="Não"/>
    <d v="2024-06-07T00:00:00"/>
    <x v="5"/>
    <s v="NOK"/>
    <m/>
    <m/>
    <m/>
    <x v="6"/>
  </r>
  <r>
    <s v="ENTITY"/>
    <s v="MNTHL_INCM"/>
    <x v="1"/>
    <s v="1. Especificar"/>
    <s v="OK"/>
    <s v="Em especificação (Salários)"/>
    <m/>
    <s v="Não"/>
    <d v="2024-06-07T00:00:00"/>
    <x v="3"/>
    <s v="OK"/>
    <m/>
    <m/>
    <m/>
    <x v="2"/>
  </r>
  <r>
    <s v="ENTITY"/>
    <s v="MNTHL_INCM_SLR"/>
    <x v="1"/>
    <s v="1. Especificar"/>
    <s v="NOK"/>
    <s v="Em especificação (Salários)"/>
    <m/>
    <s v="Não"/>
    <d v="2024-06-07T00:00:00"/>
    <x v="3"/>
    <s v="NOK"/>
    <m/>
    <m/>
    <m/>
    <x v="2"/>
  </r>
  <r>
    <s v="ENTITY"/>
    <s v="MNTHL_TRNVR"/>
    <x v="1"/>
    <s v="1. Especificar"/>
    <s v="OK"/>
    <s v="Em especificação (Salários)"/>
    <m/>
    <s v="Não"/>
    <d v="2024-06-07T00:00:00"/>
    <x v="3"/>
    <s v="OK"/>
    <m/>
    <m/>
    <m/>
    <x v="2"/>
  </r>
  <r>
    <s v="INSTRUMENT"/>
    <s v="MTRTY_LTST_FRBRNC_MSR_C19"/>
    <x v="1"/>
    <s v="9. Concluído"/>
    <s v="OK"/>
    <s v="Concluido, controlos OK"/>
    <m/>
    <s v="Campo Fechado"/>
    <d v="2024-06-07T00:00:00"/>
    <x v="0"/>
    <s v="OK"/>
    <m/>
    <m/>
    <m/>
    <x v="0"/>
  </r>
  <r>
    <s v="INSTRUMENT"/>
    <s v="MTRTY_LTST_MRTR_C19"/>
    <x v="1"/>
    <s v="9. Concluído"/>
    <s v="OK"/>
    <s v="Concluido, controlos OK"/>
    <m/>
    <s v="Campo Fechado"/>
    <d v="2024-06-07T00:00:00"/>
    <x v="0"/>
    <s v="OK"/>
    <m/>
    <m/>
    <m/>
    <x v="0"/>
  </r>
  <r>
    <s v="INSTRUMENT"/>
    <s v="NMBR_FRBRNC_MSRS"/>
    <x v="0"/>
    <s v="9. Concluído"/>
    <s v="OK"/>
    <s v="Concluido, controlos OK"/>
    <m/>
    <s v="Campo Fechado"/>
    <d v="2024-06-07T00:00:00"/>
    <x v="0"/>
    <s v="OK"/>
    <m/>
    <m/>
    <m/>
    <x v="0"/>
  </r>
  <r>
    <s v="ENTITY"/>
    <s v="NT_INCM"/>
    <x v="0"/>
    <s v="2. Alterar especificação"/>
    <s v="OK"/>
    <s v="Em especificação (Financial Statments CIB)"/>
    <s v="Campo implementação, mas com falta de informação para o segmento de clientes CIB"/>
    <s v="Não"/>
    <d v="2024-06-07T00:00:00"/>
    <x v="2"/>
    <s v="OK"/>
    <m/>
    <m/>
    <m/>
    <x v="2"/>
  </r>
  <r>
    <s v="ENTITY"/>
    <s v="NT_INCM_PRVS"/>
    <x v="0"/>
    <s v="2. Alterar especificação"/>
    <s v="OK"/>
    <s v="Em especificação (Financial Statments CIB)"/>
    <s v="Campo implementação, mas com falta de informação para o segmento de clientes CIB"/>
    <s v="Não"/>
    <d v="2024-06-07T00:00:00"/>
    <x v="2"/>
    <s v="OK"/>
    <m/>
    <m/>
    <m/>
    <x v="2"/>
  </r>
  <r>
    <s v="INSTRUMENT"/>
    <s v="RWA_MTHD"/>
    <x v="0"/>
    <s v="5.1 Em testes - Re-especificação"/>
    <s v="OK"/>
    <s v="Em testes, campo entregue por IT durante a OSI. Testar e validar controlos"/>
    <s v="Alteração de formato de 11111111.00 para 11111111"/>
    <s v="Campo Fechado"/>
    <d v="2024-06-20T00:00:00"/>
    <x v="0"/>
    <s v="OK"/>
    <s v="Incidência relativamente ao formatos corrigida. Controlos testados e OK"/>
    <m/>
    <d v="2024-06-20T00:00:00"/>
    <x v="0"/>
  </r>
  <r>
    <s v="INSTRUMENT"/>
    <s v="OBSRVD_AGNT_ID"/>
    <x v="0"/>
    <s v="9. Concluído"/>
    <s v="OK"/>
    <s v="Concluido, controlos OK"/>
    <m/>
    <s v="Campo Fechado"/>
    <d v="2024-06-07T00:00:00"/>
    <x v="0"/>
    <s v="OK"/>
    <m/>
    <m/>
    <m/>
    <x v="0"/>
  </r>
  <r>
    <s v="INSTRUMENT"/>
    <s v="OBSRVD_AGNT_NM"/>
    <x v="0"/>
    <s v="9. Concluído"/>
    <s v="OK"/>
    <s v="Concluido, controlos OK"/>
    <m/>
    <s v="Campo Fechado"/>
    <d v="2024-06-07T00:00:00"/>
    <x v="0"/>
    <s v="OK"/>
    <m/>
    <m/>
    <m/>
    <x v="0"/>
  </r>
  <r>
    <s v="INSTRUMENT"/>
    <s v="OFF_BLNC_SHT_AMNT_INSTRMNT"/>
    <x v="0"/>
    <s v="7. Analisar controlos e completude"/>
    <s v="NOK"/>
    <s v="Controlos NOK"/>
    <m/>
    <s v="Não"/>
    <d v="2024-06-07T00:00:00"/>
    <x v="5"/>
    <s v="NOK"/>
    <m/>
    <m/>
    <m/>
    <x v="6"/>
  </r>
  <r>
    <s v="INSTRUMENT"/>
    <s v="OFF_BLNC_SHT_AMNT_INSTRMNT_PRVS"/>
    <x v="0"/>
    <s v="5.2 Em testes - Incidência"/>
    <s v="OK"/>
    <s v="Campo com incidência"/>
    <s v="MISS deviam estar a ser reportados como NA ou zero"/>
    <s v="Sim"/>
    <d v="2025-01-13T00:00:00"/>
    <x v="8"/>
    <s v="OK"/>
    <s v="Campo está a assumir apenas valores 0.00, MISS ou N/A. É necessário replicar o cálculo da LT001 para um ano atrás. LCM pediu para que o campo fonte fosse criado diretamente na LT001, eliminando a necessidade de replicar o calculo da LT001 para um ano antes da data de referência."/>
    <d v="2024-06-28T00:00:00"/>
    <m/>
    <x v="1"/>
  </r>
  <r>
    <s v="PROTECTION"/>
    <s v="DT_ORGNL_PRTCTN_VL"/>
    <x v="0"/>
    <s v="5.2 Em testes - Incidência"/>
    <s v="NOK"/>
    <s v="Campo com incidência e controlos NOK"/>
    <s v="1) Campo com incidência, data igual à data da protection_vl 2) Alteração de formatos MISS"/>
    <s v="Campo Fechado"/>
    <d v="2025-01-13T00:00:00"/>
    <x v="0"/>
    <s v="OK"/>
    <m/>
    <d v="2024-09-20T00:00:00"/>
    <d v="2024-12-20T00:00:00"/>
    <x v="1"/>
  </r>
  <r>
    <s v="ENTITY"/>
    <s v="OSI_ID"/>
    <x v="0"/>
    <s v="9. Concluído"/>
    <s v="OK"/>
    <s v="Concluido, controlos OK"/>
    <m/>
    <s v="Campo Fechado"/>
    <d v="2024-06-07T00:00:00"/>
    <x v="0"/>
    <s v="OK"/>
    <m/>
    <m/>
    <m/>
    <x v="0"/>
  </r>
  <r>
    <s v="INSTRUMENT"/>
    <s v="OTSTNDNG_NMNL_AMNT_INSTRMNT"/>
    <x v="0"/>
    <s v="7. Analisar controlos e completude"/>
    <s v="NOK"/>
    <s v="Controlos NOK"/>
    <m/>
    <s v="Não"/>
    <d v="2024-06-07T00:00:00"/>
    <x v="5"/>
    <s v="NOK"/>
    <m/>
    <m/>
    <m/>
    <x v="6"/>
  </r>
  <r>
    <s v="INSTRUMENT"/>
    <s v="DT_FRBRNC_STTS_PRV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s v="Não"/>
    <d v="2024-06-07T00:00:00"/>
    <x v="2"/>
    <s v="NOK"/>
    <m/>
    <m/>
    <m/>
    <x v="2"/>
  </r>
  <r>
    <s v="ENTITY"/>
    <s v="OWND_BY_SPNSR"/>
    <x v="1"/>
    <s v="9. Concluído"/>
    <s v="OK"/>
    <s v="Concluido, controlos OK"/>
    <m/>
    <s v="Campo Fechado"/>
    <d v="2024-06-07T00:00:00"/>
    <x v="0"/>
    <s v="OK"/>
    <m/>
    <m/>
    <m/>
    <x v="0"/>
  </r>
  <r>
    <s v="INSTRUMENT"/>
    <s v="PBLC_GRNT_SCHM_C19_NM"/>
    <x v="1"/>
    <s v="9. Concluído"/>
    <s v="OK"/>
    <s v="Concluido, controlos OK"/>
    <m/>
    <s v="Campo Fechado"/>
    <d v="2024-06-07T00:00:00"/>
    <x v="0"/>
    <s v="OK"/>
    <m/>
    <m/>
    <m/>
    <x v="0"/>
  </r>
  <r>
    <s v="INSTRUMENT"/>
    <s v="PD_CRR_INCPTN"/>
    <x v="0"/>
    <s v="5.2 Em testes - Incidência"/>
    <s v="OK"/>
    <s v="Campo com incidência"/>
    <s v="Campo com incidência. Confirmar com Tecnologia que o campo está alterado com base no que foi identificado na OSI"/>
    <s v="Não"/>
    <d v="2024-06-07T00:00:00"/>
    <x v="1"/>
    <s v="OK"/>
    <m/>
    <d v="2024-02-16T00:00:00"/>
    <d v="2024-05-27T00:00:00"/>
    <x v="2"/>
  </r>
  <r>
    <s v="ENTITY"/>
    <s v="PD_CRR_RD"/>
    <x v="0"/>
    <s v="7. Analisar controlos e completude"/>
    <s v="NOK"/>
    <s v="Controlos NOK"/>
    <m/>
    <s v="Não"/>
    <d v="2024-06-07T00:00:00"/>
    <x v="5"/>
    <s v="NOK"/>
    <m/>
    <m/>
    <m/>
    <x v="6"/>
  </r>
  <r>
    <s v="INSTRUMENT"/>
    <s v="PD_CRR_RD"/>
    <x v="0"/>
    <s v="7. Analisar controlos e completude"/>
    <s v="NOK"/>
    <s v="Controlos NOK"/>
    <m/>
    <s v="Não"/>
    <d v="2024-06-07T00:00:00"/>
    <x v="5"/>
    <s v="NOK"/>
    <m/>
    <m/>
    <m/>
    <x v="6"/>
  </r>
  <r>
    <s v="ENTITY"/>
    <s v="PD_CRR_RD_T1"/>
    <x v="1"/>
    <s v="5.1 Em testes - Re-especificação"/>
    <s v="NOK"/>
    <s v="Em testes"/>
    <m/>
    <s v="Sim"/>
    <d v="2024-06-07T00:00:00"/>
    <x v="8"/>
    <s v="NOK"/>
    <m/>
    <d v="2022-07-08T00:00:00"/>
    <d v="2023-12-07T00:00:00"/>
    <x v="1"/>
  </r>
  <r>
    <s v="INSTRUMENT"/>
    <s v="PD_CRR_RD_T1"/>
    <x v="1"/>
    <s v="5.1 Em testes - Re-especificação"/>
    <s v="NOK"/>
    <s v="Em testes"/>
    <m/>
    <s v="Sim"/>
    <d v="2024-06-07T00:00:00"/>
    <x v="8"/>
    <s v="NOK"/>
    <m/>
    <d v="2023-12-21T00:00:00"/>
    <d v="2024-02-08T00:00:00"/>
    <x v="1"/>
  </r>
  <r>
    <s v="INSTRUMENT"/>
    <s v="PD_IFRS9_12M_INCPTN"/>
    <x v="0"/>
    <s v="9. Concluído"/>
    <s v="OK"/>
    <s v="Concluido, controlos OK"/>
    <m/>
    <s v="Campo Fechado"/>
    <d v="2024-06-07T00:00:00"/>
    <x v="0"/>
    <s v="OK"/>
    <s v="Campo Imparidade"/>
    <m/>
    <m/>
    <x v="0"/>
  </r>
  <r>
    <s v="ENTITY"/>
    <s v="PD_IFRS9_12M_RD"/>
    <x v="0"/>
    <s v="3. Pendente de decisão"/>
    <s v="NOK"/>
    <s v="Controlos NOK justificados no âmbito da OSI. _x000a_1) Contratos fora do universo de IFRS9 2) Clientes que não são primeiros titulares de nenhum contrato_x000a_Alterar especificação  caso a LT passe a reportar os 1os titulares da Contabilidade."/>
    <m/>
    <s v="Não"/>
    <d v="2024-06-07T00:00:00"/>
    <x v="4"/>
    <s v="NOK"/>
    <s v="Campo Imparidade"/>
    <m/>
    <m/>
    <x v="6"/>
  </r>
  <r>
    <s v="INSTRUMENT"/>
    <s v="PD_IFRS9_12M_RD"/>
    <x v="0"/>
    <s v="7. Analisar controlos e completude"/>
    <s v="NOK"/>
    <m/>
    <m/>
    <s v="Sim"/>
    <d v="2024-06-07T00:00:00"/>
    <x v="5"/>
    <s v="NOK"/>
    <s v="Campo Imparidade"/>
    <m/>
    <m/>
    <x v="5"/>
  </r>
  <r>
    <s v="ENTITY"/>
    <s v="PD_IFRS9_12M_RD_T1"/>
    <x v="1"/>
    <s v="7. Analisar controlos e completude"/>
    <s v="NOK"/>
    <s v="Controlos NOK"/>
    <m/>
    <s v="Não"/>
    <d v="2024-06-07T00:00:00"/>
    <x v="5"/>
    <s v="NOK"/>
    <s v="Campo Imparidade"/>
    <m/>
    <m/>
    <x v="6"/>
  </r>
  <r>
    <s v="INSTRUMENT"/>
    <s v="PD_IFRS9_12M_RD_T1"/>
    <x v="0"/>
    <s v="7. Analisar controlos e completude"/>
    <s v="NOK"/>
    <s v="Controlos NOK"/>
    <m/>
    <s v="Não"/>
    <d v="2024-06-07T00:00:00"/>
    <x v="5"/>
    <s v="NOK"/>
    <s v="Campo Imparidade"/>
    <m/>
    <m/>
    <x v="6"/>
  </r>
  <r>
    <s v="INSTRUMENT"/>
    <s v="PD_IFRS9_LFTM_INCPTN"/>
    <x v="0"/>
    <s v="9. Concluído"/>
    <s v="OK"/>
    <s v="Concluido, controlos OK"/>
    <m/>
    <s v="Campo Fechado"/>
    <d v="2024-06-07T00:00:00"/>
    <x v="0"/>
    <s v="OK"/>
    <s v="Campo Imparidade"/>
    <m/>
    <m/>
    <x v="0"/>
  </r>
  <r>
    <s v="INSTRUMENT"/>
    <s v="PD_IFRS9_RMNNG_LFTM_INCPTN"/>
    <x v="0"/>
    <s v="9. Concluído"/>
    <s v="OK"/>
    <s v="Concluido, controlos OK"/>
    <m/>
    <s v="Campo Fechado"/>
    <d v="2024-06-07T00:00:00"/>
    <x v="0"/>
    <s v="OK"/>
    <s v="Campo Imparidade"/>
    <m/>
    <m/>
    <x v="0"/>
  </r>
  <r>
    <s v="INSTRUMENT"/>
    <s v="PD_IFRS9_RMNNG_LFTM_RD"/>
    <x v="0"/>
    <s v="9. Concluído"/>
    <s v="OK"/>
    <s v="Concluido, controlos OK"/>
    <m/>
    <s v="Campo Fechado"/>
    <d v="2024-06-07T00:00:00"/>
    <x v="0"/>
    <s v="OK"/>
    <s v="Campo Imparidade"/>
    <m/>
    <m/>
    <x v="0"/>
  </r>
  <r>
    <s v="INSTRUMENT"/>
    <s v="PMNT_PBLC_GRNT_SCHM_C19"/>
    <x v="1"/>
    <s v="9. Concluído"/>
    <s v="OK"/>
    <s v="Concluido, controlos OK"/>
    <m/>
    <s v="Campo Fechado"/>
    <d v="2024-06-07T00:00:00"/>
    <x v="0"/>
    <s v="OK"/>
    <m/>
    <m/>
    <m/>
    <x v="0"/>
  </r>
  <r>
    <s v="INSTRUMENT"/>
    <s v="DT_FRBRNC_STT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s v="Não"/>
    <d v="2024-06-07T00:00:00"/>
    <x v="2"/>
    <s v="NOK"/>
    <m/>
    <m/>
    <m/>
    <x v="2"/>
  </r>
  <r>
    <s v="INSTRUMENT"/>
    <s v="PRCH_UNDR_RSL_AGR"/>
    <x v="1"/>
    <s v="9. Concluído"/>
    <s v="OK"/>
    <s v="Concluido, controlos OK"/>
    <m/>
    <s v="Campo Fechado"/>
    <d v="2024-06-07T00:00:00"/>
    <x v="0"/>
    <s v="OK"/>
    <m/>
    <m/>
    <m/>
    <x v="0"/>
  </r>
  <r>
    <s v="INSTRUMENT"/>
    <s v="PRDCT"/>
    <x v="0"/>
    <s v="9. Concluído"/>
    <s v="OK"/>
    <s v="Concluido, controlos OK"/>
    <m/>
    <s v="Campo Fechado"/>
    <d v="2024-06-07T00:00:00"/>
    <x v="0"/>
    <s v="OK"/>
    <m/>
    <m/>
    <m/>
    <x v="0"/>
  </r>
  <r>
    <s v="INSTRUMENT"/>
    <s v="PRDNTL_PRTFL"/>
    <x v="1"/>
    <s v="9. Concluído"/>
    <s v="OK"/>
    <s v="Concluido, controlos OK"/>
    <m/>
    <s v="Campo Fechado"/>
    <d v="2024-06-07T00:00:00"/>
    <x v="0"/>
    <s v="OK"/>
    <m/>
    <m/>
    <m/>
    <x v="0"/>
  </r>
  <r>
    <s v="INSTRUMENT"/>
    <s v="PRFRMNG_STTS"/>
    <x v="0"/>
    <s v="3. Pendente de decisão"/>
    <s v="NOK"/>
    <s v="Verificar necessidade de alteração da fonte para fins de reconciliação. Rever Fonte"/>
    <m/>
    <s v="Sim"/>
    <d v="2025-01-13T00:00:00"/>
    <x v="8"/>
    <s v="NOK"/>
    <s v="Alteração da fonte das tabela de Imparidade Reporting para as 8_7 e alteração da data a partir da qual a fonte passa a ser as tabelas de Contabilidade"/>
    <d v="2024-09-27T00:00:00"/>
    <m/>
    <x v="5"/>
  </r>
  <r>
    <s v="ENTITY"/>
    <s v="PRFRMNG_STTS_LE"/>
    <x v="0"/>
    <s v="9. Concluído"/>
    <s v="OK"/>
    <s v="Concluido, controlos OK"/>
    <m/>
    <s v="Campo Fechado"/>
    <d v="2024-06-07T00:00:00"/>
    <x v="0"/>
    <s v="OK"/>
    <m/>
    <m/>
    <m/>
    <x v="0"/>
  </r>
  <r>
    <s v="INSTRUMENT"/>
    <s v="PRFRMNG_STTS_PRVS"/>
    <x v="0"/>
    <s v="5.1 Em testes - Re-especificação"/>
    <s v="OK"/>
    <s v="Em testes. Campo depende do campo PRFRMNG_STTS. Não é necessário alterar a especificação do mesmo, apenas testar  se o campo PRFRMNG_STTS for alterado."/>
    <m/>
    <s v="Sim"/>
    <d v="2025-01-13T00:00:00"/>
    <x v="8"/>
    <s v="OK"/>
    <s v="Alteração da fonte das tabela de Imparidade Reporting para as 8_7 e alteração da data a partir da qual a fonte passa a ser as tabelas de Contabilidade"/>
    <d v="2024-09-27T00:00:00"/>
    <m/>
    <x v="5"/>
  </r>
  <r>
    <s v="INSTRUMENT"/>
    <s v="PRJCT_FNNC_LN"/>
    <x v="0"/>
    <s v="9. Concluído"/>
    <s v="OK"/>
    <s v="Concluido, controlos OK"/>
    <m/>
    <s v="Campo Fechado"/>
    <d v="2024-06-07T00:00:00"/>
    <x v="0"/>
    <s v="OK"/>
    <m/>
    <m/>
    <m/>
    <x v="0"/>
  </r>
  <r>
    <s v="PROTECTION"/>
    <s v="PRM_LCTN"/>
    <x v="1"/>
    <s v="5.1 Em testes - Re-especificação"/>
    <s v="NOK"/>
    <s v="Em testes"/>
    <m/>
    <s v="Campo Fechado"/>
    <d v="2025-01-13T00:00:00"/>
    <x v="0"/>
    <s v="OK"/>
    <s v="100220 Casos que deviam ser N e estão a ser reportados MISS"/>
    <d v="2024-06-28T00:00:00"/>
    <d v="2024-12-20T00:00:00"/>
    <x v="1"/>
  </r>
  <r>
    <s v="INSTRUMENT"/>
    <s v="PRMRY_ASST_CLSSF"/>
    <x v="1"/>
    <s v="9. Concluído"/>
    <s v="OK"/>
    <s v="Concluido, controlos OK"/>
    <m/>
    <s v="Campo Fechado"/>
    <d v="2024-06-07T00:00:00"/>
    <x v="0"/>
    <s v="OK"/>
    <m/>
    <m/>
    <m/>
    <x v="0"/>
  </r>
  <r>
    <s v="INSTRUMENT"/>
    <s v="PRPS"/>
    <x v="0"/>
    <s v="9. Concluído"/>
    <s v="OK"/>
    <s v="Concluido, controlos OK"/>
    <m/>
    <s v="Campo Fechado"/>
    <d v="2024-06-07T00:00:00"/>
    <x v="0"/>
    <s v="OK"/>
    <m/>
    <m/>
    <m/>
    <x v="0"/>
  </r>
  <r>
    <s v="ENTITY"/>
    <s v="PRSN_TYP"/>
    <x v="1"/>
    <s v="4.1 Em implementação - Re-especificação"/>
    <s v="OK"/>
    <s v="Aguarda implementação de IT"/>
    <m/>
    <s v="Não"/>
    <d v="2024-06-17T00:00:00"/>
    <x v="8"/>
    <s v="OK"/>
    <m/>
    <d v="2024-01-12T00:00:00"/>
    <d v="2024-03-21T00:00:00"/>
    <x v="4"/>
  </r>
  <r>
    <s v="INSTRUMENT"/>
    <s v="PRT_LCR_BFFR"/>
    <x v="1"/>
    <s v="9. Concluído"/>
    <s v="OK"/>
    <s v="Concluido, controlos OK"/>
    <m/>
    <s v="Campo Fechado"/>
    <d v="2024-06-07T00:00:00"/>
    <x v="0"/>
    <s v="OK"/>
    <m/>
    <m/>
    <m/>
    <x v="0"/>
  </r>
  <r>
    <s v="INSTR_PROTECTION"/>
    <s v="PRTCTN_ALLCTD_VL"/>
    <x v="0"/>
    <s v="9. Concluído"/>
    <s v="OK"/>
    <s v="Concluido, controlos OK"/>
    <m/>
    <s v="Campo Fechado"/>
    <d v="2024-06-07T00:00:00"/>
    <x v="0"/>
    <s v="OK"/>
    <m/>
    <m/>
    <m/>
    <x v="0"/>
  </r>
  <r>
    <s v="PROTECTION"/>
    <s v="PRTCTN_CLLD"/>
    <x v="0"/>
    <s v="7. Analisar controlos e completude"/>
    <s v="NOK"/>
    <s v="Controlos NOK"/>
    <m/>
    <s v="Não"/>
    <d v="2024-06-07T00:00:00"/>
    <x v="5"/>
    <s v="NOK"/>
    <m/>
    <m/>
    <m/>
    <x v="6"/>
  </r>
  <r>
    <s v="PROTECTION"/>
    <s v="PRTCTN_FRCD_SL_VL"/>
    <x v="0"/>
    <s v="9. Concluído"/>
    <s v="OK"/>
    <s v="Concluido, controlos OK"/>
    <m/>
    <s v="Campo Fechado"/>
    <d v="2024-06-07T00:00:00"/>
    <x v="0"/>
    <s v="OK"/>
    <m/>
    <m/>
    <m/>
    <x v="0"/>
  </r>
  <r>
    <s v="INSTR_PROTECTION"/>
    <s v="PRTCTN_ID"/>
    <x v="0"/>
    <s v="7. Analisar controlos e completude"/>
    <s v="NOK"/>
    <s v="Controlos NOK"/>
    <m/>
    <s v="Não"/>
    <d v="2024-06-07T00:00:00"/>
    <x v="5"/>
    <s v="NOK"/>
    <m/>
    <m/>
    <m/>
    <x v="6"/>
  </r>
  <r>
    <s v="PROTECTION"/>
    <s v="PRTCTN_ID"/>
    <x v="0"/>
    <s v="7. Analisar controlos e completude"/>
    <s v="NOK"/>
    <s v="Controlos NOK"/>
    <m/>
    <s v="Não"/>
    <d v="2024-06-07T00:00:00"/>
    <x v="5"/>
    <s v="NOK"/>
    <m/>
    <m/>
    <m/>
    <x v="6"/>
  </r>
  <r>
    <s v="PROTECTION"/>
    <s v="PRTCTN_PRVDR_ID"/>
    <x v="0"/>
    <s v="7. Analisar controlos e completude"/>
    <s v="NOK"/>
    <s v="Controlos NOK"/>
    <m/>
    <s v="Não"/>
    <d v="2024-06-07T00:00:00"/>
    <x v="5"/>
    <s v="NOK"/>
    <m/>
    <m/>
    <m/>
    <x v="6"/>
  </r>
  <r>
    <s v="PROTECTION"/>
    <s v="PRTCTN_TYP_PBLC_GRNT_SCHM_C19"/>
    <x v="1"/>
    <s v="7. Analisar controlos e completude"/>
    <s v="NOK"/>
    <s v="Controlos NOK"/>
    <m/>
    <s v="Não"/>
    <d v="2024-06-07T00:00:00"/>
    <x v="5"/>
    <s v="NOK"/>
    <m/>
    <m/>
    <m/>
    <x v="6"/>
  </r>
  <r>
    <s v="ENTITY"/>
    <s v="DT_EXTRNL_RTNG"/>
    <x v="0"/>
    <s v="2. Alterar especificação"/>
    <s v="OK"/>
    <s v="Alterar especificação para casos em informação na fonte."/>
    <s v="Quando não existe informação na fonte em vez de MISS substituir por NA"/>
    <s v="Sim"/>
    <d v="2024-06-07T00:00:00"/>
    <x v="2"/>
    <s v="OK"/>
    <m/>
    <m/>
    <m/>
    <x v="3"/>
  </r>
  <r>
    <s v="PROTECTION"/>
    <s v="ORGNL_PRTCTN_VL"/>
    <x v="0"/>
    <s v="5.2 Em testes - Incidência"/>
    <s v="OK"/>
    <s v="Campo com incidência"/>
    <s v="1) Campo com incidência, está a reportar apenas valores de MISS e N/A"/>
    <s v="Sim"/>
    <d v="2025-01-13T00:00:00"/>
    <x v="8"/>
    <s v="NOK"/>
    <s v="14 casos com valor original da proteção a zero"/>
    <d v="2024-09-20T00:00:00"/>
    <m/>
    <x v="1"/>
  </r>
  <r>
    <s v="PROTECTION"/>
    <s v="PRTCTN_VL_PRVS"/>
    <x v="0"/>
    <s v="9. Concluído"/>
    <s v="OK"/>
    <s v="Concluido, controlos OK"/>
    <m/>
    <s v="Campo Fechado"/>
    <d v="2024-06-07T00:00:00"/>
    <x v="0"/>
    <s v="OK"/>
    <m/>
    <m/>
    <m/>
    <x v="0"/>
  </r>
  <r>
    <s v="PROTECTION"/>
    <s v="PRTCTN_VLTN_APPRCH"/>
    <x v="0"/>
    <s v="7. Analisar controlos e completude"/>
    <s v="NOK"/>
    <s v="Controlos NOK"/>
    <m/>
    <s v="Não"/>
    <d v="2024-06-07T00:00:00"/>
    <x v="5"/>
    <s v="NOK"/>
    <m/>
    <m/>
    <m/>
    <x v="6"/>
  </r>
  <r>
    <s v="INSTRUMENT"/>
    <s v="PRVSNS_OFF_BLNC_SHT"/>
    <x v="0"/>
    <s v="9. Concluído"/>
    <s v="OK"/>
    <s v="Concluido, controlos OK"/>
    <m/>
    <s v="Campo Fechado"/>
    <d v="2024-06-07T00:00:00"/>
    <x v="0"/>
    <s v="OK"/>
    <m/>
    <m/>
    <m/>
    <x v="0"/>
  </r>
  <r>
    <s v="INSTRUMENT"/>
    <s v="PYMNT_FRQNCY"/>
    <x v="0"/>
    <s v="5.2 Em testes - Incidência"/>
    <s v="OK"/>
    <s v="Campo com incidência. Verificar necessidade de alteração da fonte para fins de reconciliação"/>
    <s v="Utilizada informação de imparidade, sempre que não exista reportar info da LT, tendo em conta que caso TYP-AMRTSTN seja 4 este campo também deverá ser igual a 4. Este último critério não está atualmente a ser aplicado na LT. Rever se devemos utilizar a informação de IFRS9 ou manter a de alm"/>
    <s v="Sim"/>
    <d v="2024-06-07T00:00:00"/>
    <x v="1"/>
    <s v="OK"/>
    <m/>
    <m/>
    <m/>
    <x v="5"/>
  </r>
  <r>
    <s v="INSTRUMENT"/>
    <s v="PYMNT_INTRST_ONLY"/>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s v="Sim"/>
    <d v="2024-06-07T00:00:00"/>
    <x v="4"/>
    <s v="NOK"/>
    <m/>
    <m/>
    <m/>
    <x v="5"/>
  </r>
  <r>
    <s v="INSTRUMENT"/>
    <s v="RCRS"/>
    <x v="0"/>
    <s v="9. Concluído"/>
    <s v="OK"/>
    <s v="Concluido, controlos OK"/>
    <m/>
    <s v="Campo Fechado"/>
    <d v="2024-06-07T00:00:00"/>
    <x v="0"/>
    <s v="OK"/>
    <m/>
    <m/>
    <m/>
    <x v="0"/>
  </r>
  <r>
    <s v="INSTRUMENT"/>
    <s v="RCVD_AMRTSTN_12M"/>
    <x v="0"/>
    <s v="7. Analisar controlos e completude"/>
    <s v="NOK"/>
    <s v="Controlos NOK"/>
    <m/>
    <s v="Não"/>
    <d v="2024-06-07T00:00:00"/>
    <x v="5"/>
    <s v="NOK"/>
    <m/>
    <m/>
    <m/>
    <x v="6"/>
  </r>
  <r>
    <s v="INSTRUMENT"/>
    <s v="RCVD_AMRTSTN_24M"/>
    <x v="0"/>
    <s v="9. Concluído"/>
    <s v="OK"/>
    <s v="Concluido, controlos OK"/>
    <m/>
    <s v="Campo Fechado"/>
    <d v="2024-06-07T00:00:00"/>
    <x v="0"/>
    <s v="OK"/>
    <m/>
    <m/>
    <m/>
    <x v="0"/>
  </r>
  <r>
    <s v="PROTECTION"/>
    <s v="DT_CNSTRCTN_STTS"/>
    <x v="1"/>
    <s v="2. Alterar especificação"/>
    <s v="NOK"/>
    <s v="Campo dependente do MUG"/>
    <s v="Criação de uma tabela auxiliar de histórico dos estados de construção numa ótica diária"/>
    <s v="Sim"/>
    <d v="2024-10-03T00:00:00"/>
    <x v="2"/>
    <s v="NOK"/>
    <m/>
    <m/>
    <m/>
    <x v="1"/>
  </r>
  <r>
    <s v="INSTRUMENT"/>
    <s v="DFLT_STTS_INSTRMNT"/>
    <x v="0"/>
    <s v="2. Alterar especificação"/>
    <s v="NOK"/>
    <s v="É necessário adicionar este campo como obrigatório  para as linhas manuais (CMAH) e rever com a Leonor a tabela de parametrização (a área identificou incidências de acordo com o GUIA). Na OSI apenas foi adicionado a informação para ajustes manuais."/>
    <m/>
    <s v="Sim"/>
    <d v="2024-06-07T00:00:00"/>
    <x v="2"/>
    <s v="NOK"/>
    <m/>
    <m/>
    <m/>
    <x v="1"/>
  </r>
  <r>
    <s v="INSTRUMENT"/>
    <s v="CMMTMNT_INSTRMNT"/>
    <x v="0"/>
    <s v="2. Alterar especificação"/>
    <s v="OK"/>
    <s v="Alterar especificação (Área enviou nova metodologia do campo)"/>
    <s v="Nova metodologia identificada pelo Rafael Pessoa durante OSI IFRS9, é necessário alterar a especificação para GRSS_CRRYNG_AMNT_INSTRMNT - OFF_BLNC_SHT_AMNT_INSTRMNT"/>
    <s v="Não"/>
    <d v="2024-06-07T00:00:00"/>
    <x v="2"/>
    <s v="OK"/>
    <m/>
    <m/>
    <m/>
    <x v="2"/>
  </r>
  <r>
    <s v="INSTRUMENT"/>
    <s v="RFRNC_RT"/>
    <x v="1"/>
    <s v="9. Concluído"/>
    <s v="OK"/>
    <s v="Concluido, controlos OK"/>
    <m/>
    <s v="Campo Fechado"/>
    <d v="2024-06-07T00:00:00"/>
    <x v="0"/>
    <s v="OK"/>
    <m/>
    <m/>
    <m/>
    <x v="0"/>
  </r>
  <r>
    <s v="PROTECTION"/>
    <s v="RL_ESTT_ADDRSS"/>
    <x v="1"/>
    <s v="7. Analisar controlos e completude"/>
    <s v="NOK"/>
    <s v="Controlos NOK"/>
    <m/>
    <s v="Não"/>
    <d v="2024-06-07T00:00:00"/>
    <x v="5"/>
    <s v="NOK"/>
    <m/>
    <m/>
    <m/>
    <x v="6"/>
  </r>
  <r>
    <s v="INSTRUMENT"/>
    <s v="CMLTV_RCVRS_SNC_DFLT_INSTRMNT"/>
    <x v="0"/>
    <s v="2. Alterar especificação"/>
    <s v="OK"/>
    <s v="Campo especificado, mas sem dados. Campo marcado com MISS ou NA"/>
    <m/>
    <s v="Não"/>
    <d v="2024-06-07T00:00:00"/>
    <x v="2"/>
    <s v="OK"/>
    <m/>
    <m/>
    <m/>
    <x v="7"/>
  </r>
  <r>
    <s v="PROTECTION"/>
    <s v="RL_ESTT_CLLTRL_LCTN_INT"/>
    <x v="1"/>
    <s v="7. Analisar controlos e completude"/>
    <s v="NOK"/>
    <s v="Controlos NOK"/>
    <m/>
    <s v="Não"/>
    <d v="2024-06-07T00:00:00"/>
    <x v="5"/>
    <s v="NOK"/>
    <m/>
    <m/>
    <m/>
    <x v="6"/>
  </r>
  <r>
    <s v="PROTECTION"/>
    <s v="RL_ESTT_CTY"/>
    <x v="1"/>
    <s v="7. Analisar controlos e completude"/>
    <s v="NOK"/>
    <s v="Controlos NOK"/>
    <m/>
    <s v="Não"/>
    <d v="2024-06-07T00:00:00"/>
    <x v="5"/>
    <s v="NOK"/>
    <m/>
    <m/>
    <m/>
    <x v="6"/>
  </r>
  <r>
    <s v="PROTECTION"/>
    <s v="RL_ESTT_PST_CD"/>
    <x v="0"/>
    <s v="7. Analisar controlos e completude"/>
    <s v="NOK"/>
    <s v="Controlos NOK"/>
    <m/>
    <s v="Não"/>
    <d v="2024-06-07T00:00:00"/>
    <x v="5"/>
    <s v="NOK"/>
    <m/>
    <m/>
    <m/>
    <x v="6"/>
  </r>
  <r>
    <s v="INSTRUMENT"/>
    <s v="RRE_FNRP18"/>
    <x v="1"/>
    <s v="9. Concluído"/>
    <s v="OK"/>
    <s v="Concluido, controlos OK"/>
    <m/>
    <s v="Campo Fechado"/>
    <d v="2024-06-07T00:00:00"/>
    <x v="0"/>
    <s v="OK"/>
    <m/>
    <m/>
    <m/>
    <x v="0"/>
  </r>
  <r>
    <s v="ENTITY"/>
    <s v="RTNG_MTHD"/>
    <x v="0"/>
    <s v="5.1 Em testes - Re-especificação"/>
    <s v="NOK"/>
    <s v="Em testes, campo entregue por IT durante a OSI. Testar e validar controlos"/>
    <m/>
    <s v="Sim"/>
    <d v="2024-06-07T00:00:00"/>
    <x v="8"/>
    <s v="NOK"/>
    <m/>
    <d v="2024-02-16T00:00:00"/>
    <d v="2024-03-21T00:00:00"/>
    <x v="3"/>
  </r>
  <r>
    <s v="INSTRUMENT"/>
    <s v="RTNG_MTHD"/>
    <x v="0"/>
    <s v="5.1 Em testes - Re-especificação"/>
    <s v="NOK"/>
    <s v="Em testes, campo entregue por IT durante a OSI. Testar e validar controlos"/>
    <m/>
    <s v="Sim"/>
    <d v="2024-06-07T00:00:00"/>
    <x v="8"/>
    <s v="NOK"/>
    <m/>
    <d v="2024-02-16T00:00:00"/>
    <d v="2024-03-21T00:00:00"/>
    <x v="3"/>
  </r>
  <r>
    <s v="ENTITY"/>
    <s v="RTNG_SCL"/>
    <x v="0"/>
    <s v="9. Concluído"/>
    <s v="OK"/>
    <s v="Concluido, controlos OK"/>
    <m/>
    <s v="Campo Fechado"/>
    <d v="2024-06-07T00:00:00"/>
    <x v="0"/>
    <s v="OK"/>
    <m/>
    <m/>
    <m/>
    <x v="0"/>
  </r>
  <r>
    <s v="INSTRUMENT"/>
    <s v="RTNG_SCL"/>
    <x v="0"/>
    <s v="9. Concluído"/>
    <s v="OK"/>
    <s v="Concluido, controlos OK"/>
    <m/>
    <s v="Campo Fechado"/>
    <d v="2024-06-07T00:00:00"/>
    <x v="0"/>
    <s v="OK"/>
    <m/>
    <m/>
    <m/>
    <x v="0"/>
  </r>
  <r>
    <s v="INSTRUMENT"/>
    <s v="RTNTN_SHR"/>
    <x v="1"/>
    <s v="6. Outros Desenvolvimentos"/>
    <s v="OK"/>
    <s v="Em implementação IT BST (Sindicados)"/>
    <s v="Aguarda desenvolvimentos nas plataformas Loan IQ e Mercurio"/>
    <s v="Não"/>
    <d v="2024-06-07T00:00:00"/>
    <x v="9"/>
    <s v="OK"/>
    <m/>
    <m/>
    <m/>
    <x v="2"/>
  </r>
  <r>
    <s v="INSTRUMENT"/>
    <s v="RWA"/>
    <x v="0"/>
    <s v="5.1 Em testes - Re-especificação"/>
    <s v="OK"/>
    <s v="Em testes. Campo com incidências, mas corrigida na LT no âmbito da OSI."/>
    <m/>
    <s v="Sim"/>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quot; nas várias chaves FR, onde &quot;saldo capital&quot; é obtido através das contas cargabal, cruzamento fr802 e cruzamento com matriz de contas CT805 para o nome perimentro corporativo_x000a_Verificamos que o aprovisionamento do campo está correto de acordo com as regras especificadas"/>
    <d v="2024-02-16T00:00:00"/>
    <d v="2024-03-21T00:00:00"/>
    <x v="1"/>
  </r>
  <r>
    <s v="INSTRUMENT"/>
    <s v="DT_LGL_FNL_MTRTY"/>
    <x v="0"/>
    <s v="5.2 Em testes - Incidência"/>
    <s v="NOK"/>
    <s v="Controlos NOK e com Incidência nos formatos. "/>
    <s v="Alterarção formato de 99999999 para 1111-11-11."/>
    <s v="Sim"/>
    <d v="2024-06-07T00:00:00"/>
    <x v="1"/>
    <s v="NOK"/>
    <m/>
    <m/>
    <m/>
    <x v="1"/>
  </r>
  <r>
    <s v="INSTRUMENT"/>
    <s v="SBJCT_PBLC_GRNT_SCHM_C19"/>
    <x v="1"/>
    <s v="9. Concluído"/>
    <s v="OK"/>
    <s v="Concluido, controlos OK"/>
    <m/>
    <s v="Campo Fechado"/>
    <d v="2024-06-07T00:00:00"/>
    <x v="0"/>
    <s v="OK"/>
    <m/>
    <m/>
    <m/>
    <x v="0"/>
  </r>
  <r>
    <s v="INSTRUMENT"/>
    <s v="DT_NXT_INTRST_RT_RST"/>
    <x v="0"/>
    <s v="5.2 Em testes - Incidência"/>
    <s v="NOK"/>
    <s v="Controlos NOK e com Incidência nos formatos."/>
    <s v=" Alteração formato de 0001-01-01 para 0000-00-00."/>
    <s v="Sim"/>
    <d v="2024-06-07T00:00:00"/>
    <x v="1"/>
    <s v="NOK"/>
    <m/>
    <m/>
    <m/>
    <x v="1"/>
  </r>
  <r>
    <s v="INSTRUMENT"/>
    <s v="SME_FNRP18"/>
    <x v="0"/>
    <s v="9. Concluído"/>
    <s v="OK"/>
    <s v="Concluido, controlos OK"/>
    <m/>
    <s v="Campo Fechado"/>
    <d v="2024-06-07T00:00:00"/>
    <x v="0"/>
    <s v="OK"/>
    <m/>
    <m/>
    <m/>
    <x v="0"/>
  </r>
  <r>
    <s v="ENTITY"/>
    <s v="SNGL_PRPS_VHCL"/>
    <x v="1"/>
    <s v="9. Concluído"/>
    <s v="OK"/>
    <s v="Concluido, controlos OK"/>
    <m/>
    <s v="Campo Fechado"/>
    <d v="2024-06-07T00:00:00"/>
    <x v="0"/>
    <s v="OK"/>
    <m/>
    <m/>
    <m/>
    <x v="0"/>
  </r>
  <r>
    <s v="INSTRUMENT"/>
    <s v="SPCLTV_LNDNG"/>
    <x v="1"/>
    <s v="7. Analisar controlos e completude"/>
    <s v="NOK"/>
    <s v="Controlos NOK"/>
    <m/>
    <s v="Não"/>
    <d v="2024-06-07T00:00:00"/>
    <x v="5"/>
    <s v="NOK"/>
    <m/>
    <m/>
    <m/>
    <x v="6"/>
  </r>
  <r>
    <s v="INSTRUMENT"/>
    <s v="SPNSR_NM"/>
    <x v="1"/>
    <s v="8. Concluído - sem dados"/>
    <s v="OK"/>
    <s v="Campo especificado, mas sem dados. Campo marcado com MISS ou NA"/>
    <m/>
    <s v="Campo Fechado"/>
    <d v="2024-06-07T00:00:00"/>
    <x v="6"/>
    <s v="OK"/>
    <m/>
    <m/>
    <m/>
    <x v="7"/>
  </r>
  <r>
    <s v="INSTRUMENT"/>
    <s v="SPRD"/>
    <x v="1"/>
    <s v="9. Concluído"/>
    <s v="OK"/>
    <s v="Concluido, controlos OK"/>
    <m/>
    <s v="Campo Fechado"/>
    <d v="2024-06-07T00:00:00"/>
    <x v="0"/>
    <s v="OK"/>
    <m/>
    <m/>
    <m/>
    <x v="0"/>
  </r>
  <r>
    <s v="INSTRUMENT"/>
    <s v="SRCS_ENCMBRNC"/>
    <x v="1"/>
    <s v="9. Concluído"/>
    <s v="OK"/>
    <s v="Concluido, controlos OK"/>
    <m/>
    <s v="Campo Fechado"/>
    <d v="2024-06-07T00:00:00"/>
    <x v="0"/>
    <s v="OK"/>
    <m/>
    <m/>
    <m/>
    <x v="0"/>
  </r>
  <r>
    <s v="INSTRUMENT"/>
    <s v="STTS_UNDRWRTTN_TRNSCTN"/>
    <x v="1"/>
    <s v="6. Outros Desenvolvimentos"/>
    <s v="OK"/>
    <s v="Em implementação IT BST (Sindicados)"/>
    <s v="Aguarda desenvolvimentos nas plataformas Loan IQ e Mercurio"/>
    <s v="Não"/>
    <d v="2024-06-07T00:00:00"/>
    <x v="9"/>
    <s v="OK"/>
    <m/>
    <m/>
    <m/>
    <x v="2"/>
  </r>
  <r>
    <s v="INSTRUMENT"/>
    <s v="SUBPORTFOLIO_ID"/>
    <x v="0"/>
    <s v="9. Concluído"/>
    <s v="OK"/>
    <s v="Concluido, controlos OK"/>
    <m/>
    <s v="Campo Fechado"/>
    <d v="2024-06-07T00:00:00"/>
    <x v="0"/>
    <s v="OK"/>
    <m/>
    <m/>
    <m/>
    <x v="0"/>
  </r>
  <r>
    <s v="INSTRUMENT"/>
    <s v="SYNDCT_RL"/>
    <x v="1"/>
    <s v="6. Outros Desenvolvimentos"/>
    <s v="OK"/>
    <s v="Em implementação IT BST (Sindicados)"/>
    <s v="Aguarda desenvolvimentos nas plataformas Loan IQ e Mercurio"/>
    <s v="Não"/>
    <d v="2024-06-07T00:00:00"/>
    <x v="9"/>
    <s v="OK"/>
    <m/>
    <m/>
    <m/>
    <x v="2"/>
  </r>
  <r>
    <s v="INSTRUMENT"/>
    <s v="SYNDCTD_AGNT"/>
    <x v="0"/>
    <s v="6. Outros Desenvolvimentos"/>
    <s v="OK"/>
    <s v="Em implementação IT BST (Sindicados)"/>
    <s v="Aguarda desenvolvimentos nas plataformas Loan IQ e Mercurio"/>
    <s v="Não"/>
    <d v="2024-06-07T00:00:00"/>
    <x v="9"/>
    <s v="OK"/>
    <m/>
    <m/>
    <m/>
    <x v="2"/>
  </r>
  <r>
    <s v="INSTRUMENT"/>
    <s v="SYNDCTD_CNTRCT_ID"/>
    <x v="0"/>
    <s v="6. Outros Desenvolvimentos"/>
    <s v="OK"/>
    <s v="Em implementação IT BST (Sindicados)"/>
    <s v="Aguarda desenvolvimentos nas plataformas Loan IQ e Mercurio"/>
    <s v="Não"/>
    <d v="2024-06-07T00:00:00"/>
    <x v="9"/>
    <s v="OK"/>
    <m/>
    <m/>
    <m/>
    <x v="2"/>
  </r>
  <r>
    <s v="INSTRUMENT"/>
    <s v="SYNDCTD_LNDRS"/>
    <x v="0"/>
    <s v="6. Outros Desenvolvimentos"/>
    <s v="OK"/>
    <s v="Em implementação IT BST (Sindicados)"/>
    <s v="Aguarda desenvolvimentos nas plataformas Loan IQ e Mercurio"/>
    <s v="Não"/>
    <d v="2024-06-07T00:00:00"/>
    <x v="9"/>
    <s v="OK"/>
    <m/>
    <m/>
    <m/>
    <x v="2"/>
  </r>
  <r>
    <s v="INSTRUMENT"/>
    <s v="SYNDCTD_SHR"/>
    <x v="0"/>
    <s v="6. Outros Desenvolvimentos"/>
    <s v="OK"/>
    <s v="Em implementação IT BST (Sindicados)"/>
    <s v="Aguarda desenvolvimentos nas plataformas Loan IQ e Mercurio"/>
    <s v="Não"/>
    <d v="2024-06-07T00:00:00"/>
    <x v="9"/>
    <s v="OK"/>
    <m/>
    <m/>
    <m/>
    <x v="2"/>
  </r>
  <r>
    <s v="INSTRUMENT"/>
    <s v="SYNDCTN_TYP"/>
    <x v="1"/>
    <s v="6. Outros Desenvolvimentos"/>
    <s v="OK"/>
    <s v="Em implementação IT BST (Sindicados)"/>
    <s v="Aguarda desenvolvimentos nas plataformas Loan IQ e Mercurio"/>
    <s v="Não"/>
    <d v="2024-06-07T00:00:00"/>
    <x v="9"/>
    <s v="OK"/>
    <m/>
    <m/>
    <m/>
    <x v="2"/>
  </r>
  <r>
    <s v="ENTITY"/>
    <s v="TAX_ID"/>
    <x v="1"/>
    <s v="7. Analisar controlos e completude"/>
    <s v="NOK"/>
    <s v="Campo especificado, mas com problemas a montante"/>
    <m/>
    <s v="Não"/>
    <d v="2024-06-07T00:00:00"/>
    <x v="5"/>
    <s v="NOK"/>
    <m/>
    <m/>
    <m/>
    <x v="6"/>
  </r>
  <r>
    <s v="PROTECTION"/>
    <s v="TAX_ID"/>
    <x v="1"/>
    <s v="7. Analisar controlos e completude"/>
    <s v="NOK"/>
    <s v="Concluido, controlos por parte de Riscos"/>
    <m/>
    <s v="Não"/>
    <d v="2024-06-07T00:00:00"/>
    <x v="5"/>
    <s v="NOK"/>
    <m/>
    <m/>
    <m/>
    <x v="6"/>
  </r>
  <r>
    <s v="INSTR_PROTECTION"/>
    <s v="THRD_PRTY_PRRTY_CLMS"/>
    <x v="0"/>
    <s v="9. Concluído"/>
    <s v="OK"/>
    <s v="Concluido, controlos OK"/>
    <m/>
    <s v="Campo Fechado"/>
    <d v="2024-06-07T00:00:00"/>
    <x v="0"/>
    <s v="OK"/>
    <m/>
    <m/>
    <m/>
    <x v="0"/>
  </r>
  <r>
    <s v="INSTRUMENT"/>
    <s v="TRNCH"/>
    <x v="1"/>
    <s v="6. Outros Desenvolvimentos"/>
    <s v="OK"/>
    <s v="Em implementação IT BST (Sindicados)"/>
    <s v="Aguarda desenvolvimentos nas plataformas Loan IQ e Mercurio"/>
    <s v="Não"/>
    <d v="2024-06-07T00:00:00"/>
    <x v="9"/>
    <s v="OK"/>
    <m/>
    <m/>
    <m/>
    <x v="2"/>
  </r>
  <r>
    <s v="ENTITY"/>
    <s v="TTL_DBT"/>
    <x v="0"/>
    <s v="2. Alterar especificação"/>
    <s v="OK"/>
    <s v="Em especificação (Financial Statments CIB)"/>
    <s v="Campo implementação, mas com falta de informação para o segmento de clientes CIB"/>
    <s v="Não"/>
    <d v="2024-06-07T00:00:00"/>
    <x v="2"/>
    <s v="OK"/>
    <m/>
    <m/>
    <m/>
    <x v="2"/>
  </r>
  <r>
    <s v="ENTITY"/>
    <s v="TTL_DBT_PRVS"/>
    <x v="0"/>
    <s v="2. Alterar especificação"/>
    <s v="OK"/>
    <s v="Em especificação (Financial Statments CIB)"/>
    <s v="Campo implementação, mas com falta de informação para o segmento de clientes CIB"/>
    <s v="Não"/>
    <d v="2024-06-07T00:00:00"/>
    <x v="2"/>
    <s v="OK"/>
    <m/>
    <m/>
    <m/>
    <x v="2"/>
  </r>
  <r>
    <s v="INSTRUMENT"/>
    <s v="ACCRD_INTRST_INSTRMNT"/>
    <x v="0"/>
    <s v="2. Alterar especificação"/>
    <s v="OK"/>
    <s v="Alterar especificação (Área enviou nova metodologia do campo)"/>
    <m/>
    <s v="Não"/>
    <d v="2024-06-07T00:00:00"/>
    <x v="2"/>
    <s v="OK"/>
    <m/>
    <m/>
    <m/>
    <x v="2"/>
  </r>
  <r>
    <s v="ENTITY"/>
    <s v="TTL_LVRG_RT"/>
    <x v="1"/>
    <s v="9. Concluído"/>
    <s v="OK"/>
    <s v="Concluido, controlos OK"/>
    <m/>
    <s v="Campo Fechado"/>
    <d v="2024-06-07T00:00:00"/>
    <x v="0"/>
    <s v="OK"/>
    <m/>
    <m/>
    <m/>
    <x v="0"/>
  </r>
  <r>
    <s v="ENTITY"/>
    <s v="TTL_LVRG_RT_PRVS"/>
    <x v="1"/>
    <s v="9. Concluído"/>
    <s v="OK"/>
    <s v="Concluido, controlos OK"/>
    <m/>
    <s v="Campo Fechado"/>
    <d v="2024-06-07T00:00:00"/>
    <x v="0"/>
    <s v="OK"/>
    <m/>
    <m/>
    <m/>
    <x v="0"/>
  </r>
  <r>
    <s v="INSTRUMENT"/>
    <s v="TYP_AMRTSTN"/>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s v="Sim"/>
    <d v="2024-06-07T00:00:00"/>
    <x v="4"/>
    <s v="NOK"/>
    <m/>
    <m/>
    <m/>
    <x v="5"/>
  </r>
  <r>
    <s v="INSTRUMENT"/>
    <s v="TYP_CMPLNT_MRTR_C19"/>
    <x v="1"/>
    <s v="9. Concluído"/>
    <s v="OK"/>
    <s v="Concluido, controlos OK"/>
    <m/>
    <s v="Campo Fechado"/>
    <d v="2024-06-07T00:00:00"/>
    <x v="0"/>
    <s v="OK"/>
    <m/>
    <m/>
    <m/>
    <x v="0"/>
  </r>
  <r>
    <s v="INSTRUMENT"/>
    <s v="TYP_CRE_OPRTN"/>
    <x v="1"/>
    <s v="7. Analisar controlos e completude"/>
    <s v="NOK"/>
    <s v="Controlos NOK"/>
    <m/>
    <s v="Não"/>
    <d v="2024-06-07T00:00:00"/>
    <x v="5"/>
    <s v="NOK"/>
    <m/>
    <m/>
    <m/>
    <x v="6"/>
  </r>
  <r>
    <s v="INSTRUMENT"/>
    <s v="TYP_INSTRMNT"/>
    <x v="0"/>
    <s v="9. Concluído"/>
    <s v="OK"/>
    <s v="Concluido, controlos OK"/>
    <m/>
    <s v="Campo Fechado"/>
    <d v="2024-06-07T00:00:00"/>
    <x v="0"/>
    <s v="OK"/>
    <m/>
    <m/>
    <m/>
    <x v="0"/>
  </r>
  <r>
    <s v="INSTRUMENT"/>
    <s v="TYP_INTRST_RT"/>
    <x v="0"/>
    <s v="9. Concluído"/>
    <s v="OK"/>
    <s v="Concluido, controlos OK"/>
    <m/>
    <s v="Campo Fechado"/>
    <d v="2024-06-07T00:00:00"/>
    <x v="0"/>
    <s v="OK"/>
    <m/>
    <m/>
    <m/>
    <x v="0"/>
  </r>
  <r>
    <s v="PROTECTION"/>
    <s v="PRTCTN_VL"/>
    <x v="0"/>
    <s v="5.2 Em testes - Incidência"/>
    <s v="OK"/>
    <s v="Campo com incidência"/>
    <s v="Incidências: Casos em que valor é 0"/>
    <s v="Sim"/>
    <d v="2024-09-27T00:00:00"/>
    <x v="1"/>
    <s v="NOK"/>
    <s v="44 garantias com valor zero."/>
    <m/>
    <m/>
    <x v="1"/>
  </r>
  <r>
    <s v="PROTECTION"/>
    <s v="PRTCTN_VL_NPE"/>
    <x v="0"/>
    <s v="5.1 Em testes - Re-especificação"/>
    <s v="OK"/>
    <s v="Campo depende do histórico do PRFRMNG_STTS. Não é necessário alterar a especificação do mesmo, apenas testar se a metodologia do campo PRFRMNG_STTS for alterada. "/>
    <m/>
    <s v="Sim"/>
    <d v="2024-10-03T00:00:00"/>
    <x v="8"/>
    <s v="OK"/>
    <m/>
    <m/>
    <m/>
    <x v="5"/>
  </r>
  <r>
    <s v="PROTECTION"/>
    <s v="TYP_PRTCTN_INTRNL"/>
    <x v="0"/>
    <s v="7. Analisar controlos e completude"/>
    <s v="NOK"/>
    <s v="Controlos NOK"/>
    <m/>
    <s v="Não"/>
    <d v="2024-06-07T00:00:00"/>
    <x v="5"/>
    <s v="NOK"/>
    <m/>
    <m/>
    <m/>
    <x v="6"/>
  </r>
  <r>
    <s v="PROTECTION"/>
    <s v="TYP_PRTCTN_VL"/>
    <x v="0"/>
    <s v="7. Analisar controlos e completude"/>
    <s v="NOK"/>
    <s v="Controlos NOK"/>
    <m/>
    <s v="Não"/>
    <d v="2024-06-07T00:00:00"/>
    <x v="5"/>
    <s v="NOK"/>
    <m/>
    <m/>
    <m/>
    <x v="6"/>
  </r>
  <r>
    <s v="INSTRUMENT"/>
    <s v="TYPE_OF_PLCMNT"/>
    <x v="1"/>
    <s v="9. Concluído"/>
    <s v="OK"/>
    <s v="Concluido, controlos OK"/>
    <m/>
    <s v="Campo Fechado"/>
    <d v="2024-06-07T00:00:00"/>
    <x v="0"/>
    <s v="OK"/>
    <m/>
    <m/>
    <m/>
    <x v="0"/>
  </r>
  <r>
    <s v="INSTRUMENT"/>
    <s v="VLTN_CRRNCY"/>
    <x v="1"/>
    <s v="9. Concluído"/>
    <s v="OK"/>
    <s v="Concluido, controlos OK"/>
    <m/>
    <s v="Campo Fechado"/>
    <d v="2024-06-07T00:00:00"/>
    <x v="0"/>
    <s v="OK"/>
    <m/>
    <m/>
    <m/>
    <x v="0"/>
  </r>
  <r>
    <s v="INSTRUMENT"/>
    <s v="VLTN_TYP"/>
    <x v="1"/>
    <s v="9. Concluído"/>
    <s v="OK"/>
    <s v="Concluido, controlos OK"/>
    <m/>
    <s v="Campo Fechado"/>
    <d v="2024-06-07T00:00:00"/>
    <x v="0"/>
    <s v="OK"/>
    <m/>
    <m/>
    <m/>
    <x v="0"/>
  </r>
  <r>
    <s v="ENTITY"/>
    <s v="WTCH_LST"/>
    <x v="0"/>
    <s v="9. Concluído"/>
    <s v="OK"/>
    <s v="Concluido, controlos OK"/>
    <m/>
    <s v="Campo Fechado"/>
    <d v="2024-06-07T00:00:00"/>
    <x v="0"/>
    <s v="OK"/>
    <m/>
    <m/>
    <m/>
    <x v="0"/>
  </r>
  <r>
    <s v="PROTECTION"/>
    <s v="YR_CNSTRCTN"/>
    <x v="1"/>
    <s v="1. Especificar"/>
    <s v="OK"/>
    <s v="Em especificação (Campos Novos)"/>
    <m/>
    <s v="Não"/>
    <d v="2024-06-07T00:00:00"/>
    <x v="3"/>
    <s v="OK"/>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9:V26" firstHeaderRow="1" firstDataRow="1" firstDataCol="1" rowPageCount="1" colPageCount="1"/>
  <pivotFields count="15">
    <pivotField showAll="0"/>
    <pivotField showAll="0"/>
    <pivotField axis="axisRow" showAll="0">
      <items count="3">
        <item x="1"/>
        <item x="0"/>
        <item t="default"/>
      </items>
    </pivotField>
    <pivotField showAll="0"/>
    <pivotField showAll="0"/>
    <pivotField showAll="0"/>
    <pivotField showAll="0"/>
    <pivotField showAll="0"/>
    <pivotField numFmtId="14" showAll="0"/>
    <pivotField axis="axisPage" multipleItemSelectionAllowed="1" showAll="0">
      <items count="16">
        <item x="3"/>
        <item m="1" x="14"/>
        <item x="2"/>
        <item x="4"/>
        <item m="1" x="12"/>
        <item m="1" x="13"/>
        <item m="1" x="11"/>
        <item x="5"/>
        <item x="6"/>
        <item x="0"/>
        <item x="1"/>
        <item x="7"/>
        <item x="8"/>
        <item m="1" x="10"/>
        <item x="9"/>
        <item t="default"/>
      </items>
    </pivotField>
    <pivotField showAll="0"/>
    <pivotField showAll="0"/>
    <pivotField showAll="0"/>
    <pivotField showAll="0"/>
    <pivotField axis="axisRow" dataField="1" showAll="0">
      <items count="21">
        <item m="1" x="8"/>
        <item m="1" x="17"/>
        <item m="1" x="11"/>
        <item m="1" x="16"/>
        <item m="1" x="12"/>
        <item x="3"/>
        <item x="6"/>
        <item m="1" x="15"/>
        <item m="1" x="14"/>
        <item m="1" x="10"/>
        <item m="1" x="9"/>
        <item m="1" x="19"/>
        <item m="1" x="13"/>
        <item x="2"/>
        <item m="1" x="18"/>
        <item x="4"/>
        <item x="1"/>
        <item x="5"/>
        <item x="7"/>
        <item x="0"/>
        <item t="default"/>
      </items>
    </pivotField>
  </pivotFields>
  <rowFields count="2">
    <field x="2"/>
    <field x="14"/>
  </rowFields>
  <rowItems count="17">
    <i>
      <x/>
    </i>
    <i r="1">
      <x v="6"/>
    </i>
    <i r="1">
      <x v="13"/>
    </i>
    <i r="1">
      <x v="15"/>
    </i>
    <i r="1">
      <x v="16"/>
    </i>
    <i r="1">
      <x v="18"/>
    </i>
    <i r="1">
      <x v="19"/>
    </i>
    <i>
      <x v="1"/>
    </i>
    <i r="1">
      <x v="5"/>
    </i>
    <i r="1">
      <x v="6"/>
    </i>
    <i r="1">
      <x v="13"/>
    </i>
    <i r="1">
      <x v="15"/>
    </i>
    <i r="1">
      <x v="16"/>
    </i>
    <i r="1">
      <x v="17"/>
    </i>
    <i r="1">
      <x v="18"/>
    </i>
    <i r="1">
      <x v="19"/>
    </i>
    <i t="grand">
      <x/>
    </i>
  </rowItems>
  <colItems count="1">
    <i/>
  </colItems>
  <pageFields count="1">
    <pageField fld="9" hier="-1"/>
  </pageFields>
  <dataFields count="1">
    <dataField name="Count of Categorização" fld="14" subtotal="count" baseField="0" baseItem="0"/>
  </dataFields>
  <formats count="13">
    <format dxfId="70">
      <pivotArea dataOnly="0" labelOnly="1" fieldPosition="0">
        <references count="2">
          <reference field="2" count="1" selected="0">
            <x v="1"/>
          </reference>
          <reference field="14" count="1">
            <x v="10"/>
          </reference>
        </references>
      </pivotArea>
    </format>
    <format dxfId="69">
      <pivotArea dataOnly="0" labelOnly="1" fieldPosition="0">
        <references count="2">
          <reference field="2" count="1" selected="0">
            <x v="0"/>
          </reference>
          <reference field="14" count="1">
            <x v="10"/>
          </reference>
        </references>
      </pivotArea>
    </format>
    <format dxfId="68">
      <pivotArea dataOnly="0" labelOnly="1" fieldPosition="0">
        <references count="1">
          <reference field="2" count="1">
            <x v="1"/>
          </reference>
        </references>
      </pivotArea>
    </format>
    <format dxfId="67">
      <pivotArea dataOnly="0" labelOnly="1" fieldPosition="0">
        <references count="2">
          <reference field="2" count="1" selected="0">
            <x v="0"/>
          </reference>
          <reference field="14" count="5">
            <x v="6"/>
            <x v="13"/>
            <x v="15"/>
            <x v="16"/>
            <x v="18"/>
          </reference>
        </references>
      </pivotArea>
    </format>
    <format dxfId="66">
      <pivotArea dataOnly="0" labelOnly="1" fieldPosition="0">
        <references count="2">
          <reference field="2" count="1" selected="0">
            <x v="1"/>
          </reference>
          <reference field="14" count="7">
            <x v="0"/>
            <x v="5"/>
            <x v="6"/>
            <x v="13"/>
            <x v="15"/>
            <x v="16"/>
            <x v="17"/>
          </reference>
        </references>
      </pivotArea>
    </format>
    <format dxfId="65">
      <pivotArea collapsedLevelsAreSubtotals="1" fieldPosition="0">
        <references count="2">
          <reference field="2" count="1" selected="0">
            <x v="0"/>
          </reference>
          <reference field="14" count="1">
            <x v="16"/>
          </reference>
        </references>
      </pivotArea>
    </format>
    <format dxfId="64">
      <pivotArea dataOnly="0" labelOnly="1" fieldPosition="0">
        <references count="2">
          <reference field="2" count="1" selected="0">
            <x v="0"/>
          </reference>
          <reference field="14" count="1">
            <x v="16"/>
          </reference>
        </references>
      </pivotArea>
    </format>
    <format dxfId="63">
      <pivotArea collapsedLevelsAreSubtotals="1" fieldPosition="0">
        <references count="2">
          <reference field="2" count="1" selected="0">
            <x v="1"/>
          </reference>
          <reference field="14" count="1">
            <x v="5"/>
          </reference>
        </references>
      </pivotArea>
    </format>
    <format dxfId="62">
      <pivotArea dataOnly="0" labelOnly="1" fieldPosition="0">
        <references count="2">
          <reference field="2" count="1" selected="0">
            <x v="1"/>
          </reference>
          <reference field="14" count="1">
            <x v="5"/>
          </reference>
        </references>
      </pivotArea>
    </format>
    <format dxfId="61">
      <pivotArea collapsedLevelsAreSubtotals="1" fieldPosition="0">
        <references count="2">
          <reference field="2" count="1" selected="0">
            <x v="1"/>
          </reference>
          <reference field="14" count="2">
            <x v="16"/>
            <x v="17"/>
          </reference>
        </references>
      </pivotArea>
    </format>
    <format dxfId="60">
      <pivotArea dataOnly="0" labelOnly="1" fieldPosition="0">
        <references count="2">
          <reference field="2" count="1" selected="0">
            <x v="1"/>
          </reference>
          <reference field="14" count="2">
            <x v="16"/>
            <x v="17"/>
          </reference>
        </references>
      </pivotArea>
    </format>
    <format dxfId="59">
      <pivotArea collapsedLevelsAreSubtotals="1" fieldPosition="0">
        <references count="2">
          <reference field="2" count="1" selected="0">
            <x v="1"/>
          </reference>
          <reference field="14" count="1">
            <x v="5"/>
          </reference>
        </references>
      </pivotArea>
    </format>
    <format dxfId="58">
      <pivotArea dataOnly="0" labelOnly="1" fieldPosition="0">
        <references count="2">
          <reference field="2" count="1" selected="0">
            <x v="1"/>
          </reference>
          <reference field="1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F9ACFC-963B-4792-9D61-9481D3AA110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ick Win" colHeaderCaption="OSI VS FORA OSI">
  <location ref="I12:O18" firstHeaderRow="1" firstDataRow="3" firstDataCol="1" rowPageCount="1" colPageCount="1"/>
  <pivotFields count="23">
    <pivotField showAll="0"/>
    <pivotField dataField="1" showAll="0"/>
    <pivotField axis="axisCol" showAll="0">
      <items count="3">
        <item x="1"/>
        <item x="0"/>
        <item t="default"/>
      </items>
    </pivotField>
    <pivotField showAll="0"/>
    <pivotField showAll="0"/>
    <pivotField showAll="0"/>
    <pivotField showAll="0"/>
    <pivotField axis="axisRow" showAll="0">
      <items count="4">
        <item x="0"/>
        <item x="2"/>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1"/>
        <item x="0"/>
        <item h="1" x="3"/>
        <item h="1" x="2"/>
        <item t="default"/>
      </items>
    </pivotField>
    <pivotField showAll="0"/>
  </pivotFields>
  <rowFields count="1">
    <field x="7"/>
  </rowFields>
  <rowItems count="4">
    <i>
      <x/>
    </i>
    <i>
      <x v="1"/>
    </i>
    <i>
      <x v="2"/>
    </i>
    <i t="grand">
      <x/>
    </i>
  </rowItems>
  <colFields count="2">
    <field x="2"/>
    <field x="-2"/>
  </colFields>
  <colItems count="6">
    <i>
      <x/>
      <x/>
    </i>
    <i r="1" i="1">
      <x v="1"/>
    </i>
    <i>
      <x v="1"/>
      <x/>
    </i>
    <i r="1" i="1">
      <x v="1"/>
    </i>
    <i t="grand">
      <x/>
    </i>
    <i t="grand" i="1">
      <x/>
    </i>
  </colItems>
  <pageFields count="1">
    <pageField fld="21" hier="-1"/>
  </pageFields>
  <dataFields count="2">
    <dataField name="#" fld="1" subtotal="count" baseField="5" baseItem="0"/>
    <dataField name="%" fld="1" subtotal="count" showDataAs="percentOfTotal" baseField="5" baseItem="0" numFmtId="10"/>
  </dataFields>
  <formats count="10">
    <format dxfId="80">
      <pivotArea outline="0" collapsedLevelsAreSubtotals="1" fieldPosition="0">
        <references count="2">
          <reference field="4294967294" count="1" selected="0">
            <x v="1"/>
          </reference>
          <reference field="2" count="1" selected="0">
            <x v="1"/>
          </reference>
        </references>
      </pivotArea>
    </format>
    <format dxfId="79">
      <pivotArea outline="0" collapsedLevelsAreSubtotals="1" fieldPosition="0">
        <references count="2">
          <reference field="4294967294" count="1" selected="0">
            <x v="1"/>
          </reference>
          <reference field="2" count="1" selected="0">
            <x v="0"/>
          </reference>
        </references>
      </pivotArea>
    </format>
    <format dxfId="78">
      <pivotArea field="2" grandCol="1" outline="0" collapsedLevelsAreSubtotals="1" axis="axisCol" fieldPosition="0">
        <references count="1">
          <reference field="4294967294" count="1" selected="0">
            <x v="1"/>
          </reference>
        </references>
      </pivotArea>
    </format>
    <format dxfId="77">
      <pivotArea type="all" dataOnly="0" outline="0" fieldPosition="0"/>
    </format>
    <format dxfId="76">
      <pivotArea outline="0" collapsedLevelsAreSubtotals="1" fieldPosition="0"/>
    </format>
    <format dxfId="75">
      <pivotArea dataOnly="0" labelOnly="1" outline="0" fieldPosition="0">
        <references count="2">
          <reference field="4294967294" count="2">
            <x v="0"/>
            <x v="1"/>
          </reference>
          <reference field="2" count="1" selected="0">
            <x v="0"/>
          </reference>
        </references>
      </pivotArea>
    </format>
    <format dxfId="74">
      <pivotArea dataOnly="0" labelOnly="1" outline="0" fieldPosition="0">
        <references count="2">
          <reference field="4294967294" count="2">
            <x v="0"/>
            <x v="1"/>
          </reference>
          <reference field="2" count="1" selected="0">
            <x v="1"/>
          </reference>
        </references>
      </pivotArea>
    </format>
    <format dxfId="73">
      <pivotArea dataOnly="0" labelOnly="1" fieldPosition="0">
        <references count="1">
          <reference field="2" count="0"/>
        </references>
      </pivotArea>
    </format>
    <format dxfId="72">
      <pivotArea field="2" dataOnly="0" labelOnly="1" grandCol="1" outline="0" axis="axisCol" fieldPosition="0">
        <references count="1">
          <reference field="4294967294" count="1" selected="0">
            <x v="0"/>
          </reference>
        </references>
      </pivotArea>
    </format>
    <format dxfId="71">
      <pivotArea field="2" dataOnly="0" labelOnly="1" grandCol="1" outline="0" axis="axisCol"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1F7AD5-90B1-4E17-A458-AEFE904E495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us Atual" colHeaderCaption="">
  <location ref="C12:F23" firstHeaderRow="1" firstDataRow="2" firstDataCol="1" rowPageCount="1" colPageCount="1"/>
  <pivotFields count="23">
    <pivotField showAll="0"/>
    <pivotField showAll="0"/>
    <pivotField axis="axisCol" showAll="0">
      <items count="3">
        <item x="1"/>
        <item x="0"/>
        <item t="default"/>
      </items>
    </pivotField>
    <pivotField showAll="0"/>
    <pivotField showAll="0"/>
    <pivotField showAll="0"/>
    <pivotField showAll="0"/>
    <pivotField showAll="0"/>
    <pivotField numFmtId="14" showAll="0"/>
    <pivotField axis="axisRow" dataField="1" showAll="0">
      <items count="11">
        <item x="3"/>
        <item x="2"/>
        <item x="4"/>
        <item x="7"/>
        <item x="8"/>
        <item x="1"/>
        <item x="9"/>
        <item x="5"/>
        <item x="6"/>
        <item x="0"/>
        <item t="default"/>
      </items>
    </pivotField>
    <pivotField showAll="0"/>
    <pivotField showAll="0"/>
    <pivotField showAll="0"/>
    <pivotField showAll="0"/>
    <pivotField showAll="0"/>
    <pivotField showAll="0"/>
    <pivotField showAll="0"/>
    <pivotField showAll="0"/>
    <pivotField showAll="0"/>
    <pivotField showAll="0"/>
    <pivotField showAll="0"/>
    <pivotField axis="axisPage" showAll="0">
      <items count="5">
        <item x="1"/>
        <item x="0"/>
        <item x="3"/>
        <item x="2"/>
        <item t="default"/>
      </items>
    </pivotField>
    <pivotField showAll="0"/>
  </pivotFields>
  <rowFields count="1">
    <field x="9"/>
  </rowFields>
  <rowItems count="10">
    <i>
      <x/>
    </i>
    <i>
      <x v="1"/>
    </i>
    <i>
      <x v="2"/>
    </i>
    <i>
      <x v="3"/>
    </i>
    <i>
      <x v="4"/>
    </i>
    <i>
      <x v="5"/>
    </i>
    <i>
      <x v="7"/>
    </i>
    <i>
      <x v="8"/>
    </i>
    <i>
      <x v="9"/>
    </i>
    <i t="grand">
      <x/>
    </i>
  </rowItems>
  <colFields count="1">
    <field x="2"/>
  </colFields>
  <colItems count="3">
    <i>
      <x/>
    </i>
    <i>
      <x v="1"/>
    </i>
    <i t="grand">
      <x/>
    </i>
  </colItems>
  <pageFields count="1">
    <pageField fld="21" item="1" hier="-1"/>
  </pageFields>
  <dataFields count="1">
    <dataField name="Count of Status Atual" fld="9" subtotal="count" baseField="0" baseItem="0"/>
  </dataFields>
  <formats count="3">
    <format dxfId="83">
      <pivotArea field="21" type="button" dataOnly="0" labelOnly="1" outline="0" axis="axisPage" fieldPosition="0"/>
    </format>
    <format dxfId="82">
      <pivotArea type="all" dataOnly="0" outline="0" fieldPosition="0"/>
    </format>
    <format dxfId="81">
      <pivotArea dataOnly="0" labelOnly="1" outline="0" fieldPosition="0">
        <references count="1">
          <reference field="2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5" dT="2025-10-29T14:57:44.46" personId="{82BF7F14-77B9-4558-8297-8B12AA3D0639}" id="{2D26464F-DFFA-45D7-BA3B-52D11E46969B}">
    <text>Podem existir campos com controlos a NOK mas que estão justificados (ver ficheiro LT - Controlos e Justificações)</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6"/>
  <sheetViews>
    <sheetView showGridLines="0" topLeftCell="A6" zoomScaleNormal="100" workbookViewId="0">
      <selection activeCell="N26" sqref="N26"/>
    </sheetView>
  </sheetViews>
  <sheetFormatPr defaultRowHeight="14.25"/>
  <cols>
    <col min="1" max="1" width="3.375" customWidth="1"/>
    <col min="2" max="2" width="5.125" customWidth="1"/>
    <col min="3" max="3" width="35.5" bestFit="1" customWidth="1"/>
    <col min="4" max="4" width="8" bestFit="1" customWidth="1"/>
    <col min="5" max="5" width="4" bestFit="1" customWidth="1"/>
    <col min="6" max="6" width="10.5" bestFit="1" customWidth="1"/>
    <col min="7" max="7" width="10.625" customWidth="1"/>
    <col min="8" max="8" width="8.5" bestFit="1" customWidth="1"/>
    <col min="9" max="9" width="15.5" bestFit="1" customWidth="1"/>
    <col min="10" max="10" width="17.625" bestFit="1" customWidth="1"/>
    <col min="11" max="11" width="8.5" customWidth="1"/>
    <col min="12" max="12" width="10.375" customWidth="1"/>
    <col min="13" max="13" width="4.5" bestFit="1" customWidth="1"/>
    <col min="14" max="14" width="11.375" customWidth="1"/>
    <col min="15" max="15" width="7.375" bestFit="1" customWidth="1"/>
    <col min="16" max="16" width="6.625" bestFit="1" customWidth="1"/>
    <col min="17" max="17" width="8.5" bestFit="1" customWidth="1"/>
    <col min="18" max="18" width="0" style="12" hidden="1" customWidth="1"/>
    <col min="21" max="21" width="55.625" bestFit="1" customWidth="1"/>
    <col min="22" max="22" width="21.625" bestFit="1" customWidth="1"/>
    <col min="23" max="24" width="4.375" bestFit="1" customWidth="1"/>
    <col min="25" max="25" width="10.5" bestFit="1" customWidth="1"/>
  </cols>
  <sheetData>
    <row r="1" spans="1:35" ht="15" customHeight="1">
      <c r="A1" s="1"/>
      <c r="B1" s="1"/>
      <c r="C1" s="1"/>
      <c r="E1" s="1"/>
      <c r="F1" s="1"/>
      <c r="G1" s="1"/>
      <c r="H1" s="1"/>
      <c r="I1" s="1"/>
      <c r="J1" s="1"/>
      <c r="K1" s="1"/>
      <c r="L1" s="1"/>
      <c r="M1" s="1"/>
      <c r="N1" s="1"/>
      <c r="O1" s="1"/>
      <c r="P1" s="1"/>
      <c r="Q1" s="1"/>
      <c r="R1" s="13"/>
      <c r="S1" s="1"/>
      <c r="T1" s="1"/>
      <c r="U1" s="1"/>
      <c r="V1" s="1"/>
      <c r="W1" s="1"/>
      <c r="X1" s="1"/>
      <c r="Y1" s="1"/>
      <c r="Z1" s="1"/>
      <c r="AA1" s="1"/>
      <c r="AB1" s="1"/>
      <c r="AC1" s="1"/>
      <c r="AD1" s="1"/>
      <c r="AE1" s="1"/>
      <c r="AF1" s="1"/>
      <c r="AG1" s="1"/>
      <c r="AH1" s="1"/>
    </row>
    <row r="2" spans="1:35" ht="34.5" customHeight="1">
      <c r="A2" s="1"/>
      <c r="B2" s="1"/>
      <c r="C2" s="3"/>
      <c r="E2" s="1"/>
      <c r="F2" s="1"/>
      <c r="G2" s="1"/>
      <c r="H2" s="1"/>
      <c r="I2" s="1"/>
      <c r="J2" s="1"/>
      <c r="K2" s="1"/>
      <c r="L2" s="1"/>
      <c r="M2" s="1"/>
      <c r="N2" s="1"/>
      <c r="O2" s="1"/>
      <c r="P2" s="1"/>
      <c r="Q2" s="1"/>
      <c r="R2" s="13"/>
      <c r="S2" s="1"/>
      <c r="T2" s="1"/>
      <c r="U2" s="1"/>
      <c r="V2" s="1"/>
      <c r="W2" s="1"/>
      <c r="X2" s="1"/>
      <c r="Y2" s="1"/>
      <c r="Z2" s="1"/>
      <c r="AA2" s="1"/>
      <c r="AB2" s="1"/>
      <c r="AC2" s="1"/>
      <c r="AD2" s="1"/>
      <c r="AE2" s="4"/>
      <c r="AF2" s="1"/>
      <c r="AG2" s="1"/>
      <c r="AH2" s="1"/>
      <c r="AI2" s="1"/>
    </row>
    <row r="3" spans="1:35" ht="2.25" customHeight="1">
      <c r="A3" s="5"/>
      <c r="B3" s="5"/>
      <c r="C3" s="5"/>
      <c r="D3" s="5"/>
      <c r="E3" s="5"/>
      <c r="F3" s="5"/>
      <c r="G3" s="5"/>
      <c r="H3" s="5"/>
      <c r="I3" s="5"/>
      <c r="J3" s="5"/>
      <c r="K3" s="5"/>
      <c r="L3" s="5"/>
      <c r="M3" s="5"/>
      <c r="N3" s="5"/>
      <c r="O3" s="5"/>
      <c r="P3" s="5"/>
      <c r="Q3" s="5"/>
      <c r="R3" s="14"/>
      <c r="S3" s="5"/>
      <c r="T3" s="5"/>
      <c r="U3" s="5"/>
      <c r="V3" s="5"/>
      <c r="W3" s="5"/>
      <c r="X3" s="5"/>
      <c r="Y3" s="5"/>
      <c r="Z3" s="5"/>
      <c r="AA3" s="5"/>
      <c r="AB3" s="5"/>
      <c r="AC3" s="5"/>
      <c r="AD3" s="5"/>
      <c r="AE3" s="5"/>
      <c r="AF3" s="5"/>
      <c r="AG3" s="5"/>
      <c r="AH3" s="5"/>
      <c r="AI3" s="5"/>
    </row>
    <row r="4" spans="1:35" ht="15" customHeight="1">
      <c r="A4" s="1"/>
      <c r="B4" s="1"/>
      <c r="C4" s="1"/>
      <c r="E4" s="1"/>
      <c r="F4" s="1"/>
      <c r="G4" s="1"/>
      <c r="H4" s="1"/>
      <c r="I4" s="1"/>
      <c r="J4" s="1"/>
      <c r="K4" s="1"/>
      <c r="L4" s="1"/>
      <c r="M4" s="1"/>
      <c r="N4" s="1"/>
      <c r="O4" s="1"/>
      <c r="P4" s="1"/>
      <c r="Q4" s="1"/>
      <c r="R4" s="13"/>
      <c r="S4" s="1"/>
      <c r="T4" s="1"/>
      <c r="U4" s="1"/>
      <c r="V4" s="1"/>
      <c r="W4" s="1"/>
      <c r="X4" s="1"/>
      <c r="Y4" s="1"/>
      <c r="Z4" s="1"/>
      <c r="AA4" s="1"/>
      <c r="AB4" s="1"/>
      <c r="AC4" s="1"/>
      <c r="AD4" s="1"/>
      <c r="AE4" s="1"/>
      <c r="AF4" s="1"/>
      <c r="AG4" s="1"/>
      <c r="AH4" s="1"/>
      <c r="AI4" s="1"/>
    </row>
    <row r="7" spans="1:35">
      <c r="U7" s="22" t="s">
        <v>0</v>
      </c>
      <c r="V7" t="s">
        <v>1</v>
      </c>
    </row>
    <row r="9" spans="1:35">
      <c r="U9" s="22" t="s">
        <v>2</v>
      </c>
      <c r="V9" t="s">
        <v>3</v>
      </c>
    </row>
    <row r="10" spans="1:35" ht="15">
      <c r="C10" s="65" t="s">
        <v>4</v>
      </c>
      <c r="D10" s="67" t="s">
        <v>5</v>
      </c>
      <c r="I10" s="54" t="s">
        <v>4</v>
      </c>
      <c r="J10" s="55" t="s">
        <v>5</v>
      </c>
      <c r="U10" s="7" t="s">
        <v>6</v>
      </c>
      <c r="V10">
        <v>119</v>
      </c>
    </row>
    <row r="11" spans="1:35" ht="15">
      <c r="R11" s="12" t="s">
        <v>7</v>
      </c>
      <c r="U11" s="12" t="s">
        <v>8</v>
      </c>
      <c r="V11">
        <v>16</v>
      </c>
    </row>
    <row r="12" spans="1:35" ht="15">
      <c r="C12" s="66" t="s">
        <v>9</v>
      </c>
      <c r="D12" s="57" t="s">
        <v>10</v>
      </c>
      <c r="E12" s="58"/>
      <c r="F12" s="59"/>
      <c r="I12" s="56"/>
      <c r="J12" s="57" t="s">
        <v>11</v>
      </c>
      <c r="K12" s="58"/>
      <c r="L12" s="58"/>
      <c r="M12" s="58"/>
      <c r="N12" s="58"/>
      <c r="O12" s="59"/>
      <c r="R12" s="12" t="s">
        <v>12</v>
      </c>
      <c r="U12" s="12" t="s">
        <v>13</v>
      </c>
      <c r="V12">
        <v>14</v>
      </c>
    </row>
    <row r="13" spans="1:35">
      <c r="C13" s="62" t="s">
        <v>0</v>
      </c>
      <c r="D13" t="s">
        <v>6</v>
      </c>
      <c r="E13" t="s">
        <v>14</v>
      </c>
      <c r="F13" s="61" t="s">
        <v>15</v>
      </c>
      <c r="I13" s="60"/>
      <c r="J13" s="33" t="s">
        <v>6</v>
      </c>
      <c r="K13" s="33"/>
      <c r="L13" s="33" t="s">
        <v>14</v>
      </c>
      <c r="M13" s="33"/>
      <c r="N13" s="33" t="s">
        <v>16</v>
      </c>
      <c r="O13" s="73" t="s">
        <v>17</v>
      </c>
      <c r="R13" s="12" t="s">
        <v>18</v>
      </c>
      <c r="U13" s="12" t="s">
        <v>19</v>
      </c>
      <c r="V13">
        <v>9</v>
      </c>
    </row>
    <row r="14" spans="1:35">
      <c r="C14" s="63" t="s">
        <v>20</v>
      </c>
      <c r="D14">
        <v>9</v>
      </c>
      <c r="E14">
        <v>1</v>
      </c>
      <c r="F14" s="61">
        <v>10</v>
      </c>
      <c r="I14" s="62" t="s">
        <v>21</v>
      </c>
      <c r="J14" s="33" t="s">
        <v>22</v>
      </c>
      <c r="K14" s="33" t="s">
        <v>23</v>
      </c>
      <c r="L14" s="33" t="s">
        <v>22</v>
      </c>
      <c r="M14" s="33" t="s">
        <v>23</v>
      </c>
      <c r="N14" s="33"/>
      <c r="O14" s="73"/>
      <c r="U14" s="23" t="s">
        <v>24</v>
      </c>
      <c r="V14" s="11">
        <v>5</v>
      </c>
    </row>
    <row r="15" spans="1:35">
      <c r="C15" s="63" t="s">
        <v>25</v>
      </c>
      <c r="D15">
        <v>3</v>
      </c>
      <c r="E15">
        <v>14</v>
      </c>
      <c r="F15" s="61">
        <v>17</v>
      </c>
      <c r="I15" s="63" t="s">
        <v>26</v>
      </c>
      <c r="J15" s="33">
        <v>69</v>
      </c>
      <c r="K15" s="68">
        <v>0.26436781609195403</v>
      </c>
      <c r="L15" s="33">
        <v>96</v>
      </c>
      <c r="M15" s="68">
        <v>0.36781609195402298</v>
      </c>
      <c r="N15" s="33">
        <v>165</v>
      </c>
      <c r="O15" s="69">
        <v>0.63218390804597702</v>
      </c>
      <c r="U15" s="12" t="s">
        <v>27</v>
      </c>
      <c r="V15">
        <v>10</v>
      </c>
    </row>
    <row r="16" spans="1:35">
      <c r="C16" s="63" t="s">
        <v>28</v>
      </c>
      <c r="E16">
        <v>2</v>
      </c>
      <c r="F16" s="61">
        <v>2</v>
      </c>
      <c r="I16" s="63" t="s">
        <v>29</v>
      </c>
      <c r="J16" s="33">
        <v>30</v>
      </c>
      <c r="K16" s="68">
        <v>0.11494252873563218</v>
      </c>
      <c r="L16" s="33">
        <v>40</v>
      </c>
      <c r="M16" s="68">
        <v>0.1532567049808429</v>
      </c>
      <c r="N16" s="33">
        <v>70</v>
      </c>
      <c r="O16" s="69">
        <v>0.26819923371647508</v>
      </c>
      <c r="U16" s="12" t="s">
        <v>30</v>
      </c>
      <c r="V16">
        <v>65</v>
      </c>
    </row>
    <row r="17" spans="3:22">
      <c r="C17" s="63" t="s">
        <v>31</v>
      </c>
      <c r="D17">
        <v>1</v>
      </c>
      <c r="F17" s="61">
        <v>1</v>
      </c>
      <c r="I17" s="63" t="s">
        <v>32</v>
      </c>
      <c r="J17" s="33">
        <v>3</v>
      </c>
      <c r="K17" s="68">
        <v>1.1494252873563218E-2</v>
      </c>
      <c r="L17" s="33">
        <v>23</v>
      </c>
      <c r="M17" s="68">
        <v>8.8122605363984668E-2</v>
      </c>
      <c r="N17" s="33">
        <v>26</v>
      </c>
      <c r="O17" s="69">
        <v>9.9616858237547887E-2</v>
      </c>
      <c r="U17" s="7" t="s">
        <v>14</v>
      </c>
      <c r="V17">
        <v>227</v>
      </c>
    </row>
    <row r="18" spans="3:22">
      <c r="C18" s="63" t="s">
        <v>33</v>
      </c>
      <c r="D18">
        <v>4</v>
      </c>
      <c r="E18">
        <v>18</v>
      </c>
      <c r="F18" s="61">
        <v>22</v>
      </c>
      <c r="I18" s="64" t="s">
        <v>15</v>
      </c>
      <c r="J18" s="70">
        <v>102</v>
      </c>
      <c r="K18" s="71">
        <v>0.39080459770114945</v>
      </c>
      <c r="L18" s="70">
        <v>159</v>
      </c>
      <c r="M18" s="71">
        <v>0.60919540229885061</v>
      </c>
      <c r="N18" s="70">
        <v>261</v>
      </c>
      <c r="O18" s="72">
        <v>1</v>
      </c>
      <c r="U18" s="23" t="s">
        <v>34</v>
      </c>
      <c r="V18" s="11">
        <v>8</v>
      </c>
    </row>
    <row r="19" spans="3:22">
      <c r="C19" s="63" t="s">
        <v>35</v>
      </c>
      <c r="E19">
        <v>3</v>
      </c>
      <c r="F19" s="61">
        <v>3</v>
      </c>
      <c r="U19" s="12" t="s">
        <v>8</v>
      </c>
      <c r="V19">
        <v>41</v>
      </c>
    </row>
    <row r="20" spans="3:22">
      <c r="C20" s="63" t="s">
        <v>36</v>
      </c>
      <c r="D20">
        <v>16</v>
      </c>
      <c r="E20">
        <v>26</v>
      </c>
      <c r="F20" s="61">
        <v>42</v>
      </c>
      <c r="U20" s="12" t="s">
        <v>13</v>
      </c>
      <c r="V20">
        <v>37</v>
      </c>
    </row>
    <row r="21" spans="3:22">
      <c r="C21" s="63" t="s">
        <v>37</v>
      </c>
      <c r="D21">
        <v>6</v>
      </c>
      <c r="E21">
        <v>1</v>
      </c>
      <c r="F21" s="61">
        <v>7</v>
      </c>
      <c r="U21" s="12" t="s">
        <v>19</v>
      </c>
      <c r="V21">
        <v>6</v>
      </c>
    </row>
    <row r="22" spans="3:22">
      <c r="C22" s="63" t="s">
        <v>38</v>
      </c>
      <c r="D22">
        <v>63</v>
      </c>
      <c r="E22">
        <v>94</v>
      </c>
      <c r="F22" s="61">
        <v>157</v>
      </c>
      <c r="U22" s="23" t="s">
        <v>24</v>
      </c>
      <c r="V22" s="11">
        <v>21</v>
      </c>
    </row>
    <row r="23" spans="3:22">
      <c r="C23" s="64" t="s">
        <v>15</v>
      </c>
      <c r="D23" s="74">
        <v>102</v>
      </c>
      <c r="E23" s="74">
        <v>159</v>
      </c>
      <c r="F23" s="75">
        <v>261</v>
      </c>
      <c r="U23" s="23" t="s">
        <v>39</v>
      </c>
      <c r="V23" s="11">
        <v>24</v>
      </c>
    </row>
    <row r="24" spans="3:22">
      <c r="U24" s="12" t="s">
        <v>27</v>
      </c>
      <c r="V24">
        <v>2</v>
      </c>
    </row>
    <row r="25" spans="3:22">
      <c r="U25" s="12" t="s">
        <v>30</v>
      </c>
      <c r="V25">
        <v>88</v>
      </c>
    </row>
    <row r="26" spans="3:22">
      <c r="U26" s="7" t="s">
        <v>15</v>
      </c>
      <c r="V26">
        <v>346</v>
      </c>
    </row>
  </sheetData>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54"/>
  <sheetViews>
    <sheetView showGridLines="0" topLeftCell="E2" zoomScaleNormal="90" workbookViewId="0">
      <selection activeCell="C23" sqref="C23"/>
    </sheetView>
  </sheetViews>
  <sheetFormatPr defaultColWidth="0" defaultRowHeight="14.45" customHeight="1"/>
  <cols>
    <col min="1" max="1" width="3.375" customWidth="1"/>
    <col min="2" max="2" width="7.5" customWidth="1"/>
    <col min="3" max="3" width="22.625" customWidth="1"/>
    <col min="4" max="4" width="8.875" customWidth="1"/>
    <col min="5" max="5" width="24.125" customWidth="1"/>
    <col min="6" max="6" width="11.5" customWidth="1"/>
    <col min="7" max="7" width="5.625" customWidth="1"/>
    <col min="8" max="8" width="3.375" customWidth="1"/>
    <col min="9" max="9" width="20.125" bestFit="1" customWidth="1"/>
    <col min="10" max="20" width="19.875" customWidth="1"/>
    <col min="21" max="22" width="3.375" customWidth="1"/>
    <col min="23" max="23" width="13.5" hidden="1" customWidth="1"/>
    <col min="24" max="24" width="22.625" hidden="1" customWidth="1"/>
    <col min="25" max="25" width="18.125" hidden="1" customWidth="1"/>
    <col min="26" max="34" width="0" hidden="1" customWidth="1"/>
    <col min="35" max="16384" width="8.875" hidden="1"/>
  </cols>
  <sheetData>
    <row r="1" spans="1:32" ht="15" customHeight="1">
      <c r="B1" s="1"/>
      <c r="C1" s="1"/>
      <c r="E1" s="1"/>
      <c r="F1" s="1"/>
      <c r="G1" s="1"/>
      <c r="H1" s="1"/>
      <c r="I1" s="1"/>
      <c r="J1" s="1"/>
      <c r="K1" s="1"/>
      <c r="L1" s="1"/>
      <c r="M1" s="1"/>
      <c r="N1" s="1"/>
      <c r="O1" s="13"/>
      <c r="P1" s="1"/>
      <c r="Q1" s="1"/>
      <c r="R1" s="1"/>
      <c r="S1" s="1"/>
      <c r="T1" s="1"/>
      <c r="U1" s="1"/>
      <c r="V1" s="1"/>
      <c r="W1" s="1"/>
      <c r="X1" s="1"/>
      <c r="Y1" s="1"/>
      <c r="Z1" s="1"/>
      <c r="AA1" s="1"/>
      <c r="AB1" s="1"/>
      <c r="AC1" s="1"/>
      <c r="AD1" s="1"/>
      <c r="AE1" s="1"/>
    </row>
    <row r="2" spans="1:32" ht="34.5" customHeight="1">
      <c r="B2" s="1"/>
      <c r="C2" s="1"/>
      <c r="E2" s="1"/>
      <c r="F2" s="1"/>
      <c r="G2" s="1"/>
      <c r="H2" s="1"/>
      <c r="I2" s="1"/>
      <c r="J2" s="1"/>
      <c r="K2" s="1"/>
      <c r="L2" s="1"/>
      <c r="M2" s="1"/>
      <c r="N2" s="1"/>
      <c r="O2" s="13"/>
      <c r="P2" s="1"/>
      <c r="Q2" s="1"/>
      <c r="R2" s="1"/>
      <c r="S2" s="1"/>
      <c r="T2" s="1"/>
      <c r="U2" s="1"/>
      <c r="V2" s="1"/>
      <c r="W2" s="1"/>
      <c r="X2" s="1"/>
      <c r="Y2" s="1"/>
      <c r="Z2" s="1"/>
      <c r="AA2" s="1"/>
      <c r="AB2" s="4"/>
      <c r="AC2" s="1"/>
      <c r="AD2" s="1"/>
      <c r="AE2" s="1"/>
      <c r="AF2" s="1"/>
    </row>
    <row r="3" spans="1:32" ht="2.25" customHeight="1">
      <c r="A3" s="5"/>
      <c r="B3" s="5"/>
      <c r="C3" s="5"/>
      <c r="D3" s="5"/>
      <c r="E3" s="5"/>
      <c r="F3" s="5"/>
      <c r="G3" s="5"/>
      <c r="H3" s="5"/>
      <c r="I3" s="5"/>
      <c r="J3" s="5"/>
      <c r="K3" s="5"/>
      <c r="L3" s="5"/>
      <c r="M3" s="5"/>
      <c r="N3" s="5"/>
      <c r="O3" s="14"/>
      <c r="P3" s="5"/>
      <c r="Q3" s="5"/>
      <c r="R3" s="5"/>
      <c r="S3" s="5"/>
      <c r="T3" s="5"/>
      <c r="U3" s="5"/>
      <c r="V3" s="5"/>
      <c r="W3" s="5"/>
      <c r="X3" s="5"/>
      <c r="Y3" s="5"/>
      <c r="Z3" s="5"/>
      <c r="AA3" s="5"/>
      <c r="AB3" s="5"/>
      <c r="AC3" s="5"/>
      <c r="AD3" s="5"/>
      <c r="AE3" s="5"/>
      <c r="AF3" s="5"/>
    </row>
    <row r="4" spans="1:32" ht="15" customHeight="1">
      <c r="B4" s="1"/>
      <c r="C4" s="1"/>
      <c r="E4" s="1"/>
      <c r="F4" s="1"/>
      <c r="G4" s="1"/>
      <c r="H4" s="1"/>
      <c r="I4" s="1"/>
      <c r="J4" s="1"/>
      <c r="K4" s="1"/>
      <c r="L4" s="1"/>
      <c r="M4" s="1"/>
      <c r="N4" s="1"/>
      <c r="O4" s="13"/>
      <c r="P4" s="1"/>
      <c r="Q4" s="1"/>
      <c r="R4" s="1"/>
      <c r="S4" s="1"/>
      <c r="T4" s="1"/>
      <c r="U4" s="1"/>
      <c r="V4" s="1"/>
      <c r="W4" s="1"/>
      <c r="X4" s="1"/>
      <c r="Y4" s="1"/>
      <c r="Z4" s="1"/>
      <c r="AA4" s="1"/>
      <c r="AB4" s="1"/>
      <c r="AC4" s="1"/>
      <c r="AD4" s="1"/>
      <c r="AE4" s="1"/>
      <c r="AF4" s="1"/>
    </row>
    <row r="5" spans="1:32" ht="14.25">
      <c r="B5" s="25"/>
      <c r="C5" s="25"/>
      <c r="D5" s="25"/>
      <c r="E5" s="25"/>
      <c r="F5" s="25"/>
      <c r="H5" s="25"/>
      <c r="I5" s="25"/>
      <c r="J5" s="25"/>
      <c r="K5" s="25"/>
      <c r="L5" s="25"/>
      <c r="M5" s="25"/>
      <c r="N5" s="25"/>
      <c r="O5" s="25"/>
      <c r="P5" s="25"/>
      <c r="Q5" s="25"/>
      <c r="R5" s="25"/>
      <c r="S5" s="25"/>
      <c r="T5" s="25"/>
      <c r="U5" s="25"/>
    </row>
    <row r="6" spans="1:32" ht="14.25">
      <c r="B6" s="25"/>
      <c r="C6" s="25"/>
      <c r="D6" s="25"/>
      <c r="E6" s="25"/>
      <c r="F6" s="25"/>
      <c r="H6" s="25"/>
      <c r="I6" s="25"/>
      <c r="J6" s="25"/>
      <c r="K6" s="25"/>
      <c r="L6" s="25"/>
      <c r="M6" s="25"/>
      <c r="N6" s="25"/>
      <c r="O6" s="25"/>
      <c r="P6" s="25"/>
      <c r="Q6" s="25"/>
      <c r="R6" s="25"/>
      <c r="S6" s="25"/>
      <c r="T6" s="25"/>
      <c r="U6" s="25"/>
    </row>
    <row r="7" spans="1:32" ht="14.25">
      <c r="B7" s="25"/>
      <c r="C7" s="25"/>
      <c r="D7" s="25"/>
      <c r="E7" s="25"/>
      <c r="F7" s="25"/>
      <c r="H7" s="25"/>
      <c r="I7" s="25"/>
      <c r="J7" s="25"/>
      <c r="K7" s="25"/>
      <c r="L7" s="25"/>
      <c r="M7" s="25"/>
      <c r="N7" s="25"/>
      <c r="O7" s="25"/>
      <c r="P7" s="25"/>
      <c r="Q7" s="25"/>
      <c r="R7" s="25"/>
      <c r="S7" s="25"/>
      <c r="T7" s="25"/>
      <c r="U7" s="25"/>
    </row>
    <row r="8" spans="1:32" ht="15">
      <c r="B8" s="31">
        <v>2</v>
      </c>
      <c r="C8" s="31" t="s">
        <v>40</v>
      </c>
      <c r="D8" s="31">
        <v>11</v>
      </c>
      <c r="E8" s="31" t="s">
        <v>40</v>
      </c>
      <c r="F8" s="31"/>
      <c r="H8" s="25"/>
      <c r="I8" s="25"/>
      <c r="J8" s="25"/>
      <c r="K8" s="25"/>
      <c r="L8" s="25"/>
      <c r="M8" s="25"/>
      <c r="N8" s="25"/>
      <c r="O8" s="25"/>
      <c r="P8" s="25"/>
      <c r="Q8" s="25"/>
      <c r="R8" s="25"/>
      <c r="S8" s="25"/>
      <c r="T8" s="25"/>
      <c r="U8" s="25"/>
    </row>
    <row r="9" spans="1:32" ht="15">
      <c r="B9" s="25"/>
      <c r="C9" s="32" t="s">
        <v>41</v>
      </c>
      <c r="D9" s="25"/>
      <c r="E9" s="31" t="s">
        <v>42</v>
      </c>
      <c r="F9" s="32"/>
      <c r="H9" s="25"/>
      <c r="I9" s="25"/>
      <c r="J9" s="25"/>
      <c r="K9" s="25"/>
      <c r="L9" s="25"/>
      <c r="M9" s="25"/>
      <c r="N9" s="25"/>
      <c r="O9" s="25"/>
      <c r="P9" s="25"/>
      <c r="Q9" s="25"/>
      <c r="R9" s="25"/>
      <c r="S9" s="25"/>
      <c r="T9" s="25"/>
      <c r="U9" s="25"/>
    </row>
    <row r="10" spans="1:32" ht="15">
      <c r="B10" s="31"/>
      <c r="C10" s="32" t="s">
        <v>43</v>
      </c>
      <c r="D10" s="25"/>
      <c r="E10" s="32" t="s">
        <v>44</v>
      </c>
      <c r="F10" s="32"/>
      <c r="H10" s="25"/>
      <c r="I10" s="25"/>
      <c r="J10" s="25"/>
      <c r="K10" s="25"/>
      <c r="L10" s="25"/>
      <c r="M10" s="25"/>
      <c r="N10" s="25"/>
      <c r="O10" s="25"/>
      <c r="P10" s="25"/>
      <c r="Q10" s="25"/>
      <c r="R10" s="25"/>
      <c r="S10" s="25"/>
      <c r="T10" s="25"/>
      <c r="U10" s="25"/>
    </row>
    <row r="11" spans="1:32" ht="14.25">
      <c r="B11" s="25"/>
      <c r="C11" s="32"/>
      <c r="D11" s="25"/>
      <c r="E11" s="32" t="s">
        <v>45</v>
      </c>
      <c r="F11" s="32"/>
      <c r="H11" s="25"/>
      <c r="I11" s="25"/>
      <c r="J11" s="25"/>
      <c r="K11" s="25"/>
      <c r="L11" s="25"/>
      <c r="M11" s="25"/>
      <c r="N11" s="25"/>
      <c r="O11" s="25"/>
      <c r="P11" s="25"/>
      <c r="Q11" s="25"/>
      <c r="R11" s="25"/>
      <c r="S11" s="25"/>
      <c r="T11" s="25"/>
      <c r="U11" s="25"/>
    </row>
    <row r="12" spans="1:32" ht="14.25">
      <c r="B12" s="25"/>
      <c r="C12" s="32"/>
      <c r="D12" s="25"/>
      <c r="E12" s="32" t="s">
        <v>46</v>
      </c>
      <c r="F12" s="25"/>
      <c r="H12" s="25"/>
      <c r="I12" s="25"/>
      <c r="J12" s="25"/>
      <c r="K12" s="25"/>
      <c r="L12" s="25"/>
      <c r="M12" s="25"/>
      <c r="N12" s="25"/>
      <c r="O12" s="25"/>
      <c r="P12" s="25"/>
      <c r="Q12" s="25"/>
      <c r="R12" s="25"/>
      <c r="S12" s="25"/>
      <c r="T12" s="25"/>
      <c r="U12" s="25"/>
    </row>
    <row r="13" spans="1:32" ht="14.25">
      <c r="B13" s="25"/>
      <c r="C13" s="25"/>
      <c r="D13" s="25"/>
      <c r="E13" s="32" t="s">
        <v>47</v>
      </c>
      <c r="F13" s="25"/>
      <c r="H13" s="25"/>
      <c r="I13" s="25"/>
      <c r="J13" s="25"/>
      <c r="K13" s="25"/>
      <c r="L13" s="25"/>
      <c r="M13" s="25"/>
      <c r="N13" s="25"/>
      <c r="O13" s="25"/>
      <c r="P13" s="25"/>
      <c r="Q13" s="25"/>
      <c r="R13" s="25"/>
      <c r="S13" s="25"/>
      <c r="T13" s="25"/>
      <c r="U13" s="25"/>
    </row>
    <row r="14" spans="1:32" ht="14.25">
      <c r="B14" s="25"/>
      <c r="C14" s="25"/>
      <c r="D14" s="25"/>
      <c r="E14" s="32" t="s">
        <v>48</v>
      </c>
      <c r="F14" s="25"/>
      <c r="H14" s="25"/>
      <c r="I14" s="25"/>
      <c r="J14" s="25"/>
      <c r="K14" s="25"/>
      <c r="L14" s="25"/>
      <c r="M14" s="25"/>
      <c r="N14" s="25"/>
      <c r="O14" s="25"/>
      <c r="P14" s="25"/>
      <c r="Q14" s="25"/>
      <c r="R14" s="25"/>
      <c r="S14" s="25"/>
      <c r="T14" s="25"/>
      <c r="U14" s="25"/>
    </row>
    <row r="15" spans="1:32" ht="15">
      <c r="B15" s="25"/>
      <c r="C15" s="31"/>
      <c r="D15" s="25"/>
      <c r="E15" s="32" t="s">
        <v>49</v>
      </c>
      <c r="F15" s="25"/>
      <c r="H15" s="25"/>
      <c r="I15" s="25"/>
      <c r="J15" s="25"/>
      <c r="K15" s="25"/>
      <c r="L15" s="25"/>
      <c r="M15" s="25"/>
      <c r="N15" s="25"/>
      <c r="O15" s="25"/>
      <c r="P15" s="25"/>
      <c r="Q15" s="25"/>
      <c r="R15" s="25"/>
      <c r="S15" s="25"/>
      <c r="T15" s="25"/>
      <c r="U15" s="25"/>
    </row>
    <row r="16" spans="1:32" ht="15">
      <c r="B16" s="25"/>
      <c r="C16" s="32"/>
      <c r="D16" s="25"/>
      <c r="E16" s="32" t="s">
        <v>50</v>
      </c>
      <c r="F16" s="31"/>
      <c r="H16" s="25"/>
      <c r="I16" s="25"/>
      <c r="J16" s="25"/>
      <c r="K16" s="25"/>
      <c r="L16" s="25"/>
      <c r="M16" s="25"/>
      <c r="N16" s="25"/>
      <c r="O16" s="25"/>
      <c r="P16" s="25"/>
      <c r="Q16" s="25"/>
      <c r="R16" s="25"/>
      <c r="S16" s="25"/>
      <c r="T16" s="25"/>
      <c r="U16" s="25"/>
    </row>
    <row r="17" spans="2:21" ht="14.25">
      <c r="B17" s="25"/>
      <c r="C17" s="32"/>
      <c r="D17" s="25"/>
      <c r="E17" s="32" t="s">
        <v>51</v>
      </c>
      <c r="F17" s="32"/>
      <c r="H17" s="25"/>
      <c r="I17" s="25"/>
      <c r="J17" s="25"/>
      <c r="K17" s="25"/>
      <c r="L17" s="25"/>
      <c r="M17" s="25"/>
      <c r="N17" s="25"/>
      <c r="O17" s="25"/>
      <c r="P17" s="25"/>
      <c r="Q17" s="25"/>
      <c r="R17" s="25"/>
      <c r="S17" s="25"/>
      <c r="T17" s="25"/>
      <c r="U17" s="25"/>
    </row>
    <row r="18" spans="2:21" ht="14.25">
      <c r="B18" s="25"/>
      <c r="C18" s="32"/>
      <c r="D18" s="25"/>
      <c r="E18" s="32" t="s">
        <v>52</v>
      </c>
      <c r="F18" s="32"/>
      <c r="H18" s="25"/>
      <c r="I18" s="25"/>
      <c r="J18" s="25"/>
      <c r="K18" s="25"/>
      <c r="L18" s="25"/>
      <c r="M18" s="25"/>
      <c r="N18" s="25"/>
      <c r="O18" s="25"/>
      <c r="P18" s="25"/>
      <c r="Q18" s="25"/>
      <c r="R18" s="25"/>
      <c r="S18" s="25"/>
      <c r="T18" s="25"/>
      <c r="U18" s="25"/>
    </row>
    <row r="19" spans="2:21" ht="14.25">
      <c r="B19" s="25"/>
      <c r="C19" s="32"/>
      <c r="D19" s="25"/>
      <c r="E19" s="32" t="s">
        <v>53</v>
      </c>
      <c r="F19" s="32"/>
      <c r="H19" s="25"/>
      <c r="I19" s="25"/>
      <c r="J19" s="25"/>
      <c r="K19" s="25"/>
      <c r="L19" s="25"/>
      <c r="M19" s="25"/>
      <c r="N19" s="25"/>
      <c r="O19" s="25"/>
      <c r="P19" s="25"/>
      <c r="Q19" s="25"/>
      <c r="R19" s="25"/>
      <c r="S19" s="25"/>
      <c r="T19" s="25"/>
      <c r="U19" s="25"/>
    </row>
    <row r="20" spans="2:21" ht="14.25">
      <c r="B20" s="25"/>
      <c r="C20" s="32"/>
      <c r="D20" s="25"/>
      <c r="E20" s="32" t="s">
        <v>54</v>
      </c>
      <c r="F20" s="32"/>
      <c r="H20" s="25"/>
      <c r="I20" s="25"/>
      <c r="J20" s="25"/>
      <c r="K20" s="25"/>
      <c r="L20" s="25"/>
      <c r="M20" s="25"/>
      <c r="N20" s="25"/>
      <c r="O20" s="25"/>
      <c r="P20" s="25"/>
      <c r="Q20" s="25"/>
      <c r="R20" s="25"/>
      <c r="S20" s="25"/>
      <c r="T20" s="25"/>
      <c r="U20" s="25"/>
    </row>
    <row r="21" spans="2:21" ht="14.25">
      <c r="B21" s="25"/>
      <c r="C21" s="25"/>
      <c r="D21" s="25"/>
      <c r="E21" s="25"/>
      <c r="F21" s="32"/>
      <c r="H21" s="25"/>
      <c r="I21" s="25"/>
      <c r="J21" s="25"/>
      <c r="K21" s="25"/>
      <c r="L21" s="25"/>
      <c r="M21" s="25"/>
      <c r="N21" s="25"/>
      <c r="O21" s="25"/>
      <c r="P21" s="25"/>
      <c r="Q21" s="25"/>
      <c r="R21" s="25"/>
      <c r="S21" s="25"/>
      <c r="T21" s="25"/>
      <c r="U21" s="25"/>
    </row>
    <row r="22" spans="2:21" ht="14.25">
      <c r="B22" s="25"/>
      <c r="C22" s="25"/>
      <c r="D22" s="25"/>
      <c r="E22" s="32"/>
      <c r="F22" s="32"/>
      <c r="H22" s="25"/>
      <c r="I22" s="25"/>
      <c r="J22" s="25"/>
      <c r="K22" s="25"/>
      <c r="L22" s="25"/>
      <c r="M22" s="25"/>
      <c r="N22" s="25"/>
      <c r="O22" s="25"/>
      <c r="P22" s="25"/>
      <c r="Q22" s="25"/>
      <c r="R22" s="25"/>
      <c r="S22" s="25"/>
      <c r="T22" s="25"/>
      <c r="U22" s="25"/>
    </row>
    <row r="23" spans="2:21" ht="14.25">
      <c r="B23" s="25"/>
      <c r="C23" s="25"/>
      <c r="D23" s="25"/>
      <c r="E23" s="25"/>
      <c r="F23" s="25"/>
      <c r="H23" s="25"/>
      <c r="I23" s="25"/>
      <c r="J23" s="25"/>
      <c r="K23" s="25"/>
      <c r="L23" s="25"/>
      <c r="M23" s="25"/>
      <c r="N23" s="25"/>
      <c r="O23" s="25"/>
      <c r="P23" s="25"/>
      <c r="Q23" s="25"/>
      <c r="R23" s="25"/>
      <c r="S23" s="25"/>
      <c r="T23" s="25"/>
      <c r="U23" s="25"/>
    </row>
    <row r="24" spans="2:21" ht="14.25">
      <c r="B24" s="25"/>
      <c r="C24" s="25"/>
      <c r="D24" s="25"/>
      <c r="E24" s="25"/>
      <c r="F24" s="25"/>
      <c r="H24" s="25"/>
      <c r="I24" s="25"/>
      <c r="J24" s="25"/>
      <c r="K24" s="25"/>
      <c r="L24" s="25"/>
      <c r="M24" s="25"/>
      <c r="N24" s="25"/>
      <c r="O24" s="25"/>
      <c r="P24" s="25"/>
      <c r="Q24" s="25"/>
      <c r="R24" s="25"/>
      <c r="S24" s="25"/>
      <c r="T24" s="25"/>
      <c r="U24" s="25"/>
    </row>
    <row r="25" spans="2:21" ht="14.25">
      <c r="B25" s="25"/>
      <c r="C25" s="25"/>
      <c r="D25" s="25"/>
      <c r="E25" s="25"/>
      <c r="F25" s="25"/>
      <c r="H25" s="25"/>
      <c r="I25" s="25"/>
      <c r="J25" s="25"/>
      <c r="K25" s="25"/>
      <c r="L25" s="25"/>
      <c r="M25" s="25"/>
      <c r="N25" s="25"/>
      <c r="O25" s="25"/>
      <c r="P25" s="25"/>
      <c r="Q25" s="25"/>
      <c r="R25" s="25"/>
      <c r="S25" s="25"/>
      <c r="T25" s="25"/>
      <c r="U25" s="25"/>
    </row>
    <row r="26" spans="2:21" ht="14.25">
      <c r="B26" s="25"/>
      <c r="C26" s="25"/>
      <c r="D26" s="25"/>
      <c r="E26" s="25"/>
      <c r="F26" s="25"/>
      <c r="H26" s="25"/>
      <c r="I26" s="25"/>
      <c r="J26" s="25"/>
      <c r="K26" s="25"/>
      <c r="L26" s="25"/>
      <c r="M26" s="25"/>
      <c r="N26" s="25"/>
      <c r="O26" s="25"/>
      <c r="P26" s="25"/>
      <c r="Q26" s="25"/>
      <c r="R26" s="25"/>
      <c r="S26" s="25"/>
      <c r="T26" s="25"/>
      <c r="U26" s="25"/>
    </row>
    <row r="27" spans="2:21" ht="45">
      <c r="B27" s="25"/>
      <c r="C27" s="25"/>
      <c r="D27" s="25"/>
      <c r="E27" s="25"/>
      <c r="F27" s="25"/>
      <c r="H27" s="25"/>
      <c r="I27" s="25"/>
      <c r="J27" s="34" t="s">
        <v>20</v>
      </c>
      <c r="K27" s="34" t="s">
        <v>25</v>
      </c>
      <c r="L27" s="34" t="s">
        <v>28</v>
      </c>
      <c r="M27" s="34" t="s">
        <v>31</v>
      </c>
      <c r="N27" s="34" t="s">
        <v>55</v>
      </c>
      <c r="O27" s="34" t="s">
        <v>33</v>
      </c>
      <c r="P27" s="34" t="s">
        <v>35</v>
      </c>
      <c r="Q27" s="34" t="s">
        <v>56</v>
      </c>
      <c r="R27" s="34" t="s">
        <v>36</v>
      </c>
      <c r="S27" s="34" t="s">
        <v>37</v>
      </c>
      <c r="T27" s="34" t="s">
        <v>38</v>
      </c>
      <c r="U27" s="35"/>
    </row>
    <row r="28" spans="2:21" ht="15">
      <c r="B28" s="25"/>
      <c r="C28" s="25"/>
      <c r="D28" s="25"/>
      <c r="E28" s="25"/>
      <c r="F28" s="25"/>
      <c r="H28" s="25"/>
      <c r="I28" s="30" t="s">
        <v>0</v>
      </c>
      <c r="J28" s="26">
        <f>COUNTIF(Detalhe!$L:$L,J27)</f>
        <v>41</v>
      </c>
      <c r="K28" s="26">
        <f>COUNTIF(Detalhe!$L:$L,K27)</f>
        <v>30</v>
      </c>
      <c r="L28" s="26">
        <f>COUNTIF(Detalhe!$L:$L,L27)</f>
        <v>2</v>
      </c>
      <c r="M28" s="26">
        <f>COUNTIF(Detalhe!$L:$L,M27)</f>
        <v>1</v>
      </c>
      <c r="N28" s="26">
        <f>COUNTIF(Detalhe!$L:$L,N27)</f>
        <v>15</v>
      </c>
      <c r="O28" s="26">
        <f>COUNTIF(Detalhe!$L:$L,O27)</f>
        <v>6</v>
      </c>
      <c r="P28" s="26">
        <f>COUNTIF(Detalhe!$L:$L,P27)</f>
        <v>5</v>
      </c>
      <c r="Q28" s="26">
        <f>COUNTIF(Detalhe!$L:$L,Q27)</f>
        <v>0</v>
      </c>
      <c r="R28" s="26">
        <f>COUNTIF(Detalhe!$L:$L,R27)</f>
        <v>45</v>
      </c>
      <c r="S28" s="26">
        <f>COUNTIF(Detalhe!$L:$L,S27)</f>
        <v>9</v>
      </c>
      <c r="T28" s="26">
        <f>COUNTIF(Detalhe!$L:$L,T27)</f>
        <v>249</v>
      </c>
      <c r="U28" s="36"/>
    </row>
    <row r="29" spans="2:21" ht="15">
      <c r="B29" s="25"/>
      <c r="C29" s="25"/>
      <c r="D29" s="25"/>
      <c r="E29" s="25"/>
      <c r="F29" s="25"/>
      <c r="H29" s="25"/>
      <c r="I29" s="30" t="s">
        <v>57</v>
      </c>
      <c r="J29" s="27">
        <f>COUNTIF(Detalhe!$F:$F,J27)</f>
        <v>74</v>
      </c>
      <c r="K29" s="27">
        <f>COUNTIF(Detalhe!$F:$F,K27)</f>
        <v>42</v>
      </c>
      <c r="L29" s="27">
        <f>COUNTIF(Detalhe!$F:$F,L27)</f>
        <v>17</v>
      </c>
      <c r="M29" s="27">
        <f>COUNTIF(Detalhe!$F:$F,M27)</f>
        <v>4</v>
      </c>
      <c r="N29" s="27">
        <f>COUNTIF(Detalhe!$F:$F,N27)</f>
        <v>0</v>
      </c>
      <c r="O29" s="27">
        <f>COUNTIF(Detalhe!$F:$F,O27)</f>
        <v>21</v>
      </c>
      <c r="P29" s="27">
        <f>COUNTIF(Detalhe!$F:$F,P27)</f>
        <v>17</v>
      </c>
      <c r="Q29" s="27">
        <f>COUNTIF(Detalhe!$F:$F,Q27)</f>
        <v>10</v>
      </c>
      <c r="R29" s="27">
        <f>COUNTIF(Detalhe!$F:$F,R27)</f>
        <v>57</v>
      </c>
      <c r="S29" s="27">
        <f>COUNTIF(Detalhe!$F:$F,S27)</f>
        <v>10</v>
      </c>
      <c r="T29" s="27">
        <f>COUNTIF(Detalhe!$F:$F,T27)</f>
        <v>151</v>
      </c>
      <c r="U29" s="37"/>
    </row>
    <row r="30" spans="2:21" ht="15">
      <c r="B30" s="25"/>
      <c r="C30" s="25"/>
      <c r="D30" s="25"/>
      <c r="E30" s="25"/>
      <c r="F30" s="25"/>
      <c r="H30" s="25"/>
      <c r="I30" s="30" t="s">
        <v>58</v>
      </c>
      <c r="J30" s="28" t="str" cm="1">
        <f t="array" ref="J30">_xlfn.IFS(J28&gt;J29, "↑",J28&lt;J29, "↓",J28=J29, "=")</f>
        <v>↓</v>
      </c>
      <c r="K30" s="29" t="str" cm="1">
        <f t="array" ref="K30">_xlfn.IFS(K28&gt;K29, "↑",K28&lt;K29, "↓",K28=K29, "=")</f>
        <v>↓</v>
      </c>
      <c r="L30" s="29" t="str" cm="1">
        <f t="array" ref="L30">_xlfn.IFS(L28&gt;L29, "↑",L28&lt;L29, "↓",L28=L29, "=")</f>
        <v>↓</v>
      </c>
      <c r="M30" s="29" t="str" cm="1">
        <f t="array" ref="M30">_xlfn.IFS(M28&gt;M29, "↑",M28&lt;M29, "↓",M28=M29, "=")</f>
        <v>↓</v>
      </c>
      <c r="N30" s="29" t="str" cm="1">
        <f t="array" ref="N30">_xlfn.IFS(N28&gt;N29, "↑",N28&lt;N29, "↓",N28=N29, "=")</f>
        <v>↑</v>
      </c>
      <c r="O30" s="29" t="str" cm="1">
        <f t="array" ref="O30">_xlfn.IFS(O28&gt;O29, "↑",O28&lt;O29, "↓",O28=O29, "=")</f>
        <v>↓</v>
      </c>
      <c r="P30" s="29" t="str" cm="1">
        <f t="array" ref="P30">_xlfn.IFS(P28&gt;P29, "↑",P28&lt;P29, "↓",P28=P29, "=")</f>
        <v>↓</v>
      </c>
      <c r="Q30" s="28" t="str" cm="1">
        <f t="array" ref="Q30">_xlfn.IFS(Q28&gt;Q29, "↑",Q28&lt;Q29, "↓",Q28=Q29, "=")</f>
        <v>↓</v>
      </c>
      <c r="R30" s="29" t="str" cm="1">
        <f t="array" ref="R30">_xlfn.IFS(R28&gt;R29, "↑",R28&lt;R29, "↓",R28=R29, "=")</f>
        <v>↓</v>
      </c>
      <c r="S30" s="28" t="str" cm="1">
        <f t="array" ref="S30">_xlfn.IFS(S28&gt;S29, "↑",S28&lt;S29, "↓",S28=S29, "=")</f>
        <v>↓</v>
      </c>
      <c r="T30" s="29" t="str" cm="1">
        <f t="array" ref="T30">_xlfn.IFS(T28&gt;T29, "↑",T28&lt;T29, "↓",T28=T29, "=")</f>
        <v>↑</v>
      </c>
      <c r="U30" s="37"/>
    </row>
    <row r="31" spans="2:21" ht="15">
      <c r="B31" s="25"/>
      <c r="C31" s="25"/>
      <c r="D31" s="25"/>
      <c r="E31" s="25"/>
      <c r="F31" s="25"/>
      <c r="H31" s="25"/>
      <c r="I31" s="30" t="s">
        <v>59</v>
      </c>
      <c r="J31" s="26">
        <f t="shared" ref="J31:T31" si="0">J28-J29</f>
        <v>-33</v>
      </c>
      <c r="K31" s="26">
        <f t="shared" si="0"/>
        <v>-12</v>
      </c>
      <c r="L31" s="26">
        <f t="shared" si="0"/>
        <v>-15</v>
      </c>
      <c r="M31" s="26">
        <f t="shared" si="0"/>
        <v>-3</v>
      </c>
      <c r="N31" s="26">
        <f>N28-N29</f>
        <v>15</v>
      </c>
      <c r="O31" s="26">
        <f t="shared" si="0"/>
        <v>-15</v>
      </c>
      <c r="P31" s="26">
        <f t="shared" si="0"/>
        <v>-12</v>
      </c>
      <c r="Q31" s="26">
        <f t="shared" ref="Q31" si="1">Q28-Q29</f>
        <v>-10</v>
      </c>
      <c r="R31" s="26">
        <f t="shared" si="0"/>
        <v>-12</v>
      </c>
      <c r="S31" s="26">
        <f t="shared" si="0"/>
        <v>-1</v>
      </c>
      <c r="T31" s="26">
        <f t="shared" si="0"/>
        <v>98</v>
      </c>
      <c r="U31" s="37"/>
    </row>
    <row r="32" spans="2:21" ht="14.25">
      <c r="B32" s="25"/>
      <c r="C32" s="25"/>
      <c r="D32" s="25"/>
      <c r="E32" s="25"/>
      <c r="F32" s="25"/>
      <c r="H32" s="25"/>
      <c r="I32" s="25"/>
      <c r="J32" s="25"/>
      <c r="K32" s="25"/>
      <c r="L32" s="25"/>
      <c r="M32" s="25"/>
      <c r="N32" s="25"/>
      <c r="O32" s="25"/>
      <c r="P32" s="25"/>
      <c r="Q32" s="25"/>
      <c r="R32" s="25"/>
      <c r="S32" s="25"/>
      <c r="T32" s="25"/>
      <c r="U32" s="25"/>
    </row>
    <row r="33" spans="1:13" ht="14.25"/>
    <row r="34" spans="1:13" ht="14.25">
      <c r="J34" t="s">
        <v>60</v>
      </c>
    </row>
    <row r="35" spans="1:13" ht="14.25" hidden="1">
      <c r="C35" s="15">
        <v>45555</v>
      </c>
    </row>
    <row r="36" spans="1:13" s="1" customFormat="1" ht="14.45" hidden="1" customHeight="1">
      <c r="A36"/>
      <c r="B36" s="20" t="s">
        <v>61</v>
      </c>
      <c r="C36" s="20"/>
      <c r="D36" s="20" t="s">
        <v>62</v>
      </c>
      <c r="E36" s="38"/>
      <c r="F36" s="38"/>
      <c r="G36" s="38"/>
      <c r="H36" s="38"/>
      <c r="I36" s="20" t="s">
        <v>63</v>
      </c>
      <c r="J36" s="38"/>
      <c r="K36" s="38"/>
      <c r="L36" s="38"/>
      <c r="M36" s="38"/>
    </row>
    <row r="37" spans="1:13" ht="14.45" hidden="1" customHeight="1">
      <c r="B37" s="188" t="s">
        <v>43</v>
      </c>
      <c r="C37" s="188"/>
      <c r="D37" s="39" t="s">
        <v>64</v>
      </c>
      <c r="E37" s="39"/>
      <c r="F37" s="39"/>
      <c r="G37" s="39"/>
      <c r="H37" s="39"/>
      <c r="I37" s="189" t="s">
        <v>65</v>
      </c>
      <c r="J37" s="189"/>
      <c r="K37" s="189"/>
      <c r="L37" s="189"/>
      <c r="M37" s="189"/>
    </row>
    <row r="38" spans="1:13" ht="14.45" hidden="1" customHeight="1">
      <c r="B38" s="188" t="s">
        <v>41</v>
      </c>
      <c r="C38" s="188"/>
      <c r="D38" t="s">
        <v>66</v>
      </c>
      <c r="I38" s="189" t="s">
        <v>65</v>
      </c>
      <c r="J38" s="189"/>
      <c r="K38" s="189"/>
      <c r="L38" s="189"/>
      <c r="M38" s="189"/>
    </row>
    <row r="39" spans="1:13" ht="14.45" hidden="1" customHeight="1">
      <c r="B39" s="188" t="s">
        <v>67</v>
      </c>
      <c r="C39" s="188"/>
      <c r="D39" t="s">
        <v>68</v>
      </c>
      <c r="E39" s="24"/>
      <c r="F39" s="24"/>
      <c r="G39" s="24"/>
      <c r="H39" s="24"/>
      <c r="I39" t="s">
        <v>69</v>
      </c>
    </row>
    <row r="40" spans="1:13" ht="14.45" hidden="1" customHeight="1">
      <c r="B40" s="188" t="s">
        <v>67</v>
      </c>
      <c r="C40" s="188"/>
      <c r="D40" t="s">
        <v>70</v>
      </c>
      <c r="I40" t="s">
        <v>71</v>
      </c>
    </row>
    <row r="41" spans="1:13" ht="14.45" hidden="1" customHeight="1">
      <c r="B41" s="188" t="s">
        <v>72</v>
      </c>
      <c r="C41" s="188"/>
      <c r="D41" t="s">
        <v>73</v>
      </c>
      <c r="I41" s="24" t="s">
        <v>74</v>
      </c>
    </row>
    <row r="42" spans="1:13" ht="14.45" hidden="1" customHeight="1">
      <c r="B42" s="188" t="s">
        <v>75</v>
      </c>
      <c r="C42" s="188"/>
      <c r="D42" t="s">
        <v>76</v>
      </c>
      <c r="I42" t="s">
        <v>77</v>
      </c>
    </row>
    <row r="43" spans="1:13" ht="14.45" hidden="1" customHeight="1">
      <c r="B43" s="188" t="s">
        <v>78</v>
      </c>
      <c r="C43" s="188"/>
      <c r="D43" t="s">
        <v>79</v>
      </c>
    </row>
    <row r="44" spans="1:13" ht="14.45" hidden="1" customHeight="1">
      <c r="B44" s="188" t="s">
        <v>78</v>
      </c>
      <c r="C44" s="188"/>
      <c r="D44" t="s">
        <v>80</v>
      </c>
    </row>
    <row r="45" spans="1:13" ht="14.45" hidden="1" customHeight="1">
      <c r="B45" s="188" t="s">
        <v>78</v>
      </c>
      <c r="C45" s="188"/>
      <c r="D45" t="s">
        <v>81</v>
      </c>
    </row>
    <row r="46" spans="1:13" ht="14.45" hidden="1" customHeight="1">
      <c r="B46" s="188" t="s">
        <v>78</v>
      </c>
      <c r="C46" s="188"/>
      <c r="D46" t="s">
        <v>82</v>
      </c>
    </row>
    <row r="47" spans="1:13" ht="14.45" hidden="1" customHeight="1">
      <c r="B47" s="188" t="s">
        <v>78</v>
      </c>
      <c r="C47" s="188"/>
      <c r="D47" t="s">
        <v>83</v>
      </c>
    </row>
    <row r="48" spans="1:13" ht="14.45" hidden="1" customHeight="1">
      <c r="B48" s="188"/>
      <c r="C48" s="188"/>
    </row>
    <row r="49" spans="2:10" ht="14.45" customHeight="1">
      <c r="B49" s="188"/>
      <c r="C49" s="188"/>
      <c r="J49" t="s">
        <v>84</v>
      </c>
    </row>
    <row r="50" spans="2:10" ht="14.45" customHeight="1">
      <c r="B50" s="188"/>
      <c r="C50" s="188"/>
      <c r="J50" t="s">
        <v>85</v>
      </c>
    </row>
    <row r="51" spans="2:10" ht="14.45" customHeight="1">
      <c r="B51" s="188"/>
      <c r="C51" s="188"/>
      <c r="J51" t="s">
        <v>86</v>
      </c>
    </row>
    <row r="52" spans="2:10" ht="14.45" customHeight="1">
      <c r="B52" s="188"/>
      <c r="C52" s="188"/>
      <c r="J52" t="s">
        <v>87</v>
      </c>
    </row>
    <row r="53" spans="2:10" ht="14.45" customHeight="1">
      <c r="B53" s="188"/>
      <c r="C53" s="188"/>
      <c r="J53" t="s">
        <v>88</v>
      </c>
    </row>
    <row r="54" spans="2:10" ht="14.45" customHeight="1">
      <c r="J54" t="s">
        <v>89</v>
      </c>
    </row>
  </sheetData>
  <mergeCells count="19">
    <mergeCell ref="B37:C37"/>
    <mergeCell ref="B38:C38"/>
    <mergeCell ref="I37:M37"/>
    <mergeCell ref="I38:M38"/>
    <mergeCell ref="B42:C42"/>
    <mergeCell ref="B43:C43"/>
    <mergeCell ref="B39:C39"/>
    <mergeCell ref="B40:C40"/>
    <mergeCell ref="B41:C41"/>
    <mergeCell ref="B50:C50"/>
    <mergeCell ref="B51:C51"/>
    <mergeCell ref="B52:C52"/>
    <mergeCell ref="B53:C53"/>
    <mergeCell ref="B44:C44"/>
    <mergeCell ref="B45:C45"/>
    <mergeCell ref="B46:C46"/>
    <mergeCell ref="B47:C47"/>
    <mergeCell ref="B48:C48"/>
    <mergeCell ref="B49:C4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226B2-CBFE-4450-8602-2EC5200FB855}">
  <dimension ref="B2:G14"/>
  <sheetViews>
    <sheetView workbookViewId="0">
      <selection activeCell="C2" sqref="C2"/>
    </sheetView>
  </sheetViews>
  <sheetFormatPr defaultRowHeight="14.25"/>
  <cols>
    <col min="2" max="2" width="29" bestFit="1" customWidth="1"/>
    <col min="3" max="3" width="11.125" bestFit="1" customWidth="1"/>
    <col min="5" max="5" width="10.5" bestFit="1" customWidth="1"/>
    <col min="6" max="6" width="13.625" customWidth="1"/>
    <col min="7" max="7" width="10.125" bestFit="1" customWidth="1"/>
    <col min="8" max="8" width="13.375" bestFit="1" customWidth="1"/>
  </cols>
  <sheetData>
    <row r="2" spans="2:7">
      <c r="B2" t="s">
        <v>90</v>
      </c>
      <c r="C2" t="s">
        <v>91</v>
      </c>
      <c r="E2" t="s">
        <v>0</v>
      </c>
      <c r="F2" t="s">
        <v>92</v>
      </c>
      <c r="G2" t="s">
        <v>59</v>
      </c>
    </row>
    <row r="3" spans="2:7">
      <c r="B3" t="s">
        <v>20</v>
      </c>
      <c r="C3">
        <f>COUNTIFS(Detalhe!F:F,B3,Detalhe!X:X,"PM")</f>
        <v>10</v>
      </c>
      <c r="D3" s="6">
        <f t="shared" ref="D3:D13" si="0">C3/$C$14</f>
        <v>3.8314176245210725E-2</v>
      </c>
      <c r="E3">
        <f>COUNTIFS(Detalhe!L:L,B3,Detalhe!X:X,"PM")</f>
        <v>8</v>
      </c>
      <c r="F3" s="6">
        <f t="shared" ref="F3:F13" si="1">E3/$E$14</f>
        <v>3.0651340996168581E-2</v>
      </c>
      <c r="G3">
        <f t="shared" ref="G3:G13" si="2">E3-C3</f>
        <v>-2</v>
      </c>
    </row>
    <row r="4" spans="2:7">
      <c r="B4" t="s">
        <v>25</v>
      </c>
      <c r="C4">
        <f>COUNTIFS(Detalhe!F:F,B4,Detalhe!X:X,"PM")</f>
        <v>18</v>
      </c>
      <c r="D4" s="6">
        <f t="shared" si="0"/>
        <v>6.8965517241379309E-2</v>
      </c>
      <c r="E4">
        <f>COUNTIFS(Detalhe!L:L,B4,Detalhe!X:X,"PM")</f>
        <v>17</v>
      </c>
      <c r="F4" s="6">
        <f t="shared" si="1"/>
        <v>6.5134099616858232E-2</v>
      </c>
      <c r="G4">
        <f t="shared" si="2"/>
        <v>-1</v>
      </c>
    </row>
    <row r="5" spans="2:7">
      <c r="B5" t="s">
        <v>28</v>
      </c>
      <c r="C5">
        <f>COUNTIFS(Detalhe!F:F,B5,Detalhe!X:X,"PM")</f>
        <v>11</v>
      </c>
      <c r="D5" s="6">
        <f t="shared" si="0"/>
        <v>4.2145593869731802E-2</v>
      </c>
      <c r="E5">
        <f>COUNTIFS(Detalhe!L:L,B5,Detalhe!X:X,"PM")</f>
        <v>2</v>
      </c>
      <c r="F5" s="6">
        <f t="shared" si="1"/>
        <v>7.6628352490421452E-3</v>
      </c>
      <c r="G5">
        <f t="shared" si="2"/>
        <v>-9</v>
      </c>
    </row>
    <row r="6" spans="2:7">
      <c r="B6" t="s">
        <v>31</v>
      </c>
      <c r="C6">
        <f>COUNTIFS(Detalhe!F:F,B6,Detalhe!X:X,"PM")</f>
        <v>4</v>
      </c>
      <c r="D6" s="6">
        <f t="shared" si="0"/>
        <v>1.532567049808429E-2</v>
      </c>
      <c r="E6">
        <f>COUNTIFS(Detalhe!L:L,B6,Detalhe!X:X,"PM")</f>
        <v>1</v>
      </c>
      <c r="F6" s="6">
        <f t="shared" si="1"/>
        <v>3.8314176245210726E-3</v>
      </c>
      <c r="G6">
        <f t="shared" si="2"/>
        <v>-3</v>
      </c>
    </row>
    <row r="7" spans="2:7">
      <c r="B7" t="s">
        <v>55</v>
      </c>
      <c r="C7">
        <f>COUNTIFS(Detalhe!F:F,B7,Detalhe!X:X,"PM")</f>
        <v>0</v>
      </c>
      <c r="D7" s="6">
        <f t="shared" si="0"/>
        <v>0</v>
      </c>
      <c r="E7">
        <f>COUNTIFS(Detalhe!L:L,B7,Detalhe!X:X,"PM")</f>
        <v>3</v>
      </c>
      <c r="F7" s="6">
        <f t="shared" si="1"/>
        <v>1.1494252873563218E-2</v>
      </c>
      <c r="G7">
        <f t="shared" si="2"/>
        <v>3</v>
      </c>
    </row>
    <row r="8" spans="2:7">
      <c r="B8" t="s">
        <v>33</v>
      </c>
      <c r="C8">
        <f>COUNTIFS(Detalhe!F:F,B8,Detalhe!X:X,"PM")</f>
        <v>11</v>
      </c>
      <c r="D8" s="6">
        <f t="shared" si="0"/>
        <v>4.2145593869731802E-2</v>
      </c>
      <c r="E8">
        <f>COUNTIFS(Detalhe!L:L,B8,Detalhe!X:X,"PM")</f>
        <v>6</v>
      </c>
      <c r="F8" s="6">
        <f t="shared" si="1"/>
        <v>2.2988505747126436E-2</v>
      </c>
      <c r="G8">
        <f t="shared" si="2"/>
        <v>-5</v>
      </c>
    </row>
    <row r="9" spans="2:7">
      <c r="B9" t="s">
        <v>35</v>
      </c>
      <c r="C9">
        <f>COUNTIFS(Detalhe!F:F,B9,Detalhe!X:X,"PM")</f>
        <v>11</v>
      </c>
      <c r="D9" s="6">
        <f t="shared" si="0"/>
        <v>4.2145593869731802E-2</v>
      </c>
      <c r="E9">
        <f>COUNTIFS(Detalhe!L:L,B9,Detalhe!X:X,"PM")</f>
        <v>3</v>
      </c>
      <c r="F9" s="6">
        <f t="shared" si="1"/>
        <v>1.1494252873563218E-2</v>
      </c>
      <c r="G9">
        <f t="shared" si="2"/>
        <v>-8</v>
      </c>
    </row>
    <row r="10" spans="2:7">
      <c r="B10" t="s">
        <v>56</v>
      </c>
      <c r="C10">
        <f>COUNTIFS(Detalhe!F:F,B10,Detalhe!X:X,"PM")</f>
        <v>0</v>
      </c>
      <c r="D10" s="6">
        <f t="shared" ref="D10" si="3">C10/$C$14</f>
        <v>0</v>
      </c>
      <c r="E10">
        <f>COUNTIFS(Detalhe!L:L,B10,Detalhe!X:X,"PM")</f>
        <v>0</v>
      </c>
      <c r="F10" s="6">
        <f t="shared" ref="F10" si="4">E10/$E$14</f>
        <v>0</v>
      </c>
      <c r="G10">
        <f t="shared" ref="G10" si="5">E10-C10</f>
        <v>0</v>
      </c>
    </row>
    <row r="11" spans="2:7">
      <c r="B11" t="s">
        <v>36</v>
      </c>
      <c r="C11">
        <f>COUNTIFS(Detalhe!F:F,B11,Detalhe!X:X,"PM")</f>
        <v>42</v>
      </c>
      <c r="D11" s="6">
        <f t="shared" si="0"/>
        <v>0.16091954022988506</v>
      </c>
      <c r="E11">
        <f>COUNTIFS(Detalhe!L:L,B11,Detalhe!X:X,"PM")</f>
        <v>43</v>
      </c>
      <c r="F11" s="6">
        <f t="shared" si="1"/>
        <v>0.16475095785440613</v>
      </c>
      <c r="G11">
        <f t="shared" si="2"/>
        <v>1</v>
      </c>
    </row>
    <row r="12" spans="2:7">
      <c r="B12" t="s">
        <v>37</v>
      </c>
      <c r="C12">
        <f>COUNTIFS(Detalhe!F:F,B12,Detalhe!X:X,"PM")</f>
        <v>7</v>
      </c>
      <c r="D12" s="6">
        <f t="shared" si="0"/>
        <v>2.681992337164751E-2</v>
      </c>
      <c r="E12">
        <f>COUNTIFS(Detalhe!L:L,B12,Detalhe!X:X,"PM")</f>
        <v>7</v>
      </c>
      <c r="F12" s="6">
        <f t="shared" si="1"/>
        <v>2.681992337164751E-2</v>
      </c>
      <c r="G12">
        <f t="shared" si="2"/>
        <v>0</v>
      </c>
    </row>
    <row r="13" spans="2:7">
      <c r="B13" t="s">
        <v>38</v>
      </c>
      <c r="C13">
        <f>COUNTIFS(Detalhe!F:F,B13,Detalhe!X:X,"PM")</f>
        <v>147</v>
      </c>
      <c r="D13" s="6">
        <f t="shared" si="0"/>
        <v>0.56321839080459768</v>
      </c>
      <c r="E13">
        <f>COUNTIFS(Detalhe!L:L,B13,Detalhe!X:X,"PM")</f>
        <v>171</v>
      </c>
      <c r="F13" s="6">
        <f t="shared" si="1"/>
        <v>0.65517241379310343</v>
      </c>
      <c r="G13">
        <f t="shared" si="2"/>
        <v>24</v>
      </c>
    </row>
    <row r="14" spans="2:7">
      <c r="C14">
        <f>SUM(C3:C13)</f>
        <v>261</v>
      </c>
      <c r="E14">
        <f>SUM(E3:E13)</f>
        <v>261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5F3F0-FFBE-43CB-92FC-94D3DF7D83DD}">
  <dimension ref="A1:AH48"/>
  <sheetViews>
    <sheetView showGridLines="0" zoomScale="71" zoomScaleNormal="104" workbookViewId="0">
      <selection activeCell="D309" sqref="D309"/>
    </sheetView>
  </sheetViews>
  <sheetFormatPr defaultColWidth="0" defaultRowHeight="14.45" customHeight="1"/>
  <cols>
    <col min="1" max="1" width="3.375" customWidth="1"/>
    <col min="2" max="2" width="7.5" customWidth="1"/>
    <col min="3" max="3" width="22.625" customWidth="1"/>
    <col min="4" max="4" width="8.875" customWidth="1"/>
    <col min="5" max="5" width="24.125" customWidth="1"/>
    <col min="6" max="6" width="11.5" customWidth="1"/>
    <col min="7" max="7" width="5.625" customWidth="1"/>
    <col min="8" max="8" width="3.375" customWidth="1"/>
    <col min="9" max="9" width="36.625" bestFit="1" customWidth="1"/>
    <col min="10" max="20" width="19.875" customWidth="1"/>
    <col min="21" max="22" width="3.375" customWidth="1"/>
    <col min="23" max="23" width="13.5" hidden="1" customWidth="1"/>
    <col min="24" max="24" width="22.625" hidden="1" customWidth="1"/>
    <col min="25" max="25" width="18.125" hidden="1" customWidth="1"/>
    <col min="26" max="34" width="0" hidden="1" customWidth="1"/>
    <col min="35" max="16384" width="8.875" hidden="1"/>
  </cols>
  <sheetData>
    <row r="1" spans="1:32" ht="15" customHeight="1">
      <c r="B1" s="1"/>
      <c r="C1" s="1"/>
      <c r="E1" s="1"/>
      <c r="F1" s="1"/>
      <c r="G1" s="1"/>
      <c r="H1" s="1"/>
      <c r="I1" s="1"/>
      <c r="J1" s="1"/>
      <c r="K1" s="1"/>
      <c r="L1" s="1"/>
      <c r="M1" s="1"/>
      <c r="N1" s="1"/>
      <c r="O1" s="13"/>
      <c r="P1" s="1"/>
      <c r="Q1" s="1"/>
      <c r="R1" s="1"/>
      <c r="S1" s="1"/>
      <c r="T1" s="1"/>
      <c r="U1" s="1"/>
      <c r="V1" s="1"/>
      <c r="W1" s="1"/>
      <c r="X1" s="1"/>
      <c r="Y1" s="1"/>
      <c r="Z1" s="1"/>
      <c r="AA1" s="1"/>
      <c r="AB1" s="1"/>
      <c r="AC1" s="1"/>
      <c r="AD1" s="1"/>
      <c r="AE1" s="1"/>
    </row>
    <row r="2" spans="1:32" ht="34.5" customHeight="1">
      <c r="B2" s="1"/>
      <c r="C2" s="1"/>
      <c r="E2" s="1"/>
      <c r="F2" s="1"/>
      <c r="G2" s="1"/>
      <c r="H2" s="1"/>
      <c r="I2" s="1"/>
      <c r="J2" s="1"/>
      <c r="K2" s="1"/>
      <c r="L2" s="1"/>
      <c r="M2" s="1"/>
      <c r="N2" s="1"/>
      <c r="O2" s="13"/>
      <c r="P2" s="1"/>
      <c r="Q2" s="1"/>
      <c r="R2" s="1"/>
      <c r="S2" s="1"/>
      <c r="T2" s="1"/>
      <c r="U2" s="1"/>
      <c r="V2" s="1"/>
      <c r="W2" s="1"/>
      <c r="X2" s="1"/>
      <c r="Y2" s="1"/>
      <c r="Z2" s="1"/>
      <c r="AA2" s="1"/>
      <c r="AB2" s="4"/>
      <c r="AC2" s="1"/>
      <c r="AD2" s="1"/>
      <c r="AE2" s="1"/>
      <c r="AF2" s="1"/>
    </row>
    <row r="3" spans="1:32" ht="2.25" customHeight="1">
      <c r="A3" s="5"/>
      <c r="B3" s="5"/>
      <c r="C3" s="5"/>
      <c r="D3" s="5"/>
      <c r="E3" s="5"/>
      <c r="F3" s="5"/>
      <c r="G3" s="5"/>
      <c r="H3" s="5"/>
      <c r="I3" s="5"/>
      <c r="J3" s="5"/>
      <c r="K3" s="5"/>
      <c r="L3" s="5"/>
      <c r="M3" s="5"/>
      <c r="N3" s="5"/>
      <c r="O3" s="14"/>
      <c r="P3" s="5"/>
      <c r="Q3" s="5"/>
      <c r="R3" s="5"/>
      <c r="S3" s="5"/>
      <c r="T3" s="5"/>
      <c r="U3" s="5"/>
      <c r="V3" s="5"/>
      <c r="W3" s="5"/>
      <c r="X3" s="5"/>
      <c r="Y3" s="5"/>
      <c r="Z3" s="5"/>
      <c r="AA3" s="5"/>
      <c r="AB3" s="5"/>
      <c r="AC3" s="5"/>
      <c r="AD3" s="5"/>
      <c r="AE3" s="5"/>
      <c r="AF3" s="5"/>
    </row>
    <row r="4" spans="1:32" ht="15" customHeight="1">
      <c r="B4" s="1"/>
      <c r="C4" s="1"/>
      <c r="E4" s="1"/>
      <c r="F4" s="1"/>
      <c r="G4" s="1"/>
      <c r="H4" s="1"/>
      <c r="I4" s="1"/>
      <c r="J4" s="1"/>
      <c r="K4" s="1"/>
      <c r="L4" s="1"/>
      <c r="M4" s="1"/>
      <c r="N4" s="1"/>
      <c r="O4" s="13"/>
      <c r="P4" s="1"/>
      <c r="Q4" s="1"/>
      <c r="R4" s="1"/>
      <c r="S4" s="1"/>
      <c r="T4" s="1"/>
      <c r="U4" s="1"/>
      <c r="V4" s="1"/>
      <c r="W4" s="1"/>
      <c r="X4" s="1"/>
      <c r="Y4" s="1"/>
      <c r="Z4" s="1"/>
      <c r="AA4" s="1"/>
      <c r="AB4" s="1"/>
      <c r="AC4" s="1"/>
      <c r="AD4" s="1"/>
      <c r="AE4" s="1"/>
      <c r="AF4" s="1"/>
    </row>
    <row r="5" spans="1:32" ht="14.25">
      <c r="B5" s="25"/>
      <c r="C5" s="25"/>
      <c r="D5" s="25"/>
      <c r="E5" s="25"/>
      <c r="F5" s="25"/>
      <c r="H5" s="25"/>
      <c r="I5" s="25"/>
      <c r="J5" s="25"/>
      <c r="K5" s="25"/>
      <c r="L5" s="25"/>
      <c r="M5" s="25"/>
      <c r="N5" s="25"/>
      <c r="O5" s="25"/>
      <c r="P5" s="25"/>
      <c r="Q5" s="25"/>
      <c r="R5" s="25"/>
      <c r="S5" s="25"/>
      <c r="T5" s="25"/>
      <c r="U5" s="25"/>
    </row>
    <row r="6" spans="1:32" ht="14.25">
      <c r="B6" s="25"/>
      <c r="C6" s="25"/>
      <c r="D6" s="25"/>
      <c r="E6" s="25"/>
      <c r="F6" s="25"/>
      <c r="H6" s="25"/>
      <c r="I6" s="25"/>
      <c r="J6" s="25"/>
      <c r="K6" s="25"/>
      <c r="L6" s="25"/>
      <c r="M6" s="25"/>
      <c r="N6" s="25"/>
      <c r="O6" s="25"/>
      <c r="P6" s="25"/>
      <c r="Q6" s="25"/>
      <c r="R6" s="25"/>
      <c r="S6" s="25"/>
      <c r="T6" s="25"/>
      <c r="U6" s="25"/>
    </row>
    <row r="7" spans="1:32" ht="14.25">
      <c r="B7" s="25"/>
      <c r="C7" s="25"/>
      <c r="D7" s="25"/>
      <c r="E7" s="25"/>
      <c r="F7" s="25"/>
      <c r="H7" s="25"/>
      <c r="I7" s="25"/>
      <c r="J7" s="25"/>
      <c r="K7" s="25"/>
      <c r="L7" s="25"/>
      <c r="M7" s="25"/>
      <c r="N7" s="25"/>
      <c r="O7" s="25"/>
      <c r="P7" s="25"/>
      <c r="Q7" s="25"/>
      <c r="R7" s="25"/>
      <c r="S7" s="25"/>
      <c r="T7" s="25"/>
      <c r="U7" s="25"/>
    </row>
    <row r="8" spans="1:32" ht="15">
      <c r="B8" s="31">
        <v>2</v>
      </c>
      <c r="C8" s="31" t="s">
        <v>40</v>
      </c>
      <c r="D8" s="31">
        <v>11</v>
      </c>
      <c r="E8" s="31" t="s">
        <v>40</v>
      </c>
      <c r="F8" s="31"/>
      <c r="H8" s="25"/>
      <c r="I8" s="25"/>
      <c r="J8" s="25"/>
      <c r="K8" s="25"/>
      <c r="L8" s="25"/>
      <c r="M8" s="25"/>
      <c r="N8" s="25"/>
      <c r="O8" s="25"/>
      <c r="P8" s="25"/>
      <c r="Q8" s="25"/>
      <c r="R8" s="25"/>
      <c r="S8" s="25"/>
      <c r="T8" s="25"/>
      <c r="U8" s="25"/>
    </row>
    <row r="9" spans="1:32" ht="15">
      <c r="B9" s="25"/>
      <c r="C9" s="32" t="s">
        <v>41</v>
      </c>
      <c r="D9" s="25"/>
      <c r="E9" s="31" t="s">
        <v>42</v>
      </c>
      <c r="F9" s="32"/>
      <c r="H9" s="25"/>
      <c r="I9" s="25"/>
      <c r="J9" s="25"/>
      <c r="K9" s="25"/>
      <c r="L9" s="25"/>
      <c r="M9" s="25"/>
      <c r="N9" s="25"/>
      <c r="O9" s="25"/>
      <c r="P9" s="25"/>
      <c r="Q9" s="25"/>
      <c r="R9" s="25"/>
      <c r="S9" s="25"/>
      <c r="T9" s="25"/>
      <c r="U9" s="25"/>
    </row>
    <row r="10" spans="1:32" ht="15">
      <c r="B10" s="31"/>
      <c r="C10" s="32" t="s">
        <v>43</v>
      </c>
      <c r="D10" s="25"/>
      <c r="E10" s="32" t="s">
        <v>44</v>
      </c>
      <c r="F10" s="32"/>
      <c r="H10" s="25"/>
      <c r="I10" s="25"/>
      <c r="J10" s="25"/>
      <c r="K10" s="25"/>
      <c r="L10" s="25"/>
      <c r="M10" s="25"/>
      <c r="N10" s="25"/>
      <c r="O10" s="25"/>
      <c r="P10" s="25"/>
      <c r="Q10" s="25"/>
      <c r="R10" s="25"/>
      <c r="S10" s="25"/>
      <c r="T10" s="25"/>
      <c r="U10" s="25"/>
    </row>
    <row r="11" spans="1:32" ht="14.25">
      <c r="B11" s="25"/>
      <c r="C11" s="32"/>
      <c r="D11" s="25"/>
      <c r="E11" s="32" t="s">
        <v>45</v>
      </c>
      <c r="F11" s="32"/>
      <c r="H11" s="25"/>
      <c r="I11" s="25"/>
      <c r="J11" s="25"/>
      <c r="K11" s="25"/>
      <c r="L11" s="25"/>
      <c r="M11" s="25"/>
      <c r="N11" s="25"/>
      <c r="O11" s="25"/>
      <c r="P11" s="25"/>
      <c r="Q11" s="25"/>
      <c r="R11" s="25"/>
      <c r="S11" s="25"/>
      <c r="T11" s="25"/>
      <c r="U11" s="25"/>
    </row>
    <row r="12" spans="1:32" ht="14.25">
      <c r="B12" s="25"/>
      <c r="C12" s="32"/>
      <c r="D12" s="25"/>
      <c r="E12" s="32" t="s">
        <v>46</v>
      </c>
      <c r="F12" s="25"/>
      <c r="H12" s="25"/>
      <c r="I12" s="25"/>
      <c r="J12" s="25"/>
      <c r="K12" s="25"/>
      <c r="L12" s="25"/>
      <c r="M12" s="25"/>
      <c r="N12" s="25"/>
      <c r="O12" s="25"/>
      <c r="P12" s="25"/>
      <c r="Q12" s="25"/>
      <c r="R12" s="25"/>
      <c r="S12" s="25"/>
      <c r="T12" s="25"/>
      <c r="U12" s="25"/>
    </row>
    <row r="13" spans="1:32" ht="14.25">
      <c r="B13" s="25"/>
      <c r="C13" s="25"/>
      <c r="D13" s="25"/>
      <c r="E13" s="32" t="s">
        <v>47</v>
      </c>
      <c r="F13" s="25"/>
      <c r="H13" s="25"/>
      <c r="I13" s="25"/>
      <c r="J13" s="25"/>
      <c r="K13" s="25"/>
      <c r="L13" s="25"/>
      <c r="M13" s="25"/>
      <c r="N13" s="25"/>
      <c r="O13" s="25"/>
      <c r="P13" s="25"/>
      <c r="Q13" s="25"/>
      <c r="R13" s="25"/>
      <c r="S13" s="25"/>
      <c r="T13" s="25"/>
      <c r="U13" s="25"/>
    </row>
    <row r="14" spans="1:32" ht="14.25">
      <c r="B14" s="25"/>
      <c r="C14" s="25"/>
      <c r="D14" s="25"/>
      <c r="E14" s="32" t="s">
        <v>48</v>
      </c>
      <c r="F14" s="25"/>
      <c r="H14" s="25"/>
      <c r="I14" s="25"/>
      <c r="J14" s="25"/>
      <c r="K14" s="25"/>
      <c r="L14" s="25"/>
      <c r="M14" s="25"/>
      <c r="N14" s="25"/>
      <c r="O14" s="25"/>
      <c r="P14" s="25"/>
      <c r="Q14" s="25"/>
      <c r="R14" s="25"/>
      <c r="S14" s="25"/>
      <c r="T14" s="25"/>
      <c r="U14" s="25"/>
    </row>
    <row r="15" spans="1:32" ht="15">
      <c r="B15" s="25"/>
      <c r="C15" s="31"/>
      <c r="D15" s="25"/>
      <c r="E15" s="32" t="s">
        <v>49</v>
      </c>
      <c r="F15" s="25"/>
      <c r="H15" s="25"/>
      <c r="I15" s="25"/>
      <c r="J15" s="25"/>
      <c r="K15" s="25"/>
      <c r="L15" s="25"/>
      <c r="M15" s="25"/>
      <c r="N15" s="25"/>
      <c r="O15" s="25"/>
      <c r="P15" s="25"/>
      <c r="Q15" s="25"/>
      <c r="R15" s="25"/>
      <c r="S15" s="25"/>
      <c r="T15" s="25"/>
      <c r="U15" s="25"/>
    </row>
    <row r="16" spans="1:32" ht="15">
      <c r="B16" s="25"/>
      <c r="C16" s="32"/>
      <c r="D16" s="25"/>
      <c r="E16" s="32" t="s">
        <v>50</v>
      </c>
      <c r="F16" s="31"/>
      <c r="H16" s="25"/>
      <c r="I16" s="25"/>
      <c r="J16" s="25"/>
      <c r="K16" s="25"/>
      <c r="L16" s="25"/>
      <c r="M16" s="25"/>
      <c r="N16" s="25"/>
      <c r="O16" s="25"/>
      <c r="P16" s="25"/>
      <c r="Q16" s="25"/>
      <c r="R16" s="25"/>
      <c r="S16" s="25"/>
      <c r="T16" s="25"/>
      <c r="U16" s="25"/>
    </row>
    <row r="17" spans="2:21" ht="14.25">
      <c r="B17" s="25"/>
      <c r="C17" s="32"/>
      <c r="D17" s="25"/>
      <c r="E17" s="32" t="s">
        <v>51</v>
      </c>
      <c r="F17" s="32"/>
      <c r="H17" s="25"/>
      <c r="I17" s="25"/>
      <c r="J17" s="25"/>
      <c r="K17" s="25"/>
      <c r="L17" s="25"/>
      <c r="M17" s="25"/>
      <c r="N17" s="25"/>
      <c r="O17" s="25"/>
      <c r="P17" s="25"/>
      <c r="Q17" s="25"/>
      <c r="R17" s="25"/>
      <c r="S17" s="25"/>
      <c r="T17" s="25"/>
      <c r="U17" s="25"/>
    </row>
    <row r="18" spans="2:21" ht="14.25">
      <c r="B18" s="25"/>
      <c r="C18" s="32"/>
      <c r="D18" s="25"/>
      <c r="E18" s="32" t="s">
        <v>52</v>
      </c>
      <c r="F18" s="32"/>
      <c r="H18" s="25"/>
      <c r="I18" s="25"/>
      <c r="J18" s="25"/>
      <c r="K18" s="25"/>
      <c r="L18" s="25"/>
      <c r="M18" s="25"/>
      <c r="N18" s="25"/>
      <c r="O18" s="25"/>
      <c r="P18" s="25"/>
      <c r="Q18" s="25"/>
      <c r="R18" s="25"/>
      <c r="S18" s="25"/>
      <c r="T18" s="25"/>
      <c r="U18" s="25"/>
    </row>
    <row r="19" spans="2:21" ht="14.25">
      <c r="B19" s="25"/>
      <c r="C19" s="32"/>
      <c r="D19" s="25"/>
      <c r="E19" s="32" t="s">
        <v>53</v>
      </c>
      <c r="F19" s="32"/>
      <c r="H19" s="25"/>
      <c r="I19" s="25"/>
      <c r="J19" s="25"/>
      <c r="K19" s="25"/>
      <c r="L19" s="25"/>
      <c r="M19" s="25"/>
      <c r="N19" s="25"/>
      <c r="O19" s="25"/>
      <c r="P19" s="25"/>
      <c r="Q19" s="25"/>
      <c r="R19" s="25"/>
      <c r="S19" s="25"/>
      <c r="T19" s="25"/>
      <c r="U19" s="25"/>
    </row>
    <row r="20" spans="2:21" ht="14.25">
      <c r="B20" s="25"/>
      <c r="C20" s="32"/>
      <c r="D20" s="25"/>
      <c r="E20" s="32" t="s">
        <v>54</v>
      </c>
      <c r="F20" s="32"/>
      <c r="H20" s="25"/>
      <c r="I20" s="25"/>
      <c r="J20" s="25"/>
      <c r="K20" s="25"/>
      <c r="L20" s="25"/>
      <c r="M20" s="25"/>
      <c r="N20" s="25"/>
      <c r="O20" s="25"/>
      <c r="P20" s="25"/>
      <c r="Q20" s="25"/>
      <c r="R20" s="25"/>
      <c r="S20" s="25"/>
      <c r="T20" s="25"/>
      <c r="U20" s="25"/>
    </row>
    <row r="21" spans="2:21" ht="14.25">
      <c r="B21" s="25"/>
      <c r="C21" s="25"/>
      <c r="D21" s="25"/>
      <c r="E21" s="25"/>
      <c r="F21" s="32"/>
      <c r="H21" s="25"/>
      <c r="I21" s="25"/>
      <c r="J21" s="25"/>
      <c r="K21" s="25"/>
      <c r="L21" s="25"/>
      <c r="M21" s="25"/>
      <c r="N21" s="25"/>
      <c r="O21" s="25"/>
      <c r="P21" s="25"/>
      <c r="Q21" s="25"/>
      <c r="R21" s="25"/>
      <c r="S21" s="25"/>
      <c r="T21" s="25"/>
      <c r="U21" s="25"/>
    </row>
    <row r="22" spans="2:21" ht="14.25">
      <c r="B22" s="25"/>
      <c r="C22" s="25"/>
      <c r="D22" s="25"/>
      <c r="E22" s="32"/>
      <c r="F22" s="32"/>
      <c r="H22" s="25"/>
      <c r="I22" s="25"/>
      <c r="J22" s="25"/>
      <c r="K22" s="25"/>
      <c r="L22" s="25"/>
      <c r="M22" s="25"/>
      <c r="N22" s="25"/>
      <c r="O22" s="25"/>
      <c r="P22" s="25"/>
      <c r="Q22" s="25"/>
      <c r="R22" s="25"/>
      <c r="S22" s="25"/>
      <c r="T22" s="25"/>
      <c r="U22" s="25"/>
    </row>
    <row r="23" spans="2:21" ht="14.25">
      <c r="B23" s="25"/>
      <c r="C23" s="25"/>
      <c r="D23" s="25"/>
      <c r="E23" s="25"/>
      <c r="F23" s="25"/>
      <c r="H23" s="25"/>
      <c r="I23" s="25"/>
      <c r="J23" s="25"/>
      <c r="K23" s="25"/>
      <c r="L23" s="25"/>
      <c r="M23" s="25"/>
      <c r="N23" s="25"/>
      <c r="O23" s="25"/>
      <c r="P23" s="25"/>
      <c r="Q23" s="25"/>
      <c r="R23" s="25"/>
      <c r="S23" s="25"/>
      <c r="T23" s="25"/>
      <c r="U23" s="25"/>
    </row>
    <row r="24" spans="2:21" ht="14.25">
      <c r="B24" s="25"/>
      <c r="C24" s="25"/>
      <c r="D24" s="25"/>
      <c r="E24" s="25"/>
      <c r="F24" s="25"/>
      <c r="H24" s="25"/>
      <c r="I24" s="25"/>
      <c r="J24" s="25"/>
      <c r="K24" s="25"/>
      <c r="L24" s="25"/>
      <c r="M24" s="25"/>
      <c r="N24" s="25"/>
      <c r="O24" s="25"/>
      <c r="P24" s="25"/>
      <c r="Q24" s="25"/>
      <c r="R24" s="25"/>
      <c r="S24" s="25"/>
      <c r="T24" s="25"/>
      <c r="U24" s="25"/>
    </row>
    <row r="25" spans="2:21" ht="14.25">
      <c r="B25" s="25"/>
      <c r="C25" s="25"/>
      <c r="D25" s="25"/>
      <c r="E25" s="25"/>
      <c r="F25" s="25"/>
      <c r="H25" s="25"/>
      <c r="I25" s="25"/>
      <c r="J25" s="25"/>
      <c r="K25" s="25"/>
      <c r="L25" s="25"/>
      <c r="M25" s="25"/>
      <c r="N25" s="25"/>
      <c r="O25" s="25"/>
      <c r="P25" s="25"/>
      <c r="Q25" s="25"/>
      <c r="R25" s="25"/>
      <c r="S25" s="25"/>
      <c r="T25" s="25"/>
      <c r="U25" s="25"/>
    </row>
    <row r="26" spans="2:21" ht="14.25">
      <c r="B26" s="25"/>
      <c r="C26" s="25"/>
      <c r="D26" s="25"/>
      <c r="E26" s="25"/>
      <c r="F26" s="25"/>
      <c r="H26" s="25"/>
      <c r="I26" s="25"/>
      <c r="J26" s="25"/>
      <c r="K26" s="25"/>
      <c r="L26" s="25"/>
      <c r="M26" s="25"/>
      <c r="N26" s="25"/>
      <c r="O26" s="25"/>
      <c r="P26" s="25"/>
      <c r="Q26" s="25"/>
      <c r="R26" s="25"/>
      <c r="S26" s="25"/>
      <c r="T26" s="25"/>
      <c r="U26" s="25"/>
    </row>
    <row r="27" spans="2:21" ht="45">
      <c r="B27" s="25"/>
      <c r="C27" s="25"/>
      <c r="D27" s="25"/>
      <c r="E27" s="25"/>
      <c r="F27" s="25"/>
      <c r="H27" s="25"/>
      <c r="I27" s="25"/>
      <c r="J27" s="34" t="s">
        <v>20</v>
      </c>
      <c r="K27" s="34" t="s">
        <v>25</v>
      </c>
      <c r="L27" s="34" t="s">
        <v>28</v>
      </c>
      <c r="M27" s="34" t="s">
        <v>31</v>
      </c>
      <c r="N27" s="34" t="s">
        <v>55</v>
      </c>
      <c r="O27" s="34" t="s">
        <v>33</v>
      </c>
      <c r="P27" s="34" t="s">
        <v>35</v>
      </c>
      <c r="Q27" s="34" t="s">
        <v>56</v>
      </c>
      <c r="R27" s="34" t="s">
        <v>36</v>
      </c>
      <c r="S27" s="34" t="s">
        <v>37</v>
      </c>
      <c r="T27" s="34" t="s">
        <v>38</v>
      </c>
      <c r="U27" s="35"/>
    </row>
    <row r="28" spans="2:21" ht="15">
      <c r="B28" s="25"/>
      <c r="C28" s="25"/>
      <c r="D28" s="25"/>
      <c r="E28" s="25"/>
      <c r="F28" s="25"/>
      <c r="H28" s="25"/>
      <c r="I28" s="30" t="s">
        <v>0</v>
      </c>
      <c r="J28" s="26">
        <f>COUNTIFS(Detalhe!$L:$L,J27,Detalhe!$X:$X,"PM")</f>
        <v>8</v>
      </c>
      <c r="K28" s="26">
        <f>COUNTIFS(Detalhe!$L:$L,K27,Detalhe!$X:$X,"PM")</f>
        <v>17</v>
      </c>
      <c r="L28" s="26">
        <f>COUNTIFS(Detalhe!$L:$L,L27,Detalhe!$X:$X,"PM")</f>
        <v>2</v>
      </c>
      <c r="M28" s="26">
        <f>COUNTIFS(Detalhe!$L:$L,M27,Detalhe!$X:$X,"PM")</f>
        <v>1</v>
      </c>
      <c r="N28" s="26">
        <f>COUNTIFS(Detalhe!$L:$L,N27,Detalhe!$X:$X,"PM")</f>
        <v>3</v>
      </c>
      <c r="O28" s="26">
        <f>COUNTIFS(Detalhe!$L:$L,O27,Detalhe!$X:$X,"PM")</f>
        <v>6</v>
      </c>
      <c r="P28" s="26">
        <f>COUNTIFS(Detalhe!$L:$L,P27,Detalhe!$X:$X,"PM")</f>
        <v>3</v>
      </c>
      <c r="Q28" s="26">
        <f>COUNTIFS(Detalhe!$L:$L,Q27,Detalhe!$X:$X,"PM")</f>
        <v>0</v>
      </c>
      <c r="R28" s="26">
        <f>COUNTIFS(Detalhe!$L:$L,R27,Detalhe!$X:$X,"PM")</f>
        <v>43</v>
      </c>
      <c r="S28" s="26">
        <f>COUNTIFS(Detalhe!$L:$L,S27,Detalhe!$X:$X,"PM")</f>
        <v>7</v>
      </c>
      <c r="T28" s="26">
        <f>COUNTIFS(Detalhe!$L:$L,T27,Detalhe!$X:$X,"PM")</f>
        <v>171</v>
      </c>
      <c r="U28" s="36"/>
    </row>
    <row r="29" spans="2:21" ht="15">
      <c r="B29" s="25"/>
      <c r="C29" s="25"/>
      <c r="D29" s="25"/>
      <c r="E29" s="25"/>
      <c r="F29" s="25"/>
      <c r="H29" s="25"/>
      <c r="I29" s="30" t="s">
        <v>57</v>
      </c>
      <c r="J29" s="27">
        <f>COUNTIFS(Detalhe!$F:$F,J27,Detalhe!$X:$X,"PM")</f>
        <v>10</v>
      </c>
      <c r="K29" s="27">
        <f>COUNTIFS(Detalhe!$F:$F,K27,Detalhe!$X:$X,"PM")</f>
        <v>18</v>
      </c>
      <c r="L29" s="27">
        <f>COUNTIFS(Detalhe!$F:$F,L27,Detalhe!$X:$X,"PM")</f>
        <v>11</v>
      </c>
      <c r="M29" s="27">
        <f>COUNTIFS(Detalhe!$F:$F,M27,Detalhe!$X:$X,"PM")</f>
        <v>4</v>
      </c>
      <c r="N29" s="27">
        <f>COUNTIFS(Detalhe!$F:$F,N27,Detalhe!$X:$X,"PM")</f>
        <v>0</v>
      </c>
      <c r="O29" s="27">
        <f>COUNTIFS(Detalhe!$F:$F,O27,Detalhe!$X:$X,"PM")</f>
        <v>11</v>
      </c>
      <c r="P29" s="27">
        <f>COUNTIFS(Detalhe!$F:$F,P27,Detalhe!$X:$X,"PM")</f>
        <v>11</v>
      </c>
      <c r="Q29" s="27">
        <f>COUNTIFS(Detalhe!$F:$F,Q27,Detalhe!$X:$X,"PM")</f>
        <v>0</v>
      </c>
      <c r="R29" s="27">
        <f>COUNTIFS(Detalhe!$F:$F,R27,Detalhe!$X:$X,"PM")</f>
        <v>42</v>
      </c>
      <c r="S29" s="27">
        <f>COUNTIFS(Detalhe!$F:$F,S27,Detalhe!$X:$X,"PM")</f>
        <v>7</v>
      </c>
      <c r="T29" s="27">
        <f>COUNTIFS(Detalhe!$F:$F,T27,Detalhe!$X:$X,"PM")</f>
        <v>147</v>
      </c>
      <c r="U29" s="37"/>
    </row>
    <row r="30" spans="2:21" ht="15">
      <c r="B30" s="25"/>
      <c r="C30" s="25"/>
      <c r="D30" s="25"/>
      <c r="E30" s="25"/>
      <c r="F30" s="25"/>
      <c r="H30" s="25"/>
      <c r="I30" s="30" t="s">
        <v>58</v>
      </c>
      <c r="J30" s="28" t="str" cm="1">
        <f t="array" ref="J30">_xlfn.IFS(J28&gt;J29, "↑",J28&lt;J29, "↓",J28=J29, "=")</f>
        <v>↓</v>
      </c>
      <c r="K30" s="29" t="str" cm="1">
        <f t="array" ref="K30">_xlfn.IFS(K28&gt;K29, "↑",K28&lt;K29, "↓",K28=K29, "=")</f>
        <v>↓</v>
      </c>
      <c r="L30" s="29" t="str" cm="1">
        <f t="array" ref="L30">_xlfn.IFS(L28&gt;L29, "↑",L28&lt;L29, "↓",L28=L29, "=")</f>
        <v>↓</v>
      </c>
      <c r="M30" s="29" t="str" cm="1">
        <f t="array" ref="M30">_xlfn.IFS(M28&gt;M29, "↑",M28&lt;M29, "↓",M28=M29, "=")</f>
        <v>↓</v>
      </c>
      <c r="N30" s="29" t="str" cm="1">
        <f t="array" ref="N30">_xlfn.IFS(N28&gt;N29, "↑",N28&lt;N29, "↓",N28=N29, "=")</f>
        <v>↑</v>
      </c>
      <c r="O30" s="29" t="str" cm="1">
        <f t="array" ref="O30">_xlfn.IFS(O28&gt;O29, "↑",O28&lt;O29, "↓",O28=O29, "=")</f>
        <v>↓</v>
      </c>
      <c r="P30" s="29" t="str" cm="1">
        <f t="array" ref="P30">_xlfn.IFS(P28&gt;P29, "↑",P28&lt;P29, "↓",P28=P29, "=")</f>
        <v>↓</v>
      </c>
      <c r="Q30" s="28" t="str" cm="1">
        <f t="array" ref="Q30">_xlfn.IFS(Q28&gt;Q29, "↑",Q28&lt;Q29, "↓",Q28=Q29, "=")</f>
        <v>=</v>
      </c>
      <c r="R30" s="29" t="str" cm="1">
        <f t="array" ref="R30">_xlfn.IFS(R28&gt;R29, "↑",R28&lt;R29, "↓",R28=R29, "=")</f>
        <v>↑</v>
      </c>
      <c r="S30" s="28" t="str" cm="1">
        <f t="array" ref="S30">_xlfn.IFS(S28&gt;S29, "↑",S28&lt;S29, "↓",S28=S29, "=")</f>
        <v>=</v>
      </c>
      <c r="T30" s="29" t="str" cm="1">
        <f t="array" ref="T30">_xlfn.IFS(T28&gt;T29, "↑",T28&lt;T29, "↓",T28=T29, "=")</f>
        <v>↑</v>
      </c>
      <c r="U30" s="37"/>
    </row>
    <row r="31" spans="2:21" ht="15">
      <c r="B31" s="25"/>
      <c r="C31" s="25"/>
      <c r="D31" s="25"/>
      <c r="E31" s="25"/>
      <c r="F31" s="25"/>
      <c r="H31" s="25"/>
      <c r="I31" s="30" t="s">
        <v>59</v>
      </c>
      <c r="J31" s="26">
        <f t="shared" ref="J31:T31" si="0">J28-J29</f>
        <v>-2</v>
      </c>
      <c r="K31" s="26">
        <f t="shared" si="0"/>
        <v>-1</v>
      </c>
      <c r="L31" s="26">
        <f t="shared" si="0"/>
        <v>-9</v>
      </c>
      <c r="M31" s="26">
        <f t="shared" si="0"/>
        <v>-3</v>
      </c>
      <c r="N31" s="26">
        <f>N28-N29</f>
        <v>3</v>
      </c>
      <c r="O31" s="26">
        <f t="shared" si="0"/>
        <v>-5</v>
      </c>
      <c r="P31" s="26">
        <f t="shared" si="0"/>
        <v>-8</v>
      </c>
      <c r="Q31" s="26">
        <f t="shared" si="0"/>
        <v>0</v>
      </c>
      <c r="R31" s="26">
        <f t="shared" si="0"/>
        <v>1</v>
      </c>
      <c r="S31" s="26">
        <f t="shared" si="0"/>
        <v>0</v>
      </c>
      <c r="T31" s="26">
        <f t="shared" si="0"/>
        <v>24</v>
      </c>
      <c r="U31" s="37"/>
    </row>
    <row r="32" spans="2:21" ht="14.25">
      <c r="B32" s="25"/>
      <c r="C32" s="25"/>
      <c r="D32" s="25"/>
      <c r="E32" s="25"/>
      <c r="F32" s="25"/>
      <c r="H32" s="25"/>
      <c r="I32" s="25"/>
      <c r="J32" s="25"/>
      <c r="K32" s="25"/>
      <c r="L32" s="25"/>
      <c r="M32" s="25"/>
      <c r="N32" s="25"/>
      <c r="O32" s="25"/>
      <c r="P32" s="25"/>
      <c r="Q32" s="25"/>
      <c r="R32" s="25"/>
      <c r="S32" s="25"/>
      <c r="T32" s="25"/>
      <c r="U32" s="25"/>
    </row>
    <row r="33" spans="2:21" ht="14.25"/>
    <row r="34" spans="2:21" ht="14.25">
      <c r="H34" s="25"/>
      <c r="I34" s="25"/>
      <c r="J34" s="25"/>
      <c r="K34" s="25"/>
      <c r="L34" s="25"/>
      <c r="M34" s="25"/>
      <c r="N34" s="25"/>
      <c r="O34" s="25"/>
      <c r="P34" s="25"/>
      <c r="Q34" s="25"/>
      <c r="R34" s="25"/>
      <c r="S34" s="25"/>
      <c r="T34" s="25"/>
      <c r="U34" s="25"/>
    </row>
    <row r="35" spans="2:21" ht="14.45" customHeight="1">
      <c r="H35" s="25"/>
      <c r="I35" s="41" t="s">
        <v>93</v>
      </c>
      <c r="J35" s="25"/>
      <c r="K35" s="25"/>
      <c r="L35" s="25"/>
      <c r="M35" s="25"/>
      <c r="N35" s="25"/>
      <c r="O35" s="25"/>
      <c r="P35" s="25"/>
      <c r="Q35" s="25"/>
      <c r="R35" s="25"/>
      <c r="S35" s="25"/>
      <c r="T35" s="25"/>
      <c r="U35" s="25"/>
    </row>
    <row r="36" spans="2:21" ht="14.45" customHeight="1">
      <c r="B36" s="188"/>
      <c r="C36" s="188"/>
      <c r="H36" s="25"/>
      <c r="I36" s="25"/>
      <c r="J36" s="25"/>
      <c r="K36" s="25"/>
      <c r="L36" s="25"/>
      <c r="M36" s="25"/>
      <c r="N36" s="25"/>
      <c r="O36" s="25"/>
      <c r="P36" s="25"/>
      <c r="Q36" s="25"/>
      <c r="R36" s="25"/>
      <c r="S36" s="25"/>
      <c r="T36" s="25"/>
      <c r="U36" s="25"/>
    </row>
    <row r="37" spans="2:21" ht="14.45" customHeight="1">
      <c r="B37" s="188"/>
      <c r="C37" s="188"/>
      <c r="H37" s="25"/>
      <c r="I37" s="42" t="s">
        <v>20</v>
      </c>
      <c r="J37" s="48" t="s">
        <v>94</v>
      </c>
      <c r="K37" s="49"/>
      <c r="L37" s="49"/>
      <c r="M37" s="49"/>
      <c r="N37" s="49"/>
      <c r="O37" s="49"/>
      <c r="P37" s="49"/>
      <c r="Q37" s="49"/>
      <c r="R37" s="49"/>
      <c r="S37" s="49"/>
      <c r="T37" s="45"/>
      <c r="U37" s="25"/>
    </row>
    <row r="38" spans="2:21" ht="14.45" customHeight="1">
      <c r="B38" s="188"/>
      <c r="C38" s="188"/>
      <c r="H38" s="25"/>
      <c r="I38" s="42" t="s">
        <v>25</v>
      </c>
      <c r="J38" s="44" t="s">
        <v>95</v>
      </c>
      <c r="K38" s="50"/>
      <c r="L38" s="50"/>
      <c r="M38" s="50"/>
      <c r="N38" s="50"/>
      <c r="O38" s="50"/>
      <c r="P38" s="50"/>
      <c r="Q38" s="50"/>
      <c r="R38" s="50"/>
      <c r="S38" s="50"/>
      <c r="T38" s="51"/>
      <c r="U38" s="25"/>
    </row>
    <row r="39" spans="2:21" ht="14.45" customHeight="1">
      <c r="B39" s="188"/>
      <c r="C39" s="188"/>
      <c r="H39" s="25"/>
      <c r="I39" s="42" t="s">
        <v>28</v>
      </c>
      <c r="J39" s="44" t="s">
        <v>96</v>
      </c>
      <c r="K39" s="50"/>
      <c r="L39" s="50"/>
      <c r="M39" s="50"/>
      <c r="N39" s="50"/>
      <c r="O39" s="50"/>
      <c r="P39" s="50"/>
      <c r="Q39" s="50"/>
      <c r="R39" s="50"/>
      <c r="S39" s="50"/>
      <c r="T39" s="51"/>
      <c r="U39" s="25"/>
    </row>
    <row r="40" spans="2:21" ht="14.45" customHeight="1">
      <c r="B40" s="188"/>
      <c r="C40" s="188"/>
      <c r="H40" s="25"/>
      <c r="I40" s="42" t="s">
        <v>31</v>
      </c>
      <c r="J40" s="44" t="s">
        <v>97</v>
      </c>
      <c r="K40" s="50"/>
      <c r="L40" s="50"/>
      <c r="M40" s="50"/>
      <c r="N40" s="50"/>
      <c r="O40" s="50"/>
      <c r="P40" s="50"/>
      <c r="Q40" s="50"/>
      <c r="R40" s="50"/>
      <c r="S40" s="50"/>
      <c r="T40" s="51"/>
      <c r="U40" s="25"/>
    </row>
    <row r="41" spans="2:21" ht="14.45" customHeight="1">
      <c r="H41" s="25"/>
      <c r="I41" s="42" t="s">
        <v>55</v>
      </c>
      <c r="J41" s="44" t="s">
        <v>98</v>
      </c>
      <c r="K41" s="50"/>
      <c r="L41" s="50"/>
      <c r="M41" s="50"/>
      <c r="N41" s="50"/>
      <c r="O41" s="50"/>
      <c r="P41" s="50"/>
      <c r="Q41" s="50"/>
      <c r="R41" s="50"/>
      <c r="S41" s="50"/>
      <c r="T41" s="51"/>
      <c r="U41" s="25"/>
    </row>
    <row r="42" spans="2:21" ht="14.45" customHeight="1">
      <c r="H42" s="25"/>
      <c r="I42" s="42" t="s">
        <v>33</v>
      </c>
      <c r="J42" s="53" t="s">
        <v>99</v>
      </c>
      <c r="K42" s="50"/>
      <c r="L42" s="50"/>
      <c r="M42" s="50"/>
      <c r="N42" s="50"/>
      <c r="O42" s="50"/>
      <c r="P42" s="50"/>
      <c r="Q42" s="50"/>
      <c r="R42" s="50"/>
      <c r="S42" s="50"/>
      <c r="T42" s="51"/>
      <c r="U42" s="25"/>
    </row>
    <row r="43" spans="2:21" ht="14.45" customHeight="1">
      <c r="H43" s="25"/>
      <c r="I43" s="42" t="s">
        <v>35</v>
      </c>
      <c r="J43" s="53" t="s">
        <v>100</v>
      </c>
      <c r="K43" s="50"/>
      <c r="L43" s="50"/>
      <c r="M43" s="50"/>
      <c r="N43" s="50"/>
      <c r="O43" s="50"/>
      <c r="P43" s="50"/>
      <c r="Q43" s="50"/>
      <c r="R43" s="50"/>
      <c r="S43" s="50"/>
      <c r="T43" s="51"/>
      <c r="U43" s="25"/>
    </row>
    <row r="44" spans="2:21" ht="14.45" customHeight="1">
      <c r="H44" s="25"/>
      <c r="I44" s="52" t="s">
        <v>56</v>
      </c>
      <c r="J44" s="44" t="s">
        <v>101</v>
      </c>
      <c r="K44" s="50"/>
      <c r="L44" s="50"/>
      <c r="M44" s="50"/>
      <c r="N44" s="50"/>
      <c r="O44" s="50"/>
      <c r="P44" s="50"/>
      <c r="Q44" s="50"/>
      <c r="R44" s="50"/>
      <c r="S44" s="50"/>
      <c r="T44" s="51"/>
      <c r="U44" s="25"/>
    </row>
    <row r="45" spans="2:21" ht="14.45" customHeight="1">
      <c r="H45" s="25"/>
      <c r="I45" s="42" t="s">
        <v>36</v>
      </c>
      <c r="J45" s="44" t="s">
        <v>102</v>
      </c>
      <c r="K45" s="50"/>
      <c r="L45" s="50"/>
      <c r="M45" s="50"/>
      <c r="N45" s="50"/>
      <c r="O45" s="50"/>
      <c r="P45" s="50"/>
      <c r="Q45" s="50"/>
      <c r="R45" s="50"/>
      <c r="S45" s="50"/>
      <c r="T45" s="51"/>
      <c r="U45" s="25"/>
    </row>
    <row r="46" spans="2:21" ht="14.45" customHeight="1">
      <c r="H46" s="25"/>
      <c r="I46" s="42" t="s">
        <v>37</v>
      </c>
      <c r="J46" s="44" t="s">
        <v>103</v>
      </c>
      <c r="K46" s="50"/>
      <c r="L46" s="50"/>
      <c r="M46" s="50"/>
      <c r="N46" s="50"/>
      <c r="O46" s="50"/>
      <c r="P46" s="50"/>
      <c r="Q46" s="50"/>
      <c r="R46" s="50"/>
      <c r="S46" s="50"/>
      <c r="T46" s="51"/>
      <c r="U46" s="25"/>
    </row>
    <row r="47" spans="2:21" ht="14.45" customHeight="1">
      <c r="H47" s="25"/>
      <c r="I47" s="42" t="s">
        <v>38</v>
      </c>
      <c r="J47" s="46" t="s">
        <v>104</v>
      </c>
      <c r="K47" s="43"/>
      <c r="L47" s="43"/>
      <c r="M47" s="43"/>
      <c r="N47" s="43"/>
      <c r="O47" s="43"/>
      <c r="P47" s="43"/>
      <c r="Q47" s="43"/>
      <c r="R47" s="43"/>
      <c r="S47" s="43"/>
      <c r="T47" s="47"/>
      <c r="U47" s="25"/>
    </row>
    <row r="48" spans="2:21" ht="14.45" customHeight="1">
      <c r="H48" s="25"/>
      <c r="I48" s="25"/>
      <c r="J48" s="25"/>
      <c r="K48" s="25"/>
      <c r="L48" s="25"/>
      <c r="M48" s="25"/>
      <c r="N48" s="25"/>
      <c r="O48" s="25"/>
      <c r="P48" s="25"/>
      <c r="Q48" s="25"/>
      <c r="R48" s="25"/>
      <c r="S48" s="25"/>
      <c r="T48" s="25"/>
      <c r="U48" s="25"/>
    </row>
  </sheetData>
  <mergeCells count="5">
    <mergeCell ref="B40:C40"/>
    <mergeCell ref="B36:C36"/>
    <mergeCell ref="B37:C37"/>
    <mergeCell ref="B38:C38"/>
    <mergeCell ref="B39:C39"/>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2:Y408"/>
  <sheetViews>
    <sheetView showGridLines="0" tabSelected="1" zoomScale="90" zoomScaleNormal="90" workbookViewId="0">
      <pane xSplit="4" ySplit="5" topLeftCell="E6" activePane="bottomRight" state="frozen"/>
      <selection activeCell="D309" sqref="D309"/>
      <selection pane="topRight" activeCell="D309" sqref="D309"/>
      <selection pane="bottomLeft" activeCell="D309" sqref="D309"/>
      <selection pane="bottomRight" activeCell="D352" sqref="D352"/>
    </sheetView>
  </sheetViews>
  <sheetFormatPr defaultRowHeight="14.25" outlineLevelCol="1"/>
  <cols>
    <col min="1" max="2" width="2.625" customWidth="1"/>
    <col min="3" max="3" width="17.5" bestFit="1" customWidth="1"/>
    <col min="4" max="4" width="36.375" customWidth="1"/>
    <col min="5" max="5" width="10.625" customWidth="1"/>
    <col min="6" max="6" width="30.625" bestFit="1" customWidth="1"/>
    <col min="7" max="7" width="27.5" bestFit="1" customWidth="1"/>
    <col min="8" max="9" width="50.625" customWidth="1" outlineLevel="1"/>
    <col min="10" max="10" width="15" bestFit="1" customWidth="1"/>
    <col min="11" max="11" width="24.625" bestFit="1" customWidth="1"/>
    <col min="12" max="12" width="30.625" bestFit="1" customWidth="1"/>
    <col min="13" max="13" width="22.5" customWidth="1"/>
    <col min="14" max="14" width="12.375" bestFit="1" customWidth="1"/>
    <col min="15" max="15" width="12.375" customWidth="1"/>
    <col min="16" max="16" width="15.125" customWidth="1"/>
    <col min="17" max="17" width="13.5" hidden="1" customWidth="1"/>
    <col min="18" max="18" width="22.625" bestFit="1" customWidth="1"/>
    <col min="19" max="19" width="16.375" bestFit="1" customWidth="1"/>
    <col min="20" max="20" width="11.375" bestFit="1" customWidth="1"/>
    <col min="21" max="21" width="12.875" bestFit="1" customWidth="1"/>
    <col min="22" max="22" width="9.375" bestFit="1" customWidth="1"/>
    <col min="23" max="23" width="16.625" bestFit="1" customWidth="1"/>
    <col min="24" max="24" width="13.875" bestFit="1" customWidth="1"/>
    <col min="25" max="25" width="65" bestFit="1" customWidth="1"/>
  </cols>
  <sheetData>
    <row r="2" spans="1:25">
      <c r="D2" s="10" t="s">
        <v>105</v>
      </c>
    </row>
    <row r="3" spans="1:25">
      <c r="D3" s="11" t="s">
        <v>106</v>
      </c>
    </row>
    <row r="5" spans="1:25" s="2" customFormat="1" ht="30">
      <c r="C5" s="20" t="s">
        <v>107</v>
      </c>
      <c r="D5" s="20" t="s">
        <v>108</v>
      </c>
      <c r="E5" s="20" t="s">
        <v>109</v>
      </c>
      <c r="F5" s="8" t="s">
        <v>110</v>
      </c>
      <c r="G5" s="8" t="s">
        <v>111</v>
      </c>
      <c r="H5" s="8" t="s">
        <v>112</v>
      </c>
      <c r="I5" s="8" t="s">
        <v>113</v>
      </c>
      <c r="J5" s="16" t="s">
        <v>114</v>
      </c>
      <c r="K5" s="16" t="s">
        <v>115</v>
      </c>
      <c r="L5" s="16" t="s">
        <v>0</v>
      </c>
      <c r="M5" s="19" t="s">
        <v>116</v>
      </c>
      <c r="N5" s="16" t="s">
        <v>117</v>
      </c>
      <c r="O5" s="19" t="s">
        <v>118</v>
      </c>
      <c r="P5" s="19" t="s">
        <v>119</v>
      </c>
      <c r="Q5" s="21" t="s">
        <v>120</v>
      </c>
      <c r="R5" s="20" t="s">
        <v>121</v>
      </c>
      <c r="S5" s="20" t="s">
        <v>122</v>
      </c>
      <c r="T5" s="20" t="s">
        <v>123</v>
      </c>
      <c r="U5" s="20" t="s">
        <v>124</v>
      </c>
      <c r="V5" s="20" t="s">
        <v>125</v>
      </c>
      <c r="W5" s="20" t="s">
        <v>126</v>
      </c>
      <c r="X5" s="20" t="s">
        <v>4</v>
      </c>
      <c r="Y5" s="20" t="s">
        <v>4870</v>
      </c>
    </row>
    <row r="6" spans="1:25" ht="15" hidden="1">
      <c r="A6" s="40" t="str">
        <f>C6&amp;"_"&amp;D6</f>
        <v>INSTRUMENT_ACCMLTD_CHNGS_FV_CR_INSTRMNT</v>
      </c>
      <c r="B6" s="40"/>
      <c r="C6" t="s">
        <v>127</v>
      </c>
      <c r="D6" t="s">
        <v>128</v>
      </c>
      <c r="E6" t="s">
        <v>14</v>
      </c>
      <c r="F6" t="s">
        <v>38</v>
      </c>
      <c r="G6" t="s">
        <v>129</v>
      </c>
      <c r="H6" t="s">
        <v>130</v>
      </c>
      <c r="J6" t="s">
        <v>26</v>
      </c>
      <c r="K6" s="15">
        <v>45450</v>
      </c>
      <c r="L6" t="s">
        <v>38</v>
      </c>
      <c r="M6" t="str">
        <f>IF(COUNTIFS(PRO_LT_SCORECARD_FLEX_VALIDATIO!$K:$K, _xlfn.CONCAT(C6,D6), PRO_LT_SCORECARD_FLEX_VALIDATIO!$G:$G, "KO") &gt; 0, "NOK", "OK")</f>
        <v>OK</v>
      </c>
      <c r="Q6" t="s">
        <v>30</v>
      </c>
      <c r="R6" t="s">
        <v>131</v>
      </c>
      <c r="S6" t="s">
        <v>131</v>
      </c>
      <c r="T6" t="s">
        <v>131</v>
      </c>
      <c r="U6" t="s">
        <v>132</v>
      </c>
      <c r="V6" t="s">
        <v>132</v>
      </c>
      <c r="W6" t="s">
        <v>132</v>
      </c>
      <c r="X6" t="s">
        <v>5</v>
      </c>
      <c r="Y6">
        <f>_xlfn.IFNA(_xlfn.XLOOKUP(D6,[1]Especificação!$G:$G,[1]Especificação!$C:$C),0)</f>
        <v>0</v>
      </c>
    </row>
    <row r="7" spans="1:25" ht="15" hidden="1">
      <c r="A7" s="40" t="str">
        <f t="shared" ref="A7:A69" si="0">C7&amp;"_"&amp;D7</f>
        <v>INSTRUMENT_ACCMLTD_IMPRMNT_INSTRMNT</v>
      </c>
      <c r="B7" s="40"/>
      <c r="C7" t="s">
        <v>127</v>
      </c>
      <c r="D7" t="s">
        <v>133</v>
      </c>
      <c r="E7" t="s">
        <v>14</v>
      </c>
      <c r="F7" t="s">
        <v>38</v>
      </c>
      <c r="G7" t="s">
        <v>129</v>
      </c>
      <c r="H7" t="s">
        <v>130</v>
      </c>
      <c r="J7" t="s">
        <v>26</v>
      </c>
      <c r="K7" s="15">
        <v>45450</v>
      </c>
      <c r="L7" t="s">
        <v>38</v>
      </c>
      <c r="M7" t="str">
        <f>IF(COUNTIFS(PRO_LT_SCORECARD_FLEX_VALIDATIO!$K:$K, _xlfn.CONCAT(C7,D7), PRO_LT_SCORECARD_FLEX_VALIDATIO!$G:$G, "KO") &gt; 0, "NOK", "OK")</f>
        <v>NOK</v>
      </c>
      <c r="Q7" t="s">
        <v>30</v>
      </c>
      <c r="R7" t="s">
        <v>131</v>
      </c>
      <c r="S7" t="s">
        <v>131</v>
      </c>
      <c r="T7" t="s">
        <v>131</v>
      </c>
      <c r="U7" t="s">
        <v>132</v>
      </c>
      <c r="V7" t="s">
        <v>132</v>
      </c>
      <c r="W7" t="s">
        <v>131</v>
      </c>
      <c r="X7" t="s">
        <v>5</v>
      </c>
      <c r="Y7" t="str">
        <f>_xlfn.IFNA(_xlfn.XLOOKUP(D7,[1]Especificação!$G:$G,[1]Especificação!$C:$C),0)</f>
        <v>F1. Fora âmbito | Campos concluídos - Sem necessidade de espec.</v>
      </c>
    </row>
    <row r="8" spans="1:25" ht="15" hidden="1">
      <c r="A8" s="40" t="str">
        <f t="shared" si="0"/>
        <v>INSTRUMENT_ACCMLTD_IMPRMNT_INSTRMNT_PRVS</v>
      </c>
      <c r="B8" s="40"/>
      <c r="C8" t="s">
        <v>127</v>
      </c>
      <c r="D8" s="10" t="s">
        <v>134</v>
      </c>
      <c r="E8" t="s">
        <v>14</v>
      </c>
      <c r="F8" t="s">
        <v>35</v>
      </c>
      <c r="G8" t="s">
        <v>129</v>
      </c>
      <c r="H8" s="76" t="s">
        <v>135</v>
      </c>
      <c r="J8" t="s">
        <v>32</v>
      </c>
      <c r="K8" s="15">
        <v>45952</v>
      </c>
      <c r="L8" t="s">
        <v>36</v>
      </c>
      <c r="M8" t="str">
        <f>IF(COUNTIFS(PRO_LT_SCORECARD_FLEX_VALIDATIO!$K:$K, _xlfn.CONCAT(C8,D8), PRO_LT_SCORECARD_FLEX_VALIDATIO!$G:$G, "KO") &gt; 0, "NOK", "OK")</f>
        <v>NOK</v>
      </c>
      <c r="N8" t="s">
        <v>1127</v>
      </c>
      <c r="O8" s="15"/>
      <c r="P8" s="15">
        <v>45952</v>
      </c>
      <c r="Q8" t="s">
        <v>24</v>
      </c>
      <c r="R8" t="s">
        <v>131</v>
      </c>
      <c r="S8" t="s">
        <v>132</v>
      </c>
      <c r="T8" t="s">
        <v>132</v>
      </c>
      <c r="U8" t="s">
        <v>132</v>
      </c>
      <c r="V8" t="s">
        <v>132</v>
      </c>
      <c r="W8" t="s">
        <v>131</v>
      </c>
      <c r="X8" t="s">
        <v>136</v>
      </c>
      <c r="Y8" t="str">
        <f>_xlfn.IFNA(_xlfn.XLOOKUP(D8,[1]Especificação!$G:$G,[1]Especificação!$C:$C),0)</f>
        <v>C. Campos em testes ou c/ incidências</v>
      </c>
    </row>
    <row r="9" spans="1:25" ht="15" hidden="1">
      <c r="A9" s="40" t="str">
        <f t="shared" si="0"/>
        <v>INSTRUMENT_ACCMLTD_WRTFFS_INSTRMNT</v>
      </c>
      <c r="B9" s="40"/>
      <c r="C9" t="s">
        <v>127</v>
      </c>
      <c r="D9" t="s">
        <v>137</v>
      </c>
      <c r="E9" t="s">
        <v>14</v>
      </c>
      <c r="F9" t="s">
        <v>38</v>
      </c>
      <c r="G9" t="s">
        <v>129</v>
      </c>
      <c r="H9" t="s">
        <v>130</v>
      </c>
      <c r="J9" t="s">
        <v>26</v>
      </c>
      <c r="K9" s="15">
        <v>45450</v>
      </c>
      <c r="L9" t="s">
        <v>38</v>
      </c>
      <c r="M9" t="str">
        <f>IF(COUNTIFS(PRO_LT_SCORECARD_FLEX_VALIDATIO!$K:$K, _xlfn.CONCAT(C9,D9), PRO_LT_SCORECARD_FLEX_VALIDATIO!$G:$G, "KO") &gt; 0, "NOK", "OK")</f>
        <v>OK</v>
      </c>
      <c r="Q9" t="s">
        <v>30</v>
      </c>
      <c r="R9" t="s">
        <v>131</v>
      </c>
      <c r="S9" t="s">
        <v>132</v>
      </c>
      <c r="T9" t="s">
        <v>132</v>
      </c>
      <c r="U9" t="s">
        <v>132</v>
      </c>
      <c r="V9" t="s">
        <v>132</v>
      </c>
      <c r="W9" t="s">
        <v>131</v>
      </c>
      <c r="X9" t="s">
        <v>5</v>
      </c>
      <c r="Y9" t="str">
        <f>_xlfn.IFNA(_xlfn.XLOOKUP(D9,[1]Especificação!$G:$G,[1]Especificação!$C:$C),0)</f>
        <v>F1. Fora âmbito | Campos concluídos - Sem necessidade de espec.</v>
      </c>
    </row>
    <row r="10" spans="1:25" ht="15" hidden="1">
      <c r="A10" s="40" t="str">
        <f t="shared" si="0"/>
        <v>INSTRUMENT_ACCNTNG_CLSSFCTN</v>
      </c>
      <c r="B10" s="40"/>
      <c r="C10" t="s">
        <v>127</v>
      </c>
      <c r="D10" t="s">
        <v>138</v>
      </c>
      <c r="E10" t="s">
        <v>14</v>
      </c>
      <c r="F10" t="s">
        <v>38</v>
      </c>
      <c r="G10" t="s">
        <v>129</v>
      </c>
      <c r="H10" t="s">
        <v>130</v>
      </c>
      <c r="J10" t="s">
        <v>26</v>
      </c>
      <c r="K10" s="15">
        <v>45450</v>
      </c>
      <c r="L10" t="s">
        <v>38</v>
      </c>
      <c r="M10" t="str">
        <f>IF(COUNTIFS(PRO_LT_SCORECARD_FLEX_VALIDATIO!$K:$K, _xlfn.CONCAT(C10,D10), PRO_LT_SCORECARD_FLEX_VALIDATIO!$G:$G, "KO") &gt; 0, "NOK", "OK")</f>
        <v>NOK</v>
      </c>
      <c r="Q10" t="s">
        <v>30</v>
      </c>
      <c r="R10" t="s">
        <v>131</v>
      </c>
      <c r="S10" t="s">
        <v>131</v>
      </c>
      <c r="T10" t="s">
        <v>131</v>
      </c>
      <c r="U10" t="s">
        <v>132</v>
      </c>
      <c r="V10" t="s">
        <v>132</v>
      </c>
      <c r="W10" t="s">
        <v>131</v>
      </c>
      <c r="X10" t="s">
        <v>5</v>
      </c>
      <c r="Y10" t="str">
        <f>_xlfn.IFNA(_xlfn.XLOOKUP(D10,[1]Especificação!$G:$G,[1]Especificação!$C:$C),0)</f>
        <v>F1. Fora âmbito | Campos concluídos - Sem necessidade de espec.</v>
      </c>
    </row>
    <row r="11" spans="1:25" ht="15" hidden="1">
      <c r="A11" s="40" t="str">
        <f t="shared" si="0"/>
        <v>ENTITY_ACCNTNG_FRMWRK_SL</v>
      </c>
      <c r="B11" s="40"/>
      <c r="C11" t="s">
        <v>139</v>
      </c>
      <c r="D11" t="s">
        <v>140</v>
      </c>
      <c r="E11" t="s">
        <v>14</v>
      </c>
      <c r="F11" t="s">
        <v>25</v>
      </c>
      <c r="G11" t="s">
        <v>129</v>
      </c>
      <c r="H11" t="s">
        <v>141</v>
      </c>
      <c r="I11" t="s">
        <v>142</v>
      </c>
      <c r="J11" t="s">
        <v>29</v>
      </c>
      <c r="K11" s="15">
        <v>45450</v>
      </c>
      <c r="L11" t="s">
        <v>25</v>
      </c>
      <c r="M11" t="str">
        <f>IF(COUNTIFS(PRO_LT_SCORECARD_FLEX_VALIDATIO!$K:$K, _xlfn.CONCAT(C11,D11), PRO_LT_SCORECARD_FLEX_VALIDATIO!$G:$G, "KO") &gt; 0, "NOK", "OK")</f>
        <v>OK</v>
      </c>
      <c r="Q11" t="s">
        <v>13</v>
      </c>
      <c r="R11" t="s">
        <v>131</v>
      </c>
      <c r="S11" t="s">
        <v>132</v>
      </c>
      <c r="T11" t="s">
        <v>132</v>
      </c>
      <c r="U11" t="s">
        <v>132</v>
      </c>
      <c r="V11" t="s">
        <v>132</v>
      </c>
      <c r="W11" t="s">
        <v>131</v>
      </c>
      <c r="X11" t="s">
        <v>143</v>
      </c>
      <c r="Y11" t="str">
        <f>_xlfn.IFNA(_xlfn.XLOOKUP(D11,[1]Especificação!$G:$G,[1]Especificação!$C:$C),0)</f>
        <v>F4. Fora âmbito | Re-especificação de campos complexos - Dem. Fin. CIB</v>
      </c>
    </row>
    <row r="12" spans="1:25" ht="15" hidden="1">
      <c r="A12" s="40" t="str">
        <f t="shared" si="0"/>
        <v>INSTRUMENT_TYP_MRTGG</v>
      </c>
      <c r="B12" s="40"/>
      <c r="C12" t="s">
        <v>127</v>
      </c>
      <c r="D12" s="10" t="s">
        <v>144</v>
      </c>
      <c r="E12" t="s">
        <v>14</v>
      </c>
      <c r="F12" t="s">
        <v>28</v>
      </c>
      <c r="G12" t="s">
        <v>145</v>
      </c>
      <c r="H12" t="s">
        <v>146</v>
      </c>
      <c r="J12" t="s">
        <v>32</v>
      </c>
      <c r="K12" s="15">
        <v>45568</v>
      </c>
      <c r="L12" t="s">
        <v>25</v>
      </c>
      <c r="M12" t="str">
        <f>IF(COUNTIFS(PRO_LT_SCORECARD_FLEX_VALIDATIO!$K:$K, _xlfn.CONCAT(C12,D12), PRO_LT_SCORECARD_FLEX_VALIDATIO!$G:$G, "KO") &gt; 0, "NOK", "OK")</f>
        <v>NOK</v>
      </c>
      <c r="N12" t="s">
        <v>147</v>
      </c>
      <c r="Q12" t="s">
        <v>34</v>
      </c>
      <c r="R12" t="s">
        <v>131</v>
      </c>
      <c r="S12" t="s">
        <v>132</v>
      </c>
      <c r="T12" t="s">
        <v>132</v>
      </c>
      <c r="U12" t="s">
        <v>132</v>
      </c>
      <c r="V12" t="s">
        <v>132</v>
      </c>
      <c r="W12" t="s">
        <v>132</v>
      </c>
      <c r="X12" t="s">
        <v>5</v>
      </c>
      <c r="Y12">
        <f>_xlfn.IFNA(_xlfn.XLOOKUP(D12,[1]Especificação!$G:$G,[1]Especificação!$C:$C),0)</f>
        <v>0</v>
      </c>
    </row>
    <row r="13" spans="1:25" ht="15" hidden="1">
      <c r="A13" s="40" t="str">
        <f t="shared" si="0"/>
        <v>INSTRUMENT_AMNT_D_AT_MTRTY</v>
      </c>
      <c r="B13" s="40"/>
      <c r="C13" t="s">
        <v>127</v>
      </c>
      <c r="D13" t="s">
        <v>148</v>
      </c>
      <c r="E13" t="s">
        <v>14</v>
      </c>
      <c r="F13" t="s">
        <v>20</v>
      </c>
      <c r="G13" t="s">
        <v>145</v>
      </c>
      <c r="H13" t="s">
        <v>984</v>
      </c>
      <c r="J13" t="s">
        <v>29</v>
      </c>
      <c r="K13" s="15">
        <v>45958</v>
      </c>
      <c r="L13" t="s">
        <v>38</v>
      </c>
      <c r="M13" t="str">
        <f>IF(COUNTIFS(PRO_LT_SCORECARD_FLEX_VALIDATIO!$K:$K, _xlfn.CONCAT(C13,D13), PRO_LT_SCORECARD_FLEX_VALIDATIO!$G:$G, "KO") &gt; 0, "NOK", "OK")</f>
        <v>NOK</v>
      </c>
      <c r="P13" s="15">
        <v>45958</v>
      </c>
      <c r="Q13" t="s">
        <v>19</v>
      </c>
      <c r="R13" t="s">
        <v>131</v>
      </c>
      <c r="S13" t="s">
        <v>132</v>
      </c>
      <c r="T13" t="s">
        <v>132</v>
      </c>
      <c r="U13" t="s">
        <v>132</v>
      </c>
      <c r="V13" t="s">
        <v>132</v>
      </c>
      <c r="W13" t="s">
        <v>131</v>
      </c>
      <c r="X13" t="s">
        <v>136</v>
      </c>
      <c r="Y13" t="str">
        <f>_xlfn.IFNA(_xlfn.XLOOKUP(D13,[1]Especificação!$G:$G,[1]Especificação!$C:$C),0)</f>
        <v>B2. Re-especificação de campos complexos - Resto</v>
      </c>
    </row>
    <row r="14" spans="1:25" ht="15" hidden="1">
      <c r="A14" s="40" t="str">
        <f t="shared" si="0"/>
        <v>ENTITY_ANNL_TRNVR_LE</v>
      </c>
      <c r="B14" s="40"/>
      <c r="C14" t="s">
        <v>139</v>
      </c>
      <c r="D14" t="s">
        <v>149</v>
      </c>
      <c r="E14" t="s">
        <v>14</v>
      </c>
      <c r="F14" t="s">
        <v>25</v>
      </c>
      <c r="G14" t="s">
        <v>129</v>
      </c>
      <c r="H14" t="s">
        <v>141</v>
      </c>
      <c r="I14" t="s">
        <v>142</v>
      </c>
      <c r="J14" t="s">
        <v>29</v>
      </c>
      <c r="K14" s="15">
        <v>45450</v>
      </c>
      <c r="L14" t="s">
        <v>25</v>
      </c>
      <c r="M14" t="str">
        <f>IF(COUNTIFS(PRO_LT_SCORECARD_FLEX_VALIDATIO!$K:$K, _xlfn.CONCAT(C14,D14), PRO_LT_SCORECARD_FLEX_VALIDATIO!$G:$G, "KO") &gt; 0, "NOK", "OK")</f>
        <v>NOK</v>
      </c>
      <c r="Q14" t="s">
        <v>13</v>
      </c>
      <c r="R14" t="s">
        <v>131</v>
      </c>
      <c r="S14" t="s">
        <v>132</v>
      </c>
      <c r="T14" t="s">
        <v>131</v>
      </c>
      <c r="U14" t="s">
        <v>132</v>
      </c>
      <c r="V14" t="s">
        <v>132</v>
      </c>
      <c r="W14" t="s">
        <v>131</v>
      </c>
      <c r="X14" t="s">
        <v>143</v>
      </c>
      <c r="Y14" t="str">
        <f>_xlfn.IFNA(_xlfn.XLOOKUP(D14,[1]Especificação!$G:$G,[1]Especificação!$C:$C),0)</f>
        <v>F4. Fora âmbito | Re-especificação de campos complexos - Dem. Fin. CIB</v>
      </c>
    </row>
    <row r="15" spans="1:25" ht="15" hidden="1">
      <c r="A15" s="40" t="str">
        <f t="shared" si="0"/>
        <v>ENTITY_ANNL_TRNVR_LE_BDR</v>
      </c>
      <c r="B15" s="40"/>
      <c r="C15" t="s">
        <v>139</v>
      </c>
      <c r="D15" t="s">
        <v>150</v>
      </c>
      <c r="E15" t="s">
        <v>6</v>
      </c>
      <c r="F15" t="s">
        <v>38</v>
      </c>
      <c r="G15" t="s">
        <v>129</v>
      </c>
      <c r="H15" t="s">
        <v>130</v>
      </c>
      <c r="J15" t="s">
        <v>26</v>
      </c>
      <c r="K15" s="15">
        <v>45450</v>
      </c>
      <c r="L15" t="s">
        <v>38</v>
      </c>
      <c r="M15" t="str">
        <f>IF(COUNTIFS(PRO_LT_SCORECARD_FLEX_VALIDATIO!$K:$K, _xlfn.CONCAT(C15,D15), PRO_LT_SCORECARD_FLEX_VALIDATIO!$G:$G, "KO") &gt; 0, "NOK", "OK")</f>
        <v>NOK</v>
      </c>
      <c r="Q15" t="s">
        <v>30</v>
      </c>
      <c r="R15" t="s">
        <v>131</v>
      </c>
      <c r="S15" t="s">
        <v>132</v>
      </c>
      <c r="T15" t="s">
        <v>132</v>
      </c>
      <c r="U15" t="s">
        <v>132</v>
      </c>
      <c r="V15" t="s">
        <v>132</v>
      </c>
      <c r="W15" t="s">
        <v>132</v>
      </c>
      <c r="X15" t="s">
        <v>5</v>
      </c>
      <c r="Y15">
        <f>_xlfn.IFNA(_xlfn.XLOOKUP(D15,[1]Especificação!$G:$G,[1]Especificação!$C:$C),0)</f>
        <v>0</v>
      </c>
    </row>
    <row r="16" spans="1:25" ht="15" hidden="1">
      <c r="A16" s="40" t="str">
        <f t="shared" si="0"/>
        <v>ENTITY_ANNL_TRNVR_PRVS</v>
      </c>
      <c r="B16" s="40"/>
      <c r="C16" t="s">
        <v>139</v>
      </c>
      <c r="D16" t="s">
        <v>151</v>
      </c>
      <c r="E16" t="s">
        <v>14</v>
      </c>
      <c r="F16" t="s">
        <v>25</v>
      </c>
      <c r="G16" t="s">
        <v>129</v>
      </c>
      <c r="H16" t="s">
        <v>141</v>
      </c>
      <c r="I16" t="s">
        <v>142</v>
      </c>
      <c r="J16" t="s">
        <v>29</v>
      </c>
      <c r="K16" s="15">
        <v>45450</v>
      </c>
      <c r="L16" t="s">
        <v>25</v>
      </c>
      <c r="M16" t="str">
        <f>IF(COUNTIFS(PRO_LT_SCORECARD_FLEX_VALIDATIO!$K:$K, _xlfn.CONCAT(C16,D16), PRO_LT_SCORECARD_FLEX_VALIDATIO!$G:$G, "KO") &gt; 0, "NOK", "OK")</f>
        <v>NOK</v>
      </c>
      <c r="Q16" t="s">
        <v>13</v>
      </c>
      <c r="R16" t="s">
        <v>131</v>
      </c>
      <c r="S16" t="s">
        <v>132</v>
      </c>
      <c r="T16" t="s">
        <v>132</v>
      </c>
      <c r="U16" t="s">
        <v>132</v>
      </c>
      <c r="V16" t="s">
        <v>132</v>
      </c>
      <c r="W16" t="s">
        <v>131</v>
      </c>
      <c r="X16" t="s">
        <v>143</v>
      </c>
      <c r="Y16" t="str">
        <f>_xlfn.IFNA(_xlfn.XLOOKUP(D16,[1]Especificação!$G:$G,[1]Especificação!$C:$C),0)</f>
        <v>F4. Fora âmbito | Re-especificação de campos complexos - Dem. Fin. CIB</v>
      </c>
    </row>
    <row r="17" spans="1:25" ht="15" hidden="1">
      <c r="A17" s="40" t="str">
        <f t="shared" si="0"/>
        <v>ENTITY_ANNL_TRNVR_PRVS_BDR</v>
      </c>
      <c r="B17" s="40"/>
      <c r="C17" t="s">
        <v>139</v>
      </c>
      <c r="D17" t="s">
        <v>152</v>
      </c>
      <c r="E17" t="s">
        <v>6</v>
      </c>
      <c r="F17" t="s">
        <v>38</v>
      </c>
      <c r="G17" t="s">
        <v>129</v>
      </c>
      <c r="H17" t="s">
        <v>130</v>
      </c>
      <c r="J17" t="s">
        <v>26</v>
      </c>
      <c r="K17" s="15">
        <v>45450</v>
      </c>
      <c r="L17" t="s">
        <v>38</v>
      </c>
      <c r="M17" t="str">
        <f>IF(COUNTIFS(PRO_LT_SCORECARD_FLEX_VALIDATIO!$K:$K, _xlfn.CONCAT(C17,D17), PRO_LT_SCORECARD_FLEX_VALIDATIO!$G:$G, "KO") &gt; 0, "NOK", "OK")</f>
        <v>OK</v>
      </c>
      <c r="Q17" t="s">
        <v>30</v>
      </c>
      <c r="R17" t="s">
        <v>131</v>
      </c>
      <c r="S17" t="s">
        <v>132</v>
      </c>
      <c r="T17" t="s">
        <v>132</v>
      </c>
      <c r="U17" t="s">
        <v>132</v>
      </c>
      <c r="V17" t="s">
        <v>132</v>
      </c>
      <c r="W17" t="s">
        <v>132</v>
      </c>
      <c r="X17" t="s">
        <v>5</v>
      </c>
      <c r="Y17">
        <f>_xlfn.IFNA(_xlfn.XLOOKUP(D17,[1]Especificação!$G:$G,[1]Especificação!$C:$C),0)</f>
        <v>0</v>
      </c>
    </row>
    <row r="18" spans="1:25" ht="15" hidden="1">
      <c r="A18" s="40" t="str">
        <f t="shared" si="0"/>
        <v>INSTRUMENT_ANNLSD_AGRD_RT</v>
      </c>
      <c r="B18" s="40"/>
      <c r="C18" t="s">
        <v>127</v>
      </c>
      <c r="D18" s="11" t="s">
        <v>153</v>
      </c>
      <c r="E18" t="s">
        <v>14</v>
      </c>
      <c r="F18" t="s">
        <v>28</v>
      </c>
      <c r="G18" t="s">
        <v>129</v>
      </c>
      <c r="H18" t="s">
        <v>154</v>
      </c>
      <c r="I18" t="s">
        <v>155</v>
      </c>
      <c r="J18" t="s">
        <v>32</v>
      </c>
      <c r="K18" s="15">
        <v>45450</v>
      </c>
      <c r="L18" t="s">
        <v>28</v>
      </c>
      <c r="M18" t="str">
        <f>IF(COUNTIFS(PRO_LT_SCORECARD_FLEX_VALIDATIO!$K:$K, _xlfn.CONCAT(C18,D18), PRO_LT_SCORECARD_FLEX_VALIDATIO!$G:$G, "KO") &gt; 0, "NOK", "OK")</f>
        <v>NOK</v>
      </c>
      <c r="Q18" t="s">
        <v>39</v>
      </c>
      <c r="R18" t="s">
        <v>131</v>
      </c>
      <c r="S18" t="s">
        <v>132</v>
      </c>
      <c r="T18" t="s">
        <v>131</v>
      </c>
      <c r="U18" t="s">
        <v>132</v>
      </c>
      <c r="V18" t="s">
        <v>132</v>
      </c>
      <c r="W18" t="s">
        <v>132</v>
      </c>
      <c r="X18" t="s">
        <v>5</v>
      </c>
      <c r="Y18">
        <f>_xlfn.IFNA(_xlfn.XLOOKUP(D18,[1]Especificação!$G:$G,[1]Especificação!$C:$C),0)</f>
        <v>0</v>
      </c>
    </row>
    <row r="19" spans="1:25" ht="15" hidden="1">
      <c r="A19" s="40" t="str">
        <f t="shared" si="0"/>
        <v>PROTECTION_APPRSL_CRRNCY</v>
      </c>
      <c r="B19" s="40"/>
      <c r="C19" t="s">
        <v>156</v>
      </c>
      <c r="D19" t="s">
        <v>157</v>
      </c>
      <c r="E19" t="s">
        <v>14</v>
      </c>
      <c r="F19" t="s">
        <v>36</v>
      </c>
      <c r="G19" t="s">
        <v>145</v>
      </c>
      <c r="H19" t="s">
        <v>158</v>
      </c>
      <c r="J19" t="s">
        <v>29</v>
      </c>
      <c r="K19" s="15">
        <v>45450</v>
      </c>
      <c r="L19" t="s">
        <v>36</v>
      </c>
      <c r="M19" t="str">
        <f>IF(COUNTIFS(PRO_LT_SCORECARD_FLEX_VALIDATIO!$K:$K, _xlfn.CONCAT(C19,D19), PRO_LT_SCORECARD_FLEX_VALIDATIO!$G:$G, "KO") &gt; 0, "NOK", "OK")</f>
        <v>OK</v>
      </c>
      <c r="Q19" t="s">
        <v>8</v>
      </c>
      <c r="R19" t="s">
        <v>131</v>
      </c>
      <c r="S19" t="s">
        <v>132</v>
      </c>
      <c r="T19" t="s">
        <v>132</v>
      </c>
      <c r="U19" t="s">
        <v>132</v>
      </c>
      <c r="V19" t="s">
        <v>132</v>
      </c>
      <c r="W19" t="s">
        <v>132</v>
      </c>
      <c r="X19" t="s">
        <v>5</v>
      </c>
      <c r="Y19">
        <f>_xlfn.IFNA(_xlfn.XLOOKUP(D19,[1]Especificação!$G:$G,[1]Especificação!$C:$C),0)</f>
        <v>0</v>
      </c>
    </row>
    <row r="20" spans="1:25" ht="15" hidden="1">
      <c r="A20" s="40" t="str">
        <f t="shared" si="0"/>
        <v>PROTECTION_APPRSR</v>
      </c>
      <c r="B20" s="40"/>
      <c r="C20" t="s">
        <v>156</v>
      </c>
      <c r="D20" t="s">
        <v>159</v>
      </c>
      <c r="E20" t="s">
        <v>14</v>
      </c>
      <c r="F20" t="s">
        <v>36</v>
      </c>
      <c r="G20" t="s">
        <v>145</v>
      </c>
      <c r="H20" t="s">
        <v>158</v>
      </c>
      <c r="J20" t="s">
        <v>29</v>
      </c>
      <c r="K20" s="15">
        <v>45450</v>
      </c>
      <c r="L20" t="s">
        <v>36</v>
      </c>
      <c r="M20" t="str">
        <f>IF(COUNTIFS(PRO_LT_SCORECARD_FLEX_VALIDATIO!$K:$K, _xlfn.CONCAT(C20,D20), PRO_LT_SCORECARD_FLEX_VALIDATIO!$G:$G, "KO") &gt; 0, "NOK", "OK")</f>
        <v>OK</v>
      </c>
      <c r="Q20" t="s">
        <v>8</v>
      </c>
      <c r="R20" t="s">
        <v>131</v>
      </c>
      <c r="S20" t="s">
        <v>132</v>
      </c>
      <c r="T20" t="s">
        <v>132</v>
      </c>
      <c r="U20" t="s">
        <v>132</v>
      </c>
      <c r="V20" t="s">
        <v>132</v>
      </c>
      <c r="W20" t="s">
        <v>132</v>
      </c>
      <c r="X20" t="s">
        <v>5</v>
      </c>
      <c r="Y20">
        <f>_xlfn.IFNA(_xlfn.XLOOKUP(D20,[1]Especificação!$G:$G,[1]Especificação!$C:$C),0)</f>
        <v>0</v>
      </c>
    </row>
    <row r="21" spans="1:25" ht="15" hidden="1">
      <c r="A21" s="40" t="str">
        <f t="shared" si="0"/>
        <v>INSTRUMENT_ARRRS_INSTRMNT</v>
      </c>
      <c r="B21" s="40"/>
      <c r="C21" t="s">
        <v>127</v>
      </c>
      <c r="D21" t="s">
        <v>160</v>
      </c>
      <c r="E21" t="s">
        <v>14</v>
      </c>
      <c r="F21" t="s">
        <v>36</v>
      </c>
      <c r="G21" t="s">
        <v>145</v>
      </c>
      <c r="H21" t="s">
        <v>158</v>
      </c>
      <c r="J21" t="s">
        <v>29</v>
      </c>
      <c r="K21" s="15">
        <v>45958</v>
      </c>
      <c r="L21" t="s">
        <v>38</v>
      </c>
      <c r="M21" t="str">
        <f>IF(COUNTIFS(PRO_LT_SCORECARD_FLEX_VALIDATIO!$K:$K, _xlfn.CONCAT(C21,D21), PRO_LT_SCORECARD_FLEX_VALIDATIO!$G:$G, "KO") &gt; 0, "NOK", "OK")</f>
        <v>NOK</v>
      </c>
      <c r="P21" s="15">
        <v>45958</v>
      </c>
      <c r="Q21" t="s">
        <v>8</v>
      </c>
      <c r="R21" t="s">
        <v>131</v>
      </c>
      <c r="S21" t="s">
        <v>132</v>
      </c>
      <c r="T21" t="s">
        <v>132</v>
      </c>
      <c r="U21" t="s">
        <v>132</v>
      </c>
      <c r="V21" t="s">
        <v>132</v>
      </c>
      <c r="W21" t="s">
        <v>131</v>
      </c>
      <c r="X21" t="s">
        <v>136</v>
      </c>
      <c r="Y21" t="str">
        <f>_xlfn.IFNA(_xlfn.XLOOKUP(D21,[1]Especificação!$G:$G,[1]Especificação!$C:$C),0)</f>
        <v>D. Campos com NOK controlos Corporativos</v>
      </c>
    </row>
    <row r="22" spans="1:25" ht="15" hidden="1">
      <c r="A22" s="40" t="str">
        <f t="shared" si="0"/>
        <v>INSTRUMENT_ARRRS_INSTRMNT_12M</v>
      </c>
      <c r="B22" s="40"/>
      <c r="C22" t="s">
        <v>127</v>
      </c>
      <c r="D22" t="s">
        <v>161</v>
      </c>
      <c r="E22" t="s">
        <v>14</v>
      </c>
      <c r="F22" t="s">
        <v>36</v>
      </c>
      <c r="G22" t="s">
        <v>145</v>
      </c>
      <c r="H22" t="s">
        <v>158</v>
      </c>
      <c r="J22" t="s">
        <v>29</v>
      </c>
      <c r="K22" s="15">
        <v>45450</v>
      </c>
      <c r="L22" t="s">
        <v>36</v>
      </c>
      <c r="M22" t="str">
        <f>IF(COUNTIFS(PRO_LT_SCORECARD_FLEX_VALIDATIO!$K:$K, _xlfn.CONCAT(C22,D22), PRO_LT_SCORECARD_FLEX_VALIDATIO!$G:$G, "KO") &gt; 0, "NOK", "OK")</f>
        <v>NOK</v>
      </c>
      <c r="Q22" t="s">
        <v>8</v>
      </c>
      <c r="R22" t="s">
        <v>131</v>
      </c>
      <c r="S22" t="s">
        <v>132</v>
      </c>
      <c r="T22" t="s">
        <v>132</v>
      </c>
      <c r="U22" t="s">
        <v>132</v>
      </c>
      <c r="V22" t="s">
        <v>132</v>
      </c>
      <c r="W22" t="s">
        <v>132</v>
      </c>
      <c r="X22" t="s">
        <v>5</v>
      </c>
      <c r="Y22">
        <f>_xlfn.IFNA(_xlfn.XLOOKUP(D22,[1]Especificação!$G:$G,[1]Especificação!$C:$C),0)</f>
        <v>0</v>
      </c>
    </row>
    <row r="23" spans="1:25" ht="15" hidden="1">
      <c r="A23" s="40" t="str">
        <f t="shared" si="0"/>
        <v>INSTRUMENT_ASST_SCRT_CLSS</v>
      </c>
      <c r="B23" s="40"/>
      <c r="C23" t="s">
        <v>127</v>
      </c>
      <c r="D23" t="s">
        <v>162</v>
      </c>
      <c r="E23" t="s">
        <v>6</v>
      </c>
      <c r="F23" t="s">
        <v>38</v>
      </c>
      <c r="G23" t="s">
        <v>129</v>
      </c>
      <c r="H23" t="s">
        <v>130</v>
      </c>
      <c r="J23" t="s">
        <v>26</v>
      </c>
      <c r="K23" s="15">
        <v>45450</v>
      </c>
      <c r="L23" t="s">
        <v>38</v>
      </c>
      <c r="M23" t="str">
        <f>IF(COUNTIFS(PRO_LT_SCORECARD_FLEX_VALIDATIO!$K:$K, _xlfn.CONCAT(C23,D23), PRO_LT_SCORECARD_FLEX_VALIDATIO!$G:$G, "KO") &gt; 0, "NOK", "OK")</f>
        <v>OK</v>
      </c>
      <c r="Q23" t="s">
        <v>30</v>
      </c>
      <c r="R23" t="s">
        <v>131</v>
      </c>
      <c r="S23" t="s">
        <v>132</v>
      </c>
      <c r="T23" t="s">
        <v>132</v>
      </c>
      <c r="U23" t="s">
        <v>132</v>
      </c>
      <c r="V23" t="s">
        <v>132</v>
      </c>
      <c r="W23" t="s">
        <v>132</v>
      </c>
      <c r="X23" t="s">
        <v>5</v>
      </c>
      <c r="Y23">
        <f>_xlfn.IFNA(_xlfn.XLOOKUP(D23,[1]Especificação!$G:$G,[1]Especificação!$C:$C),0)</f>
        <v>0</v>
      </c>
    </row>
    <row r="24" spans="1:25" ht="15" hidden="1">
      <c r="A24" s="40" t="str">
        <f t="shared" si="0"/>
        <v>INSTRUMENT_BRCHD_CVNNTS</v>
      </c>
      <c r="B24" s="40"/>
      <c r="C24" t="s">
        <v>127</v>
      </c>
      <c r="D24" t="s">
        <v>163</v>
      </c>
      <c r="E24" t="s">
        <v>14</v>
      </c>
      <c r="F24" t="s">
        <v>37</v>
      </c>
      <c r="G24" t="s">
        <v>129</v>
      </c>
      <c r="H24" t="s">
        <v>164</v>
      </c>
      <c r="J24" t="s">
        <v>26</v>
      </c>
      <c r="K24" s="15">
        <v>45450</v>
      </c>
      <c r="L24" t="s">
        <v>37</v>
      </c>
      <c r="M24" t="str">
        <f>IF(COUNTIFS(PRO_LT_SCORECARD_FLEX_VALIDATIO!$K:$K, _xlfn.CONCAT(C24,D24), PRO_LT_SCORECARD_FLEX_VALIDATIO!$G:$G, "KO") &gt; 0, "NOK", "OK")</f>
        <v>OK</v>
      </c>
      <c r="Q24" t="s">
        <v>27</v>
      </c>
      <c r="R24" t="s">
        <v>131</v>
      </c>
      <c r="S24" t="s">
        <v>132</v>
      </c>
      <c r="T24" t="s">
        <v>132</v>
      </c>
      <c r="U24" t="s">
        <v>132</v>
      </c>
      <c r="V24" t="s">
        <v>132</v>
      </c>
      <c r="W24" t="s">
        <v>131</v>
      </c>
      <c r="X24" t="s">
        <v>5</v>
      </c>
      <c r="Y24" t="str">
        <f>_xlfn.IFNA(_xlfn.XLOOKUP(D24,[1]Especificação!$G:$G,[1]Especificação!$C:$C),0)</f>
        <v>F1. Fora âmbito | Campos concluídos - Sem necessidade de espec.</v>
      </c>
    </row>
    <row r="25" spans="1:25" ht="15" hidden="1">
      <c r="A25" s="40" t="str">
        <f t="shared" si="0"/>
        <v>ENTITY_CAPEX</v>
      </c>
      <c r="B25" s="40"/>
      <c r="C25" t="s">
        <v>139</v>
      </c>
      <c r="D25" t="s">
        <v>165</v>
      </c>
      <c r="E25" t="s">
        <v>14</v>
      </c>
      <c r="F25" t="s">
        <v>25</v>
      </c>
      <c r="G25" t="s">
        <v>129</v>
      </c>
      <c r="H25" t="s">
        <v>141</v>
      </c>
      <c r="I25" t="s">
        <v>142</v>
      </c>
      <c r="J25" t="s">
        <v>29</v>
      </c>
      <c r="K25" s="15">
        <v>45450</v>
      </c>
      <c r="L25" t="s">
        <v>25</v>
      </c>
      <c r="M25" t="str">
        <f>IF(COUNTIFS(PRO_LT_SCORECARD_FLEX_VALIDATIO!$K:$K, _xlfn.CONCAT(C25,D25), PRO_LT_SCORECARD_FLEX_VALIDATIO!$G:$G, "KO") &gt; 0, "NOK", "OK")</f>
        <v>NOK</v>
      </c>
      <c r="Q25" t="s">
        <v>13</v>
      </c>
      <c r="R25" t="s">
        <v>131</v>
      </c>
      <c r="S25" t="s">
        <v>132</v>
      </c>
      <c r="T25" t="s">
        <v>132</v>
      </c>
      <c r="U25" t="s">
        <v>132</v>
      </c>
      <c r="V25" t="s">
        <v>132</v>
      </c>
      <c r="W25" t="s">
        <v>132</v>
      </c>
      <c r="X25" t="s">
        <v>5</v>
      </c>
      <c r="Y25">
        <f>_xlfn.IFNA(_xlfn.XLOOKUP(D25,[1]Especificação!$G:$G,[1]Especificação!$C:$C),0)</f>
        <v>0</v>
      </c>
    </row>
    <row r="26" spans="1:25" ht="15" hidden="1">
      <c r="A26" s="40" t="str">
        <f t="shared" si="0"/>
        <v>ENTITY_CAPEX_PRVS</v>
      </c>
      <c r="B26" s="40"/>
      <c r="C26" t="s">
        <v>139</v>
      </c>
      <c r="D26" t="s">
        <v>166</v>
      </c>
      <c r="E26" t="s">
        <v>14</v>
      </c>
      <c r="F26" t="s">
        <v>25</v>
      </c>
      <c r="G26" t="s">
        <v>129</v>
      </c>
      <c r="H26" t="s">
        <v>141</v>
      </c>
      <c r="I26" t="s">
        <v>142</v>
      </c>
      <c r="J26" t="s">
        <v>29</v>
      </c>
      <c r="K26" s="15">
        <v>45450</v>
      </c>
      <c r="L26" t="s">
        <v>25</v>
      </c>
      <c r="M26" t="str">
        <f>IF(COUNTIFS(PRO_LT_SCORECARD_FLEX_VALIDATIO!$K:$K, _xlfn.CONCAT(C26,D26), PRO_LT_SCORECARD_FLEX_VALIDATIO!$G:$G, "KO") &gt; 0, "NOK", "OK")</f>
        <v>NOK</v>
      </c>
      <c r="Q26" t="s">
        <v>13</v>
      </c>
      <c r="R26" t="s">
        <v>131</v>
      </c>
      <c r="S26" t="s">
        <v>132</v>
      </c>
      <c r="T26" t="s">
        <v>132</v>
      </c>
      <c r="U26" t="s">
        <v>132</v>
      </c>
      <c r="V26" t="s">
        <v>132</v>
      </c>
      <c r="W26" t="s">
        <v>132</v>
      </c>
      <c r="X26" t="s">
        <v>5</v>
      </c>
      <c r="Y26">
        <f>_xlfn.IFNA(_xlfn.XLOOKUP(D26,[1]Especificação!$G:$G,[1]Especificação!$C:$C),0)</f>
        <v>0</v>
      </c>
    </row>
    <row r="27" spans="1:25" ht="15" hidden="1">
      <c r="A27" s="40" t="str">
        <f t="shared" si="0"/>
        <v>INSTRUMENT_CCF</v>
      </c>
      <c r="B27" s="40"/>
      <c r="C27" t="s">
        <v>127</v>
      </c>
      <c r="D27" t="s">
        <v>167</v>
      </c>
      <c r="E27" t="s">
        <v>14</v>
      </c>
      <c r="F27" t="s">
        <v>38</v>
      </c>
      <c r="G27" t="s">
        <v>129</v>
      </c>
      <c r="H27" t="s">
        <v>130</v>
      </c>
      <c r="J27" t="s">
        <v>26</v>
      </c>
      <c r="K27" s="15">
        <v>45450</v>
      </c>
      <c r="L27" t="s">
        <v>38</v>
      </c>
      <c r="M27" t="str">
        <f>IF(COUNTIFS(PRO_LT_SCORECARD_FLEX_VALIDATIO!$K:$K, _xlfn.CONCAT(C27,D27), PRO_LT_SCORECARD_FLEX_VALIDATIO!$G:$G, "KO") &gt; 0, "NOK", "OK")</f>
        <v>NOK</v>
      </c>
      <c r="Q27" t="s">
        <v>30</v>
      </c>
      <c r="R27" t="s">
        <v>131</v>
      </c>
      <c r="S27" t="s">
        <v>131</v>
      </c>
      <c r="T27" t="s">
        <v>132</v>
      </c>
      <c r="U27" t="s">
        <v>132</v>
      </c>
      <c r="V27" t="s">
        <v>132</v>
      </c>
      <c r="W27" t="s">
        <v>131</v>
      </c>
      <c r="X27" t="s">
        <v>5</v>
      </c>
      <c r="Y27" t="str">
        <f>_xlfn.IFNA(_xlfn.XLOOKUP(D27,[1]Especificação!$G:$G,[1]Especificação!$C:$C),0)</f>
        <v>F1. Fora âmbito | Campos concluídos - Sem necessidade de espec.</v>
      </c>
    </row>
    <row r="28" spans="1:25" ht="15" hidden="1">
      <c r="A28" s="40" t="str">
        <f t="shared" si="0"/>
        <v>INSTRUMENT_CHNNL_ORGNTN</v>
      </c>
      <c r="B28" s="40"/>
      <c r="C28" t="s">
        <v>127</v>
      </c>
      <c r="D28" t="s">
        <v>168</v>
      </c>
      <c r="E28" t="s">
        <v>6</v>
      </c>
      <c r="F28" t="s">
        <v>31</v>
      </c>
      <c r="G28" t="s">
        <v>145</v>
      </c>
      <c r="H28" t="s">
        <v>169</v>
      </c>
      <c r="J28" t="s">
        <v>29</v>
      </c>
      <c r="K28" s="15">
        <v>45450</v>
      </c>
      <c r="L28" t="s">
        <v>31</v>
      </c>
      <c r="M28" t="str">
        <f>IF(COUNTIFS(PRO_LT_SCORECARD_FLEX_VALIDATIO!$K:$K, _xlfn.CONCAT(C28,D28), PRO_LT_SCORECARD_FLEX_VALIDATIO!$G:$G, "KO") &gt; 0, "NOK", "OK")</f>
        <v>OK</v>
      </c>
      <c r="O28" s="15">
        <v>45296</v>
      </c>
      <c r="Q28" t="s">
        <v>13</v>
      </c>
      <c r="R28" t="s">
        <v>131</v>
      </c>
      <c r="S28" t="s">
        <v>132</v>
      </c>
      <c r="T28" t="s">
        <v>132</v>
      </c>
      <c r="U28" t="s">
        <v>132</v>
      </c>
      <c r="V28" t="s">
        <v>132</v>
      </c>
      <c r="W28" t="s">
        <v>132</v>
      </c>
      <c r="X28" t="s">
        <v>5</v>
      </c>
      <c r="Y28">
        <f>_xlfn.IFNA(_xlfn.XLOOKUP(D28,[1]Especificação!$G:$G,[1]Especificação!$C:$C),0)</f>
        <v>0</v>
      </c>
    </row>
    <row r="29" spans="1:25" ht="15" hidden="1">
      <c r="A29" s="40" t="str">
        <f t="shared" si="0"/>
        <v>ENTITY_CLLCTN_MD</v>
      </c>
      <c r="B29" s="40"/>
      <c r="C29" t="s">
        <v>139</v>
      </c>
      <c r="D29" t="s">
        <v>170</v>
      </c>
      <c r="E29" t="s">
        <v>6</v>
      </c>
      <c r="F29" t="s">
        <v>38</v>
      </c>
      <c r="G29" t="s">
        <v>129</v>
      </c>
      <c r="H29" t="s">
        <v>130</v>
      </c>
      <c r="J29" t="s">
        <v>26</v>
      </c>
      <c r="K29" s="15">
        <v>45450</v>
      </c>
      <c r="L29" t="s">
        <v>38</v>
      </c>
      <c r="M29" t="str">
        <f>IF(COUNTIFS(PRO_LT_SCORECARD_FLEX_VALIDATIO!$K:$K, _xlfn.CONCAT(C29,D29), PRO_LT_SCORECARD_FLEX_VALIDATIO!$G:$G, "KO") &gt; 0, "NOK", "OK")</f>
        <v>NOK</v>
      </c>
      <c r="Q29" t="s">
        <v>30</v>
      </c>
      <c r="R29" t="s">
        <v>131</v>
      </c>
      <c r="S29" t="s">
        <v>132</v>
      </c>
      <c r="T29" t="s">
        <v>132</v>
      </c>
      <c r="U29" t="s">
        <v>132</v>
      </c>
      <c r="V29" t="s">
        <v>132</v>
      </c>
      <c r="W29" t="s">
        <v>132</v>
      </c>
      <c r="X29" t="s">
        <v>5</v>
      </c>
      <c r="Y29">
        <f>_xlfn.IFNA(_xlfn.XLOOKUP(D29,[1]Especificação!$G:$G,[1]Especificação!$C:$C),0)</f>
        <v>0</v>
      </c>
    </row>
    <row r="30" spans="1:25" ht="15" hidden="1">
      <c r="A30" s="40" t="str">
        <f t="shared" si="0"/>
        <v>ENTITY_TTL_INTRST_PD</v>
      </c>
      <c r="B30" s="40"/>
      <c r="C30" t="s">
        <v>139</v>
      </c>
      <c r="D30" t="s">
        <v>171</v>
      </c>
      <c r="E30" t="s">
        <v>6</v>
      </c>
      <c r="F30" t="s">
        <v>25</v>
      </c>
      <c r="G30" t="s">
        <v>145</v>
      </c>
      <c r="H30" t="s">
        <v>172</v>
      </c>
      <c r="J30" t="s">
        <v>29</v>
      </c>
      <c r="K30" s="15">
        <v>45958</v>
      </c>
      <c r="L30" t="s">
        <v>38</v>
      </c>
      <c r="M30" t="str">
        <f>IF(COUNTIFS(PRO_LT_SCORECARD_FLEX_VALIDATIO!$K:$K, _xlfn.CONCAT(C30,D30), PRO_LT_SCORECARD_FLEX_VALIDATIO!$G:$G, "KO") &gt; 0, "NOK", "OK")</f>
        <v>OK</v>
      </c>
      <c r="P30" s="15">
        <v>45958</v>
      </c>
      <c r="Q30" t="s">
        <v>13</v>
      </c>
      <c r="R30" t="s">
        <v>131</v>
      </c>
      <c r="S30" t="s">
        <v>132</v>
      </c>
      <c r="T30" t="s">
        <v>132</v>
      </c>
      <c r="U30" t="s">
        <v>132</v>
      </c>
      <c r="V30" t="s">
        <v>132</v>
      </c>
      <c r="W30" t="s">
        <v>131</v>
      </c>
      <c r="X30" t="s">
        <v>136</v>
      </c>
      <c r="Y30" t="str">
        <f>_xlfn.IFNA(_xlfn.XLOOKUP(D30,[1]Especificação!$G:$G,[1]Especificação!$C:$C),0)</f>
        <v>B2. Re-especificação de campos complexos - Resto</v>
      </c>
    </row>
    <row r="31" spans="1:25" ht="15" hidden="1">
      <c r="A31" s="40" t="str">
        <f t="shared" si="0"/>
        <v>INSTRUMENT_CMMTMNT_INCPTN_INSTRMNT</v>
      </c>
      <c r="B31" s="40"/>
      <c r="C31" t="s">
        <v>127</v>
      </c>
      <c r="D31" t="s">
        <v>173</v>
      </c>
      <c r="E31" t="s">
        <v>14</v>
      </c>
      <c r="F31" t="s">
        <v>36</v>
      </c>
      <c r="G31" t="s">
        <v>145</v>
      </c>
      <c r="H31" t="s">
        <v>174</v>
      </c>
      <c r="J31" t="s">
        <v>29</v>
      </c>
      <c r="K31" s="15">
        <v>45450</v>
      </c>
      <c r="L31" t="s">
        <v>36</v>
      </c>
      <c r="M31" t="str">
        <f>IF(COUNTIFS(PRO_LT_SCORECARD_FLEX_VALIDATIO!$K:$K, _xlfn.CONCAT(C31,D31), PRO_LT_SCORECARD_FLEX_VALIDATIO!$G:$G, "KO") &gt; 0, "NOK", "OK")</f>
        <v>OK</v>
      </c>
      <c r="Q31" t="s">
        <v>8</v>
      </c>
      <c r="R31" t="s">
        <v>131</v>
      </c>
      <c r="S31" t="s">
        <v>132</v>
      </c>
      <c r="T31" t="s">
        <v>132</v>
      </c>
      <c r="U31" t="s">
        <v>132</v>
      </c>
      <c r="V31" t="s">
        <v>132</v>
      </c>
      <c r="W31" t="s">
        <v>132</v>
      </c>
      <c r="X31" t="s">
        <v>5</v>
      </c>
      <c r="Y31">
        <f>_xlfn.IFNA(_xlfn.XLOOKUP(D31,[1]Especificação!$G:$G,[1]Especificação!$C:$C),0)</f>
        <v>0</v>
      </c>
    </row>
    <row r="32" spans="1:25" ht="15" hidden="1">
      <c r="A32" s="40" t="str">
        <f t="shared" si="0"/>
        <v>PROTECTION_RL_ESTT_CLLTRL_LCTN</v>
      </c>
      <c r="B32" s="40"/>
      <c r="C32" t="s">
        <v>156</v>
      </c>
      <c r="D32" t="s">
        <v>175</v>
      </c>
      <c r="E32" t="s">
        <v>14</v>
      </c>
      <c r="F32" t="s">
        <v>25</v>
      </c>
      <c r="G32" t="s">
        <v>145</v>
      </c>
      <c r="H32" t="s">
        <v>176</v>
      </c>
      <c r="J32" t="s">
        <v>29</v>
      </c>
      <c r="K32" s="15">
        <v>45450</v>
      </c>
      <c r="L32" t="s">
        <v>25</v>
      </c>
      <c r="M32" t="str">
        <f>IF(COUNTIFS(PRO_LT_SCORECARD_FLEX_VALIDATIO!$K:$K, _xlfn.CONCAT(C32,D32), PRO_LT_SCORECARD_FLEX_VALIDATIO!$G:$G, "KO") &gt; 0, "NOK", "OK")</f>
        <v>OK</v>
      </c>
      <c r="Q32" t="s">
        <v>13</v>
      </c>
      <c r="R32" t="s">
        <v>131</v>
      </c>
      <c r="S32" t="s">
        <v>132</v>
      </c>
      <c r="T32" t="s">
        <v>131</v>
      </c>
      <c r="U32" t="s">
        <v>132</v>
      </c>
      <c r="V32" t="s">
        <v>131</v>
      </c>
      <c r="W32" t="s">
        <v>132</v>
      </c>
      <c r="X32" t="s">
        <v>5</v>
      </c>
      <c r="Y32">
        <f>_xlfn.IFNA(_xlfn.XLOOKUP(D32,[1]Especificação!$G:$G,[1]Especificação!$C:$C),0)</f>
        <v>0</v>
      </c>
    </row>
    <row r="33" spans="1:25" s="9" customFormat="1" ht="15" hidden="1">
      <c r="A33" s="40" t="str">
        <f t="shared" si="0"/>
        <v>INSTRUMENT_CMPLNT_MRTR_C19_NM</v>
      </c>
      <c r="B33" s="40"/>
      <c r="C33" t="s">
        <v>127</v>
      </c>
      <c r="D33" t="s">
        <v>177</v>
      </c>
      <c r="E33" t="s">
        <v>6</v>
      </c>
      <c r="F33" t="s">
        <v>38</v>
      </c>
      <c r="G33" t="s">
        <v>129</v>
      </c>
      <c r="H33" t="s">
        <v>130</v>
      </c>
      <c r="I33"/>
      <c r="J33" t="s">
        <v>26</v>
      </c>
      <c r="K33" s="15">
        <v>45450</v>
      </c>
      <c r="L33" t="s">
        <v>38</v>
      </c>
      <c r="M33" t="str">
        <f>IF(COUNTIFS(PRO_LT_SCORECARD_FLEX_VALIDATIO!$K:$K, _xlfn.CONCAT(C33,D33), PRO_LT_SCORECARD_FLEX_VALIDATIO!$G:$G, "KO") &gt; 0, "NOK", "OK")</f>
        <v>OK</v>
      </c>
      <c r="Q33" t="s">
        <v>30</v>
      </c>
      <c r="R33" t="s">
        <v>131</v>
      </c>
      <c r="S33" t="s">
        <v>132</v>
      </c>
      <c r="T33" t="s">
        <v>132</v>
      </c>
      <c r="U33" t="s">
        <v>132</v>
      </c>
      <c r="V33" t="s">
        <v>132</v>
      </c>
      <c r="W33" t="s">
        <v>132</v>
      </c>
      <c r="X33" t="s">
        <v>5</v>
      </c>
      <c r="Y33">
        <f>_xlfn.IFNA(_xlfn.XLOOKUP(D33,[1]Especificação!$G:$G,[1]Especificação!$C:$C),0)</f>
        <v>0</v>
      </c>
    </row>
    <row r="34" spans="1:25" ht="15" hidden="1">
      <c r="A34" s="40" t="str">
        <f t="shared" si="0"/>
        <v>INSTRUMENT_CNSMPTN_FNRP18</v>
      </c>
      <c r="B34" s="40"/>
      <c r="C34" t="s">
        <v>127</v>
      </c>
      <c r="D34" t="s">
        <v>178</v>
      </c>
      <c r="E34" t="s">
        <v>6</v>
      </c>
      <c r="F34" t="s">
        <v>38</v>
      </c>
      <c r="G34" t="s">
        <v>129</v>
      </c>
      <c r="H34" t="s">
        <v>130</v>
      </c>
      <c r="J34" t="s">
        <v>26</v>
      </c>
      <c r="K34" s="15">
        <v>45450</v>
      </c>
      <c r="L34" t="s">
        <v>38</v>
      </c>
      <c r="M34" t="str">
        <f>IF(COUNTIFS(PRO_LT_SCORECARD_FLEX_VALIDATIO!$K:$K, _xlfn.CONCAT(C34,D34), PRO_LT_SCORECARD_FLEX_VALIDATIO!$G:$G, "KO") &gt; 0, "NOK", "OK")</f>
        <v>OK</v>
      </c>
      <c r="Q34" t="s">
        <v>30</v>
      </c>
      <c r="R34" t="s">
        <v>131</v>
      </c>
      <c r="S34" t="s">
        <v>132</v>
      </c>
      <c r="T34" t="s">
        <v>132</v>
      </c>
      <c r="U34" t="s">
        <v>132</v>
      </c>
      <c r="V34" t="s">
        <v>132</v>
      </c>
      <c r="W34" t="s">
        <v>132</v>
      </c>
      <c r="X34" t="s">
        <v>5</v>
      </c>
      <c r="Y34">
        <f>_xlfn.IFNA(_xlfn.XLOOKUP(D34,[1]Especificação!$G:$G,[1]Especificação!$C:$C),0)</f>
        <v>0</v>
      </c>
    </row>
    <row r="35" spans="1:25" ht="15" hidden="1">
      <c r="A35" s="40" t="str">
        <f t="shared" si="0"/>
        <v>PROTECTION_DT_APPRSL_PRVS</v>
      </c>
      <c r="B35" s="40"/>
      <c r="C35" t="s">
        <v>156</v>
      </c>
      <c r="D35" s="10" t="s">
        <v>179</v>
      </c>
      <c r="E35" t="s">
        <v>14</v>
      </c>
      <c r="F35" t="s">
        <v>35</v>
      </c>
      <c r="G35" t="s">
        <v>145</v>
      </c>
      <c r="H35" t="s">
        <v>180</v>
      </c>
      <c r="I35" t="s">
        <v>181</v>
      </c>
      <c r="J35" t="s">
        <v>26</v>
      </c>
      <c r="K35" s="15">
        <v>45670</v>
      </c>
      <c r="L35" t="s">
        <v>38</v>
      </c>
      <c r="M35" t="str">
        <f>IF(COUNTIFS(PRO_LT_SCORECARD_FLEX_VALIDATIO!$K:$K, _xlfn.CONCAT(C35,D35), PRO_LT_SCORECARD_FLEX_VALIDATIO!$G:$G, "KO") &gt; 0, "NOK", "OK")</f>
        <v>OK</v>
      </c>
      <c r="N35" t="s">
        <v>182</v>
      </c>
      <c r="O35" s="15">
        <v>45485</v>
      </c>
      <c r="P35" s="15">
        <v>45646</v>
      </c>
      <c r="Q35" t="s">
        <v>34</v>
      </c>
      <c r="R35" t="s">
        <v>131</v>
      </c>
      <c r="S35" t="s">
        <v>132</v>
      </c>
      <c r="T35" t="s">
        <v>132</v>
      </c>
      <c r="U35" t="s">
        <v>132</v>
      </c>
      <c r="V35" t="s">
        <v>132</v>
      </c>
      <c r="W35" t="s">
        <v>132</v>
      </c>
      <c r="X35" t="s">
        <v>5</v>
      </c>
      <c r="Y35">
        <f>_xlfn.IFNA(_xlfn.XLOOKUP(D35,[1]Especificação!$G:$G,[1]Especificação!$C:$C),0)</f>
        <v>0</v>
      </c>
    </row>
    <row r="36" spans="1:25" ht="15" hidden="1">
      <c r="A36" s="40" t="str">
        <f t="shared" si="0"/>
        <v>INSTRUMENT_CNTRCT_ID</v>
      </c>
      <c r="B36" s="40"/>
      <c r="C36" t="s">
        <v>127</v>
      </c>
      <c r="D36" t="s">
        <v>183</v>
      </c>
      <c r="E36" t="s">
        <v>14</v>
      </c>
      <c r="F36" t="s">
        <v>38</v>
      </c>
      <c r="G36" t="s">
        <v>129</v>
      </c>
      <c r="H36" t="s">
        <v>130</v>
      </c>
      <c r="J36" t="s">
        <v>26</v>
      </c>
      <c r="K36" s="15">
        <v>45450</v>
      </c>
      <c r="L36" t="s">
        <v>38</v>
      </c>
      <c r="M36" t="str">
        <f>IF(COUNTIFS(PRO_LT_SCORECARD_FLEX_VALIDATIO!$K:$K, _xlfn.CONCAT(C36,D36), PRO_LT_SCORECARD_FLEX_VALIDATIO!$G:$G, "KO") &gt; 0, "NOK", "OK")</f>
        <v>OK</v>
      </c>
      <c r="Q36" t="s">
        <v>30</v>
      </c>
      <c r="R36" t="s">
        <v>131</v>
      </c>
      <c r="S36" t="s">
        <v>132</v>
      </c>
      <c r="T36" t="s">
        <v>132</v>
      </c>
      <c r="U36" t="s">
        <v>132</v>
      </c>
      <c r="V36" t="s">
        <v>132</v>
      </c>
      <c r="W36" t="s">
        <v>132</v>
      </c>
      <c r="X36" t="s">
        <v>5</v>
      </c>
      <c r="Y36">
        <f>_xlfn.IFNA(_xlfn.XLOOKUP(D36,[1]Especificação!$G:$G,[1]Especificação!$C:$C),0)</f>
        <v>0</v>
      </c>
    </row>
    <row r="37" spans="1:25" ht="15" hidden="1">
      <c r="A37" s="40" t="str">
        <f t="shared" si="0"/>
        <v>INSTRUMENT_CNTRCT_ID_BDR</v>
      </c>
      <c r="B37" s="40"/>
      <c r="C37" t="s">
        <v>127</v>
      </c>
      <c r="D37" t="s">
        <v>184</v>
      </c>
      <c r="E37" t="s">
        <v>6</v>
      </c>
      <c r="F37" t="s">
        <v>38</v>
      </c>
      <c r="G37" t="s">
        <v>129</v>
      </c>
      <c r="H37" t="s">
        <v>130</v>
      </c>
      <c r="J37" t="s">
        <v>26</v>
      </c>
      <c r="K37" s="15">
        <v>45450</v>
      </c>
      <c r="L37" t="s">
        <v>38</v>
      </c>
      <c r="M37" t="str">
        <f>IF(COUNTIFS(PRO_LT_SCORECARD_FLEX_VALIDATIO!$K:$K, _xlfn.CONCAT(C37,D37), PRO_LT_SCORECARD_FLEX_VALIDATIO!$G:$G, "KO") &gt; 0, "NOK", "OK")</f>
        <v>OK</v>
      </c>
      <c r="Q37" t="s">
        <v>30</v>
      </c>
      <c r="R37" t="s">
        <v>131</v>
      </c>
      <c r="S37" t="s">
        <v>132</v>
      </c>
      <c r="T37" t="s">
        <v>132</v>
      </c>
      <c r="U37" t="s">
        <v>132</v>
      </c>
      <c r="V37" t="s">
        <v>132</v>
      </c>
      <c r="W37" t="s">
        <v>132</v>
      </c>
      <c r="X37" t="s">
        <v>5</v>
      </c>
      <c r="Y37">
        <f>_xlfn.IFNA(_xlfn.XLOOKUP(D37,[1]Especificação!$G:$G,[1]Especificação!$C:$C),0)</f>
        <v>0</v>
      </c>
    </row>
    <row r="38" spans="1:25" ht="15" hidden="1">
      <c r="A38" s="40" t="str">
        <f t="shared" si="0"/>
        <v>ENTITY_CNTRY</v>
      </c>
      <c r="B38" s="40"/>
      <c r="C38" t="s">
        <v>139</v>
      </c>
      <c r="D38" t="s">
        <v>185</v>
      </c>
      <c r="E38" t="s">
        <v>14</v>
      </c>
      <c r="F38" t="s">
        <v>38</v>
      </c>
      <c r="G38" t="s">
        <v>129</v>
      </c>
      <c r="H38" t="s">
        <v>130</v>
      </c>
      <c r="J38" t="s">
        <v>26</v>
      </c>
      <c r="K38" s="15">
        <v>45958</v>
      </c>
      <c r="L38" t="s">
        <v>38</v>
      </c>
      <c r="M38" t="str">
        <f>IF(COUNTIFS(PRO_LT_SCORECARD_FLEX_VALIDATIO!$K:$K, _xlfn.CONCAT(C38,D38), PRO_LT_SCORECARD_FLEX_VALIDATIO!$G:$G, "KO") &gt; 0, "NOK", "OK")</f>
        <v>OK</v>
      </c>
      <c r="P38" s="15">
        <v>45958</v>
      </c>
      <c r="Q38" t="s">
        <v>30</v>
      </c>
      <c r="R38" t="s">
        <v>131</v>
      </c>
      <c r="S38" t="s">
        <v>132</v>
      </c>
      <c r="T38" t="s">
        <v>131</v>
      </c>
      <c r="U38" t="s">
        <v>132</v>
      </c>
      <c r="V38" t="s">
        <v>131</v>
      </c>
      <c r="W38" t="s">
        <v>131</v>
      </c>
      <c r="X38" t="s">
        <v>5</v>
      </c>
      <c r="Y38" t="str">
        <f>_xlfn.IFNA(_xlfn.XLOOKUP(D38,[1]Especificação!$G:$G,[1]Especificação!$C:$C),0)</f>
        <v>B2. Re-especificação de campos complexos - Resto</v>
      </c>
    </row>
    <row r="39" spans="1:25" ht="15" hidden="1">
      <c r="A39" s="40" t="str">
        <f t="shared" si="0"/>
        <v>ENTITY_COD_SOC</v>
      </c>
      <c r="B39" s="40"/>
      <c r="C39" t="s">
        <v>139</v>
      </c>
      <c r="D39" t="s">
        <v>186</v>
      </c>
      <c r="E39" t="s">
        <v>14</v>
      </c>
      <c r="F39" t="s">
        <v>38</v>
      </c>
      <c r="G39" t="s">
        <v>129</v>
      </c>
      <c r="H39" t="s">
        <v>130</v>
      </c>
      <c r="J39" t="s">
        <v>26</v>
      </c>
      <c r="K39" s="15">
        <v>45450</v>
      </c>
      <c r="L39" t="s">
        <v>38</v>
      </c>
      <c r="M39" t="str">
        <f>IF(COUNTIFS(PRO_LT_SCORECARD_FLEX_VALIDATIO!$K:$K, _xlfn.CONCAT(C39,D39), PRO_LT_SCORECARD_FLEX_VALIDATIO!$G:$G, "KO") &gt; 0, "NOK", "OK")</f>
        <v>OK</v>
      </c>
      <c r="Q39" t="s">
        <v>30</v>
      </c>
      <c r="R39" t="s">
        <v>131</v>
      </c>
      <c r="S39" t="s">
        <v>132</v>
      </c>
      <c r="T39" t="s">
        <v>131</v>
      </c>
      <c r="U39" t="s">
        <v>132</v>
      </c>
      <c r="V39" t="s">
        <v>131</v>
      </c>
      <c r="W39" t="s">
        <v>131</v>
      </c>
      <c r="X39" t="s">
        <v>5</v>
      </c>
      <c r="Y39" t="str">
        <f>_xlfn.IFNA(_xlfn.XLOOKUP(D39,[1]Especificação!$G:$G,[1]Especificação!$C:$C),0)</f>
        <v>F1. Fora âmbito | Campos concluídos - Sem necessidade de espec.</v>
      </c>
    </row>
    <row r="40" spans="1:25" ht="15" hidden="1">
      <c r="A40" s="40" t="str">
        <f t="shared" si="0"/>
        <v>INSTR_ENTITY_COD_SOC</v>
      </c>
      <c r="B40" s="40"/>
      <c r="C40" t="s">
        <v>187</v>
      </c>
      <c r="D40" t="s">
        <v>186</v>
      </c>
      <c r="E40" t="s">
        <v>14</v>
      </c>
      <c r="F40" t="s">
        <v>38</v>
      </c>
      <c r="G40" t="s">
        <v>129</v>
      </c>
      <c r="H40" t="s">
        <v>130</v>
      </c>
      <c r="J40" t="s">
        <v>26</v>
      </c>
      <c r="K40" s="15">
        <v>45450</v>
      </c>
      <c r="L40" t="s">
        <v>38</v>
      </c>
      <c r="M40" t="str">
        <f>IF(COUNTIFS(PRO_LT_SCORECARD_FLEX_VALIDATIO!$K:$K, _xlfn.CONCAT(C40,D40), PRO_LT_SCORECARD_FLEX_VALIDATIO!$G:$G, "KO") &gt; 0, "NOK", "OK")</f>
        <v>OK</v>
      </c>
      <c r="Q40" t="s">
        <v>30</v>
      </c>
      <c r="R40" t="s">
        <v>131</v>
      </c>
      <c r="S40" t="s">
        <v>132</v>
      </c>
      <c r="T40" t="s">
        <v>131</v>
      </c>
      <c r="U40" t="s">
        <v>132</v>
      </c>
      <c r="V40" t="s">
        <v>132</v>
      </c>
      <c r="W40" t="s">
        <v>131</v>
      </c>
      <c r="X40" t="s">
        <v>5</v>
      </c>
      <c r="Y40" t="str">
        <f>_xlfn.IFNA(_xlfn.XLOOKUP(D40,[1]Especificação!$G:$G,[1]Especificação!$C:$C),0)</f>
        <v>F1. Fora âmbito | Campos concluídos - Sem necessidade de espec.</v>
      </c>
    </row>
    <row r="41" spans="1:25" ht="15" hidden="1">
      <c r="A41" s="40" t="str">
        <f t="shared" si="0"/>
        <v>INSTR_PROTECTION_COD_SOC</v>
      </c>
      <c r="B41" s="40"/>
      <c r="C41" t="s">
        <v>188</v>
      </c>
      <c r="D41" t="s">
        <v>186</v>
      </c>
      <c r="E41" t="s">
        <v>14</v>
      </c>
      <c r="F41" t="s">
        <v>38</v>
      </c>
      <c r="G41" t="s">
        <v>129</v>
      </c>
      <c r="H41" t="s">
        <v>130</v>
      </c>
      <c r="J41" t="s">
        <v>26</v>
      </c>
      <c r="K41" s="15">
        <v>45450</v>
      </c>
      <c r="L41" t="s">
        <v>38</v>
      </c>
      <c r="M41" t="str">
        <f>IF(COUNTIFS(PRO_LT_SCORECARD_FLEX_VALIDATIO!$K:$K, _xlfn.CONCAT(C41,D41), PRO_LT_SCORECARD_FLEX_VALIDATIO!$G:$G, "KO") &gt; 0, "NOK", "OK")</f>
        <v>OK</v>
      </c>
      <c r="Q41" t="s">
        <v>30</v>
      </c>
      <c r="R41" t="s">
        <v>131</v>
      </c>
      <c r="S41" t="s">
        <v>131</v>
      </c>
      <c r="T41" t="s">
        <v>131</v>
      </c>
      <c r="U41" t="s">
        <v>132</v>
      </c>
      <c r="V41" t="s">
        <v>132</v>
      </c>
      <c r="W41" t="s">
        <v>132</v>
      </c>
      <c r="X41" t="s">
        <v>5</v>
      </c>
      <c r="Y41" t="str">
        <f>_xlfn.IFNA(_xlfn.XLOOKUP(D41,[1]Especificação!$G:$G,[1]Especificação!$C:$C),0)</f>
        <v>F1. Fora âmbito | Campos concluídos - Sem necessidade de espec.</v>
      </c>
    </row>
    <row r="42" spans="1:25" ht="15" hidden="1">
      <c r="A42" s="40" t="str">
        <f t="shared" si="0"/>
        <v>INSTRUMENT_COD_SOC</v>
      </c>
      <c r="B42" s="40"/>
      <c r="C42" t="s">
        <v>127</v>
      </c>
      <c r="D42" t="s">
        <v>186</v>
      </c>
      <c r="E42" t="s">
        <v>14</v>
      </c>
      <c r="F42" t="s">
        <v>38</v>
      </c>
      <c r="G42" t="s">
        <v>129</v>
      </c>
      <c r="H42" t="s">
        <v>130</v>
      </c>
      <c r="J42" t="s">
        <v>26</v>
      </c>
      <c r="K42" s="15">
        <v>45450</v>
      </c>
      <c r="L42" t="s">
        <v>38</v>
      </c>
      <c r="M42" t="str">
        <f>IF(COUNTIFS(PRO_LT_SCORECARD_FLEX_VALIDATIO!$K:$K, _xlfn.CONCAT(C42,D42), PRO_LT_SCORECARD_FLEX_VALIDATIO!$G:$G, "KO") &gt; 0, "NOK", "OK")</f>
        <v>OK</v>
      </c>
      <c r="Q42" t="s">
        <v>30</v>
      </c>
      <c r="R42" t="s">
        <v>131</v>
      </c>
      <c r="S42" t="s">
        <v>131</v>
      </c>
      <c r="T42" t="s">
        <v>131</v>
      </c>
      <c r="U42" t="s">
        <v>132</v>
      </c>
      <c r="V42" t="s">
        <v>131</v>
      </c>
      <c r="W42" t="s">
        <v>131</v>
      </c>
      <c r="X42" t="s">
        <v>5</v>
      </c>
      <c r="Y42" t="str">
        <f>_xlfn.IFNA(_xlfn.XLOOKUP(D42,[1]Especificação!$G:$G,[1]Especificação!$C:$C),0)</f>
        <v>F1. Fora âmbito | Campos concluídos - Sem necessidade de espec.</v>
      </c>
    </row>
    <row r="43" spans="1:25" ht="15" hidden="1">
      <c r="A43" s="40" t="str">
        <f t="shared" si="0"/>
        <v>PROTECTION_COD_SOC</v>
      </c>
      <c r="B43" s="40"/>
      <c r="C43" t="s">
        <v>156</v>
      </c>
      <c r="D43" t="s">
        <v>186</v>
      </c>
      <c r="E43" t="s">
        <v>14</v>
      </c>
      <c r="F43" t="s">
        <v>38</v>
      </c>
      <c r="G43" t="s">
        <v>129</v>
      </c>
      <c r="H43" t="s">
        <v>130</v>
      </c>
      <c r="J43" t="s">
        <v>26</v>
      </c>
      <c r="K43" s="15">
        <v>45450</v>
      </c>
      <c r="L43" t="s">
        <v>38</v>
      </c>
      <c r="M43" t="str">
        <f>IF(COUNTIFS(PRO_LT_SCORECARD_FLEX_VALIDATIO!$K:$K, _xlfn.CONCAT(C43,D43), PRO_LT_SCORECARD_FLEX_VALIDATIO!$G:$G, "KO") &gt; 0, "NOK", "OK")</f>
        <v>OK</v>
      </c>
      <c r="Q43" t="s">
        <v>30</v>
      </c>
      <c r="R43" t="s">
        <v>131</v>
      </c>
      <c r="S43" t="s">
        <v>131</v>
      </c>
      <c r="T43" t="s">
        <v>131</v>
      </c>
      <c r="U43" t="s">
        <v>132</v>
      </c>
      <c r="V43" t="s">
        <v>131</v>
      </c>
      <c r="W43" t="s">
        <v>132</v>
      </c>
      <c r="X43" t="s">
        <v>5</v>
      </c>
      <c r="Y43" t="str">
        <f>_xlfn.IFNA(_xlfn.XLOOKUP(D43,[1]Especificação!$G:$G,[1]Especificação!$C:$C),0)</f>
        <v>F1. Fora âmbito | Campos concluídos - Sem necessidade de espec.</v>
      </c>
    </row>
    <row r="44" spans="1:25" ht="15" hidden="1">
      <c r="A44" s="40" t="str">
        <f t="shared" si="0"/>
        <v>INSTRUMENT_COD_SOC_INTRGRP</v>
      </c>
      <c r="B44" s="40"/>
      <c r="C44" t="s">
        <v>127</v>
      </c>
      <c r="D44" t="s">
        <v>189</v>
      </c>
      <c r="E44" t="s">
        <v>14</v>
      </c>
      <c r="F44" t="s">
        <v>31</v>
      </c>
      <c r="G44" t="s">
        <v>145</v>
      </c>
      <c r="H44" t="s">
        <v>169</v>
      </c>
      <c r="J44" t="s">
        <v>29</v>
      </c>
      <c r="K44" s="15">
        <v>45460</v>
      </c>
      <c r="L44" t="s">
        <v>33</v>
      </c>
      <c r="M44" t="str">
        <f>IF(COUNTIFS(PRO_LT_SCORECARD_FLEX_VALIDATIO!$K:$K, _xlfn.CONCAT(C44,D44), PRO_LT_SCORECARD_FLEX_VALIDATIO!$G:$G, "KO") &gt; 0, "NOK", "OK")</f>
        <v>OK</v>
      </c>
      <c r="O44" s="15">
        <v>45303</v>
      </c>
      <c r="P44" s="15">
        <v>45379</v>
      </c>
      <c r="Q44" t="s">
        <v>19</v>
      </c>
      <c r="R44" t="s">
        <v>131</v>
      </c>
      <c r="S44" t="s">
        <v>131</v>
      </c>
      <c r="T44" t="s">
        <v>132</v>
      </c>
      <c r="U44" t="s">
        <v>132</v>
      </c>
      <c r="V44" t="s">
        <v>132</v>
      </c>
      <c r="W44" t="s">
        <v>132</v>
      </c>
      <c r="X44" t="s">
        <v>5</v>
      </c>
      <c r="Y44">
        <f>_xlfn.IFNA(_xlfn.XLOOKUP(D44,[1]Especificação!$G:$G,[1]Especificação!$C:$C),0)</f>
        <v>0</v>
      </c>
    </row>
    <row r="45" spans="1:25" ht="15" hidden="1">
      <c r="A45" s="40" t="str">
        <f t="shared" si="0"/>
        <v>INSTRUMENT_CPN_CRRNCY</v>
      </c>
      <c r="B45" s="40"/>
      <c r="C45" t="s">
        <v>127</v>
      </c>
      <c r="D45" t="s">
        <v>190</v>
      </c>
      <c r="E45" t="s">
        <v>6</v>
      </c>
      <c r="F45" t="s">
        <v>38</v>
      </c>
      <c r="G45" t="s">
        <v>129</v>
      </c>
      <c r="H45" t="s">
        <v>130</v>
      </c>
      <c r="J45" t="s">
        <v>26</v>
      </c>
      <c r="K45" s="15">
        <v>45450</v>
      </c>
      <c r="L45" t="s">
        <v>38</v>
      </c>
      <c r="M45" t="str">
        <f>IF(COUNTIFS(PRO_LT_SCORECARD_FLEX_VALIDATIO!$K:$K, _xlfn.CONCAT(C45,D45), PRO_LT_SCORECARD_FLEX_VALIDATIO!$G:$G, "KO") &gt; 0, "NOK", "OK")</f>
        <v>OK</v>
      </c>
      <c r="Q45" t="s">
        <v>30</v>
      </c>
      <c r="R45" t="s">
        <v>131</v>
      </c>
      <c r="S45" t="s">
        <v>132</v>
      </c>
      <c r="T45" t="s">
        <v>132</v>
      </c>
      <c r="U45" t="s">
        <v>132</v>
      </c>
      <c r="V45" t="s">
        <v>132</v>
      </c>
      <c r="W45" t="s">
        <v>132</v>
      </c>
      <c r="X45" t="s">
        <v>5</v>
      </c>
      <c r="Y45">
        <f>_xlfn.IFNA(_xlfn.XLOOKUP(D45,[1]Especificação!$G:$G,[1]Especificação!$C:$C),0)</f>
        <v>0</v>
      </c>
    </row>
    <row r="46" spans="1:25" ht="15" hidden="1">
      <c r="A46" s="40" t="str">
        <f t="shared" si="0"/>
        <v>INSTRUMENT_CPN_RT_FXD</v>
      </c>
      <c r="B46" s="40"/>
      <c r="C46" t="s">
        <v>127</v>
      </c>
      <c r="D46" t="s">
        <v>191</v>
      </c>
      <c r="E46" t="s">
        <v>6</v>
      </c>
      <c r="F46" t="s">
        <v>38</v>
      </c>
      <c r="G46" t="s">
        <v>129</v>
      </c>
      <c r="H46" t="s">
        <v>130</v>
      </c>
      <c r="J46" t="s">
        <v>26</v>
      </c>
      <c r="K46" s="15">
        <v>45450</v>
      </c>
      <c r="L46" t="s">
        <v>38</v>
      </c>
      <c r="M46" t="str">
        <f>IF(COUNTIFS(PRO_LT_SCORECARD_FLEX_VALIDATIO!$K:$K, _xlfn.CONCAT(C46,D46), PRO_LT_SCORECARD_FLEX_VALIDATIO!$G:$G, "KO") &gt; 0, "NOK", "OK")</f>
        <v>OK</v>
      </c>
      <c r="Q46" t="s">
        <v>30</v>
      </c>
      <c r="R46" t="s">
        <v>131</v>
      </c>
      <c r="S46" t="s">
        <v>132</v>
      </c>
      <c r="T46" t="s">
        <v>132</v>
      </c>
      <c r="U46" t="s">
        <v>132</v>
      </c>
      <c r="V46" t="s">
        <v>132</v>
      </c>
      <c r="W46" t="s">
        <v>132</v>
      </c>
      <c r="X46" t="s">
        <v>5</v>
      </c>
      <c r="Y46">
        <f>_xlfn.IFNA(_xlfn.XLOOKUP(D46,[1]Especificação!$G:$G,[1]Especificação!$C:$C),0)</f>
        <v>0</v>
      </c>
    </row>
    <row r="47" spans="1:25" ht="15" hidden="1">
      <c r="A47" s="40" t="str">
        <f t="shared" si="0"/>
        <v>ENTITY_CR_FLG</v>
      </c>
      <c r="B47" s="40"/>
      <c r="C47" t="s">
        <v>139</v>
      </c>
      <c r="D47" t="s">
        <v>192</v>
      </c>
      <c r="E47" t="s">
        <v>6</v>
      </c>
      <c r="F47" t="s">
        <v>36</v>
      </c>
      <c r="G47" t="s">
        <v>145</v>
      </c>
      <c r="H47" t="s">
        <v>158</v>
      </c>
      <c r="J47" t="s">
        <v>29</v>
      </c>
      <c r="K47" s="15">
        <v>45952</v>
      </c>
      <c r="L47" t="s">
        <v>25</v>
      </c>
      <c r="M47" t="str">
        <f>IF(COUNTIFS(PRO_LT_SCORECARD_FLEX_VALIDATIO!$K:$K, _xlfn.CONCAT(C47,D47), PRO_LT_SCORECARD_FLEX_VALIDATIO!$G:$G, "KO") &gt; 0, "NOK", "OK")</f>
        <v>NOK</v>
      </c>
      <c r="N47" t="s">
        <v>1173</v>
      </c>
      <c r="O47" s="15"/>
      <c r="P47" s="15">
        <v>45952</v>
      </c>
      <c r="Q47" t="s">
        <v>8</v>
      </c>
      <c r="R47" t="s">
        <v>131</v>
      </c>
      <c r="S47" t="s">
        <v>132</v>
      </c>
      <c r="T47" t="s">
        <v>132</v>
      </c>
      <c r="U47" t="s">
        <v>132</v>
      </c>
      <c r="V47" t="s">
        <v>132</v>
      </c>
      <c r="W47" t="s">
        <v>132</v>
      </c>
      <c r="X47" t="s">
        <v>5</v>
      </c>
      <c r="Y47">
        <f>_xlfn.IFNA(_xlfn.XLOOKUP(D47,[1]Especificação!$G:$G,[1]Especificação!$C:$C),0)</f>
        <v>0</v>
      </c>
    </row>
    <row r="48" spans="1:25" ht="15" hidden="1">
      <c r="A48" s="40" t="str">
        <f t="shared" si="0"/>
        <v>INSTRUMENT_CRE_FNRP18</v>
      </c>
      <c r="B48" s="40"/>
      <c r="C48" t="s">
        <v>127</v>
      </c>
      <c r="D48" t="s">
        <v>193</v>
      </c>
      <c r="E48" t="s">
        <v>14</v>
      </c>
      <c r="F48" t="s">
        <v>38</v>
      </c>
      <c r="G48" t="s">
        <v>129</v>
      </c>
      <c r="H48" t="s">
        <v>130</v>
      </c>
      <c r="J48" t="s">
        <v>26</v>
      </c>
      <c r="K48" s="15">
        <v>45952</v>
      </c>
      <c r="L48" t="s">
        <v>38</v>
      </c>
      <c r="M48" t="str">
        <f>IF(COUNTIFS(PRO_LT_SCORECARD_FLEX_VALIDATIO!$K:$K, _xlfn.CONCAT(C48,D48), PRO_LT_SCORECARD_FLEX_VALIDATIO!$G:$G, "KO") &gt; 0, "NOK", "OK")</f>
        <v>OK</v>
      </c>
      <c r="P48" s="15">
        <v>45952</v>
      </c>
      <c r="Q48" t="s">
        <v>30</v>
      </c>
      <c r="R48" t="s">
        <v>131</v>
      </c>
      <c r="S48" t="s">
        <v>132</v>
      </c>
      <c r="T48" t="s">
        <v>132</v>
      </c>
      <c r="U48" t="s">
        <v>132</v>
      </c>
      <c r="V48" t="s">
        <v>132</v>
      </c>
      <c r="W48" t="s">
        <v>132</v>
      </c>
      <c r="X48" t="s">
        <v>5</v>
      </c>
      <c r="Y48">
        <f>_xlfn.IFNA(_xlfn.XLOOKUP(D48,[1]Especificação!$G:$G,[1]Especificação!$C:$C),0)</f>
        <v>0</v>
      </c>
    </row>
    <row r="49" spans="1:25" ht="15" hidden="1">
      <c r="A49" s="40" t="str">
        <f t="shared" si="0"/>
        <v>PROTECTION_CRE_INCM_CRRNCY</v>
      </c>
      <c r="B49" s="40"/>
      <c r="C49" t="s">
        <v>156</v>
      </c>
      <c r="D49" t="s">
        <v>194</v>
      </c>
      <c r="E49" t="s">
        <v>6</v>
      </c>
      <c r="F49" t="s">
        <v>37</v>
      </c>
      <c r="G49" t="s">
        <v>145</v>
      </c>
      <c r="H49" t="s">
        <v>195</v>
      </c>
      <c r="J49" t="s">
        <v>26</v>
      </c>
      <c r="K49" s="15">
        <v>45450</v>
      </c>
      <c r="L49" t="s">
        <v>37</v>
      </c>
      <c r="M49" t="str">
        <f>IF(COUNTIFS(PRO_LT_SCORECARD_FLEX_VALIDATIO!$K:$K, _xlfn.CONCAT(C49,D49), PRO_LT_SCORECARD_FLEX_VALIDATIO!$G:$G, "KO") &gt; 0, "NOK", "OK")</f>
        <v>OK</v>
      </c>
      <c r="Q49" t="s">
        <v>27</v>
      </c>
      <c r="R49" t="s">
        <v>131</v>
      </c>
      <c r="S49" t="s">
        <v>132</v>
      </c>
      <c r="T49" t="s">
        <v>132</v>
      </c>
      <c r="U49" t="s">
        <v>132</v>
      </c>
      <c r="V49" t="s">
        <v>132</v>
      </c>
      <c r="W49" t="s">
        <v>132</v>
      </c>
      <c r="X49" t="s">
        <v>5</v>
      </c>
      <c r="Y49">
        <f>_xlfn.IFNA(_xlfn.XLOOKUP(D49,[1]Especificação!$G:$G,[1]Especificação!$C:$C),0)</f>
        <v>0</v>
      </c>
    </row>
    <row r="50" spans="1:25" ht="15" hidden="1">
      <c r="A50" s="40" t="str">
        <f t="shared" si="0"/>
        <v>PROTECTION_CRE_YRLY_EXPNSS</v>
      </c>
      <c r="B50" s="40"/>
      <c r="C50" t="s">
        <v>156</v>
      </c>
      <c r="D50" t="s">
        <v>196</v>
      </c>
      <c r="E50" t="s">
        <v>6</v>
      </c>
      <c r="F50" t="s">
        <v>37</v>
      </c>
      <c r="G50" t="s">
        <v>129</v>
      </c>
      <c r="H50" t="s">
        <v>195</v>
      </c>
      <c r="J50" t="s">
        <v>26</v>
      </c>
      <c r="K50" s="15">
        <v>45450</v>
      </c>
      <c r="L50" t="s">
        <v>37</v>
      </c>
      <c r="M50" t="str">
        <f>IF(COUNTIFS(PRO_LT_SCORECARD_FLEX_VALIDATIO!$K:$K, _xlfn.CONCAT(C50,D50), PRO_LT_SCORECARD_FLEX_VALIDATIO!$G:$G, "KO") &gt; 0, "NOK", "OK")</f>
        <v>OK</v>
      </c>
      <c r="Q50" t="s">
        <v>27</v>
      </c>
      <c r="R50" t="s">
        <v>131</v>
      </c>
      <c r="S50" t="s">
        <v>132</v>
      </c>
      <c r="T50" t="s">
        <v>132</v>
      </c>
      <c r="U50" t="s">
        <v>132</v>
      </c>
      <c r="V50" t="s">
        <v>132</v>
      </c>
      <c r="W50" t="s">
        <v>132</v>
      </c>
      <c r="X50" t="s">
        <v>5</v>
      </c>
      <c r="Y50">
        <f>_xlfn.IFNA(_xlfn.XLOOKUP(D50,[1]Especificação!$G:$G,[1]Especificação!$C:$C),0)</f>
        <v>0</v>
      </c>
    </row>
    <row r="51" spans="1:25" ht="15" hidden="1">
      <c r="A51" s="40" t="str">
        <f t="shared" si="0"/>
        <v>PROTECTION_CRE_YRLY_INCM</v>
      </c>
      <c r="B51" s="40"/>
      <c r="C51" t="s">
        <v>156</v>
      </c>
      <c r="D51" t="s">
        <v>197</v>
      </c>
      <c r="E51" t="s">
        <v>6</v>
      </c>
      <c r="F51" t="s">
        <v>37</v>
      </c>
      <c r="G51" t="s">
        <v>129</v>
      </c>
      <c r="H51" t="s">
        <v>195</v>
      </c>
      <c r="J51" t="s">
        <v>26</v>
      </c>
      <c r="K51" s="15">
        <v>45450</v>
      </c>
      <c r="L51" t="s">
        <v>37</v>
      </c>
      <c r="M51" t="str">
        <f>IF(COUNTIFS(PRO_LT_SCORECARD_FLEX_VALIDATIO!$K:$K, _xlfn.CONCAT(C51,D51), PRO_LT_SCORECARD_FLEX_VALIDATIO!$G:$G, "KO") &gt; 0, "NOK", "OK")</f>
        <v>OK</v>
      </c>
      <c r="Q51" t="s">
        <v>27</v>
      </c>
      <c r="R51" t="s">
        <v>131</v>
      </c>
      <c r="S51" t="s">
        <v>132</v>
      </c>
      <c r="T51" t="s">
        <v>132</v>
      </c>
      <c r="U51" t="s">
        <v>132</v>
      </c>
      <c r="V51" t="s">
        <v>132</v>
      </c>
      <c r="W51" t="s">
        <v>132</v>
      </c>
      <c r="X51" t="s">
        <v>5</v>
      </c>
      <c r="Y51">
        <f>_xlfn.IFNA(_xlfn.XLOOKUP(D51,[1]Especificação!$G:$G,[1]Especificação!$C:$C),0)</f>
        <v>0</v>
      </c>
    </row>
    <row r="52" spans="1:25" ht="15" hidden="1">
      <c r="A52" s="40" t="str">
        <f t="shared" si="0"/>
        <v>INSTRUMENT_CRRLTN_CFFCNT</v>
      </c>
      <c r="B52" s="40"/>
      <c r="C52" t="s">
        <v>127</v>
      </c>
      <c r="D52" t="s">
        <v>198</v>
      </c>
      <c r="E52" t="s">
        <v>6</v>
      </c>
      <c r="F52" t="s">
        <v>36</v>
      </c>
      <c r="G52" t="s">
        <v>145</v>
      </c>
      <c r="H52" t="s">
        <v>158</v>
      </c>
      <c r="J52" t="s">
        <v>29</v>
      </c>
      <c r="K52" s="15">
        <v>45450</v>
      </c>
      <c r="L52" t="s">
        <v>36</v>
      </c>
      <c r="M52" t="str">
        <f>IF(COUNTIFS(PRO_LT_SCORECARD_FLEX_VALIDATIO!$K:$K, _xlfn.CONCAT(C52,D52), PRO_LT_SCORECARD_FLEX_VALIDATIO!$G:$G, "KO") &gt; 0, "NOK", "OK")</f>
        <v>NOK</v>
      </c>
      <c r="Q52" t="s">
        <v>8</v>
      </c>
      <c r="R52" t="s">
        <v>131</v>
      </c>
      <c r="S52" t="s">
        <v>132</v>
      </c>
      <c r="T52" t="s">
        <v>132</v>
      </c>
      <c r="U52" t="s">
        <v>132</v>
      </c>
      <c r="V52" t="s">
        <v>132</v>
      </c>
      <c r="W52" t="s">
        <v>132</v>
      </c>
      <c r="X52" t="s">
        <v>5</v>
      </c>
      <c r="Y52">
        <f>_xlfn.IFNA(_xlfn.XLOOKUP(D52,[1]Especificação!$G:$G,[1]Especificação!$C:$C),0)</f>
        <v>0</v>
      </c>
    </row>
    <row r="53" spans="1:25" ht="15" hidden="1">
      <c r="A53" s="40" t="str">
        <f t="shared" si="0"/>
        <v>INSTRUMENT_CRRNCY_DNMNTN</v>
      </c>
      <c r="B53" s="40"/>
      <c r="C53" t="s">
        <v>127</v>
      </c>
      <c r="D53" t="s">
        <v>199</v>
      </c>
      <c r="E53" t="s">
        <v>14</v>
      </c>
      <c r="F53" t="s">
        <v>38</v>
      </c>
      <c r="G53" t="s">
        <v>129</v>
      </c>
      <c r="H53" t="s">
        <v>130</v>
      </c>
      <c r="J53" t="s">
        <v>26</v>
      </c>
      <c r="K53" s="15">
        <v>45450</v>
      </c>
      <c r="L53" t="s">
        <v>38</v>
      </c>
      <c r="M53" t="str">
        <f>IF(COUNTIFS(PRO_LT_SCORECARD_FLEX_VALIDATIO!$K:$K, _xlfn.CONCAT(C53,D53), PRO_LT_SCORECARD_FLEX_VALIDATIO!$G:$G, "KO") &gt; 0, "NOK", "OK")</f>
        <v>OK</v>
      </c>
      <c r="Q53" t="s">
        <v>30</v>
      </c>
      <c r="R53" t="s">
        <v>131</v>
      </c>
      <c r="S53" t="s">
        <v>132</v>
      </c>
      <c r="T53" t="s">
        <v>132</v>
      </c>
      <c r="U53" t="s">
        <v>132</v>
      </c>
      <c r="V53" t="s">
        <v>132</v>
      </c>
      <c r="W53" t="s">
        <v>131</v>
      </c>
      <c r="X53" t="s">
        <v>5</v>
      </c>
      <c r="Y53" t="str">
        <f>_xlfn.IFNA(_xlfn.XLOOKUP(D53,[1]Especificação!$G:$G,[1]Especificação!$C:$C),0)</f>
        <v>F1. Fora âmbito | Campos concluídos - Sem necessidade de espec.</v>
      </c>
    </row>
    <row r="54" spans="1:25" ht="15" hidden="1">
      <c r="A54" s="40" t="str">
        <f t="shared" si="0"/>
        <v>INSTRUMENT_CRRYNG_AMNT_INSTRMNT</v>
      </c>
      <c r="B54" s="40"/>
      <c r="C54" t="s">
        <v>127</v>
      </c>
      <c r="D54" t="s">
        <v>200</v>
      </c>
      <c r="E54" t="s">
        <v>14</v>
      </c>
      <c r="F54" t="s">
        <v>38</v>
      </c>
      <c r="G54" t="s">
        <v>129</v>
      </c>
      <c r="H54" t="s">
        <v>130</v>
      </c>
      <c r="J54" t="s">
        <v>26</v>
      </c>
      <c r="K54" s="15">
        <v>45450</v>
      </c>
      <c r="L54" t="s">
        <v>38</v>
      </c>
      <c r="M54" t="str">
        <f>IF(COUNTIFS(PRO_LT_SCORECARD_FLEX_VALIDATIO!$K:$K, _xlfn.CONCAT(C54,D54), PRO_LT_SCORECARD_FLEX_VALIDATIO!$G:$G, "KO") &gt; 0, "NOK", "OK")</f>
        <v>NOK</v>
      </c>
      <c r="Q54" t="s">
        <v>30</v>
      </c>
      <c r="R54" t="s">
        <v>131</v>
      </c>
      <c r="S54" t="s">
        <v>132</v>
      </c>
      <c r="T54" t="s">
        <v>132</v>
      </c>
      <c r="U54" t="s">
        <v>132</v>
      </c>
      <c r="V54" t="s">
        <v>132</v>
      </c>
      <c r="W54" t="s">
        <v>131</v>
      </c>
      <c r="X54" t="s">
        <v>5</v>
      </c>
      <c r="Y54" t="str">
        <f>_xlfn.IFNA(_xlfn.XLOOKUP(D54,[1]Especificação!$G:$G,[1]Especificação!$C:$C),0)</f>
        <v>F1. Fora âmbito | Campos concluídos - Sem necessidade de espec.</v>
      </c>
    </row>
    <row r="55" spans="1:25" ht="15" hidden="1">
      <c r="A55" s="40" t="str">
        <f t="shared" si="0"/>
        <v>ENTITY_CSH</v>
      </c>
      <c r="B55" s="40"/>
      <c r="C55" t="s">
        <v>139</v>
      </c>
      <c r="D55" t="s">
        <v>201</v>
      </c>
      <c r="E55" t="s">
        <v>14</v>
      </c>
      <c r="F55" t="s">
        <v>25</v>
      </c>
      <c r="G55" t="s">
        <v>129</v>
      </c>
      <c r="H55" t="s">
        <v>141</v>
      </c>
      <c r="I55" t="s">
        <v>142</v>
      </c>
      <c r="J55" t="s">
        <v>29</v>
      </c>
      <c r="K55" s="15">
        <v>45450</v>
      </c>
      <c r="L55" t="s">
        <v>25</v>
      </c>
      <c r="M55" t="str">
        <f>IF(COUNTIFS(PRO_LT_SCORECARD_FLEX_VALIDATIO!$K:$K, _xlfn.CONCAT(C55,D55), PRO_LT_SCORECARD_FLEX_VALIDATIO!$G:$G, "KO") &gt; 0, "NOK", "OK")</f>
        <v>NOK</v>
      </c>
      <c r="Q55" t="s">
        <v>13</v>
      </c>
      <c r="R55" t="s">
        <v>131</v>
      </c>
      <c r="S55" t="s">
        <v>132</v>
      </c>
      <c r="T55" t="s">
        <v>132</v>
      </c>
      <c r="U55" t="s">
        <v>132</v>
      </c>
      <c r="V55" t="s">
        <v>132</v>
      </c>
      <c r="W55" t="s">
        <v>132</v>
      </c>
      <c r="X55" t="s">
        <v>5</v>
      </c>
      <c r="Y55">
        <f>_xlfn.IFNA(_xlfn.XLOOKUP(D55,[1]Especificação!$G:$G,[1]Especificação!$C:$C),0)</f>
        <v>0</v>
      </c>
    </row>
    <row r="56" spans="1:25" ht="15" hidden="1">
      <c r="A56" s="40" t="str">
        <f t="shared" si="0"/>
        <v>ENTITY_CSH_PRVS</v>
      </c>
      <c r="B56" s="40"/>
      <c r="C56" t="s">
        <v>139</v>
      </c>
      <c r="D56" t="s">
        <v>202</v>
      </c>
      <c r="E56" t="s">
        <v>14</v>
      </c>
      <c r="F56" t="s">
        <v>25</v>
      </c>
      <c r="G56" t="s">
        <v>129</v>
      </c>
      <c r="H56" t="s">
        <v>141</v>
      </c>
      <c r="I56" t="s">
        <v>142</v>
      </c>
      <c r="J56" t="s">
        <v>29</v>
      </c>
      <c r="K56" s="15">
        <v>45450</v>
      </c>
      <c r="L56" t="s">
        <v>25</v>
      </c>
      <c r="M56" t="str">
        <f>IF(COUNTIFS(PRO_LT_SCORECARD_FLEX_VALIDATIO!$K:$K, _xlfn.CONCAT(C56,D56), PRO_LT_SCORECARD_FLEX_VALIDATIO!$G:$G, "KO") &gt; 0, "NOK", "OK")</f>
        <v>NOK</v>
      </c>
      <c r="Q56" t="s">
        <v>13</v>
      </c>
      <c r="R56" t="s">
        <v>131</v>
      </c>
      <c r="S56" t="s">
        <v>132</v>
      </c>
      <c r="T56" t="s">
        <v>132</v>
      </c>
      <c r="U56" t="s">
        <v>132</v>
      </c>
      <c r="V56" t="s">
        <v>132</v>
      </c>
      <c r="W56" t="s">
        <v>132</v>
      </c>
      <c r="X56" t="s">
        <v>5</v>
      </c>
      <c r="Y56">
        <f>_xlfn.IFNA(_xlfn.XLOOKUP(D56,[1]Especificação!$G:$G,[1]Especificação!$C:$C),0)</f>
        <v>0</v>
      </c>
    </row>
    <row r="57" spans="1:25" ht="15" hidden="1">
      <c r="A57" s="40" t="str">
        <f t="shared" si="0"/>
        <v>INSTRUMENT_CSH_SWP_TRP</v>
      </c>
      <c r="B57" s="40"/>
      <c r="C57" t="s">
        <v>127</v>
      </c>
      <c r="D57" t="s">
        <v>203</v>
      </c>
      <c r="E57" t="s">
        <v>14</v>
      </c>
      <c r="F57" t="s">
        <v>38</v>
      </c>
      <c r="G57" t="s">
        <v>129</v>
      </c>
      <c r="H57" t="s">
        <v>130</v>
      </c>
      <c r="J57" t="s">
        <v>26</v>
      </c>
      <c r="K57" s="15">
        <v>45450</v>
      </c>
      <c r="L57" t="s">
        <v>38</v>
      </c>
      <c r="M57" t="str">
        <f>IF(COUNTIFS(PRO_LT_SCORECARD_FLEX_VALIDATIO!$K:$K, _xlfn.CONCAT(C57,D57), PRO_LT_SCORECARD_FLEX_VALIDATIO!$G:$G, "KO") &gt; 0, "NOK", "OK")</f>
        <v>OK</v>
      </c>
      <c r="Q57" t="s">
        <v>30</v>
      </c>
      <c r="R57" t="s">
        <v>131</v>
      </c>
      <c r="S57" t="s">
        <v>132</v>
      </c>
      <c r="T57" t="s">
        <v>132</v>
      </c>
      <c r="U57" t="s">
        <v>132</v>
      </c>
      <c r="V57" t="s">
        <v>132</v>
      </c>
      <c r="W57" t="s">
        <v>131</v>
      </c>
      <c r="X57" t="s">
        <v>5</v>
      </c>
      <c r="Y57" t="str">
        <f>_xlfn.IFNA(_xlfn.XLOOKUP(D57,[1]Especificação!$G:$G,[1]Especificação!$C:$C),0)</f>
        <v>F1. Fora âmbito | Campos concluídos - Sem necessidade de espec.</v>
      </c>
    </row>
    <row r="58" spans="1:25" ht="15" hidden="1">
      <c r="A58" s="40" t="str">
        <f t="shared" si="0"/>
        <v>INSTRUMENT_CVNNT_STTS</v>
      </c>
      <c r="B58" s="40"/>
      <c r="C58" t="s">
        <v>127</v>
      </c>
      <c r="D58" t="s">
        <v>204</v>
      </c>
      <c r="E58" t="s">
        <v>6</v>
      </c>
      <c r="F58" t="s">
        <v>37</v>
      </c>
      <c r="G58" t="s">
        <v>129</v>
      </c>
      <c r="H58" t="s">
        <v>164</v>
      </c>
      <c r="J58" t="s">
        <v>26</v>
      </c>
      <c r="K58" s="15">
        <v>45450</v>
      </c>
      <c r="L58" t="s">
        <v>37</v>
      </c>
      <c r="M58" t="str">
        <f>IF(COUNTIFS(PRO_LT_SCORECARD_FLEX_VALIDATIO!$K:$K, _xlfn.CONCAT(C58,D58), PRO_LT_SCORECARD_FLEX_VALIDATIO!$G:$G, "KO") &gt; 0, "NOK", "OK")</f>
        <v>NOK</v>
      </c>
      <c r="Q58" t="s">
        <v>27</v>
      </c>
      <c r="R58" t="s">
        <v>131</v>
      </c>
      <c r="S58" t="s">
        <v>132</v>
      </c>
      <c r="T58" t="s">
        <v>132</v>
      </c>
      <c r="U58" t="s">
        <v>132</v>
      </c>
      <c r="V58" t="s">
        <v>132</v>
      </c>
      <c r="W58" t="s">
        <v>131</v>
      </c>
      <c r="X58" t="s">
        <v>143</v>
      </c>
      <c r="Y58" t="str">
        <f>_xlfn.IFNA(_xlfn.XLOOKUP(D58,[1]Especificação!$G:$G,[1]Especificação!$C:$C),0)</f>
        <v>F3. Fora âmbito | Fonte Manual LF</v>
      </c>
    </row>
    <row r="59" spans="1:25" ht="15" hidden="1">
      <c r="A59" s="40" t="str">
        <f t="shared" si="0"/>
        <v>INSTRUMENT_CVNNT_TYP</v>
      </c>
      <c r="B59" s="40"/>
      <c r="C59" t="s">
        <v>127</v>
      </c>
      <c r="D59" t="s">
        <v>205</v>
      </c>
      <c r="E59" t="s">
        <v>6</v>
      </c>
      <c r="F59" t="s">
        <v>38</v>
      </c>
      <c r="G59" t="s">
        <v>129</v>
      </c>
      <c r="H59" t="s">
        <v>130</v>
      </c>
      <c r="J59" t="s">
        <v>26</v>
      </c>
      <c r="K59" s="15">
        <v>45450</v>
      </c>
      <c r="L59" t="s">
        <v>38</v>
      </c>
      <c r="M59" t="str">
        <f>IF(COUNTIFS(PRO_LT_SCORECARD_FLEX_VALIDATIO!$K:$K, _xlfn.CONCAT(C59,D59), PRO_LT_SCORECARD_FLEX_VALIDATIO!$G:$G, "KO") &gt; 0, "NOK", "OK")</f>
        <v>OK</v>
      </c>
      <c r="Q59" t="s">
        <v>30</v>
      </c>
      <c r="R59" t="s">
        <v>131</v>
      </c>
      <c r="S59" t="s">
        <v>132</v>
      </c>
      <c r="T59" t="s">
        <v>132</v>
      </c>
      <c r="U59" t="s">
        <v>132</v>
      </c>
      <c r="V59" t="s">
        <v>132</v>
      </c>
      <c r="W59" t="s">
        <v>131</v>
      </c>
      <c r="X59" t="s">
        <v>143</v>
      </c>
      <c r="Y59" t="str">
        <f>_xlfn.IFNA(_xlfn.XLOOKUP(D59,[1]Especificação!$G:$G,[1]Especificação!$C:$C),0)</f>
        <v>F3. Fora âmbito | Fonte Manual LF</v>
      </c>
    </row>
    <row r="60" spans="1:25" ht="15" hidden="1">
      <c r="A60" s="40" t="str">
        <f t="shared" si="0"/>
        <v>ENTITY_DBT_RPYMNT_CPCTY_SNR_DBT</v>
      </c>
      <c r="B60" s="40"/>
      <c r="C60" t="s">
        <v>139</v>
      </c>
      <c r="D60" t="s">
        <v>206</v>
      </c>
      <c r="E60" t="s">
        <v>6</v>
      </c>
      <c r="F60" t="s">
        <v>37</v>
      </c>
      <c r="G60" t="s">
        <v>129</v>
      </c>
      <c r="H60" t="s">
        <v>164</v>
      </c>
      <c r="J60" t="s">
        <v>26</v>
      </c>
      <c r="K60" s="15">
        <v>45958</v>
      </c>
      <c r="L60" t="s">
        <v>38</v>
      </c>
      <c r="M60" t="str">
        <f>IF(COUNTIFS(PRO_LT_SCORECARD_FLEX_VALIDATIO!$K:$K, _xlfn.CONCAT(C60,D60), PRO_LT_SCORECARD_FLEX_VALIDATIO!$G:$G, "KO") &gt; 0, "NOK", "OK")</f>
        <v>NOK</v>
      </c>
      <c r="P60" s="15">
        <v>45958</v>
      </c>
      <c r="Q60" t="s">
        <v>27</v>
      </c>
      <c r="R60" t="s">
        <v>131</v>
      </c>
      <c r="S60" t="s">
        <v>132</v>
      </c>
      <c r="T60" t="s">
        <v>132</v>
      </c>
      <c r="U60" t="s">
        <v>132</v>
      </c>
      <c r="V60" t="s">
        <v>132</v>
      </c>
      <c r="W60" t="s">
        <v>131</v>
      </c>
      <c r="X60" t="s">
        <v>143</v>
      </c>
      <c r="Y60" t="str">
        <f>_xlfn.IFNA(_xlfn.XLOOKUP(D60,[1]Especificação!$G:$G,[1]Especificação!$C:$C),0)</f>
        <v>B2. Re-especificação de campos complexos - Resto</v>
      </c>
    </row>
    <row r="61" spans="1:25" ht="15" hidden="1">
      <c r="A61" s="40" t="str">
        <f t="shared" si="0"/>
        <v>ENTITY_DBT_RPYMNT_CPCTY_TTL</v>
      </c>
      <c r="B61" s="40"/>
      <c r="C61" t="s">
        <v>139</v>
      </c>
      <c r="D61" t="s">
        <v>207</v>
      </c>
      <c r="E61" t="s">
        <v>6</v>
      </c>
      <c r="F61" t="s">
        <v>38</v>
      </c>
      <c r="G61" t="s">
        <v>129</v>
      </c>
      <c r="H61" t="s">
        <v>130</v>
      </c>
      <c r="J61" t="s">
        <v>26</v>
      </c>
      <c r="K61" s="15">
        <v>45958</v>
      </c>
      <c r="L61" t="s">
        <v>38</v>
      </c>
      <c r="M61" t="str">
        <f>IF(COUNTIFS(PRO_LT_SCORECARD_FLEX_VALIDATIO!$K:$K, _xlfn.CONCAT(C61,D61), PRO_LT_SCORECARD_FLEX_VALIDATIO!$G:$G, "KO") &gt; 0, "NOK", "OK")</f>
        <v>NOK</v>
      </c>
      <c r="P61" s="15">
        <v>45958</v>
      </c>
      <c r="Q61" t="s">
        <v>30</v>
      </c>
      <c r="R61" t="s">
        <v>131</v>
      </c>
      <c r="S61" t="s">
        <v>132</v>
      </c>
      <c r="T61" t="s">
        <v>132</v>
      </c>
      <c r="U61" t="s">
        <v>132</v>
      </c>
      <c r="V61" t="s">
        <v>132</v>
      </c>
      <c r="W61" t="s">
        <v>131</v>
      </c>
      <c r="X61" t="s">
        <v>5</v>
      </c>
      <c r="Y61" t="str">
        <f>_xlfn.IFNA(_xlfn.XLOOKUP(D61,[1]Especificação!$G:$G,[1]Especificação!$C:$C),0)</f>
        <v>B2. Re-especificação de campos complexos - Resto</v>
      </c>
    </row>
    <row r="62" spans="1:25" ht="15" hidden="1">
      <c r="A62" s="40" t="str">
        <f t="shared" si="0"/>
        <v>ENTITY_DBT_SRVC_RT</v>
      </c>
      <c r="B62" s="40"/>
      <c r="C62" t="s">
        <v>139</v>
      </c>
      <c r="D62" t="s">
        <v>208</v>
      </c>
      <c r="E62" t="s">
        <v>14</v>
      </c>
      <c r="F62" t="s">
        <v>25</v>
      </c>
      <c r="G62" t="s">
        <v>129</v>
      </c>
      <c r="H62" t="s">
        <v>141</v>
      </c>
      <c r="I62" t="s">
        <v>142</v>
      </c>
      <c r="J62" t="s">
        <v>29</v>
      </c>
      <c r="K62" s="15">
        <v>45450</v>
      </c>
      <c r="L62" t="s">
        <v>25</v>
      </c>
      <c r="M62" t="str">
        <f>IF(COUNTIFS(PRO_LT_SCORECARD_FLEX_VALIDATIO!$K:$K, _xlfn.CONCAT(C62,D62), PRO_LT_SCORECARD_FLEX_VALIDATIO!$G:$G, "KO") &gt; 0, "NOK", "OK")</f>
        <v>NOK</v>
      </c>
      <c r="Q62" t="s">
        <v>13</v>
      </c>
      <c r="R62" t="s">
        <v>131</v>
      </c>
      <c r="S62" t="s">
        <v>132</v>
      </c>
      <c r="T62" t="s">
        <v>132</v>
      </c>
      <c r="U62" t="s">
        <v>132</v>
      </c>
      <c r="V62" t="s">
        <v>132</v>
      </c>
      <c r="W62" t="s">
        <v>132</v>
      </c>
      <c r="X62" t="s">
        <v>5</v>
      </c>
      <c r="Y62">
        <f>_xlfn.IFNA(_xlfn.XLOOKUP(D62,[1]Especificação!$G:$G,[1]Especificação!$C:$C),0)</f>
        <v>0</v>
      </c>
    </row>
    <row r="63" spans="1:25" ht="15" hidden="1">
      <c r="A63" s="40" t="str">
        <f t="shared" si="0"/>
        <v>ENTITY_DBT_SRVC_RT_12M</v>
      </c>
      <c r="B63" s="40"/>
      <c r="C63" t="s">
        <v>139</v>
      </c>
      <c r="D63" t="s">
        <v>209</v>
      </c>
      <c r="E63" t="s">
        <v>14</v>
      </c>
      <c r="F63" t="s">
        <v>25</v>
      </c>
      <c r="G63" t="s">
        <v>129</v>
      </c>
      <c r="H63" t="s">
        <v>141</v>
      </c>
      <c r="I63" t="s">
        <v>142</v>
      </c>
      <c r="J63" t="s">
        <v>29</v>
      </c>
      <c r="K63" s="15">
        <v>45450</v>
      </c>
      <c r="L63" t="s">
        <v>25</v>
      </c>
      <c r="M63" t="str">
        <f>IF(COUNTIFS(PRO_LT_SCORECARD_FLEX_VALIDATIO!$K:$K, _xlfn.CONCAT(C63,D63), PRO_LT_SCORECARD_FLEX_VALIDATIO!$G:$G, "KO") &gt; 0, "NOK", "OK")</f>
        <v>NOK</v>
      </c>
      <c r="Q63" t="s">
        <v>13</v>
      </c>
      <c r="R63" t="s">
        <v>131</v>
      </c>
      <c r="S63" t="s">
        <v>132</v>
      </c>
      <c r="T63" t="s">
        <v>132</v>
      </c>
      <c r="U63" t="s">
        <v>132</v>
      </c>
      <c r="V63" t="s">
        <v>132</v>
      </c>
      <c r="W63" t="s">
        <v>132</v>
      </c>
      <c r="X63" t="s">
        <v>5</v>
      </c>
      <c r="Y63">
        <f>_xlfn.IFNA(_xlfn.XLOOKUP(D63,[1]Especificação!$G:$G,[1]Especificação!$C:$C),0)</f>
        <v>0</v>
      </c>
    </row>
    <row r="64" spans="1:25" ht="15" hidden="1">
      <c r="A64" s="40" t="str">
        <f t="shared" si="0"/>
        <v>INSTRUMENT_DBT_YLD</v>
      </c>
      <c r="B64" s="40"/>
      <c r="C64" t="s">
        <v>127</v>
      </c>
      <c r="D64" t="s">
        <v>210</v>
      </c>
      <c r="E64" t="s">
        <v>6</v>
      </c>
      <c r="F64" t="s">
        <v>37</v>
      </c>
      <c r="G64" t="s">
        <v>129</v>
      </c>
      <c r="H64" t="s">
        <v>130</v>
      </c>
      <c r="J64" t="s">
        <v>26</v>
      </c>
      <c r="K64" s="15">
        <v>45450</v>
      </c>
      <c r="L64" t="s">
        <v>37</v>
      </c>
      <c r="M64" t="str">
        <f>IF(COUNTIFS(PRO_LT_SCORECARD_FLEX_VALIDATIO!$K:$K, _xlfn.CONCAT(C64,D64), PRO_LT_SCORECARD_FLEX_VALIDATIO!$G:$G, "KO") &gt; 0, "NOK", "OK")</f>
        <v>NOK</v>
      </c>
      <c r="Q64" t="s">
        <v>27</v>
      </c>
      <c r="R64" t="s">
        <v>131</v>
      </c>
      <c r="S64" t="s">
        <v>132</v>
      </c>
      <c r="T64" t="s">
        <v>132</v>
      </c>
      <c r="U64" t="s">
        <v>132</v>
      </c>
      <c r="V64" t="s">
        <v>132</v>
      </c>
      <c r="W64" t="s">
        <v>132</v>
      </c>
      <c r="X64" t="s">
        <v>5</v>
      </c>
      <c r="Y64">
        <f>_xlfn.IFNA(_xlfn.XLOOKUP(D64,[1]Especificação!$G:$G,[1]Especificação!$C:$C),0)</f>
        <v>0</v>
      </c>
    </row>
    <row r="65" spans="1:25" ht="15" hidden="1">
      <c r="A65" s="40" t="str">
        <f t="shared" si="0"/>
        <v>ENTITY_DCSD</v>
      </c>
      <c r="B65" s="40"/>
      <c r="C65" t="s">
        <v>139</v>
      </c>
      <c r="D65" t="s">
        <v>211</v>
      </c>
      <c r="E65" t="s">
        <v>6</v>
      </c>
      <c r="F65" t="s">
        <v>38</v>
      </c>
      <c r="G65" t="s">
        <v>129</v>
      </c>
      <c r="H65" t="s">
        <v>130</v>
      </c>
      <c r="J65" t="s">
        <v>26</v>
      </c>
      <c r="K65" s="15">
        <v>45450</v>
      </c>
      <c r="L65" t="s">
        <v>38</v>
      </c>
      <c r="M65" t="str">
        <f>IF(COUNTIFS(PRO_LT_SCORECARD_FLEX_VALIDATIO!$K:$K, _xlfn.CONCAT(C65,D65), PRO_LT_SCORECARD_FLEX_VALIDATIO!$G:$G, "KO") &gt; 0, "NOK", "OK")</f>
        <v>OK</v>
      </c>
      <c r="Q65" t="s">
        <v>30</v>
      </c>
      <c r="R65" t="s">
        <v>131</v>
      </c>
      <c r="S65" t="s">
        <v>132</v>
      </c>
      <c r="T65" t="s">
        <v>132</v>
      </c>
      <c r="U65" t="s">
        <v>132</v>
      </c>
      <c r="V65" t="s">
        <v>132</v>
      </c>
      <c r="W65" t="s">
        <v>132</v>
      </c>
      <c r="X65" t="s">
        <v>5</v>
      </c>
      <c r="Y65">
        <f>_xlfn.IFNA(_xlfn.XLOOKUP(D65,[1]Especificação!$G:$G,[1]Especificação!$C:$C),0)</f>
        <v>0</v>
      </c>
    </row>
    <row r="66" spans="1:25" ht="15" hidden="1">
      <c r="A66" s="40" t="str">
        <f t="shared" si="0"/>
        <v>ENTITY_DFLT_STTS</v>
      </c>
      <c r="B66" s="40"/>
      <c r="C66" t="s">
        <v>139</v>
      </c>
      <c r="D66" s="10" t="s">
        <v>212</v>
      </c>
      <c r="E66" t="s">
        <v>14</v>
      </c>
      <c r="F66" t="s">
        <v>28</v>
      </c>
      <c r="G66" t="s">
        <v>145</v>
      </c>
      <c r="H66" t="s">
        <v>213</v>
      </c>
      <c r="I66" t="s">
        <v>214</v>
      </c>
      <c r="J66" t="s">
        <v>32</v>
      </c>
      <c r="K66" s="15">
        <v>45957</v>
      </c>
      <c r="L66" t="s">
        <v>55</v>
      </c>
      <c r="M66" t="str">
        <f>IF(COUNTIFS(PRO_LT_SCORECARD_FLEX_VALIDATIO!$K:$K, _xlfn.CONCAT(C66,D66), PRO_LT_SCORECARD_FLEX_VALIDATIO!$G:$G, "KO") &gt; 0, "NOK", "OK")</f>
        <v>OK</v>
      </c>
      <c r="N66" t="s">
        <v>1194</v>
      </c>
      <c r="O66" s="15">
        <v>45957</v>
      </c>
      <c r="Q66" t="s">
        <v>39</v>
      </c>
      <c r="R66" t="s">
        <v>131</v>
      </c>
      <c r="S66" t="s">
        <v>132</v>
      </c>
      <c r="T66" t="s">
        <v>132</v>
      </c>
      <c r="U66" t="s">
        <v>132</v>
      </c>
      <c r="V66" t="s">
        <v>132</v>
      </c>
      <c r="W66" t="s">
        <v>131</v>
      </c>
      <c r="X66" t="s">
        <v>136</v>
      </c>
      <c r="Y66" t="str">
        <f>_xlfn.IFNA(_xlfn.XLOOKUP(D66,[1]Especificação!$G:$G,[1]Especificação!$C:$C),0)</f>
        <v xml:space="preserve">E. Campos com outras possíveis alterações - Dependente de decisões OSI </v>
      </c>
    </row>
    <row r="67" spans="1:25" ht="15" hidden="1">
      <c r="A67" s="40" t="str">
        <f t="shared" si="0"/>
        <v>INSTRUMENT_RFNNC_PRPS</v>
      </c>
      <c r="B67" s="40"/>
      <c r="C67" t="s">
        <v>127</v>
      </c>
      <c r="D67" t="s">
        <v>215</v>
      </c>
      <c r="E67" t="s">
        <v>14</v>
      </c>
      <c r="F67" t="s">
        <v>25</v>
      </c>
      <c r="G67" t="s">
        <v>129</v>
      </c>
      <c r="H67" t="s">
        <v>216</v>
      </c>
      <c r="I67" t="s">
        <v>217</v>
      </c>
      <c r="J67" t="s">
        <v>29</v>
      </c>
      <c r="K67" s="15">
        <v>45450</v>
      </c>
      <c r="L67" t="s">
        <v>25</v>
      </c>
      <c r="M67" t="str">
        <f>IF(COUNTIFS(PRO_LT_SCORECARD_FLEX_VALIDATIO!$K:$K, _xlfn.CONCAT(C67,D67), PRO_LT_SCORECARD_FLEX_VALIDATIO!$G:$G, "KO") &gt; 0, "NOK", "OK")</f>
        <v>OK</v>
      </c>
      <c r="Q67" t="s">
        <v>13</v>
      </c>
      <c r="R67" t="s">
        <v>131</v>
      </c>
      <c r="S67" t="s">
        <v>132</v>
      </c>
      <c r="T67" t="s">
        <v>132</v>
      </c>
      <c r="U67" t="s">
        <v>132</v>
      </c>
      <c r="V67" t="s">
        <v>132</v>
      </c>
      <c r="W67" t="s">
        <v>132</v>
      </c>
      <c r="X67" t="s">
        <v>5</v>
      </c>
      <c r="Y67">
        <f>_xlfn.IFNA(_xlfn.XLOOKUP(D67,[1]Especificação!$G:$G,[1]Especificação!$C:$C),0)</f>
        <v>0</v>
      </c>
    </row>
    <row r="68" spans="1:25" ht="15" hidden="1">
      <c r="A68" s="40" t="str">
        <f t="shared" si="0"/>
        <v>INSTRUMENT_DPD</v>
      </c>
      <c r="B68" s="40"/>
      <c r="C68" t="s">
        <v>127</v>
      </c>
      <c r="D68" t="s">
        <v>218</v>
      </c>
      <c r="E68" t="s">
        <v>14</v>
      </c>
      <c r="F68" t="s">
        <v>36</v>
      </c>
      <c r="G68" t="s">
        <v>145</v>
      </c>
      <c r="H68" t="s">
        <v>158</v>
      </c>
      <c r="J68" t="s">
        <v>29</v>
      </c>
      <c r="K68" s="15">
        <v>45958</v>
      </c>
      <c r="L68" t="s">
        <v>38</v>
      </c>
      <c r="M68" t="str">
        <f>IF(COUNTIFS(PRO_LT_SCORECARD_FLEX_VALIDATIO!$K:$K, _xlfn.CONCAT(C68,D68), PRO_LT_SCORECARD_FLEX_VALIDATIO!$G:$G, "KO") &gt; 0, "NOK", "OK")</f>
        <v>NOK</v>
      </c>
      <c r="P68" s="15">
        <v>45958</v>
      </c>
      <c r="Q68" t="s">
        <v>8</v>
      </c>
      <c r="R68" t="s">
        <v>131</v>
      </c>
      <c r="S68" t="s">
        <v>132</v>
      </c>
      <c r="T68" t="s">
        <v>132</v>
      </c>
      <c r="U68" t="s">
        <v>132</v>
      </c>
      <c r="V68" t="s">
        <v>132</v>
      </c>
      <c r="W68" t="s">
        <v>131</v>
      </c>
      <c r="X68" t="s">
        <v>136</v>
      </c>
      <c r="Y68" t="str">
        <f>_xlfn.IFNA(_xlfn.XLOOKUP(D68,[1]Especificação!$G:$G,[1]Especificação!$C:$C),0)</f>
        <v>D. Campos com NOK controlos Corporativos</v>
      </c>
    </row>
    <row r="69" spans="1:25" ht="15" hidden="1">
      <c r="A69" s="40" t="str">
        <f t="shared" si="0"/>
        <v>INSTRUMENT_DPD_12M</v>
      </c>
      <c r="B69" s="40"/>
      <c r="C69" t="s">
        <v>127</v>
      </c>
      <c r="D69" t="s">
        <v>219</v>
      </c>
      <c r="E69" t="s">
        <v>14</v>
      </c>
      <c r="F69" t="s">
        <v>36</v>
      </c>
      <c r="G69" t="s">
        <v>145</v>
      </c>
      <c r="H69" t="s">
        <v>158</v>
      </c>
      <c r="J69" t="s">
        <v>29</v>
      </c>
      <c r="K69" s="15">
        <v>45450</v>
      </c>
      <c r="L69" t="s">
        <v>36</v>
      </c>
      <c r="M69" t="str">
        <f>IF(COUNTIFS(PRO_LT_SCORECARD_FLEX_VALIDATIO!$K:$K, _xlfn.CONCAT(C69,D69), PRO_LT_SCORECARD_FLEX_VALIDATIO!$G:$G, "KO") &gt; 0, "NOK", "OK")</f>
        <v>NOK</v>
      </c>
      <c r="Q69" t="s">
        <v>8</v>
      </c>
      <c r="R69" t="s">
        <v>131</v>
      </c>
      <c r="S69" t="s">
        <v>132</v>
      </c>
      <c r="T69" t="s">
        <v>132</v>
      </c>
      <c r="U69" t="s">
        <v>132</v>
      </c>
      <c r="V69" t="s">
        <v>132</v>
      </c>
      <c r="W69" t="s">
        <v>132</v>
      </c>
      <c r="X69" t="s">
        <v>5</v>
      </c>
      <c r="Y69">
        <f>_xlfn.IFNA(_xlfn.XLOOKUP(D69,[1]Especificação!$G:$G,[1]Especificação!$C:$C),0)</f>
        <v>0</v>
      </c>
    </row>
    <row r="70" spans="1:25" ht="15" hidden="1">
      <c r="A70" s="40" t="str">
        <f t="shared" ref="A70:A133" si="1">C70&amp;"_"&amp;D70</f>
        <v>INSTRUMENT_DPD_12M_FRBRNC_STTS</v>
      </c>
      <c r="B70" s="40"/>
      <c r="C70" t="s">
        <v>127</v>
      </c>
      <c r="D70" t="s">
        <v>220</v>
      </c>
      <c r="E70" t="s">
        <v>14</v>
      </c>
      <c r="F70" t="s">
        <v>33</v>
      </c>
      <c r="G70" t="s">
        <v>145</v>
      </c>
      <c r="H70" t="s">
        <v>221</v>
      </c>
      <c r="J70" t="s">
        <v>29</v>
      </c>
      <c r="K70" s="15">
        <v>45450</v>
      </c>
      <c r="L70" t="s">
        <v>33</v>
      </c>
      <c r="M70" t="str">
        <f>IF(COUNTIFS(PRO_LT_SCORECARD_FLEX_VALIDATIO!$K:$K, _xlfn.CONCAT(C70,D70), PRO_LT_SCORECARD_FLEX_VALIDATIO!$G:$G, "KO") &gt; 0, "NOK", "OK")</f>
        <v>NOK</v>
      </c>
      <c r="O70" s="15">
        <v>44679</v>
      </c>
      <c r="P70" s="15">
        <v>44700</v>
      </c>
      <c r="Q70" t="s">
        <v>13</v>
      </c>
      <c r="R70" t="s">
        <v>131</v>
      </c>
      <c r="S70" t="s">
        <v>132</v>
      </c>
      <c r="T70" t="s">
        <v>132</v>
      </c>
      <c r="U70" t="s">
        <v>132</v>
      </c>
      <c r="V70" t="s">
        <v>132</v>
      </c>
      <c r="W70" t="s">
        <v>132</v>
      </c>
      <c r="X70" t="s">
        <v>5</v>
      </c>
      <c r="Y70">
        <f>_xlfn.IFNA(_xlfn.XLOOKUP(D70,[1]Especificação!$G:$G,[1]Especificação!$C:$C),0)</f>
        <v>0</v>
      </c>
    </row>
    <row r="71" spans="1:25" ht="15" hidden="1">
      <c r="A71" s="40" t="str">
        <f t="shared" si="1"/>
        <v>INSTRUMENT_DPD_12M_PRFRMNG_STTS</v>
      </c>
      <c r="B71" s="40"/>
      <c r="C71" t="s">
        <v>127</v>
      </c>
      <c r="D71" s="11" t="s">
        <v>48</v>
      </c>
      <c r="E71" t="s">
        <v>14</v>
      </c>
      <c r="F71" t="s">
        <v>33</v>
      </c>
      <c r="G71" t="s">
        <v>145</v>
      </c>
      <c r="H71" t="s">
        <v>222</v>
      </c>
      <c r="J71" t="s">
        <v>32</v>
      </c>
      <c r="K71" s="15">
        <v>45952</v>
      </c>
      <c r="L71" t="s">
        <v>38</v>
      </c>
      <c r="M71" t="str">
        <f>IF(COUNTIFS(PRO_LT_SCORECARD_FLEX_VALIDATIO!$K:$K, _xlfn.CONCAT(C71,D71), PRO_LT_SCORECARD_FLEX_VALIDATIO!$G:$G, "KO") &gt; 0, "NOK", "OK")</f>
        <v>OK</v>
      </c>
      <c r="O71" s="15">
        <v>45562</v>
      </c>
      <c r="P71" s="15">
        <v>45952</v>
      </c>
      <c r="Q71" t="s">
        <v>39</v>
      </c>
      <c r="R71" t="s">
        <v>131</v>
      </c>
      <c r="S71" t="s">
        <v>132</v>
      </c>
      <c r="T71" t="s">
        <v>132</v>
      </c>
      <c r="U71" t="s">
        <v>132</v>
      </c>
      <c r="V71" t="s">
        <v>132</v>
      </c>
      <c r="W71" t="s">
        <v>132</v>
      </c>
      <c r="X71" t="s">
        <v>5</v>
      </c>
      <c r="Y71">
        <f>_xlfn.IFNA(_xlfn.XLOOKUP(D71,[1]Especificação!$G:$G,[1]Especificação!$C:$C),0)</f>
        <v>0</v>
      </c>
    </row>
    <row r="72" spans="1:25" ht="15" hidden="1">
      <c r="A72" s="40" t="str">
        <f t="shared" si="1"/>
        <v>INSTRUMENT_DPD_24M_FRBRNC_STTS</v>
      </c>
      <c r="B72" s="40"/>
      <c r="C72" t="s">
        <v>127</v>
      </c>
      <c r="D72" t="s">
        <v>223</v>
      </c>
      <c r="E72" t="s">
        <v>14</v>
      </c>
      <c r="F72" t="s">
        <v>36</v>
      </c>
      <c r="G72" t="s">
        <v>145</v>
      </c>
      <c r="H72" t="s">
        <v>158</v>
      </c>
      <c r="J72" t="s">
        <v>29</v>
      </c>
      <c r="K72" s="15">
        <v>45450</v>
      </c>
      <c r="L72" t="s">
        <v>36</v>
      </c>
      <c r="M72" t="str">
        <f>IF(COUNTIFS(PRO_LT_SCORECARD_FLEX_VALIDATIO!$K:$K, _xlfn.CONCAT(C72,D72), PRO_LT_SCORECARD_FLEX_VALIDATIO!$G:$G, "KO") &gt; 0, "NOK", "OK")</f>
        <v>NOK</v>
      </c>
      <c r="O72" s="15"/>
      <c r="P72" s="15"/>
      <c r="Q72" t="s">
        <v>8</v>
      </c>
      <c r="R72" t="s">
        <v>131</v>
      </c>
      <c r="S72" t="s">
        <v>132</v>
      </c>
      <c r="T72" t="s">
        <v>132</v>
      </c>
      <c r="U72" t="s">
        <v>132</v>
      </c>
      <c r="V72" t="s">
        <v>132</v>
      </c>
      <c r="W72" t="s">
        <v>132</v>
      </c>
      <c r="X72" t="s">
        <v>5</v>
      </c>
      <c r="Y72">
        <f>_xlfn.IFNA(_xlfn.XLOOKUP(D72,[1]Especificação!$G:$G,[1]Especificação!$C:$C),0)</f>
        <v>0</v>
      </c>
    </row>
    <row r="73" spans="1:25" ht="15" hidden="1">
      <c r="A73" s="40" t="str">
        <f t="shared" si="1"/>
        <v>INSTRUMENT_DPD_24M_PRFRMNG_STTS</v>
      </c>
      <c r="B73" s="40"/>
      <c r="C73" t="s">
        <v>127</v>
      </c>
      <c r="D73" s="11" t="s">
        <v>49</v>
      </c>
      <c r="E73" t="s">
        <v>14</v>
      </c>
      <c r="F73" t="s">
        <v>33</v>
      </c>
      <c r="G73" t="s">
        <v>145</v>
      </c>
      <c r="H73" t="s">
        <v>224</v>
      </c>
      <c r="J73" t="s">
        <v>32</v>
      </c>
      <c r="K73" s="15">
        <v>45952</v>
      </c>
      <c r="L73" t="s">
        <v>38</v>
      </c>
      <c r="M73" t="str">
        <f>IF(COUNTIFS(PRO_LT_SCORECARD_FLEX_VALIDATIO!$K:$K, _xlfn.CONCAT(C73,D73), PRO_LT_SCORECARD_FLEX_VALIDATIO!$G:$G, "KO") &gt; 0, "NOK", "OK")</f>
        <v>OK</v>
      </c>
      <c r="O73" s="15">
        <v>45562</v>
      </c>
      <c r="P73" s="15">
        <v>45952</v>
      </c>
      <c r="Q73" t="s">
        <v>39</v>
      </c>
      <c r="R73" t="s">
        <v>131</v>
      </c>
      <c r="S73" t="s">
        <v>132</v>
      </c>
      <c r="T73" t="s">
        <v>132</v>
      </c>
      <c r="U73" t="s">
        <v>132</v>
      </c>
      <c r="V73" t="s">
        <v>132</v>
      </c>
      <c r="W73" t="s">
        <v>132</v>
      </c>
      <c r="X73" t="s">
        <v>5</v>
      </c>
      <c r="Y73">
        <f>_xlfn.IFNA(_xlfn.XLOOKUP(D73,[1]Especificação!$G:$G,[1]Especificação!$C:$C),0)</f>
        <v>0</v>
      </c>
    </row>
    <row r="74" spans="1:25" ht="15" hidden="1">
      <c r="A74" s="40" t="str">
        <f t="shared" si="1"/>
        <v>INSTRUMENT_DPD_FRBRNC_STTS</v>
      </c>
      <c r="B74" s="40"/>
      <c r="C74" t="s">
        <v>127</v>
      </c>
      <c r="D74" t="s">
        <v>225</v>
      </c>
      <c r="E74" t="s">
        <v>14</v>
      </c>
      <c r="F74" t="s">
        <v>36</v>
      </c>
      <c r="G74" t="s">
        <v>145</v>
      </c>
      <c r="H74" t="s">
        <v>158</v>
      </c>
      <c r="J74" t="s">
        <v>29</v>
      </c>
      <c r="K74" s="15">
        <v>45450</v>
      </c>
      <c r="L74" t="s">
        <v>36</v>
      </c>
      <c r="M74" t="str">
        <f>IF(COUNTIFS(PRO_LT_SCORECARD_FLEX_VALIDATIO!$K:$K, _xlfn.CONCAT(C74,D74), PRO_LT_SCORECARD_FLEX_VALIDATIO!$G:$G, "KO") &gt; 0, "NOK", "OK")</f>
        <v>NOK</v>
      </c>
      <c r="O74" s="15"/>
      <c r="P74" s="15"/>
      <c r="Q74" t="s">
        <v>8</v>
      </c>
      <c r="R74" t="s">
        <v>131</v>
      </c>
      <c r="S74" t="s">
        <v>132</v>
      </c>
      <c r="T74" t="s">
        <v>132</v>
      </c>
      <c r="U74" t="s">
        <v>132</v>
      </c>
      <c r="V74" t="s">
        <v>132</v>
      </c>
      <c r="W74" t="s">
        <v>132</v>
      </c>
      <c r="X74" t="s">
        <v>5</v>
      </c>
      <c r="Y74">
        <f>_xlfn.IFNA(_xlfn.XLOOKUP(D74,[1]Especificação!$G:$G,[1]Especificação!$C:$C),0)</f>
        <v>0</v>
      </c>
    </row>
    <row r="75" spans="1:25" ht="15" hidden="1">
      <c r="A75" s="40" t="str">
        <f t="shared" si="1"/>
        <v>INSTRUMENT_DPD_PRFRMNG_STTS</v>
      </c>
      <c r="B75" s="40"/>
      <c r="C75" t="s">
        <v>127</v>
      </c>
      <c r="D75" s="11" t="s">
        <v>50</v>
      </c>
      <c r="E75" t="s">
        <v>14</v>
      </c>
      <c r="F75" t="s">
        <v>33</v>
      </c>
      <c r="G75" t="s">
        <v>129</v>
      </c>
      <c r="H75" t="s">
        <v>224</v>
      </c>
      <c r="J75" t="s">
        <v>32</v>
      </c>
      <c r="K75" s="15">
        <v>45952</v>
      </c>
      <c r="L75" t="s">
        <v>38</v>
      </c>
      <c r="M75" t="str">
        <f>IF(COUNTIFS(PRO_LT_SCORECARD_FLEX_VALIDATIO!$K:$K, _xlfn.CONCAT(C75,D75), PRO_LT_SCORECARD_FLEX_VALIDATIO!$G:$G, "KO") &gt; 0, "NOK", "OK")</f>
        <v>OK</v>
      </c>
      <c r="O75" s="15">
        <v>45562</v>
      </c>
      <c r="P75" s="15">
        <v>45952</v>
      </c>
      <c r="Q75" t="s">
        <v>39</v>
      </c>
      <c r="R75" t="s">
        <v>131</v>
      </c>
      <c r="S75" t="s">
        <v>132</v>
      </c>
      <c r="T75" t="s">
        <v>132</v>
      </c>
      <c r="U75" t="s">
        <v>132</v>
      </c>
      <c r="V75" t="s">
        <v>132</v>
      </c>
      <c r="W75" t="s">
        <v>132</v>
      </c>
      <c r="X75" t="s">
        <v>5</v>
      </c>
      <c r="Y75">
        <f>_xlfn.IFNA(_xlfn.XLOOKUP(D75,[1]Especificação!$G:$G,[1]Especificação!$C:$C),0)</f>
        <v>0</v>
      </c>
    </row>
    <row r="76" spans="1:25" ht="15" hidden="1">
      <c r="A76" s="40" t="str">
        <f t="shared" si="1"/>
        <v>INSTRUMENT_DSTI</v>
      </c>
      <c r="B76" s="40"/>
      <c r="C76" t="s">
        <v>127</v>
      </c>
      <c r="D76" t="s">
        <v>226</v>
      </c>
      <c r="E76" t="s">
        <v>6</v>
      </c>
      <c r="F76" t="s">
        <v>20</v>
      </c>
      <c r="G76" t="s">
        <v>129</v>
      </c>
      <c r="H76" t="s">
        <v>227</v>
      </c>
      <c r="J76" t="s">
        <v>29</v>
      </c>
      <c r="K76" s="15">
        <v>45450</v>
      </c>
      <c r="L76" t="s">
        <v>20</v>
      </c>
      <c r="M76" t="str">
        <f>IF(COUNTIFS(PRO_LT_SCORECARD_FLEX_VALIDATIO!$K:$K, _xlfn.CONCAT(C76,D76), PRO_LT_SCORECARD_FLEX_VALIDATIO!$G:$G, "KO") &gt; 0, "NOK", "OK")</f>
        <v>NOK</v>
      </c>
      <c r="Q76" t="s">
        <v>19</v>
      </c>
      <c r="R76" t="s">
        <v>131</v>
      </c>
      <c r="S76" t="s">
        <v>132</v>
      </c>
      <c r="T76" t="s">
        <v>132</v>
      </c>
      <c r="U76" t="s">
        <v>132</v>
      </c>
      <c r="V76" t="s">
        <v>132</v>
      </c>
      <c r="W76" t="s">
        <v>132</v>
      </c>
      <c r="X76" t="s">
        <v>5</v>
      </c>
      <c r="Y76">
        <f>_xlfn.IFNA(_xlfn.XLOOKUP(D76,[1]Especificação!$G:$G,[1]Especificação!$C:$C),0)</f>
        <v>0</v>
      </c>
    </row>
    <row r="77" spans="1:25" ht="15" hidden="1">
      <c r="A77" s="40" t="str">
        <f t="shared" si="1"/>
        <v>PROTECTION_TYP_PRTCTN</v>
      </c>
      <c r="B77" s="40"/>
      <c r="C77" t="s">
        <v>156</v>
      </c>
      <c r="D77" s="10" t="s">
        <v>228</v>
      </c>
      <c r="E77" t="s">
        <v>14</v>
      </c>
      <c r="F77" t="s">
        <v>25</v>
      </c>
      <c r="G77" t="s">
        <v>145</v>
      </c>
      <c r="H77" t="s">
        <v>229</v>
      </c>
      <c r="I77" t="s">
        <v>230</v>
      </c>
      <c r="J77" t="s">
        <v>26</v>
      </c>
      <c r="K77" s="15">
        <v>45670</v>
      </c>
      <c r="L77" t="s">
        <v>38</v>
      </c>
      <c r="M77" t="str">
        <f>IF(COUNTIFS(PRO_LT_SCORECARD_FLEX_VALIDATIO!$K:$K, _xlfn.CONCAT(C77,D77), PRO_LT_SCORECARD_FLEX_VALIDATIO!$G:$G, "KO") &gt; 0, "NOK", "OK")</f>
        <v>NOK</v>
      </c>
      <c r="N77" t="s">
        <v>231</v>
      </c>
      <c r="O77" s="15">
        <v>45492</v>
      </c>
      <c r="P77" s="15">
        <v>45646</v>
      </c>
      <c r="Q77" t="s">
        <v>24</v>
      </c>
      <c r="R77" t="s">
        <v>131</v>
      </c>
      <c r="S77" t="s">
        <v>131</v>
      </c>
      <c r="T77" t="s">
        <v>131</v>
      </c>
      <c r="U77" t="s">
        <v>132</v>
      </c>
      <c r="V77" t="s">
        <v>131</v>
      </c>
      <c r="W77" t="s">
        <v>132</v>
      </c>
      <c r="X77" t="s">
        <v>5</v>
      </c>
      <c r="Y77">
        <f>_xlfn.IFNA(_xlfn.XLOOKUP(D77,[1]Especificação!$G:$G,[1]Especificação!$C:$C),0)</f>
        <v>0</v>
      </c>
    </row>
    <row r="78" spans="1:25" ht="15" hidden="1">
      <c r="A78" s="40" t="str">
        <f t="shared" si="1"/>
        <v>ENTITY_DT_BRTH</v>
      </c>
      <c r="B78" s="40"/>
      <c r="C78" t="s">
        <v>139</v>
      </c>
      <c r="D78" t="s">
        <v>232</v>
      </c>
      <c r="E78" t="s">
        <v>6</v>
      </c>
      <c r="F78" t="s">
        <v>36</v>
      </c>
      <c r="G78" t="s">
        <v>145</v>
      </c>
      <c r="H78" t="s">
        <v>158</v>
      </c>
      <c r="J78" t="s">
        <v>29</v>
      </c>
      <c r="K78" s="15">
        <v>45450</v>
      </c>
      <c r="L78" t="s">
        <v>36</v>
      </c>
      <c r="M78" t="str">
        <f>IF(COUNTIFS(PRO_LT_SCORECARD_FLEX_VALIDATIO!$K:$K, _xlfn.CONCAT(C78,D78), PRO_LT_SCORECARD_FLEX_VALIDATIO!$G:$G, "KO") &gt; 0, "NOK", "OK")</f>
        <v>NOK</v>
      </c>
      <c r="Q78" t="s">
        <v>8</v>
      </c>
      <c r="R78" t="s">
        <v>131</v>
      </c>
      <c r="S78" t="s">
        <v>132</v>
      </c>
      <c r="T78" t="s">
        <v>132</v>
      </c>
      <c r="U78" t="s">
        <v>132</v>
      </c>
      <c r="V78" t="s">
        <v>132</v>
      </c>
      <c r="W78" t="s">
        <v>132</v>
      </c>
      <c r="X78" t="s">
        <v>5</v>
      </c>
      <c r="Y78">
        <f>_xlfn.IFNA(_xlfn.XLOOKUP(D78,[1]Especificação!$G:$G,[1]Especificação!$C:$C),0)</f>
        <v>0</v>
      </c>
    </row>
    <row r="79" spans="1:25" ht="15" hidden="1">
      <c r="A79" s="40" t="str">
        <f t="shared" si="1"/>
        <v>INSTRUMENT_DT_CMPLNT_MRTR_STTS_C19</v>
      </c>
      <c r="B79" s="40"/>
      <c r="C79" t="s">
        <v>127</v>
      </c>
      <c r="D79" t="s">
        <v>233</v>
      </c>
      <c r="E79" t="s">
        <v>6</v>
      </c>
      <c r="F79" t="s">
        <v>38</v>
      </c>
      <c r="G79" t="s">
        <v>129</v>
      </c>
      <c r="H79" t="s">
        <v>130</v>
      </c>
      <c r="J79" t="s">
        <v>26</v>
      </c>
      <c r="K79" s="15">
        <v>45450</v>
      </c>
      <c r="L79" t="s">
        <v>38</v>
      </c>
      <c r="M79" t="str">
        <f>IF(COUNTIFS(PRO_LT_SCORECARD_FLEX_VALIDATIO!$K:$K, _xlfn.CONCAT(C79,D79), PRO_LT_SCORECARD_FLEX_VALIDATIO!$G:$G, "KO") &gt; 0, "NOK", "OK")</f>
        <v>OK</v>
      </c>
      <c r="Q79" t="s">
        <v>30</v>
      </c>
      <c r="R79" t="s">
        <v>131</v>
      </c>
      <c r="S79" t="s">
        <v>132</v>
      </c>
      <c r="T79" t="s">
        <v>132</v>
      </c>
      <c r="U79" t="s">
        <v>132</v>
      </c>
      <c r="V79" t="s">
        <v>132</v>
      </c>
      <c r="W79" t="s">
        <v>132</v>
      </c>
      <c r="X79" t="s">
        <v>5</v>
      </c>
      <c r="Y79">
        <f>_xlfn.IFNA(_xlfn.XLOOKUP(D79,[1]Especificação!$G:$G,[1]Especificação!$C:$C),0)</f>
        <v>0</v>
      </c>
    </row>
    <row r="80" spans="1:25" ht="15" hidden="1">
      <c r="A80" s="40" t="str">
        <f t="shared" si="1"/>
        <v>INSTRUMENT_DT_CMPLNT_MRTR_STTS_PRVS_C19</v>
      </c>
      <c r="B80" s="40"/>
      <c r="C80" t="s">
        <v>127</v>
      </c>
      <c r="D80" t="s">
        <v>234</v>
      </c>
      <c r="E80" t="s">
        <v>6</v>
      </c>
      <c r="F80" t="s">
        <v>38</v>
      </c>
      <c r="G80" t="s">
        <v>129</v>
      </c>
      <c r="H80" t="s">
        <v>130</v>
      </c>
      <c r="J80" t="s">
        <v>26</v>
      </c>
      <c r="K80" s="15">
        <v>45450</v>
      </c>
      <c r="L80" t="s">
        <v>38</v>
      </c>
      <c r="M80" t="str">
        <f>IF(COUNTIFS(PRO_LT_SCORECARD_FLEX_VALIDATIO!$K:$K, _xlfn.CONCAT(C80,D80), PRO_LT_SCORECARD_FLEX_VALIDATIO!$G:$G, "KO") &gt; 0, "NOK", "OK")</f>
        <v>OK</v>
      </c>
      <c r="Q80" t="s">
        <v>30</v>
      </c>
      <c r="R80" t="s">
        <v>131</v>
      </c>
      <c r="S80" t="s">
        <v>132</v>
      </c>
      <c r="T80" t="s">
        <v>132</v>
      </c>
      <c r="U80" t="s">
        <v>132</v>
      </c>
      <c r="V80" t="s">
        <v>132</v>
      </c>
      <c r="W80" t="s">
        <v>132</v>
      </c>
      <c r="X80" t="s">
        <v>5</v>
      </c>
      <c r="Y80">
        <f>_xlfn.IFNA(_xlfn.XLOOKUP(D80,[1]Especificação!$G:$G,[1]Especificação!$C:$C),0)</f>
        <v>0</v>
      </c>
    </row>
    <row r="81" spans="1:25" ht="15" hidden="1">
      <c r="A81" s="40" t="str">
        <f t="shared" si="1"/>
        <v>PROTECTION_DT_PRTCTN_VL</v>
      </c>
      <c r="B81" s="40"/>
      <c r="C81" t="s">
        <v>156</v>
      </c>
      <c r="D81" s="10" t="s">
        <v>235</v>
      </c>
      <c r="E81" t="s">
        <v>14</v>
      </c>
      <c r="F81" t="s">
        <v>35</v>
      </c>
      <c r="G81" t="s">
        <v>145</v>
      </c>
      <c r="H81" t="s">
        <v>236</v>
      </c>
      <c r="I81" t="s">
        <v>237</v>
      </c>
      <c r="J81" t="s">
        <v>26</v>
      </c>
      <c r="K81" s="15">
        <v>45670</v>
      </c>
      <c r="L81" t="s">
        <v>38</v>
      </c>
      <c r="M81" t="str">
        <f>IF(COUNTIFS(PRO_LT_SCORECARD_FLEX_VALIDATIO!$K:$K, _xlfn.CONCAT(C81,D81), PRO_LT_SCORECARD_FLEX_VALIDATIO!$G:$G, "KO") &gt; 0, "NOK", "OK")</f>
        <v>NOK</v>
      </c>
      <c r="N81" t="s">
        <v>238</v>
      </c>
      <c r="O81" s="15">
        <v>45492</v>
      </c>
      <c r="P81" s="15">
        <v>45646</v>
      </c>
      <c r="Q81" t="s">
        <v>24</v>
      </c>
      <c r="R81" t="s">
        <v>131</v>
      </c>
      <c r="S81" t="s">
        <v>132</v>
      </c>
      <c r="T81" t="s">
        <v>132</v>
      </c>
      <c r="U81" t="s">
        <v>132</v>
      </c>
      <c r="V81" t="s">
        <v>132</v>
      </c>
      <c r="W81" t="s">
        <v>132</v>
      </c>
      <c r="X81" t="s">
        <v>5</v>
      </c>
      <c r="Y81">
        <f>_xlfn.IFNA(_xlfn.XLOOKUP(D81,[1]Especificação!$G:$G,[1]Especificação!$C:$C),0)</f>
        <v>0</v>
      </c>
    </row>
    <row r="82" spans="1:25" ht="15" hidden="1">
      <c r="A82" s="40" t="str">
        <f t="shared" si="1"/>
        <v>ENTITY_DT_DFLT_STTS</v>
      </c>
      <c r="B82" s="40"/>
      <c r="C82" t="s">
        <v>139</v>
      </c>
      <c r="D82" s="10" t="s">
        <v>239</v>
      </c>
      <c r="E82" t="s">
        <v>14</v>
      </c>
      <c r="F82" t="s">
        <v>28</v>
      </c>
      <c r="G82" t="s">
        <v>145</v>
      </c>
      <c r="H82" t="s">
        <v>213</v>
      </c>
      <c r="I82" t="s">
        <v>240</v>
      </c>
      <c r="J82" t="s">
        <v>32</v>
      </c>
      <c r="K82" s="15">
        <v>45957</v>
      </c>
      <c r="L82" t="s">
        <v>55</v>
      </c>
      <c r="M82" t="str">
        <f>IF(COUNTIFS(PRO_LT_SCORECARD_FLEX_VALIDATIO!$K:$K, _xlfn.CONCAT(C82,D82), PRO_LT_SCORECARD_FLEX_VALIDATIO!$G:$G, "KO") &gt; 0, "NOK", "OK")</f>
        <v>NOK</v>
      </c>
      <c r="N82" t="s">
        <v>1194</v>
      </c>
      <c r="O82" s="15">
        <v>45957</v>
      </c>
      <c r="Q82" t="s">
        <v>39</v>
      </c>
      <c r="R82" t="s">
        <v>131</v>
      </c>
      <c r="S82" t="s">
        <v>132</v>
      </c>
      <c r="T82" t="s">
        <v>132</v>
      </c>
      <c r="U82" t="s">
        <v>132</v>
      </c>
      <c r="V82" t="s">
        <v>132</v>
      </c>
      <c r="W82" t="s">
        <v>131</v>
      </c>
      <c r="X82" t="s">
        <v>136</v>
      </c>
      <c r="Y82" t="str">
        <f>_xlfn.IFNA(_xlfn.XLOOKUP(D82,[1]Especificação!$G:$G,[1]Especificação!$C:$C),0)</f>
        <v xml:space="preserve">E. Campos com outras possíveis alterações - Dependente de decisões OSI </v>
      </c>
    </row>
    <row r="83" spans="1:25" ht="15" hidden="1">
      <c r="A83" s="40" t="str">
        <f t="shared" si="1"/>
        <v>INSTRUMENT_DT_DFLT_STTS_INSTRMNT</v>
      </c>
      <c r="B83" s="40"/>
      <c r="C83" t="s">
        <v>127</v>
      </c>
      <c r="D83" t="s">
        <v>241</v>
      </c>
      <c r="E83" t="s">
        <v>14</v>
      </c>
      <c r="F83" t="s">
        <v>35</v>
      </c>
      <c r="G83" t="s">
        <v>145</v>
      </c>
      <c r="H83" t="s">
        <v>242</v>
      </c>
      <c r="I83" t="s">
        <v>240</v>
      </c>
      <c r="J83" t="s">
        <v>29</v>
      </c>
      <c r="K83" s="15">
        <v>45957</v>
      </c>
      <c r="L83" t="s">
        <v>55</v>
      </c>
      <c r="M83" t="str">
        <f>IF(COUNTIFS(PRO_LT_SCORECARD_FLEX_VALIDATIO!$K:$K, _xlfn.CONCAT(C83,D83), PRO_LT_SCORECARD_FLEX_VALIDATIO!$G:$G, "KO") &gt; 0, "NOK", "OK")</f>
        <v>NOK</v>
      </c>
      <c r="N83" t="s">
        <v>1194</v>
      </c>
      <c r="O83" s="15">
        <v>45957</v>
      </c>
      <c r="P83" s="15">
        <v>45958</v>
      </c>
      <c r="Q83" t="s">
        <v>13</v>
      </c>
      <c r="R83" t="s">
        <v>131</v>
      </c>
      <c r="S83" t="s">
        <v>132</v>
      </c>
      <c r="T83" t="s">
        <v>132</v>
      </c>
      <c r="U83" t="s">
        <v>132</v>
      </c>
      <c r="V83" t="s">
        <v>132</v>
      </c>
      <c r="W83" t="s">
        <v>131</v>
      </c>
      <c r="X83" t="s">
        <v>136</v>
      </c>
      <c r="Y83" t="str">
        <f>_xlfn.IFNA(_xlfn.XLOOKUP(D83,[1]Especificação!$G:$G,[1]Especificação!$C:$C),0)</f>
        <v>C. Campos em testes ou c/ incidências</v>
      </c>
    </row>
    <row r="84" spans="1:25" ht="15" hidden="1">
      <c r="A84" s="40" t="str">
        <f t="shared" si="1"/>
        <v>INSTRUMENT_DT_END_GP_PPAL</v>
      </c>
      <c r="B84" s="40"/>
      <c r="C84" t="s">
        <v>127</v>
      </c>
      <c r="D84" t="s">
        <v>243</v>
      </c>
      <c r="E84" t="s">
        <v>14</v>
      </c>
      <c r="F84" t="s">
        <v>36</v>
      </c>
      <c r="G84" t="s">
        <v>145</v>
      </c>
      <c r="H84" t="s">
        <v>158</v>
      </c>
      <c r="J84" t="s">
        <v>29</v>
      </c>
      <c r="K84" s="15">
        <v>45450</v>
      </c>
      <c r="L84" t="s">
        <v>36</v>
      </c>
      <c r="M84" t="str">
        <f>IF(COUNTIFS(PRO_LT_SCORECARD_FLEX_VALIDATIO!$K:$K, _xlfn.CONCAT(C84,D84), PRO_LT_SCORECARD_FLEX_VALIDATIO!$G:$G, "KO") &gt; 0, "NOK", "OK")</f>
        <v>NOK</v>
      </c>
      <c r="Q84" t="s">
        <v>8</v>
      </c>
      <c r="R84" t="s">
        <v>131</v>
      </c>
      <c r="S84" t="s">
        <v>132</v>
      </c>
      <c r="T84" t="s">
        <v>132</v>
      </c>
      <c r="U84" t="s">
        <v>132</v>
      </c>
      <c r="V84" t="s">
        <v>132</v>
      </c>
      <c r="W84" t="s">
        <v>132</v>
      </c>
      <c r="X84" t="s">
        <v>5</v>
      </c>
      <c r="Y84">
        <f>_xlfn.IFNA(_xlfn.XLOOKUP(D84,[1]Especificação!$G:$G,[1]Especificação!$C:$C),0)</f>
        <v>0</v>
      </c>
    </row>
    <row r="85" spans="1:25" ht="15" hidden="1">
      <c r="A85" s="40" t="str">
        <f t="shared" si="1"/>
        <v>INSTRUMENT_DT_END_GP_PPAL_C19</v>
      </c>
      <c r="B85" s="40"/>
      <c r="C85" t="s">
        <v>127</v>
      </c>
      <c r="D85" t="s">
        <v>244</v>
      </c>
      <c r="E85" t="s">
        <v>6</v>
      </c>
      <c r="F85" t="s">
        <v>38</v>
      </c>
      <c r="G85" t="s">
        <v>129</v>
      </c>
      <c r="H85" t="s">
        <v>130</v>
      </c>
      <c r="J85" t="s">
        <v>26</v>
      </c>
      <c r="K85" s="15">
        <v>45450</v>
      </c>
      <c r="L85" t="s">
        <v>38</v>
      </c>
      <c r="M85" t="str">
        <f>IF(COUNTIFS(PRO_LT_SCORECARD_FLEX_VALIDATIO!$K:$K, _xlfn.CONCAT(C85,D85), PRO_LT_SCORECARD_FLEX_VALIDATIO!$G:$G, "KO") &gt; 0, "NOK", "OK")</f>
        <v>OK</v>
      </c>
      <c r="Q85" t="s">
        <v>30</v>
      </c>
      <c r="R85" t="s">
        <v>131</v>
      </c>
      <c r="S85" t="s">
        <v>132</v>
      </c>
      <c r="T85" t="s">
        <v>132</v>
      </c>
      <c r="U85" t="s">
        <v>132</v>
      </c>
      <c r="V85" t="s">
        <v>132</v>
      </c>
      <c r="W85" t="s">
        <v>132</v>
      </c>
      <c r="X85" t="s">
        <v>5</v>
      </c>
      <c r="Y85">
        <f>_xlfn.IFNA(_xlfn.XLOOKUP(D85,[1]Especificação!$G:$G,[1]Especificação!$C:$C),0)</f>
        <v>0</v>
      </c>
    </row>
    <row r="86" spans="1:25" ht="15" hidden="1">
      <c r="A86" s="40" t="str">
        <f t="shared" si="1"/>
        <v>INSTRUMENT_DT_END_INTRST_ONLY</v>
      </c>
      <c r="B86" s="40"/>
      <c r="C86" t="s">
        <v>127</v>
      </c>
      <c r="D86" t="s">
        <v>245</v>
      </c>
      <c r="E86" t="s">
        <v>14</v>
      </c>
      <c r="F86" t="s">
        <v>36</v>
      </c>
      <c r="G86" t="s">
        <v>145</v>
      </c>
      <c r="H86" t="s">
        <v>158</v>
      </c>
      <c r="J86" t="s">
        <v>29</v>
      </c>
      <c r="K86" s="15">
        <v>45450</v>
      </c>
      <c r="L86" t="s">
        <v>36</v>
      </c>
      <c r="M86" t="str">
        <f>IF(COUNTIFS(PRO_LT_SCORECARD_FLEX_VALIDATIO!$K:$K, _xlfn.CONCAT(C86,D86), PRO_LT_SCORECARD_FLEX_VALIDATIO!$G:$G, "KO") &gt; 0, "NOK", "OK")</f>
        <v>NOK</v>
      </c>
      <c r="Q86" t="s">
        <v>8</v>
      </c>
      <c r="R86" t="s">
        <v>131</v>
      </c>
      <c r="S86" t="s">
        <v>132</v>
      </c>
      <c r="T86" t="s">
        <v>132</v>
      </c>
      <c r="U86" t="s">
        <v>132</v>
      </c>
      <c r="V86" t="s">
        <v>132</v>
      </c>
      <c r="W86" t="s">
        <v>132</v>
      </c>
      <c r="X86" t="s">
        <v>5</v>
      </c>
      <c r="Y86">
        <f>_xlfn.IFNA(_xlfn.XLOOKUP(D86,[1]Especificação!$G:$G,[1]Especificação!$C:$C),0)</f>
        <v>0</v>
      </c>
    </row>
    <row r="87" spans="1:25" ht="15" hidden="1">
      <c r="A87" s="40" t="str">
        <f t="shared" si="1"/>
        <v>INSTRUMENT_DT_END_INTRST_ONLY_C19</v>
      </c>
      <c r="B87" s="40"/>
      <c r="C87" t="s">
        <v>127</v>
      </c>
      <c r="D87" t="s">
        <v>246</v>
      </c>
      <c r="E87" t="s">
        <v>6</v>
      </c>
      <c r="F87" t="s">
        <v>38</v>
      </c>
      <c r="G87" t="s">
        <v>129</v>
      </c>
      <c r="H87" t="s">
        <v>130</v>
      </c>
      <c r="J87" t="s">
        <v>26</v>
      </c>
      <c r="K87" s="15">
        <v>45450</v>
      </c>
      <c r="L87" t="s">
        <v>38</v>
      </c>
      <c r="M87" t="str">
        <f>IF(COUNTIFS(PRO_LT_SCORECARD_FLEX_VALIDATIO!$K:$K, _xlfn.CONCAT(C87,D87), PRO_LT_SCORECARD_FLEX_VALIDATIO!$G:$G, "KO") &gt; 0, "NOK", "OK")</f>
        <v>OK</v>
      </c>
      <c r="Q87" t="s">
        <v>30</v>
      </c>
      <c r="R87" t="s">
        <v>131</v>
      </c>
      <c r="S87" t="s">
        <v>132</v>
      </c>
      <c r="T87" t="s">
        <v>132</v>
      </c>
      <c r="U87" t="s">
        <v>132</v>
      </c>
      <c r="V87" t="s">
        <v>132</v>
      </c>
      <c r="W87" t="s">
        <v>132</v>
      </c>
      <c r="X87" t="s">
        <v>5</v>
      </c>
      <c r="Y87">
        <f>_xlfn.IFNA(_xlfn.XLOOKUP(D87,[1]Especificação!$G:$G,[1]Especificação!$C:$C),0)</f>
        <v>0</v>
      </c>
    </row>
    <row r="88" spans="1:25" ht="15" hidden="1">
      <c r="A88" s="40" t="str">
        <f t="shared" si="1"/>
        <v>PROTECTION_CNSTRCTN_STTS</v>
      </c>
      <c r="B88" s="40"/>
      <c r="C88" t="s">
        <v>156</v>
      </c>
      <c r="D88" s="11" t="s">
        <v>247</v>
      </c>
      <c r="E88" t="s">
        <v>6</v>
      </c>
      <c r="F88" t="s">
        <v>25</v>
      </c>
      <c r="G88" t="s">
        <v>145</v>
      </c>
      <c r="H88" t="s">
        <v>248</v>
      </c>
      <c r="I88" t="s">
        <v>230</v>
      </c>
      <c r="J88" t="s">
        <v>26</v>
      </c>
      <c r="K88" s="15">
        <v>45670</v>
      </c>
      <c r="L88" t="s">
        <v>38</v>
      </c>
      <c r="M88" t="str">
        <f>IF(COUNTIFS(PRO_LT_SCORECARD_FLEX_VALIDATIO!$K:$K, _xlfn.CONCAT(C88,D88), PRO_LT_SCORECARD_FLEX_VALIDATIO!$G:$G, "KO") &gt; 0, "NOK", "OK")</f>
        <v>OK</v>
      </c>
      <c r="O88" s="15">
        <v>45513</v>
      </c>
      <c r="P88" s="15">
        <v>45646</v>
      </c>
      <c r="Q88" t="s">
        <v>24</v>
      </c>
      <c r="R88" t="s">
        <v>131</v>
      </c>
      <c r="S88" t="s">
        <v>132</v>
      </c>
      <c r="T88" t="s">
        <v>132</v>
      </c>
      <c r="U88" t="s">
        <v>132</v>
      </c>
      <c r="V88" t="s">
        <v>132</v>
      </c>
      <c r="W88" t="s">
        <v>132</v>
      </c>
      <c r="X88" t="s">
        <v>5</v>
      </c>
      <c r="Y88">
        <f>_xlfn.IFNA(_xlfn.XLOOKUP(D88,[1]Especificação!$G:$G,[1]Especificação!$C:$C),0)</f>
        <v>0</v>
      </c>
    </row>
    <row r="89" spans="1:25" ht="15" hidden="1">
      <c r="A89" s="40" t="str">
        <f t="shared" si="1"/>
        <v>ENTITY_DT_FNNCL_STTMTS</v>
      </c>
      <c r="B89" s="40"/>
      <c r="C89" t="s">
        <v>139</v>
      </c>
      <c r="D89" t="s">
        <v>249</v>
      </c>
      <c r="E89" t="s">
        <v>14</v>
      </c>
      <c r="F89" t="s">
        <v>25</v>
      </c>
      <c r="G89" t="s">
        <v>145</v>
      </c>
      <c r="H89" t="s">
        <v>141</v>
      </c>
      <c r="I89" t="s">
        <v>142</v>
      </c>
      <c r="J89" t="s">
        <v>29</v>
      </c>
      <c r="K89" s="15">
        <v>45450</v>
      </c>
      <c r="L89" t="s">
        <v>25</v>
      </c>
      <c r="M89" t="str">
        <f>IF(COUNTIFS(PRO_LT_SCORECARD_FLEX_VALIDATIO!$K:$K, _xlfn.CONCAT(C89,D89), PRO_LT_SCORECARD_FLEX_VALIDATIO!$G:$G, "KO") &gt; 0, "NOK", "OK")</f>
        <v>NOK</v>
      </c>
      <c r="Q89" t="s">
        <v>13</v>
      </c>
      <c r="R89" t="s">
        <v>131</v>
      </c>
      <c r="S89" t="s">
        <v>132</v>
      </c>
      <c r="T89" t="s">
        <v>132</v>
      </c>
      <c r="U89" t="s">
        <v>132</v>
      </c>
      <c r="V89" t="s">
        <v>132</v>
      </c>
      <c r="W89" t="s">
        <v>131</v>
      </c>
      <c r="X89" t="s">
        <v>143</v>
      </c>
      <c r="Y89" t="str">
        <f>_xlfn.IFNA(_xlfn.XLOOKUP(D89,[1]Especificação!$G:$G,[1]Especificação!$C:$C),0)</f>
        <v>F4. Fora âmbito | Re-especificação de campos complexos - Dem. Fin. CIB</v>
      </c>
    </row>
    <row r="90" spans="1:25" ht="15" hidden="1">
      <c r="A90" s="40" t="str">
        <f t="shared" si="1"/>
        <v>ENTITY_DT_FNNCL_STTMTS_PRVS</v>
      </c>
      <c r="B90" s="40"/>
      <c r="C90" t="s">
        <v>139</v>
      </c>
      <c r="D90" t="s">
        <v>250</v>
      </c>
      <c r="E90" t="s">
        <v>14</v>
      </c>
      <c r="F90" t="s">
        <v>25</v>
      </c>
      <c r="G90" t="s">
        <v>145</v>
      </c>
      <c r="H90" t="s">
        <v>141</v>
      </c>
      <c r="I90" t="s">
        <v>142</v>
      </c>
      <c r="J90" t="s">
        <v>29</v>
      </c>
      <c r="K90" s="15">
        <v>45450</v>
      </c>
      <c r="L90" t="s">
        <v>25</v>
      </c>
      <c r="M90" t="str">
        <f>IF(COUNTIFS(PRO_LT_SCORECARD_FLEX_VALIDATIO!$K:$K, _xlfn.CONCAT(C90,D90), PRO_LT_SCORECARD_FLEX_VALIDATIO!$G:$G, "KO") &gt; 0, "NOK", "OK")</f>
        <v>NOK</v>
      </c>
      <c r="Q90" t="s">
        <v>13</v>
      </c>
      <c r="R90" t="s">
        <v>131</v>
      </c>
      <c r="S90" t="s">
        <v>132</v>
      </c>
      <c r="T90" t="s">
        <v>132</v>
      </c>
      <c r="U90" t="s">
        <v>132</v>
      </c>
      <c r="V90" t="s">
        <v>132</v>
      </c>
      <c r="W90" t="s">
        <v>131</v>
      </c>
      <c r="X90" t="s">
        <v>143</v>
      </c>
      <c r="Y90" t="str">
        <f>_xlfn.IFNA(_xlfn.XLOOKUP(D90,[1]Especificação!$G:$G,[1]Especificação!$C:$C),0)</f>
        <v>F4. Fora âmbito | Re-especificação de campos complexos - Dem. Fin. CIB</v>
      </c>
    </row>
    <row r="91" spans="1:25" ht="15" hidden="1">
      <c r="A91" s="40" t="str">
        <f t="shared" si="1"/>
        <v>INSTRUMENT_RCVD_INTRST_24M</v>
      </c>
      <c r="B91" s="40"/>
      <c r="C91" t="s">
        <v>127</v>
      </c>
      <c r="D91" t="s">
        <v>251</v>
      </c>
      <c r="E91" t="s">
        <v>14</v>
      </c>
      <c r="F91" t="s">
        <v>25</v>
      </c>
      <c r="G91" t="s">
        <v>129</v>
      </c>
      <c r="H91" t="s">
        <v>252</v>
      </c>
      <c r="J91" t="s">
        <v>29</v>
      </c>
      <c r="K91" s="15">
        <v>45958</v>
      </c>
      <c r="L91" t="s">
        <v>38</v>
      </c>
      <c r="M91" t="str">
        <f>IF(COUNTIFS(PRO_LT_SCORECARD_FLEX_VALIDATIO!$K:$K, _xlfn.CONCAT(C91,D91), PRO_LT_SCORECARD_FLEX_VALIDATIO!$G:$G, "KO") &gt; 0, "NOK", "OK")</f>
        <v>OK</v>
      </c>
      <c r="P91" s="15">
        <v>45958</v>
      </c>
      <c r="Q91" t="s">
        <v>13</v>
      </c>
      <c r="R91" t="s">
        <v>131</v>
      </c>
      <c r="S91" t="s">
        <v>132</v>
      </c>
      <c r="T91" t="s">
        <v>132</v>
      </c>
      <c r="U91" t="s">
        <v>132</v>
      </c>
      <c r="V91" t="s">
        <v>132</v>
      </c>
      <c r="W91" t="s">
        <v>131</v>
      </c>
      <c r="X91" t="s">
        <v>136</v>
      </c>
      <c r="Y91" t="str">
        <f>_xlfn.IFNA(_xlfn.XLOOKUP(D91,[1]Especificação!$G:$G,[1]Especificação!$C:$C),0)</f>
        <v>B2. Re-especificação de campos complexos - Resto</v>
      </c>
    </row>
    <row r="92" spans="1:25" ht="15" hidden="1">
      <c r="A92" s="40" t="str">
        <f t="shared" si="1"/>
        <v>INSTRUMENT_DT_FRBRNC_STTS_C19</v>
      </c>
      <c r="B92" s="40"/>
      <c r="C92" t="s">
        <v>127</v>
      </c>
      <c r="D92" t="s">
        <v>253</v>
      </c>
      <c r="E92" t="s">
        <v>6</v>
      </c>
      <c r="F92" t="s">
        <v>38</v>
      </c>
      <c r="G92" t="s">
        <v>129</v>
      </c>
      <c r="H92" t="s">
        <v>130</v>
      </c>
      <c r="J92" t="s">
        <v>26</v>
      </c>
      <c r="K92" s="15">
        <v>45450</v>
      </c>
      <c r="L92" t="s">
        <v>38</v>
      </c>
      <c r="M92" t="str">
        <f>IF(COUNTIFS(PRO_LT_SCORECARD_FLEX_VALIDATIO!$K:$K, _xlfn.CONCAT(C92,D92), PRO_LT_SCORECARD_FLEX_VALIDATIO!$G:$G, "KO") &gt; 0, "NOK", "OK")</f>
        <v>OK</v>
      </c>
      <c r="Q92" t="s">
        <v>30</v>
      </c>
      <c r="R92" t="s">
        <v>131</v>
      </c>
      <c r="S92" t="s">
        <v>132</v>
      </c>
      <c r="T92" t="s">
        <v>132</v>
      </c>
      <c r="U92" t="s">
        <v>132</v>
      </c>
      <c r="V92" t="s">
        <v>132</v>
      </c>
      <c r="W92" t="s">
        <v>132</v>
      </c>
      <c r="X92" t="s">
        <v>5</v>
      </c>
      <c r="Y92">
        <f>_xlfn.IFNA(_xlfn.XLOOKUP(D92,[1]Especificação!$G:$G,[1]Especificação!$C:$C),0)</f>
        <v>0</v>
      </c>
    </row>
    <row r="93" spans="1:25" ht="15" hidden="1">
      <c r="A93" s="40" t="str">
        <f t="shared" si="1"/>
        <v>INSTRUMENT_RCVD_INTRST_12M</v>
      </c>
      <c r="B93" s="40"/>
      <c r="C93" t="s">
        <v>127</v>
      </c>
      <c r="D93" t="s">
        <v>254</v>
      </c>
      <c r="E93" t="s">
        <v>14</v>
      </c>
      <c r="F93" t="s">
        <v>25</v>
      </c>
      <c r="G93" t="s">
        <v>145</v>
      </c>
      <c r="H93" t="s">
        <v>172</v>
      </c>
      <c r="J93" t="s">
        <v>29</v>
      </c>
      <c r="K93" s="15">
        <v>45958</v>
      </c>
      <c r="L93" t="s">
        <v>38</v>
      </c>
      <c r="M93" t="str">
        <f>IF(COUNTIFS(PRO_LT_SCORECARD_FLEX_VALIDATIO!$K:$K, _xlfn.CONCAT(C93,D93), PRO_LT_SCORECARD_FLEX_VALIDATIO!$G:$G, "KO") &gt; 0, "NOK", "OK")</f>
        <v>OK</v>
      </c>
      <c r="P93" s="15">
        <v>45958</v>
      </c>
      <c r="Q93" t="s">
        <v>13</v>
      </c>
      <c r="R93" t="s">
        <v>131</v>
      </c>
      <c r="S93" t="s">
        <v>132</v>
      </c>
      <c r="T93" t="s">
        <v>132</v>
      </c>
      <c r="U93" t="s">
        <v>132</v>
      </c>
      <c r="V93" t="s">
        <v>132</v>
      </c>
      <c r="W93" t="s">
        <v>131</v>
      </c>
      <c r="X93" t="s">
        <v>136</v>
      </c>
      <c r="Y93" t="str">
        <f>_xlfn.IFNA(_xlfn.XLOOKUP(D93,[1]Especificação!$G:$G,[1]Especificação!$C:$C),0)</f>
        <v>B2. Re-especificação de campos complexos - Resto</v>
      </c>
    </row>
    <row r="94" spans="1:25" ht="15" hidden="1">
      <c r="A94" s="40" t="str">
        <f t="shared" si="1"/>
        <v>INSTRUMENT_DT_FRBRNC_STTS_PRVS_C19</v>
      </c>
      <c r="B94" s="40"/>
      <c r="C94" t="s">
        <v>127</v>
      </c>
      <c r="D94" t="s">
        <v>255</v>
      </c>
      <c r="E94" t="s">
        <v>6</v>
      </c>
      <c r="F94" t="s">
        <v>38</v>
      </c>
      <c r="G94" t="s">
        <v>129</v>
      </c>
      <c r="H94" t="s">
        <v>130</v>
      </c>
      <c r="J94" t="s">
        <v>26</v>
      </c>
      <c r="K94" s="15">
        <v>45450</v>
      </c>
      <c r="L94" t="s">
        <v>38</v>
      </c>
      <c r="M94" t="str">
        <f>IF(COUNTIFS(PRO_LT_SCORECARD_FLEX_VALIDATIO!$K:$K, _xlfn.CONCAT(C94,D94), PRO_LT_SCORECARD_FLEX_VALIDATIO!$G:$G, "KO") &gt; 0, "NOK", "OK")</f>
        <v>OK</v>
      </c>
      <c r="Q94" t="s">
        <v>30</v>
      </c>
      <c r="R94" t="s">
        <v>131</v>
      </c>
      <c r="S94" t="s">
        <v>132</v>
      </c>
      <c r="T94" t="s">
        <v>132</v>
      </c>
      <c r="U94" t="s">
        <v>132</v>
      </c>
      <c r="V94" t="s">
        <v>132</v>
      </c>
      <c r="W94" t="s">
        <v>132</v>
      </c>
      <c r="X94" t="s">
        <v>5</v>
      </c>
      <c r="Y94">
        <f>_xlfn.IFNA(_xlfn.XLOOKUP(D94,[1]Especificação!$G:$G,[1]Especificação!$C:$C),0)</f>
        <v>0</v>
      </c>
    </row>
    <row r="95" spans="1:25" ht="15" hidden="1">
      <c r="A95" s="40" t="str">
        <f t="shared" si="1"/>
        <v>PROTECTION_DT_FRST_USG</v>
      </c>
      <c r="B95" s="40"/>
      <c r="C95" t="s">
        <v>156</v>
      </c>
      <c r="D95" t="s">
        <v>256</v>
      </c>
      <c r="E95" t="s">
        <v>6</v>
      </c>
      <c r="F95" t="s">
        <v>36</v>
      </c>
      <c r="G95" t="s">
        <v>145</v>
      </c>
      <c r="H95" t="s">
        <v>257</v>
      </c>
      <c r="J95" t="s">
        <v>29</v>
      </c>
      <c r="K95" s="15">
        <v>45450</v>
      </c>
      <c r="L95" t="s">
        <v>36</v>
      </c>
      <c r="M95" t="str">
        <f>IF(COUNTIFS(PRO_LT_SCORECARD_FLEX_VALIDATIO!$K:$K, _xlfn.CONCAT(C95,D95), PRO_LT_SCORECARD_FLEX_VALIDATIO!$G:$G, "KO") &gt; 0, "NOK", "OK")</f>
        <v>OK</v>
      </c>
      <c r="Q95" t="s">
        <v>8</v>
      </c>
      <c r="R95" t="s">
        <v>131</v>
      </c>
      <c r="S95" t="s">
        <v>132</v>
      </c>
      <c r="T95" t="s">
        <v>132</v>
      </c>
      <c r="U95" t="s">
        <v>132</v>
      </c>
      <c r="V95" t="s">
        <v>132</v>
      </c>
      <c r="W95" t="s">
        <v>132</v>
      </c>
      <c r="X95" t="s">
        <v>5</v>
      </c>
      <c r="Y95">
        <f>_xlfn.IFNA(_xlfn.XLOOKUP(D95,[1]Especificação!$G:$G,[1]Especificação!$C:$C),0)</f>
        <v>0</v>
      </c>
    </row>
    <row r="96" spans="1:25" ht="15" hidden="1">
      <c r="A96" s="40" t="str">
        <f t="shared" si="1"/>
        <v>INSTRUMENT_DT_IMPRMNT_STTS</v>
      </c>
      <c r="B96" s="40"/>
      <c r="C96" t="s">
        <v>127</v>
      </c>
      <c r="D96" s="11" t="s">
        <v>51</v>
      </c>
      <c r="E96" t="s">
        <v>14</v>
      </c>
      <c r="F96" t="s">
        <v>28</v>
      </c>
      <c r="G96" t="s">
        <v>145</v>
      </c>
      <c r="H96" t="s">
        <v>154</v>
      </c>
      <c r="I96" t="s">
        <v>258</v>
      </c>
      <c r="J96" t="s">
        <v>32</v>
      </c>
      <c r="K96" s="15">
        <v>45952</v>
      </c>
      <c r="L96" t="s">
        <v>38</v>
      </c>
      <c r="M96" t="str">
        <f>IF(COUNTIFS(PRO_LT_SCORECARD_FLEX_VALIDATIO!$K:$K, _xlfn.CONCAT(C96,D96), PRO_LT_SCORECARD_FLEX_VALIDATIO!$G:$G, "KO") &gt; 0, "NOK", "OK")</f>
        <v>NOK</v>
      </c>
      <c r="O96" s="15">
        <v>45562</v>
      </c>
      <c r="P96" s="15">
        <v>45952</v>
      </c>
      <c r="Q96" t="s">
        <v>39</v>
      </c>
      <c r="R96" t="s">
        <v>131</v>
      </c>
      <c r="S96" t="s">
        <v>132</v>
      </c>
      <c r="T96" t="s">
        <v>132</v>
      </c>
      <c r="U96" t="s">
        <v>132</v>
      </c>
      <c r="V96" t="s">
        <v>132</v>
      </c>
      <c r="W96" t="s">
        <v>131</v>
      </c>
      <c r="X96" t="s">
        <v>5</v>
      </c>
      <c r="Y96" t="str">
        <f>_xlfn.IFNA(_xlfn.XLOOKUP(D96,[1]Especificação!$G:$G,[1]Especificação!$C:$C),0)</f>
        <v>F2. Fora âmbito | Campos em testes ou c/ incidências (LT - PM)</v>
      </c>
    </row>
    <row r="97" spans="1:25" ht="15" hidden="1">
      <c r="A97" s="40" t="str">
        <f t="shared" si="1"/>
        <v>INSTRUMENT_DT_IMPRMNT_STTS_PRVS</v>
      </c>
      <c r="B97" s="40"/>
      <c r="C97" t="s">
        <v>127</v>
      </c>
      <c r="D97" s="11" t="s">
        <v>52</v>
      </c>
      <c r="E97" t="s">
        <v>14</v>
      </c>
      <c r="F97" t="s">
        <v>28</v>
      </c>
      <c r="G97" t="s">
        <v>145</v>
      </c>
      <c r="H97" t="s">
        <v>154</v>
      </c>
      <c r="I97" t="s">
        <v>258</v>
      </c>
      <c r="J97" t="s">
        <v>32</v>
      </c>
      <c r="K97" s="15">
        <v>45952</v>
      </c>
      <c r="L97" t="s">
        <v>38</v>
      </c>
      <c r="M97" t="str">
        <f>IF(COUNTIFS(PRO_LT_SCORECARD_FLEX_VALIDATIO!$K:$K, _xlfn.CONCAT(C97,D97), PRO_LT_SCORECARD_FLEX_VALIDATIO!$G:$G, "KO") &gt; 0, "NOK", "OK")</f>
        <v>NOK</v>
      </c>
      <c r="O97" s="15">
        <v>45562</v>
      </c>
      <c r="P97" s="15">
        <v>45952</v>
      </c>
      <c r="Q97" t="s">
        <v>39</v>
      </c>
      <c r="R97" t="s">
        <v>131</v>
      </c>
      <c r="S97" t="s">
        <v>132</v>
      </c>
      <c r="T97" t="s">
        <v>132</v>
      </c>
      <c r="U97" t="s">
        <v>132</v>
      </c>
      <c r="V97" t="s">
        <v>132</v>
      </c>
      <c r="W97" t="s">
        <v>132</v>
      </c>
      <c r="X97" t="s">
        <v>5</v>
      </c>
      <c r="Y97">
        <f>_xlfn.IFNA(_xlfn.XLOOKUP(D97,[1]Especificação!$G:$G,[1]Especificação!$C:$C),0)</f>
        <v>0</v>
      </c>
    </row>
    <row r="98" spans="1:25" ht="15" hidden="1">
      <c r="A98" s="40" t="str">
        <f t="shared" si="1"/>
        <v>INSTRUMENT_DT_INCPTN</v>
      </c>
      <c r="B98" s="40"/>
      <c r="C98" t="s">
        <v>127</v>
      </c>
      <c r="D98" t="s">
        <v>259</v>
      </c>
      <c r="E98" t="s">
        <v>14</v>
      </c>
      <c r="F98" t="s">
        <v>36</v>
      </c>
      <c r="G98" t="s">
        <v>145</v>
      </c>
      <c r="H98" t="s">
        <v>158</v>
      </c>
      <c r="J98" t="s">
        <v>29</v>
      </c>
      <c r="K98" s="15">
        <v>45958</v>
      </c>
      <c r="L98" t="s">
        <v>38</v>
      </c>
      <c r="M98" t="str">
        <f>IF(COUNTIFS(PRO_LT_SCORECARD_FLEX_VALIDATIO!$K:$K, _xlfn.CONCAT(C98,D98), PRO_LT_SCORECARD_FLEX_VALIDATIO!$G:$G, "KO") &gt; 0, "NOK", "OK")</f>
        <v>NOK</v>
      </c>
      <c r="P98" s="15">
        <v>45958</v>
      </c>
      <c r="Q98" t="s">
        <v>8</v>
      </c>
      <c r="R98" t="s">
        <v>131</v>
      </c>
      <c r="S98" t="s">
        <v>132</v>
      </c>
      <c r="T98" t="s">
        <v>131</v>
      </c>
      <c r="U98" t="s">
        <v>132</v>
      </c>
      <c r="V98" t="s">
        <v>132</v>
      </c>
      <c r="W98" t="s">
        <v>131</v>
      </c>
      <c r="X98" t="s">
        <v>136</v>
      </c>
      <c r="Y98" t="str">
        <f>_xlfn.IFNA(_xlfn.XLOOKUP(D98,[1]Especificação!$G:$G,[1]Especificação!$C:$C),0)</f>
        <v>D. Campos com NOK controlos Corporativos</v>
      </c>
    </row>
    <row r="99" spans="1:25" ht="15" hidden="1">
      <c r="A99" s="40" t="str">
        <f t="shared" si="1"/>
        <v>ENTITY_DT_INTRNL_RTNG</v>
      </c>
      <c r="B99" s="40"/>
      <c r="C99" t="s">
        <v>139</v>
      </c>
      <c r="D99" s="10" t="s">
        <v>260</v>
      </c>
      <c r="E99" t="s">
        <v>14</v>
      </c>
      <c r="F99" t="s">
        <v>33</v>
      </c>
      <c r="G99" t="s">
        <v>145</v>
      </c>
      <c r="H99" t="s">
        <v>261</v>
      </c>
      <c r="J99" t="s">
        <v>32</v>
      </c>
      <c r="K99" s="15">
        <v>45958</v>
      </c>
      <c r="L99" t="s">
        <v>55</v>
      </c>
      <c r="M99" t="str">
        <f>IF(COUNTIFS(PRO_LT_SCORECARD_FLEX_VALIDATIO!$K:$K, _xlfn.CONCAT(C99,D99), PRO_LT_SCORECARD_FLEX_VALIDATIO!$G:$G, "KO") &gt; 0, "NOK", "OK")</f>
        <v>NOK</v>
      </c>
      <c r="O99" s="15"/>
      <c r="P99" s="15">
        <v>45958</v>
      </c>
      <c r="Q99" t="s">
        <v>24</v>
      </c>
      <c r="R99" t="s">
        <v>131</v>
      </c>
      <c r="S99" t="s">
        <v>132</v>
      </c>
      <c r="T99" t="s">
        <v>132</v>
      </c>
      <c r="U99" t="s">
        <v>132</v>
      </c>
      <c r="V99" t="s">
        <v>132</v>
      </c>
      <c r="W99" t="s">
        <v>131</v>
      </c>
      <c r="X99" t="s">
        <v>136</v>
      </c>
      <c r="Y99" t="str">
        <f>_xlfn.IFNA(_xlfn.XLOOKUP(D99,[1]Especificação!$G:$G,[1]Especificação!$C:$C),0)</f>
        <v>C. Campos em testes ou c/ incidências</v>
      </c>
    </row>
    <row r="100" spans="1:25" ht="15" hidden="1">
      <c r="A100" s="40" t="str">
        <f t="shared" si="1"/>
        <v>INSTRUMENT_DT_INTRNL_RTNG</v>
      </c>
      <c r="B100" s="40"/>
      <c r="C100" t="s">
        <v>127</v>
      </c>
      <c r="D100" s="10" t="s">
        <v>260</v>
      </c>
      <c r="E100" t="s">
        <v>14</v>
      </c>
      <c r="F100" t="s">
        <v>33</v>
      </c>
      <c r="G100" t="s">
        <v>145</v>
      </c>
      <c r="H100" t="s">
        <v>262</v>
      </c>
      <c r="J100" t="s">
        <v>32</v>
      </c>
      <c r="K100" s="15">
        <v>45958</v>
      </c>
      <c r="L100" t="s">
        <v>55</v>
      </c>
      <c r="M100" t="str">
        <f>IF(COUNTIFS(PRO_LT_SCORECARD_FLEX_VALIDATIO!$K:$K, _xlfn.CONCAT(C100,D100), PRO_LT_SCORECARD_FLEX_VALIDATIO!$G:$G, "KO") &gt; 0, "NOK", "OK")</f>
        <v>NOK</v>
      </c>
      <c r="O100" s="15"/>
      <c r="P100" s="15">
        <v>45958</v>
      </c>
      <c r="Q100" t="s">
        <v>24</v>
      </c>
      <c r="R100" t="s">
        <v>131</v>
      </c>
      <c r="S100" t="s">
        <v>132</v>
      </c>
      <c r="T100" t="s">
        <v>132</v>
      </c>
      <c r="U100" t="s">
        <v>132</v>
      </c>
      <c r="V100" t="s">
        <v>132</v>
      </c>
      <c r="W100" t="s">
        <v>131</v>
      </c>
      <c r="X100" t="s">
        <v>136</v>
      </c>
      <c r="Y100" t="str">
        <f>_xlfn.IFNA(_xlfn.XLOOKUP(D100,[1]Especificação!$G:$G,[1]Especificação!$C:$C),0)</f>
        <v>C. Campos em testes ou c/ incidências</v>
      </c>
    </row>
    <row r="101" spans="1:25" ht="15" hidden="1">
      <c r="A101" s="40" t="str">
        <f t="shared" si="1"/>
        <v>ENTITY_DT_INTTN_LGL_PRCDNGS_LE</v>
      </c>
      <c r="B101" s="40"/>
      <c r="C101" t="s">
        <v>139</v>
      </c>
      <c r="D101" t="s">
        <v>263</v>
      </c>
      <c r="E101" t="s">
        <v>14</v>
      </c>
      <c r="F101" t="s">
        <v>38</v>
      </c>
      <c r="G101" t="s">
        <v>129</v>
      </c>
      <c r="H101" t="s">
        <v>130</v>
      </c>
      <c r="J101" t="s">
        <v>26</v>
      </c>
      <c r="K101" s="15">
        <v>45450</v>
      </c>
      <c r="L101" t="s">
        <v>38</v>
      </c>
      <c r="M101" t="str">
        <f>IF(COUNTIFS(PRO_LT_SCORECARD_FLEX_VALIDATIO!$K:$K, _xlfn.CONCAT(C101,D101), PRO_LT_SCORECARD_FLEX_VALIDATIO!$G:$G, "KO") &gt; 0, "NOK", "OK")</f>
        <v>NOK</v>
      </c>
      <c r="Q101" t="s">
        <v>30</v>
      </c>
      <c r="R101" t="s">
        <v>131</v>
      </c>
      <c r="S101" t="s">
        <v>132</v>
      </c>
      <c r="T101" t="s">
        <v>132</v>
      </c>
      <c r="U101" t="s">
        <v>132</v>
      </c>
      <c r="V101" t="s">
        <v>132</v>
      </c>
      <c r="W101" t="s">
        <v>131</v>
      </c>
      <c r="X101" t="s">
        <v>5</v>
      </c>
      <c r="Y101" t="str">
        <f>_xlfn.IFNA(_xlfn.XLOOKUP(D101,[1]Especificação!$G:$G,[1]Especificação!$C:$C),0)</f>
        <v>F1. Fora âmbito | Campos concluídos - Sem necessidade de espec.</v>
      </c>
    </row>
    <row r="102" spans="1:25" ht="15" hidden="1">
      <c r="A102" s="40" t="str">
        <f t="shared" si="1"/>
        <v>PROTECTION_DVLPMNT_STTS</v>
      </c>
      <c r="B102" s="40"/>
      <c r="C102" t="s">
        <v>156</v>
      </c>
      <c r="D102" s="10" t="s">
        <v>264</v>
      </c>
      <c r="E102" t="s">
        <v>14</v>
      </c>
      <c r="F102" t="s">
        <v>25</v>
      </c>
      <c r="G102" t="s">
        <v>145</v>
      </c>
      <c r="H102" t="s">
        <v>265</v>
      </c>
      <c r="I102" t="s">
        <v>230</v>
      </c>
      <c r="J102" t="s">
        <v>26</v>
      </c>
      <c r="K102" s="15">
        <v>45670</v>
      </c>
      <c r="L102" t="s">
        <v>38</v>
      </c>
      <c r="M102" t="str">
        <f>IF(COUNTIFS(PRO_LT_SCORECARD_FLEX_VALIDATIO!$K:$K, _xlfn.CONCAT(C102,D102), PRO_LT_SCORECARD_FLEX_VALIDATIO!$G:$G, "KO") &gt; 0, "NOK", "OK")</f>
        <v>OK</v>
      </c>
      <c r="N102" t="s">
        <v>266</v>
      </c>
      <c r="O102" s="15">
        <v>45513</v>
      </c>
      <c r="P102" s="15">
        <v>45646</v>
      </c>
      <c r="Q102" t="s">
        <v>24</v>
      </c>
      <c r="R102" t="s">
        <v>131</v>
      </c>
      <c r="S102" t="s">
        <v>132</v>
      </c>
      <c r="T102" t="s">
        <v>132</v>
      </c>
      <c r="U102" t="s">
        <v>132</v>
      </c>
      <c r="V102" t="s">
        <v>132</v>
      </c>
      <c r="W102" t="s">
        <v>132</v>
      </c>
      <c r="X102" t="s">
        <v>5</v>
      </c>
      <c r="Y102">
        <f>_xlfn.IFNA(_xlfn.XLOOKUP(D102,[1]Especificação!$G:$G,[1]Especificação!$C:$C),0)</f>
        <v>0</v>
      </c>
    </row>
    <row r="103" spans="1:25" ht="15" hidden="1">
      <c r="A103" s="40" t="str">
        <f t="shared" si="1"/>
        <v>PROTECTION_DT_LST_FLL_APPRSL</v>
      </c>
      <c r="B103" s="40"/>
      <c r="C103" t="s">
        <v>156</v>
      </c>
      <c r="D103" s="10" t="s">
        <v>267</v>
      </c>
      <c r="E103" t="s">
        <v>14</v>
      </c>
      <c r="F103" t="s">
        <v>35</v>
      </c>
      <c r="G103" t="s">
        <v>145</v>
      </c>
      <c r="H103" t="s">
        <v>180</v>
      </c>
      <c r="I103" t="s">
        <v>181</v>
      </c>
      <c r="J103" t="s">
        <v>26</v>
      </c>
      <c r="K103" s="15">
        <v>45670</v>
      </c>
      <c r="L103" t="s">
        <v>38</v>
      </c>
      <c r="M103" t="str">
        <f>IF(COUNTIFS(PRO_LT_SCORECARD_FLEX_VALIDATIO!$K:$K, _xlfn.CONCAT(C103,D103), PRO_LT_SCORECARD_FLEX_VALIDATIO!$G:$G, "KO") &gt; 0, "NOK", "OK")</f>
        <v>OK</v>
      </c>
      <c r="N103" t="s">
        <v>268</v>
      </c>
      <c r="O103" s="15">
        <v>45471</v>
      </c>
      <c r="P103" s="15">
        <v>45646</v>
      </c>
      <c r="Q103" t="s">
        <v>24</v>
      </c>
      <c r="R103" t="s">
        <v>131</v>
      </c>
      <c r="S103" t="s">
        <v>132</v>
      </c>
      <c r="T103" t="s">
        <v>132</v>
      </c>
      <c r="U103" t="s">
        <v>132</v>
      </c>
      <c r="V103" t="s">
        <v>132</v>
      </c>
      <c r="W103" t="s">
        <v>132</v>
      </c>
      <c r="X103" t="s">
        <v>5</v>
      </c>
      <c r="Y103">
        <f>_xlfn.IFNA(_xlfn.XLOOKUP(D103,[1]Especificação!$G:$G,[1]Especificação!$C:$C),0)</f>
        <v>0</v>
      </c>
    </row>
    <row r="104" spans="1:25" ht="15" hidden="1">
      <c r="A104" s="40" t="str">
        <f t="shared" si="1"/>
        <v>PROTECTION_DT_MTRTY_PRTCTN</v>
      </c>
      <c r="B104" s="40"/>
      <c r="C104" t="s">
        <v>156</v>
      </c>
      <c r="D104" t="s">
        <v>269</v>
      </c>
      <c r="E104" t="s">
        <v>14</v>
      </c>
      <c r="F104" t="s">
        <v>36</v>
      </c>
      <c r="G104" t="s">
        <v>145</v>
      </c>
      <c r="H104" t="s">
        <v>257</v>
      </c>
      <c r="J104" t="s">
        <v>29</v>
      </c>
      <c r="K104" s="15">
        <v>45450</v>
      </c>
      <c r="L104" t="s">
        <v>36</v>
      </c>
      <c r="M104" t="str">
        <f>IF(COUNTIFS(PRO_LT_SCORECARD_FLEX_VALIDATIO!$K:$K, _xlfn.CONCAT(C104,D104), PRO_LT_SCORECARD_FLEX_VALIDATIO!$G:$G, "KO") &gt; 0, "NOK", "OK")</f>
        <v>OK</v>
      </c>
      <c r="Q104" t="s">
        <v>8</v>
      </c>
      <c r="R104" t="s">
        <v>131</v>
      </c>
      <c r="S104" t="s">
        <v>132</v>
      </c>
      <c r="T104" t="s">
        <v>132</v>
      </c>
      <c r="U104" t="s">
        <v>132</v>
      </c>
      <c r="V104" t="s">
        <v>132</v>
      </c>
      <c r="W104" t="s">
        <v>132</v>
      </c>
      <c r="X104" t="s">
        <v>5</v>
      </c>
      <c r="Y104">
        <f>_xlfn.IFNA(_xlfn.XLOOKUP(D104,[1]Especificação!$G:$G,[1]Especificação!$C:$C),0)</f>
        <v>0</v>
      </c>
    </row>
    <row r="105" spans="1:25" ht="15" hidden="1">
      <c r="A105" s="40" t="str">
        <f t="shared" si="1"/>
        <v>INSTRUMENT_SICR_ASSSSMNT_MTHD</v>
      </c>
      <c r="B105" s="40"/>
      <c r="C105" t="s">
        <v>127</v>
      </c>
      <c r="D105" s="10" t="s">
        <v>270</v>
      </c>
      <c r="E105" t="s">
        <v>14</v>
      </c>
      <c r="F105" t="s">
        <v>28</v>
      </c>
      <c r="G105" t="s">
        <v>129</v>
      </c>
      <c r="H105" t="s">
        <v>271</v>
      </c>
      <c r="J105" t="s">
        <v>26</v>
      </c>
      <c r="K105" s="15">
        <v>45471</v>
      </c>
      <c r="L105" t="s">
        <v>38</v>
      </c>
      <c r="M105" t="str">
        <f>IF(COUNTIFS(PRO_LT_SCORECARD_FLEX_VALIDATIO!$K:$K, _xlfn.CONCAT(C105,D105), PRO_LT_SCORECARD_FLEX_VALIDATIO!$G:$G, "KO") &gt; 0, "NOK", "OK")</f>
        <v>OK</v>
      </c>
      <c r="N105" t="s">
        <v>272</v>
      </c>
      <c r="P105" s="33" t="s">
        <v>273</v>
      </c>
      <c r="Q105" t="s">
        <v>30</v>
      </c>
      <c r="R105" t="s">
        <v>131</v>
      </c>
      <c r="S105" t="s">
        <v>132</v>
      </c>
      <c r="T105" t="s">
        <v>132</v>
      </c>
      <c r="U105" t="s">
        <v>132</v>
      </c>
      <c r="V105" t="s">
        <v>132</v>
      </c>
      <c r="W105" t="s">
        <v>131</v>
      </c>
      <c r="X105" t="s">
        <v>5</v>
      </c>
      <c r="Y105" t="str">
        <f>_xlfn.IFNA(_xlfn.XLOOKUP(D105,[1]Especificação!$G:$G,[1]Especificação!$C:$C),0)</f>
        <v>F1. Fora âmbito | Campos concluídos - Sem necessidade de espec.</v>
      </c>
    </row>
    <row r="106" spans="1:25" ht="15" hidden="1">
      <c r="A106" s="40" t="str">
        <f t="shared" si="1"/>
        <v>INSTRUMENT_DT_ORGNL_MTRTY</v>
      </c>
      <c r="B106" s="40"/>
      <c r="C106" t="s">
        <v>127</v>
      </c>
      <c r="D106" t="s">
        <v>274</v>
      </c>
      <c r="E106" t="s">
        <v>14</v>
      </c>
      <c r="F106" t="s">
        <v>36</v>
      </c>
      <c r="G106" t="s">
        <v>145</v>
      </c>
      <c r="H106" t="s">
        <v>158</v>
      </c>
      <c r="J106" t="s">
        <v>29</v>
      </c>
      <c r="K106" s="15">
        <v>45958</v>
      </c>
      <c r="L106" t="s">
        <v>38</v>
      </c>
      <c r="M106" t="str">
        <f>IF(COUNTIFS(PRO_LT_SCORECARD_FLEX_VALIDATIO!$K:$K, _xlfn.CONCAT(C106,D106), PRO_LT_SCORECARD_FLEX_VALIDATIO!$G:$G, "KO") &gt; 0, "NOK", "OK")</f>
        <v>NOK</v>
      </c>
      <c r="P106" s="15">
        <v>45958</v>
      </c>
      <c r="Q106" t="s">
        <v>8</v>
      </c>
      <c r="R106" t="s">
        <v>131</v>
      </c>
      <c r="S106" t="s">
        <v>132</v>
      </c>
      <c r="T106" t="s">
        <v>132</v>
      </c>
      <c r="U106" t="s">
        <v>132</v>
      </c>
      <c r="V106" t="s">
        <v>132</v>
      </c>
      <c r="W106" t="s">
        <v>131</v>
      </c>
      <c r="X106" t="s">
        <v>136</v>
      </c>
      <c r="Y106" t="str">
        <f>_xlfn.IFNA(_xlfn.XLOOKUP(D106,[1]Especificação!$G:$G,[1]Especificação!$C:$C),0)</f>
        <v>D. Campos com NOK controlos Corporativos</v>
      </c>
    </row>
    <row r="107" spans="1:25" ht="15" hidden="1">
      <c r="A107" s="40" t="str">
        <f t="shared" si="1"/>
        <v>PROTECTION_NTNL_ID</v>
      </c>
      <c r="B107" s="40"/>
      <c r="C107" t="s">
        <v>156</v>
      </c>
      <c r="D107" s="10" t="s">
        <v>275</v>
      </c>
      <c r="E107" t="s">
        <v>14</v>
      </c>
      <c r="F107" t="s">
        <v>35</v>
      </c>
      <c r="G107" t="s">
        <v>145</v>
      </c>
      <c r="H107" t="s">
        <v>276</v>
      </c>
      <c r="J107" t="s">
        <v>26</v>
      </c>
      <c r="K107" s="15">
        <v>45670</v>
      </c>
      <c r="L107" t="s">
        <v>38</v>
      </c>
      <c r="M107" t="str">
        <f>IF(COUNTIFS(PRO_LT_SCORECARD_FLEX_VALIDATIO!$K:$K, _xlfn.CONCAT(C107,D107), PRO_LT_SCORECARD_FLEX_VALIDATIO!$G:$G, "KO") &gt; 0, "NOK", "OK")</f>
        <v>NOK</v>
      </c>
      <c r="O107" s="15">
        <v>45513</v>
      </c>
      <c r="P107" s="15">
        <v>45646</v>
      </c>
      <c r="Q107" t="s">
        <v>24</v>
      </c>
      <c r="R107" t="s">
        <v>131</v>
      </c>
      <c r="S107" t="s">
        <v>132</v>
      </c>
      <c r="T107" t="s">
        <v>132</v>
      </c>
      <c r="U107" t="s">
        <v>132</v>
      </c>
      <c r="V107" t="s">
        <v>132</v>
      </c>
      <c r="W107" t="s">
        <v>132</v>
      </c>
      <c r="X107" t="s">
        <v>5</v>
      </c>
      <c r="Y107">
        <f>_xlfn.IFNA(_xlfn.XLOOKUP(D107,[1]Especificação!$G:$G,[1]Especificação!$C:$C),0)</f>
        <v>0</v>
      </c>
    </row>
    <row r="108" spans="1:25" ht="15" hidden="1">
      <c r="A108" s="40" t="str">
        <f t="shared" si="1"/>
        <v>INSTRUMENT_DT_PRFRMNG_STTS</v>
      </c>
      <c r="B108" s="40"/>
      <c r="C108" t="s">
        <v>127</v>
      </c>
      <c r="D108" s="11" t="s">
        <v>53</v>
      </c>
      <c r="E108" t="s">
        <v>14</v>
      </c>
      <c r="F108" t="s">
        <v>28</v>
      </c>
      <c r="G108" t="s">
        <v>129</v>
      </c>
      <c r="H108" t="s">
        <v>154</v>
      </c>
      <c r="I108" t="s">
        <v>258</v>
      </c>
      <c r="J108" t="s">
        <v>32</v>
      </c>
      <c r="K108" s="15">
        <v>45952</v>
      </c>
      <c r="L108" t="s">
        <v>38</v>
      </c>
      <c r="M108" t="str">
        <f>IF(COUNTIFS(PRO_LT_SCORECARD_FLEX_VALIDATIO!$K:$K, _xlfn.CONCAT(C108,D108), PRO_LT_SCORECARD_FLEX_VALIDATIO!$G:$G, "KO") &gt; 0, "NOK", "OK")</f>
        <v>NOK</v>
      </c>
      <c r="O108" s="15">
        <v>45562</v>
      </c>
      <c r="P108" s="15">
        <v>45952</v>
      </c>
      <c r="Q108" t="s">
        <v>39</v>
      </c>
      <c r="R108" t="s">
        <v>131</v>
      </c>
      <c r="S108" t="s">
        <v>132</v>
      </c>
      <c r="T108" t="s">
        <v>132</v>
      </c>
      <c r="U108" t="s">
        <v>132</v>
      </c>
      <c r="V108" t="s">
        <v>132</v>
      </c>
      <c r="W108" t="s">
        <v>131</v>
      </c>
      <c r="X108" t="s">
        <v>5</v>
      </c>
      <c r="Y108" t="str">
        <f>_xlfn.IFNA(_xlfn.XLOOKUP(D108,[1]Especificação!$G:$G,[1]Especificação!$C:$C),0)</f>
        <v>F2. Fora âmbito | Campos em testes ou c/ incidências (LT - PM)</v>
      </c>
    </row>
    <row r="109" spans="1:25" ht="15" hidden="1">
      <c r="A109" s="40" t="str">
        <f t="shared" si="1"/>
        <v>ENTITY_DT_PRFRMNG_STTS_LE</v>
      </c>
      <c r="B109" s="40"/>
      <c r="C109" t="s">
        <v>139</v>
      </c>
      <c r="D109" s="11" t="s">
        <v>277</v>
      </c>
      <c r="E109" t="s">
        <v>14</v>
      </c>
      <c r="F109" t="s">
        <v>28</v>
      </c>
      <c r="G109" t="s">
        <v>145</v>
      </c>
      <c r="H109" t="s">
        <v>213</v>
      </c>
      <c r="I109" t="s">
        <v>240</v>
      </c>
      <c r="J109" t="s">
        <v>32</v>
      </c>
      <c r="K109" s="15">
        <v>45958</v>
      </c>
      <c r="L109" t="s">
        <v>38</v>
      </c>
      <c r="M109" t="str">
        <f>IF(COUNTIFS(PRO_LT_SCORECARD_FLEX_VALIDATIO!$K:$K, _xlfn.CONCAT(C109,D109), PRO_LT_SCORECARD_FLEX_VALIDATIO!$G:$G, "KO") &gt; 0, "NOK", "OK")</f>
        <v>NOK</v>
      </c>
      <c r="O109" s="15">
        <v>45958</v>
      </c>
      <c r="Q109" t="s">
        <v>39</v>
      </c>
      <c r="R109" t="s">
        <v>131</v>
      </c>
      <c r="S109" t="s">
        <v>132</v>
      </c>
      <c r="T109" t="s">
        <v>132</v>
      </c>
      <c r="U109" t="s">
        <v>132</v>
      </c>
      <c r="V109" t="s">
        <v>132</v>
      </c>
      <c r="W109" t="s">
        <v>131</v>
      </c>
      <c r="X109" t="s">
        <v>136</v>
      </c>
      <c r="Y109" t="str">
        <f>_xlfn.IFNA(_xlfn.XLOOKUP(D109,[1]Especificação!$G:$G,[1]Especificação!$C:$C),0)</f>
        <v xml:space="preserve">E. Campos com outras possíveis alterações - Dependente de decisões OSI </v>
      </c>
    </row>
    <row r="110" spans="1:25" ht="15" hidden="1">
      <c r="A110" s="40" t="str">
        <f t="shared" si="1"/>
        <v>INSTRUMENT_DT_PRFRMNG_STTS_PRVS</v>
      </c>
      <c r="B110" s="40"/>
      <c r="C110" t="s">
        <v>127</v>
      </c>
      <c r="D110" s="11" t="s">
        <v>54</v>
      </c>
      <c r="E110" t="s">
        <v>14</v>
      </c>
      <c r="F110" t="s">
        <v>28</v>
      </c>
      <c r="G110" t="s">
        <v>129</v>
      </c>
      <c r="H110" t="s">
        <v>154</v>
      </c>
      <c r="I110" t="s">
        <v>258</v>
      </c>
      <c r="J110" t="s">
        <v>32</v>
      </c>
      <c r="K110" s="15">
        <v>45952</v>
      </c>
      <c r="L110" t="s">
        <v>38</v>
      </c>
      <c r="M110" t="str">
        <f>IF(COUNTIFS(PRO_LT_SCORECARD_FLEX_VALIDATIO!$K:$K, _xlfn.CONCAT(C110,D110), PRO_LT_SCORECARD_FLEX_VALIDATIO!$G:$G, "KO") &gt; 0, "NOK", "OK")</f>
        <v>NOK</v>
      </c>
      <c r="O110" s="15">
        <v>45562</v>
      </c>
      <c r="P110" s="15">
        <v>45952</v>
      </c>
      <c r="Q110" t="s">
        <v>39</v>
      </c>
      <c r="R110" t="s">
        <v>131</v>
      </c>
      <c r="S110" t="s">
        <v>132</v>
      </c>
      <c r="T110" t="s">
        <v>132</v>
      </c>
      <c r="U110" t="s">
        <v>132</v>
      </c>
      <c r="V110" t="s">
        <v>132</v>
      </c>
      <c r="W110" t="s">
        <v>131</v>
      </c>
      <c r="X110" t="s">
        <v>5</v>
      </c>
      <c r="Y110" t="str">
        <f>_xlfn.IFNA(_xlfn.XLOOKUP(D110,[1]Especificação!$G:$G,[1]Especificação!$C:$C),0)</f>
        <v>F2. Fora âmbito | Campos em testes ou c/ incidências (LT - PM)</v>
      </c>
    </row>
    <row r="111" spans="1:25" ht="15" hidden="1">
      <c r="A111" s="40" t="str">
        <f t="shared" si="1"/>
        <v>INSTRUMENT_IFRS9_BHVRL_MTRTY</v>
      </c>
      <c r="B111" s="40"/>
      <c r="C111" t="s">
        <v>127</v>
      </c>
      <c r="D111" s="10" t="s">
        <v>278</v>
      </c>
      <c r="E111" t="s">
        <v>14</v>
      </c>
      <c r="F111" t="s">
        <v>25</v>
      </c>
      <c r="G111" t="s">
        <v>129</v>
      </c>
      <c r="H111" t="s">
        <v>279</v>
      </c>
      <c r="I111" t="s">
        <v>280</v>
      </c>
      <c r="J111" t="s">
        <v>32</v>
      </c>
      <c r="K111" s="15">
        <v>45869</v>
      </c>
      <c r="L111" t="s">
        <v>38</v>
      </c>
      <c r="M111" t="str">
        <f>IF(COUNTIFS(PRO_LT_SCORECARD_FLEX_VALIDATIO!$K:$K, _xlfn.CONCAT(C111,D111), PRO_LT_SCORECARD_FLEX_VALIDATIO!$G:$G, "KO") &gt; 0, "NOK", "OK")</f>
        <v>OK</v>
      </c>
      <c r="N111" t="s">
        <v>281</v>
      </c>
      <c r="O111" s="15">
        <v>45534</v>
      </c>
      <c r="P111" s="15">
        <v>45747</v>
      </c>
      <c r="Q111" t="s">
        <v>24</v>
      </c>
      <c r="R111" t="s">
        <v>131</v>
      </c>
      <c r="S111" t="s">
        <v>132</v>
      </c>
      <c r="T111" t="s">
        <v>131</v>
      </c>
      <c r="U111" t="s">
        <v>132</v>
      </c>
      <c r="V111" t="s">
        <v>132</v>
      </c>
      <c r="W111" t="s">
        <v>131</v>
      </c>
      <c r="X111" t="s">
        <v>5</v>
      </c>
      <c r="Y111" t="str">
        <f>_xlfn.IFNA(_xlfn.XLOOKUP(D111,[1]Especificação!$G:$G,[1]Especificação!$C:$C),0)</f>
        <v>F2. Fora âmbito | Campos em testes ou c/ incidências (LT - PM)</v>
      </c>
    </row>
    <row r="112" spans="1:25" ht="15" hidden="1">
      <c r="A112" s="40" t="str">
        <f t="shared" si="1"/>
        <v>INSTRUMENT_DT_PST_D</v>
      </c>
      <c r="B112" s="40"/>
      <c r="C112" t="s">
        <v>127</v>
      </c>
      <c r="D112" t="s">
        <v>282</v>
      </c>
      <c r="E112" t="s">
        <v>14</v>
      </c>
      <c r="F112" t="s">
        <v>36</v>
      </c>
      <c r="G112" t="s">
        <v>145</v>
      </c>
      <c r="H112" t="s">
        <v>158</v>
      </c>
      <c r="J112" t="s">
        <v>29</v>
      </c>
      <c r="K112" s="15">
        <v>45958</v>
      </c>
      <c r="L112" t="s">
        <v>38</v>
      </c>
      <c r="M112" t="str">
        <f>IF(COUNTIFS(PRO_LT_SCORECARD_FLEX_VALIDATIO!$K:$K, _xlfn.CONCAT(C112,D112), PRO_LT_SCORECARD_FLEX_VALIDATIO!$G:$G, "KO") &gt; 0, "NOK", "OK")</f>
        <v>NOK</v>
      </c>
      <c r="P112" s="15">
        <v>45958</v>
      </c>
      <c r="Q112" t="s">
        <v>8</v>
      </c>
      <c r="R112" t="s">
        <v>131</v>
      </c>
      <c r="S112" t="s">
        <v>132</v>
      </c>
      <c r="T112" t="s">
        <v>132</v>
      </c>
      <c r="U112" t="s">
        <v>132</v>
      </c>
      <c r="V112" t="s">
        <v>132</v>
      </c>
      <c r="W112" t="s">
        <v>131</v>
      </c>
      <c r="X112" t="s">
        <v>136</v>
      </c>
      <c r="Y112" t="str">
        <f>_xlfn.IFNA(_xlfn.XLOOKUP(D112,[1]Especificação!$G:$G,[1]Especificação!$C:$C),0)</f>
        <v>D. Campos com NOK controlos Corporativos</v>
      </c>
    </row>
    <row r="113" spans="1:25" ht="15" hidden="1">
      <c r="A113" s="40" t="str">
        <f t="shared" si="1"/>
        <v>ENTITY_DT_RFRNC</v>
      </c>
      <c r="B113" s="40"/>
      <c r="C113" t="s">
        <v>139</v>
      </c>
      <c r="D113" t="s">
        <v>283</v>
      </c>
      <c r="E113" t="s">
        <v>14</v>
      </c>
      <c r="F113" t="s">
        <v>38</v>
      </c>
      <c r="G113" t="s">
        <v>129</v>
      </c>
      <c r="H113" t="s">
        <v>130</v>
      </c>
      <c r="J113" t="s">
        <v>26</v>
      </c>
      <c r="K113" s="15">
        <v>45450</v>
      </c>
      <c r="L113" t="s">
        <v>38</v>
      </c>
      <c r="M113" t="str">
        <f>IF(COUNTIFS(PRO_LT_SCORECARD_FLEX_VALIDATIO!$K:$K, _xlfn.CONCAT(C113,D113), PRO_LT_SCORECARD_FLEX_VALIDATIO!$G:$G, "KO") &gt; 0, "NOK", "OK")</f>
        <v>OK</v>
      </c>
      <c r="Q113" t="s">
        <v>30</v>
      </c>
      <c r="R113" t="s">
        <v>131</v>
      </c>
      <c r="S113" t="s">
        <v>132</v>
      </c>
      <c r="T113" t="s">
        <v>131</v>
      </c>
      <c r="U113" t="s">
        <v>132</v>
      </c>
      <c r="V113" t="s">
        <v>132</v>
      </c>
      <c r="W113" t="s">
        <v>131</v>
      </c>
      <c r="X113" t="s">
        <v>5</v>
      </c>
      <c r="Y113" t="str">
        <f>_xlfn.IFNA(_xlfn.XLOOKUP(D113,[1]Especificação!$G:$G,[1]Especificação!$C:$C),0)</f>
        <v>F1. Fora âmbito | Campos concluídos - Sem necessidade de espec.</v>
      </c>
    </row>
    <row r="114" spans="1:25" ht="15" hidden="1">
      <c r="A114" s="40" t="str">
        <f t="shared" si="1"/>
        <v>INSTR_ENTITY_DT_RFRNC</v>
      </c>
      <c r="B114" s="40"/>
      <c r="C114" t="s">
        <v>187</v>
      </c>
      <c r="D114" t="s">
        <v>283</v>
      </c>
      <c r="E114" t="s">
        <v>14</v>
      </c>
      <c r="F114" t="s">
        <v>38</v>
      </c>
      <c r="G114" t="s">
        <v>129</v>
      </c>
      <c r="H114" t="s">
        <v>130</v>
      </c>
      <c r="J114" t="s">
        <v>26</v>
      </c>
      <c r="K114" s="15">
        <v>45450</v>
      </c>
      <c r="L114" t="s">
        <v>38</v>
      </c>
      <c r="M114" t="str">
        <f>IF(COUNTIFS(PRO_LT_SCORECARD_FLEX_VALIDATIO!$K:$K, _xlfn.CONCAT(C114,D114), PRO_LT_SCORECARD_FLEX_VALIDATIO!$G:$G, "KO") &gt; 0, "NOK", "OK")</f>
        <v>OK</v>
      </c>
      <c r="Q114" t="s">
        <v>30</v>
      </c>
      <c r="R114" t="s">
        <v>131</v>
      </c>
      <c r="S114" t="s">
        <v>132</v>
      </c>
      <c r="T114" t="s">
        <v>131</v>
      </c>
      <c r="U114" t="s">
        <v>132</v>
      </c>
      <c r="V114" t="s">
        <v>132</v>
      </c>
      <c r="W114" t="s">
        <v>131</v>
      </c>
      <c r="X114" t="s">
        <v>5</v>
      </c>
      <c r="Y114" t="str">
        <f>_xlfn.IFNA(_xlfn.XLOOKUP(D114,[1]Especificação!$G:$G,[1]Especificação!$C:$C),0)</f>
        <v>F1. Fora âmbito | Campos concluídos - Sem necessidade de espec.</v>
      </c>
    </row>
    <row r="115" spans="1:25" ht="15" hidden="1">
      <c r="A115" s="40" t="str">
        <f t="shared" si="1"/>
        <v>INSTR_PROTECTION_DT_RFRNC</v>
      </c>
      <c r="B115" s="40"/>
      <c r="C115" t="s">
        <v>188</v>
      </c>
      <c r="D115" t="s">
        <v>283</v>
      </c>
      <c r="E115" t="s">
        <v>14</v>
      </c>
      <c r="F115" t="s">
        <v>38</v>
      </c>
      <c r="G115" t="s">
        <v>129</v>
      </c>
      <c r="H115" t="s">
        <v>130</v>
      </c>
      <c r="J115" t="s">
        <v>26</v>
      </c>
      <c r="K115" s="15">
        <v>45450</v>
      </c>
      <c r="L115" t="s">
        <v>38</v>
      </c>
      <c r="M115" t="str">
        <f>IF(COUNTIFS(PRO_LT_SCORECARD_FLEX_VALIDATIO!$K:$K, _xlfn.CONCAT(C115,D115), PRO_LT_SCORECARD_FLEX_VALIDATIO!$G:$G, "KO") &gt; 0, "NOK", "OK")</f>
        <v>OK</v>
      </c>
      <c r="Q115" t="s">
        <v>30</v>
      </c>
      <c r="R115" t="s">
        <v>131</v>
      </c>
      <c r="S115" t="s">
        <v>131</v>
      </c>
      <c r="T115" t="s">
        <v>131</v>
      </c>
      <c r="U115" t="s">
        <v>132</v>
      </c>
      <c r="V115" t="s">
        <v>132</v>
      </c>
      <c r="W115" t="s">
        <v>132</v>
      </c>
      <c r="X115" t="s">
        <v>5</v>
      </c>
      <c r="Y115" t="str">
        <f>_xlfn.IFNA(_xlfn.XLOOKUP(D115,[1]Especificação!$G:$G,[1]Especificação!$C:$C),0)</f>
        <v>F1. Fora âmbito | Campos concluídos - Sem necessidade de espec.</v>
      </c>
    </row>
    <row r="116" spans="1:25" ht="15" hidden="1">
      <c r="A116" s="40" t="str">
        <f t="shared" si="1"/>
        <v>INSTRUMENT_DT_RFRNC</v>
      </c>
      <c r="B116" s="40"/>
      <c r="C116" t="s">
        <v>127</v>
      </c>
      <c r="D116" t="s">
        <v>283</v>
      </c>
      <c r="E116" t="s">
        <v>14</v>
      </c>
      <c r="F116" t="s">
        <v>38</v>
      </c>
      <c r="G116" t="s">
        <v>129</v>
      </c>
      <c r="H116" t="s">
        <v>130</v>
      </c>
      <c r="J116" t="s">
        <v>26</v>
      </c>
      <c r="K116" s="15">
        <v>45450</v>
      </c>
      <c r="L116" t="s">
        <v>38</v>
      </c>
      <c r="M116" t="str">
        <f>IF(COUNTIFS(PRO_LT_SCORECARD_FLEX_VALIDATIO!$K:$K, _xlfn.CONCAT(C116,D116), PRO_LT_SCORECARD_FLEX_VALIDATIO!$G:$G, "KO") &gt; 0, "NOK", "OK")</f>
        <v>OK</v>
      </c>
      <c r="Q116" t="s">
        <v>30</v>
      </c>
      <c r="R116" t="s">
        <v>131</v>
      </c>
      <c r="S116" t="s">
        <v>131</v>
      </c>
      <c r="T116" t="s">
        <v>131</v>
      </c>
      <c r="U116" t="s">
        <v>132</v>
      </c>
      <c r="V116" t="s">
        <v>131</v>
      </c>
      <c r="W116" t="s">
        <v>131</v>
      </c>
      <c r="X116" t="s">
        <v>5</v>
      </c>
      <c r="Y116" t="str">
        <f>_xlfn.IFNA(_xlfn.XLOOKUP(D116,[1]Especificação!$G:$G,[1]Especificação!$C:$C),0)</f>
        <v>F1. Fora âmbito | Campos concluídos - Sem necessidade de espec.</v>
      </c>
    </row>
    <row r="117" spans="1:25" ht="15" hidden="1">
      <c r="A117" s="40" t="str">
        <f t="shared" si="1"/>
        <v>PROTECTION_DT_RFRNC</v>
      </c>
      <c r="B117" s="40"/>
      <c r="C117" t="s">
        <v>156</v>
      </c>
      <c r="D117" t="s">
        <v>283</v>
      </c>
      <c r="E117" t="s">
        <v>14</v>
      </c>
      <c r="F117" t="s">
        <v>38</v>
      </c>
      <c r="G117" t="s">
        <v>129</v>
      </c>
      <c r="H117" t="s">
        <v>130</v>
      </c>
      <c r="J117" t="s">
        <v>26</v>
      </c>
      <c r="K117" s="15">
        <v>45450</v>
      </c>
      <c r="L117" t="s">
        <v>38</v>
      </c>
      <c r="M117" t="str">
        <f>IF(COUNTIFS(PRO_LT_SCORECARD_FLEX_VALIDATIO!$K:$K, _xlfn.CONCAT(C117,D117), PRO_LT_SCORECARD_FLEX_VALIDATIO!$G:$G, "KO") &gt; 0, "NOK", "OK")</f>
        <v>OK</v>
      </c>
      <c r="Q117" t="s">
        <v>30</v>
      </c>
      <c r="R117" t="s">
        <v>131</v>
      </c>
      <c r="S117" t="s">
        <v>131</v>
      </c>
      <c r="T117" t="s">
        <v>131</v>
      </c>
      <c r="U117" t="s">
        <v>132</v>
      </c>
      <c r="V117" t="s">
        <v>131</v>
      </c>
      <c r="W117" t="s">
        <v>132</v>
      </c>
      <c r="X117" t="s">
        <v>5</v>
      </c>
      <c r="Y117" t="str">
        <f>_xlfn.IFNA(_xlfn.XLOOKUP(D117,[1]Especificação!$G:$G,[1]Especificação!$C:$C),0)</f>
        <v>F1. Fora âmbito | Campos concluídos - Sem necessidade de espec.</v>
      </c>
    </row>
    <row r="118" spans="1:25" ht="15" hidden="1">
      <c r="A118" s="40" t="str">
        <f t="shared" si="1"/>
        <v>INSTRUMENT_DT_STRT_GP_PPAL</v>
      </c>
      <c r="B118" s="40"/>
      <c r="C118" t="s">
        <v>127</v>
      </c>
      <c r="D118" t="s">
        <v>284</v>
      </c>
      <c r="E118" t="s">
        <v>14</v>
      </c>
      <c r="F118" t="s">
        <v>36</v>
      </c>
      <c r="G118" t="s">
        <v>145</v>
      </c>
      <c r="H118" t="s">
        <v>158</v>
      </c>
      <c r="J118" t="s">
        <v>29</v>
      </c>
      <c r="K118" s="15">
        <v>45450</v>
      </c>
      <c r="L118" t="s">
        <v>36</v>
      </c>
      <c r="M118" t="str">
        <f>IF(COUNTIFS(PRO_LT_SCORECARD_FLEX_VALIDATIO!$K:$K, _xlfn.CONCAT(C118,D118), PRO_LT_SCORECARD_FLEX_VALIDATIO!$G:$G, "KO") &gt; 0, "NOK", "OK")</f>
        <v>NOK</v>
      </c>
      <c r="Q118" t="s">
        <v>8</v>
      </c>
      <c r="R118" t="s">
        <v>131</v>
      </c>
      <c r="S118" t="s">
        <v>132</v>
      </c>
      <c r="T118" t="s">
        <v>132</v>
      </c>
      <c r="U118" t="s">
        <v>132</v>
      </c>
      <c r="V118" t="s">
        <v>132</v>
      </c>
      <c r="W118" t="s">
        <v>132</v>
      </c>
      <c r="X118" t="s">
        <v>5</v>
      </c>
      <c r="Y118">
        <f>_xlfn.IFNA(_xlfn.XLOOKUP(D118,[1]Especificação!$G:$G,[1]Especificação!$C:$C),0)</f>
        <v>0</v>
      </c>
    </row>
    <row r="119" spans="1:25" ht="15" hidden="1">
      <c r="A119" s="40" t="str">
        <f t="shared" si="1"/>
        <v>INSTRUMENT_DT_STRT_INTRST_ONLY</v>
      </c>
      <c r="B119" s="40"/>
      <c r="C119" t="s">
        <v>127</v>
      </c>
      <c r="D119" t="s">
        <v>285</v>
      </c>
      <c r="E119" t="s">
        <v>14</v>
      </c>
      <c r="F119" t="s">
        <v>36</v>
      </c>
      <c r="G119" t="s">
        <v>145</v>
      </c>
      <c r="H119" t="s">
        <v>158</v>
      </c>
      <c r="J119" t="s">
        <v>29</v>
      </c>
      <c r="K119" s="15">
        <v>45450</v>
      </c>
      <c r="L119" t="s">
        <v>36</v>
      </c>
      <c r="M119" t="str">
        <f>IF(COUNTIFS(PRO_LT_SCORECARD_FLEX_VALIDATIO!$K:$K, _xlfn.CONCAT(C119,D119), PRO_LT_SCORECARD_FLEX_VALIDATIO!$G:$G, "KO") &gt; 0, "NOK", "OK")</f>
        <v>NOK</v>
      </c>
      <c r="Q119" t="s">
        <v>8</v>
      </c>
      <c r="R119" t="s">
        <v>131</v>
      </c>
      <c r="S119" t="s">
        <v>132</v>
      </c>
      <c r="T119" t="s">
        <v>132</v>
      </c>
      <c r="U119" t="s">
        <v>132</v>
      </c>
      <c r="V119" t="s">
        <v>132</v>
      </c>
      <c r="W119" t="s">
        <v>132</v>
      </c>
      <c r="X119" t="s">
        <v>5</v>
      </c>
      <c r="Y119">
        <f>_xlfn.IFNA(_xlfn.XLOOKUP(D119,[1]Especificação!$G:$G,[1]Especificação!$C:$C),0)</f>
        <v>0</v>
      </c>
    </row>
    <row r="120" spans="1:25" ht="15" hidden="1">
      <c r="A120" s="40" t="str">
        <f t="shared" si="1"/>
        <v>INSTRUMENT_DT_VLTN</v>
      </c>
      <c r="B120" s="40"/>
      <c r="C120" t="s">
        <v>127</v>
      </c>
      <c r="D120" t="s">
        <v>286</v>
      </c>
      <c r="E120" t="s">
        <v>6</v>
      </c>
      <c r="F120" t="s">
        <v>38</v>
      </c>
      <c r="G120" t="s">
        <v>129</v>
      </c>
      <c r="H120" t="s">
        <v>130</v>
      </c>
      <c r="J120" t="s">
        <v>26</v>
      </c>
      <c r="K120" s="15">
        <v>45450</v>
      </c>
      <c r="L120" t="s">
        <v>38</v>
      </c>
      <c r="M120" t="str">
        <f>IF(COUNTIFS(PRO_LT_SCORECARD_FLEX_VALIDATIO!$K:$K, _xlfn.CONCAT(C120,D120), PRO_LT_SCORECARD_FLEX_VALIDATIO!$G:$G, "KO") &gt; 0, "NOK", "OK")</f>
        <v>OK</v>
      </c>
      <c r="Q120" t="s">
        <v>30</v>
      </c>
      <c r="R120" t="s">
        <v>131</v>
      </c>
      <c r="S120" t="s">
        <v>132</v>
      </c>
      <c r="T120" t="s">
        <v>132</v>
      </c>
      <c r="U120" t="s">
        <v>132</v>
      </c>
      <c r="V120" t="s">
        <v>132</v>
      </c>
      <c r="W120" t="s">
        <v>132</v>
      </c>
      <c r="X120" t="s">
        <v>5</v>
      </c>
      <c r="Y120">
        <f>_xlfn.IFNA(_xlfn.XLOOKUP(D120,[1]Especificação!$G:$G,[1]Especificação!$C:$C),0)</f>
        <v>0</v>
      </c>
    </row>
    <row r="121" spans="1:25" ht="15" hidden="1">
      <c r="A121" s="40" t="str">
        <f t="shared" si="1"/>
        <v>INSTRUMENT_POCI</v>
      </c>
      <c r="B121" s="40"/>
      <c r="C121" t="s">
        <v>127</v>
      </c>
      <c r="D121" s="10" t="s">
        <v>287</v>
      </c>
      <c r="E121" t="s">
        <v>14</v>
      </c>
      <c r="F121" t="s">
        <v>38</v>
      </c>
      <c r="G121" t="s">
        <v>129</v>
      </c>
      <c r="H121" t="s">
        <v>130</v>
      </c>
      <c r="J121" t="s">
        <v>26</v>
      </c>
      <c r="K121" s="15">
        <v>45520</v>
      </c>
      <c r="L121" t="s">
        <v>25</v>
      </c>
      <c r="M121" t="str">
        <f>IF(COUNTIFS(PRO_LT_SCORECARD_FLEX_VALIDATIO!$K:$K, _xlfn.CONCAT(C121,D121), PRO_LT_SCORECARD_FLEX_VALIDATIO!$G:$G, "KO") &gt; 0, "NOK", "OK")</f>
        <v>NOK</v>
      </c>
      <c r="N121" t="s">
        <v>288</v>
      </c>
      <c r="O121" s="15"/>
      <c r="P121" s="15"/>
      <c r="Q121" t="s">
        <v>30</v>
      </c>
      <c r="R121" t="s">
        <v>131</v>
      </c>
      <c r="S121" t="s">
        <v>132</v>
      </c>
      <c r="T121" t="s">
        <v>132</v>
      </c>
      <c r="U121" t="s">
        <v>132</v>
      </c>
      <c r="V121" t="s">
        <v>132</v>
      </c>
      <c r="W121" t="s">
        <v>132</v>
      </c>
      <c r="X121" t="s">
        <v>5</v>
      </c>
      <c r="Y121">
        <f>_xlfn.IFNA(_xlfn.XLOOKUP(D121,[1]Especificação!$G:$G,[1]Especificação!$C:$C),0)</f>
        <v>0</v>
      </c>
    </row>
    <row r="122" spans="1:25" ht="15" hidden="1">
      <c r="A122" s="40" t="str">
        <f t="shared" si="1"/>
        <v>INSTRUMENT_EAD</v>
      </c>
      <c r="B122" s="40"/>
      <c r="C122" t="s">
        <v>127</v>
      </c>
      <c r="D122" s="10" t="s">
        <v>289</v>
      </c>
      <c r="E122" t="s">
        <v>14</v>
      </c>
      <c r="F122" t="s">
        <v>33</v>
      </c>
      <c r="G122" t="s">
        <v>129</v>
      </c>
      <c r="H122" t="s">
        <v>290</v>
      </c>
      <c r="J122" t="s">
        <v>32</v>
      </c>
      <c r="K122" s="15">
        <v>45958</v>
      </c>
      <c r="L122" t="s">
        <v>38</v>
      </c>
      <c r="M122" t="str">
        <f>IF(COUNTIFS(PRO_LT_SCORECARD_FLEX_VALIDATIO!$K:$K, _xlfn.CONCAT(C122,D122), PRO_LT_SCORECARD_FLEX_VALIDATIO!$G:$G, "KO") &gt; 0, "NOK", "OK")</f>
        <v>OK</v>
      </c>
      <c r="O122" s="15"/>
      <c r="P122" s="15">
        <v>45958</v>
      </c>
      <c r="Q122" t="s">
        <v>24</v>
      </c>
      <c r="R122" t="s">
        <v>131</v>
      </c>
      <c r="S122" t="s">
        <v>131</v>
      </c>
      <c r="T122" t="s">
        <v>132</v>
      </c>
      <c r="U122" t="s">
        <v>132</v>
      </c>
      <c r="V122" t="s">
        <v>131</v>
      </c>
      <c r="W122" t="s">
        <v>131</v>
      </c>
      <c r="X122" t="s">
        <v>136</v>
      </c>
      <c r="Y122" t="str">
        <f>_xlfn.IFNA(_xlfn.XLOOKUP(D122,[1]Especificação!$G:$G,[1]Especificação!$C:$C),0)</f>
        <v>C. Campos em testes ou c/ incidências</v>
      </c>
    </row>
    <row r="123" spans="1:25" ht="15" hidden="1">
      <c r="A123" s="40" t="str">
        <f t="shared" si="1"/>
        <v>INSTRUMENT_EBA_CMPLNT_MRTR_ST_C19</v>
      </c>
      <c r="B123" s="40"/>
      <c r="C123" t="s">
        <v>127</v>
      </c>
      <c r="D123" t="s">
        <v>291</v>
      </c>
      <c r="E123" t="s">
        <v>6</v>
      </c>
      <c r="F123" t="s">
        <v>38</v>
      </c>
      <c r="G123" t="s">
        <v>129</v>
      </c>
      <c r="H123" t="s">
        <v>130</v>
      </c>
      <c r="J123" t="s">
        <v>26</v>
      </c>
      <c r="K123" s="15">
        <v>45450</v>
      </c>
      <c r="L123" t="s">
        <v>38</v>
      </c>
      <c r="M123" t="str">
        <f>IF(COUNTIFS(PRO_LT_SCORECARD_FLEX_VALIDATIO!$K:$K, _xlfn.CONCAT(C123,D123), PRO_LT_SCORECARD_FLEX_VALIDATIO!$G:$G, "KO") &gt; 0, "NOK", "OK")</f>
        <v>OK</v>
      </c>
      <c r="Q123" t="s">
        <v>30</v>
      </c>
      <c r="R123" t="s">
        <v>131</v>
      </c>
      <c r="S123" t="s">
        <v>132</v>
      </c>
      <c r="T123" t="s">
        <v>132</v>
      </c>
      <c r="U123" t="s">
        <v>132</v>
      </c>
      <c r="V123" t="s">
        <v>132</v>
      </c>
      <c r="W123" t="s">
        <v>132</v>
      </c>
      <c r="X123" t="s">
        <v>5</v>
      </c>
      <c r="Y123">
        <f>_xlfn.IFNA(_xlfn.XLOOKUP(D123,[1]Especificação!$G:$G,[1]Especificação!$C:$C),0)</f>
        <v>0</v>
      </c>
    </row>
    <row r="124" spans="1:25" ht="15" hidden="1">
      <c r="A124" s="40" t="str">
        <f t="shared" si="1"/>
        <v>INSTRUMENT_OTSTNDNG_NMNL_AMNT_INSTRMNT_PRVS</v>
      </c>
      <c r="B124" s="40"/>
      <c r="C124" t="s">
        <v>127</v>
      </c>
      <c r="D124" s="11" t="s">
        <v>292</v>
      </c>
      <c r="E124" t="s">
        <v>14</v>
      </c>
      <c r="F124" t="s">
        <v>35</v>
      </c>
      <c r="G124" t="s">
        <v>129</v>
      </c>
      <c r="H124" t="s">
        <v>293</v>
      </c>
      <c r="I124" t="s">
        <v>294</v>
      </c>
      <c r="J124" t="s">
        <v>32</v>
      </c>
      <c r="K124" s="15">
        <v>45952</v>
      </c>
      <c r="L124" t="s">
        <v>38</v>
      </c>
      <c r="M124" t="str">
        <f>IF(COUNTIFS(PRO_LT_SCORECARD_FLEX_VALIDATIO!$K:$K, _xlfn.CONCAT(C124,D124), PRO_LT_SCORECARD_FLEX_VALIDATIO!$G:$G, "KO") &gt; 0, "NOK", "OK")</f>
        <v>NOK</v>
      </c>
      <c r="O124" s="15"/>
      <c r="P124" s="15">
        <v>45952</v>
      </c>
      <c r="Q124" t="s">
        <v>39</v>
      </c>
      <c r="R124" t="s">
        <v>131</v>
      </c>
      <c r="S124" t="s">
        <v>132</v>
      </c>
      <c r="T124" t="s">
        <v>132</v>
      </c>
      <c r="U124" t="s">
        <v>132</v>
      </c>
      <c r="V124" t="s">
        <v>132</v>
      </c>
      <c r="W124" t="s">
        <v>132</v>
      </c>
      <c r="X124" t="s">
        <v>5</v>
      </c>
      <c r="Y124">
        <f>_xlfn.IFNA(_xlfn.XLOOKUP(D124,[1]Especificação!$G:$G,[1]Especificação!$C:$C),0)</f>
        <v>0</v>
      </c>
    </row>
    <row r="125" spans="1:25" ht="15" hidden="1">
      <c r="A125" s="40" t="str">
        <f t="shared" si="1"/>
        <v>INSTRUMENT_INSTLMNT_PAY</v>
      </c>
      <c r="B125" s="40"/>
      <c r="C125" t="s">
        <v>127</v>
      </c>
      <c r="D125" t="s">
        <v>295</v>
      </c>
      <c r="E125" t="s">
        <v>6</v>
      </c>
      <c r="F125" t="s">
        <v>25</v>
      </c>
      <c r="G125" t="s">
        <v>129</v>
      </c>
      <c r="H125" t="s">
        <v>296</v>
      </c>
      <c r="J125" t="s">
        <v>29</v>
      </c>
      <c r="K125" s="15">
        <v>45450</v>
      </c>
      <c r="L125" t="s">
        <v>25</v>
      </c>
      <c r="M125" t="str">
        <f>IF(COUNTIFS(PRO_LT_SCORECARD_FLEX_VALIDATIO!$K:$K, _xlfn.CONCAT(C125,D125), PRO_LT_SCORECARD_FLEX_VALIDATIO!$G:$G, "KO") &gt; 0, "NOK", "OK")</f>
        <v>OK</v>
      </c>
      <c r="Q125" t="s">
        <v>27</v>
      </c>
      <c r="R125" t="s">
        <v>131</v>
      </c>
      <c r="S125" t="s">
        <v>132</v>
      </c>
      <c r="T125" t="s">
        <v>132</v>
      </c>
      <c r="U125" t="s">
        <v>132</v>
      </c>
      <c r="V125" t="s">
        <v>132</v>
      </c>
      <c r="W125" t="s">
        <v>132</v>
      </c>
      <c r="X125" t="s">
        <v>5</v>
      </c>
      <c r="Y125">
        <f>_xlfn.IFNA(_xlfn.XLOOKUP(D125,[1]Especificação!$G:$G,[1]Especificação!$C:$C),0)</f>
        <v>0</v>
      </c>
    </row>
    <row r="126" spans="1:25" ht="15" hidden="1">
      <c r="A126" s="40" t="str">
        <f t="shared" si="1"/>
        <v>ENTITY_EC_GRP_ID</v>
      </c>
      <c r="B126" s="40"/>
      <c r="C126" t="s">
        <v>139</v>
      </c>
      <c r="D126" t="s">
        <v>297</v>
      </c>
      <c r="E126" t="s">
        <v>6</v>
      </c>
      <c r="F126" t="s">
        <v>20</v>
      </c>
      <c r="G126" t="s">
        <v>129</v>
      </c>
      <c r="H126" t="s">
        <v>227</v>
      </c>
      <c r="J126" t="s">
        <v>29</v>
      </c>
      <c r="K126" s="15">
        <v>45958</v>
      </c>
      <c r="L126" t="s">
        <v>38</v>
      </c>
      <c r="M126" t="str">
        <f>IF(COUNTIFS(PRO_LT_SCORECARD_FLEX_VALIDATIO!$K:$K, _xlfn.CONCAT(C126,D126), PRO_LT_SCORECARD_FLEX_VALIDATIO!$G:$G, "KO") &gt; 0, "NOK", "OK")</f>
        <v>NOK</v>
      </c>
      <c r="P126" s="15">
        <v>45958</v>
      </c>
      <c r="Q126" t="s">
        <v>19</v>
      </c>
      <c r="R126" t="s">
        <v>131</v>
      </c>
      <c r="S126" t="s">
        <v>132</v>
      </c>
      <c r="T126" t="s">
        <v>132</v>
      </c>
      <c r="U126" t="s">
        <v>132</v>
      </c>
      <c r="V126" t="s">
        <v>132</v>
      </c>
      <c r="W126" t="s">
        <v>131</v>
      </c>
      <c r="X126" t="s">
        <v>136</v>
      </c>
      <c r="Y126" t="str">
        <f>_xlfn.IFNA(_xlfn.XLOOKUP(D126,[1]Especificação!$G:$G,[1]Especificação!$C:$C),0)</f>
        <v>B2. Re-especificação de campos complexos - Resto</v>
      </c>
    </row>
    <row r="127" spans="1:25" ht="15" hidden="1">
      <c r="A127" s="40" t="str">
        <f t="shared" si="1"/>
        <v>ENTITY_EC_GRP_NM</v>
      </c>
      <c r="B127" s="40"/>
      <c r="C127" t="s">
        <v>139</v>
      </c>
      <c r="D127" t="s">
        <v>298</v>
      </c>
      <c r="E127" t="s">
        <v>6</v>
      </c>
      <c r="F127" t="s">
        <v>20</v>
      </c>
      <c r="G127" t="s">
        <v>129</v>
      </c>
      <c r="H127" t="s">
        <v>227</v>
      </c>
      <c r="J127" t="s">
        <v>29</v>
      </c>
      <c r="K127" s="15">
        <v>45958</v>
      </c>
      <c r="L127" t="s">
        <v>38</v>
      </c>
      <c r="M127" t="str">
        <f>IF(COUNTIFS(PRO_LT_SCORECARD_FLEX_VALIDATIO!$K:$K, _xlfn.CONCAT(C127,D127), PRO_LT_SCORECARD_FLEX_VALIDATIO!$G:$G, "KO") &gt; 0, "NOK", "OK")</f>
        <v>NOK</v>
      </c>
      <c r="P127" s="15">
        <v>45958</v>
      </c>
      <c r="Q127" t="s">
        <v>19</v>
      </c>
      <c r="R127" t="s">
        <v>131</v>
      </c>
      <c r="S127" t="s">
        <v>132</v>
      </c>
      <c r="T127" t="s">
        <v>131</v>
      </c>
      <c r="U127" t="s">
        <v>132</v>
      </c>
      <c r="V127" t="s">
        <v>132</v>
      </c>
      <c r="W127" t="s">
        <v>131</v>
      </c>
      <c r="X127" t="s">
        <v>136</v>
      </c>
      <c r="Y127" t="str">
        <f>_xlfn.IFNA(_xlfn.XLOOKUP(D127,[1]Especificação!$G:$G,[1]Especificação!$C:$C),0)</f>
        <v>B2. Re-especificação de campos complexos - Resto</v>
      </c>
    </row>
    <row r="128" spans="1:25" ht="15" hidden="1">
      <c r="A128" s="40" t="str">
        <f t="shared" si="1"/>
        <v>ENTITY_ECNMC_ACTVTY</v>
      </c>
      <c r="B128" s="40"/>
      <c r="C128" t="s">
        <v>139</v>
      </c>
      <c r="D128" t="s">
        <v>299</v>
      </c>
      <c r="E128" t="s">
        <v>14</v>
      </c>
      <c r="F128" t="s">
        <v>38</v>
      </c>
      <c r="G128" t="s">
        <v>129</v>
      </c>
      <c r="H128" t="s">
        <v>130</v>
      </c>
      <c r="J128" t="s">
        <v>26</v>
      </c>
      <c r="K128" s="15">
        <v>45958</v>
      </c>
      <c r="L128" t="s">
        <v>38</v>
      </c>
      <c r="M128" t="str">
        <f>IF(COUNTIFS(PRO_LT_SCORECARD_FLEX_VALIDATIO!$K:$K, _xlfn.CONCAT(C128,D128), PRO_LT_SCORECARD_FLEX_VALIDATIO!$G:$G, "KO") &gt; 0, "NOK", "OK")</f>
        <v>OK</v>
      </c>
      <c r="P128" s="15">
        <v>45958</v>
      </c>
      <c r="Q128" t="s">
        <v>30</v>
      </c>
      <c r="R128" t="s">
        <v>131</v>
      </c>
      <c r="S128" t="s">
        <v>132</v>
      </c>
      <c r="T128" t="s">
        <v>131</v>
      </c>
      <c r="U128" t="s">
        <v>132</v>
      </c>
      <c r="V128" t="s">
        <v>131</v>
      </c>
      <c r="W128" t="s">
        <v>131</v>
      </c>
      <c r="X128" t="s">
        <v>5</v>
      </c>
      <c r="Y128" t="str">
        <f>_xlfn.IFNA(_xlfn.XLOOKUP(D128,[1]Especificação!$G:$G,[1]Especificação!$C:$C),0)</f>
        <v>B2. Re-especificação de campos complexos - Resto</v>
      </c>
    </row>
    <row r="129" spans="1:25" ht="15" hidden="1">
      <c r="A129" s="40" t="str">
        <f t="shared" si="1"/>
        <v>INSTRUMENT_EIR</v>
      </c>
      <c r="B129" s="40"/>
      <c r="C129" t="s">
        <v>127</v>
      </c>
      <c r="D129" t="s">
        <v>300</v>
      </c>
      <c r="E129" t="s">
        <v>14</v>
      </c>
      <c r="F129" t="s">
        <v>36</v>
      </c>
      <c r="G129" t="s">
        <v>145</v>
      </c>
      <c r="H129" t="s">
        <v>158</v>
      </c>
      <c r="J129" t="s">
        <v>29</v>
      </c>
      <c r="K129" s="15">
        <v>45958</v>
      </c>
      <c r="L129" t="s">
        <v>38</v>
      </c>
      <c r="M129" t="str">
        <f>IF(COUNTIFS(PRO_LT_SCORECARD_FLEX_VALIDATIO!$K:$K, _xlfn.CONCAT(C129,D129), PRO_LT_SCORECARD_FLEX_VALIDATIO!$G:$G, "KO") &gt; 0, "NOK", "OK")</f>
        <v>NOK</v>
      </c>
      <c r="P129" s="15">
        <v>45958</v>
      </c>
      <c r="Q129" t="s">
        <v>8</v>
      </c>
      <c r="R129" t="s">
        <v>131</v>
      </c>
      <c r="S129" t="s">
        <v>132</v>
      </c>
      <c r="T129" t="s">
        <v>132</v>
      </c>
      <c r="U129" t="s">
        <v>132</v>
      </c>
      <c r="V129" t="s">
        <v>132</v>
      </c>
      <c r="W129" t="s">
        <v>131</v>
      </c>
      <c r="X129" t="s">
        <v>136</v>
      </c>
      <c r="Y129" t="str">
        <f>_xlfn.IFNA(_xlfn.XLOOKUP(D129,[1]Especificação!$G:$G,[1]Especificação!$C:$C),0)</f>
        <v>D. Campos com NOK controlos Corporativos</v>
      </c>
    </row>
    <row r="130" spans="1:25" ht="15" hidden="1">
      <c r="A130" s="40" t="str">
        <f t="shared" si="1"/>
        <v>INSTRUMENT_EIR_INCPTN</v>
      </c>
      <c r="B130" s="40"/>
      <c r="C130" t="s">
        <v>127</v>
      </c>
      <c r="D130" t="s">
        <v>301</v>
      </c>
      <c r="E130" t="s">
        <v>14</v>
      </c>
      <c r="F130" t="s">
        <v>36</v>
      </c>
      <c r="G130" t="s">
        <v>145</v>
      </c>
      <c r="H130" t="s">
        <v>158</v>
      </c>
      <c r="J130" t="s">
        <v>29</v>
      </c>
      <c r="K130" s="15">
        <v>45450</v>
      </c>
      <c r="L130" t="s">
        <v>36</v>
      </c>
      <c r="M130" t="str">
        <f>IF(COUNTIFS(PRO_LT_SCORECARD_FLEX_VALIDATIO!$K:$K, _xlfn.CONCAT(C130,D130), PRO_LT_SCORECARD_FLEX_VALIDATIO!$G:$G, "KO") &gt; 0, "NOK", "OK")</f>
        <v>NOK</v>
      </c>
      <c r="Q130" t="s">
        <v>8</v>
      </c>
      <c r="R130" t="s">
        <v>131</v>
      </c>
      <c r="S130" t="s">
        <v>132</v>
      </c>
      <c r="T130" t="s">
        <v>131</v>
      </c>
      <c r="U130" t="s">
        <v>132</v>
      </c>
      <c r="V130" t="s">
        <v>132</v>
      </c>
      <c r="W130" t="s">
        <v>132</v>
      </c>
      <c r="X130" t="s">
        <v>5</v>
      </c>
      <c r="Y130">
        <f>_xlfn.IFNA(_xlfn.XLOOKUP(D130,[1]Especificação!$G:$G,[1]Especificação!$C:$C),0)</f>
        <v>0</v>
      </c>
    </row>
    <row r="131" spans="1:25" ht="15" hidden="1">
      <c r="A131" s="40" t="str">
        <f t="shared" si="1"/>
        <v>INSTRUMENT_ELGBLTY_ECB</v>
      </c>
      <c r="B131" s="40"/>
      <c r="C131" t="s">
        <v>127</v>
      </c>
      <c r="D131" t="s">
        <v>302</v>
      </c>
      <c r="E131" t="s">
        <v>6</v>
      </c>
      <c r="F131" t="s">
        <v>38</v>
      </c>
      <c r="G131" t="s">
        <v>129</v>
      </c>
      <c r="H131" t="s">
        <v>130</v>
      </c>
      <c r="J131" t="s">
        <v>26</v>
      </c>
      <c r="K131" s="15">
        <v>45450</v>
      </c>
      <c r="L131" t="s">
        <v>38</v>
      </c>
      <c r="M131" t="str">
        <f>IF(COUNTIFS(PRO_LT_SCORECARD_FLEX_VALIDATIO!$K:$K, _xlfn.CONCAT(C131,D131), PRO_LT_SCORECARD_FLEX_VALIDATIO!$G:$G, "KO") &gt; 0, "NOK", "OK")</f>
        <v>OK</v>
      </c>
      <c r="Q131" t="s">
        <v>30</v>
      </c>
      <c r="R131" t="s">
        <v>131</v>
      </c>
      <c r="S131" t="s">
        <v>132</v>
      </c>
      <c r="T131" t="s">
        <v>132</v>
      </c>
      <c r="U131" t="s">
        <v>132</v>
      </c>
      <c r="V131" t="s">
        <v>132</v>
      </c>
      <c r="W131" t="s">
        <v>132</v>
      </c>
      <c r="X131" t="s">
        <v>5</v>
      </c>
      <c r="Y131">
        <f>_xlfn.IFNA(_xlfn.XLOOKUP(D131,[1]Especificação!$G:$G,[1]Especificação!$C:$C),0)</f>
        <v>0</v>
      </c>
    </row>
    <row r="132" spans="1:25" ht="15" hidden="1">
      <c r="A132" s="40" t="str">
        <f t="shared" si="1"/>
        <v>ENTITY_EMPLYMNT_STTS</v>
      </c>
      <c r="B132" s="40"/>
      <c r="C132" t="s">
        <v>139</v>
      </c>
      <c r="D132" t="s">
        <v>303</v>
      </c>
      <c r="E132" t="s">
        <v>6</v>
      </c>
      <c r="F132" t="s">
        <v>38</v>
      </c>
      <c r="G132" t="s">
        <v>129</v>
      </c>
      <c r="H132" t="s">
        <v>130</v>
      </c>
      <c r="J132" t="s">
        <v>26</v>
      </c>
      <c r="K132" s="15">
        <v>45450</v>
      </c>
      <c r="L132" t="s">
        <v>38</v>
      </c>
      <c r="M132" t="str">
        <f>IF(COUNTIFS(PRO_LT_SCORECARD_FLEX_VALIDATIO!$K:$K, _xlfn.CONCAT(C132,D132), PRO_LT_SCORECARD_FLEX_VALIDATIO!$G:$G, "KO") &gt; 0, "NOK", "OK")</f>
        <v>OK</v>
      </c>
      <c r="Q132" t="s">
        <v>30</v>
      </c>
      <c r="R132" t="s">
        <v>131</v>
      </c>
      <c r="S132" t="s">
        <v>132</v>
      </c>
      <c r="T132" t="s">
        <v>132</v>
      </c>
      <c r="U132" t="s">
        <v>132</v>
      </c>
      <c r="V132" t="s">
        <v>132</v>
      </c>
      <c r="W132" t="s">
        <v>132</v>
      </c>
      <c r="X132" t="s">
        <v>5</v>
      </c>
      <c r="Y132">
        <f>_xlfn.IFNA(_xlfn.XLOOKUP(D132,[1]Especificação!$G:$G,[1]Especificação!$C:$C),0)</f>
        <v>0</v>
      </c>
    </row>
    <row r="133" spans="1:25" ht="15" hidden="1">
      <c r="A133" s="40" t="str">
        <f t="shared" si="1"/>
        <v>ENTITY_EMPLYMNT_STTS_INTRNL</v>
      </c>
      <c r="B133" s="40"/>
      <c r="C133" t="s">
        <v>139</v>
      </c>
      <c r="D133" t="s">
        <v>304</v>
      </c>
      <c r="E133" t="s">
        <v>6</v>
      </c>
      <c r="F133" t="s">
        <v>38</v>
      </c>
      <c r="G133" t="s">
        <v>129</v>
      </c>
      <c r="H133" t="s">
        <v>130</v>
      </c>
      <c r="J133" t="s">
        <v>26</v>
      </c>
      <c r="K133" s="15">
        <v>45450</v>
      </c>
      <c r="L133" t="s">
        <v>38</v>
      </c>
      <c r="M133" t="str">
        <f>IF(COUNTIFS(PRO_LT_SCORECARD_FLEX_VALIDATIO!$K:$K, _xlfn.CONCAT(C133,D133), PRO_LT_SCORECARD_FLEX_VALIDATIO!$G:$G, "KO") &gt; 0, "NOK", "OK")</f>
        <v>OK</v>
      </c>
      <c r="Q133" t="s">
        <v>30</v>
      </c>
      <c r="R133" t="s">
        <v>131</v>
      </c>
      <c r="S133" t="s">
        <v>132</v>
      </c>
      <c r="T133" t="s">
        <v>132</v>
      </c>
      <c r="U133" t="s">
        <v>132</v>
      </c>
      <c r="V133" t="s">
        <v>132</v>
      </c>
      <c r="W133" t="s">
        <v>132</v>
      </c>
      <c r="X133" t="s">
        <v>5</v>
      </c>
      <c r="Y133">
        <f>_xlfn.IFNA(_xlfn.XLOOKUP(D133,[1]Especificação!$G:$G,[1]Especificação!$C:$C),0)</f>
        <v>0</v>
      </c>
    </row>
    <row r="134" spans="1:25" ht="15" hidden="1">
      <c r="A134" s="40" t="str">
        <f t="shared" ref="A134:A197" si="2">C134&amp;"_"&amp;D134</f>
        <v>ENTITY_ENTRPRS_SZ_LE</v>
      </c>
      <c r="B134" s="40"/>
      <c r="C134" t="s">
        <v>139</v>
      </c>
      <c r="D134" t="s">
        <v>305</v>
      </c>
      <c r="E134" t="s">
        <v>14</v>
      </c>
      <c r="F134" t="s">
        <v>36</v>
      </c>
      <c r="G134" t="s">
        <v>145</v>
      </c>
      <c r="H134" t="s">
        <v>158</v>
      </c>
      <c r="J134" t="s">
        <v>29</v>
      </c>
      <c r="K134" s="15">
        <v>45952</v>
      </c>
      <c r="L134" t="s">
        <v>38</v>
      </c>
      <c r="M134" t="str">
        <f>IF(COUNTIFS(PRO_LT_SCORECARD_FLEX_VALIDATIO!$K:$K, _xlfn.CONCAT(C134,D134), PRO_LT_SCORECARD_FLEX_VALIDATIO!$G:$G, "KO") &gt; 0, "NOK", "OK")</f>
        <v>NOK</v>
      </c>
      <c r="P134" s="15">
        <v>45952</v>
      </c>
      <c r="Q134" t="s">
        <v>8</v>
      </c>
      <c r="R134" t="s">
        <v>131</v>
      </c>
      <c r="S134" t="s">
        <v>132</v>
      </c>
      <c r="T134" t="s">
        <v>132</v>
      </c>
      <c r="U134" t="s">
        <v>132</v>
      </c>
      <c r="V134" t="s">
        <v>132</v>
      </c>
      <c r="W134" t="s">
        <v>132</v>
      </c>
      <c r="X134" t="s">
        <v>5</v>
      </c>
      <c r="Y134">
        <f>_xlfn.IFNA(_xlfn.XLOOKUP(D134,[1]Especificação!$G:$G,[1]Especificação!$C:$C),0)</f>
        <v>0</v>
      </c>
    </row>
    <row r="135" spans="1:25" ht="15" hidden="1">
      <c r="A135" s="40" t="str">
        <f t="shared" si="2"/>
        <v>ENTITY_ENTTY_ID</v>
      </c>
      <c r="B135" s="40"/>
      <c r="C135" t="s">
        <v>139</v>
      </c>
      <c r="D135" t="s">
        <v>306</v>
      </c>
      <c r="E135" t="s">
        <v>14</v>
      </c>
      <c r="F135" t="s">
        <v>36</v>
      </c>
      <c r="G135" t="s">
        <v>145</v>
      </c>
      <c r="H135" t="s">
        <v>158</v>
      </c>
      <c r="J135" t="s">
        <v>29</v>
      </c>
      <c r="K135" s="15">
        <v>45958</v>
      </c>
      <c r="L135" t="s">
        <v>38</v>
      </c>
      <c r="M135" t="str">
        <f>IF(COUNTIFS(PRO_LT_SCORECARD_FLEX_VALIDATIO!$K:$K, _xlfn.CONCAT(C135,D135), PRO_LT_SCORECARD_FLEX_VALIDATIO!$G:$G, "KO") &gt; 0, "NOK", "OK")</f>
        <v>OK</v>
      </c>
      <c r="P135" s="15">
        <v>45958</v>
      </c>
      <c r="Q135" t="s">
        <v>8</v>
      </c>
      <c r="R135" t="s">
        <v>131</v>
      </c>
      <c r="S135" t="s">
        <v>132</v>
      </c>
      <c r="T135" t="s">
        <v>131</v>
      </c>
      <c r="U135" t="s">
        <v>132</v>
      </c>
      <c r="V135" t="s">
        <v>131</v>
      </c>
      <c r="W135" t="s">
        <v>131</v>
      </c>
      <c r="X135" t="s">
        <v>136</v>
      </c>
      <c r="Y135" t="str">
        <f>_xlfn.IFNA(_xlfn.XLOOKUP(D135,[1]Especificação!$G:$G,[1]Especificação!$C:$C),0)</f>
        <v>D. Campos com NOK controlos Corporativos</v>
      </c>
    </row>
    <row r="136" spans="1:25" ht="15" hidden="1">
      <c r="A136" s="40" t="str">
        <f t="shared" si="2"/>
        <v>INSTR_ENTITY_ENTTY_ID</v>
      </c>
      <c r="B136" s="40"/>
      <c r="C136" t="s">
        <v>187</v>
      </c>
      <c r="D136" t="s">
        <v>306</v>
      </c>
      <c r="E136" t="s">
        <v>14</v>
      </c>
      <c r="F136" t="s">
        <v>36</v>
      </c>
      <c r="G136" t="s">
        <v>145</v>
      </c>
      <c r="H136" t="s">
        <v>158</v>
      </c>
      <c r="J136" t="s">
        <v>29</v>
      </c>
      <c r="K136" s="15">
        <v>45958</v>
      </c>
      <c r="L136" t="s">
        <v>38</v>
      </c>
      <c r="M136" t="str">
        <f>IF(COUNTIFS(PRO_LT_SCORECARD_FLEX_VALIDATIO!$K:$K, _xlfn.CONCAT(C136,D136), PRO_LT_SCORECARD_FLEX_VALIDATIO!$G:$G, "KO") &gt; 0, "NOK", "OK")</f>
        <v>NOK</v>
      </c>
      <c r="P136" s="15">
        <v>45958</v>
      </c>
      <c r="Q136" t="s">
        <v>8</v>
      </c>
      <c r="R136" t="s">
        <v>131</v>
      </c>
      <c r="S136" t="s">
        <v>132</v>
      </c>
      <c r="T136" t="s">
        <v>131</v>
      </c>
      <c r="U136" t="s">
        <v>132</v>
      </c>
      <c r="V136" t="s">
        <v>132</v>
      </c>
      <c r="W136" t="s">
        <v>131</v>
      </c>
      <c r="X136" t="s">
        <v>136</v>
      </c>
      <c r="Y136" t="str">
        <f>_xlfn.IFNA(_xlfn.XLOOKUP(D136,[1]Especificação!$G:$G,[1]Especificação!$C:$C),0)</f>
        <v>D. Campos com NOK controlos Corporativos</v>
      </c>
    </row>
    <row r="137" spans="1:25" ht="15" hidden="1">
      <c r="A137" s="40" t="str">
        <f t="shared" si="2"/>
        <v>ENTITY_ENTTY_NM</v>
      </c>
      <c r="B137" s="40"/>
      <c r="C137" t="s">
        <v>139</v>
      </c>
      <c r="D137" t="s">
        <v>307</v>
      </c>
      <c r="E137" t="s">
        <v>14</v>
      </c>
      <c r="F137" t="s">
        <v>38</v>
      </c>
      <c r="G137" t="s">
        <v>129</v>
      </c>
      <c r="H137" t="s">
        <v>130</v>
      </c>
      <c r="J137" t="s">
        <v>26</v>
      </c>
      <c r="K137" s="15">
        <v>45450</v>
      </c>
      <c r="L137" t="s">
        <v>38</v>
      </c>
      <c r="M137" t="str">
        <f>IF(COUNTIFS(PRO_LT_SCORECARD_FLEX_VALIDATIO!$K:$K, _xlfn.CONCAT(C137,D137), PRO_LT_SCORECARD_FLEX_VALIDATIO!$G:$G, "KO") &gt; 0, "NOK", "OK")</f>
        <v>OK</v>
      </c>
      <c r="Q137" t="s">
        <v>30</v>
      </c>
      <c r="R137" t="s">
        <v>131</v>
      </c>
      <c r="S137" t="s">
        <v>132</v>
      </c>
      <c r="T137" t="s">
        <v>131</v>
      </c>
      <c r="U137" t="s">
        <v>132</v>
      </c>
      <c r="V137" t="s">
        <v>132</v>
      </c>
      <c r="W137" t="s">
        <v>131</v>
      </c>
      <c r="X137" t="s">
        <v>5</v>
      </c>
      <c r="Y137" t="str">
        <f>_xlfn.IFNA(_xlfn.XLOOKUP(D137,[1]Especificação!$G:$G,[1]Especificação!$C:$C),0)</f>
        <v>F1. Fora âmbito | Campos concluídos - Sem necessidade de espec.</v>
      </c>
    </row>
    <row r="138" spans="1:25" ht="15" hidden="1">
      <c r="A138" s="40" t="str">
        <f t="shared" si="2"/>
        <v>ENTITY_EQTY</v>
      </c>
      <c r="B138" s="40"/>
      <c r="C138" t="s">
        <v>139</v>
      </c>
      <c r="D138" t="s">
        <v>308</v>
      </c>
      <c r="E138" t="s">
        <v>14</v>
      </c>
      <c r="F138" t="s">
        <v>25</v>
      </c>
      <c r="G138" t="s">
        <v>129</v>
      </c>
      <c r="H138" t="s">
        <v>141</v>
      </c>
      <c r="I138" t="s">
        <v>142</v>
      </c>
      <c r="J138" t="s">
        <v>29</v>
      </c>
      <c r="K138" s="15">
        <v>45450</v>
      </c>
      <c r="L138" t="s">
        <v>25</v>
      </c>
      <c r="M138" t="str">
        <f>IF(COUNTIFS(PRO_LT_SCORECARD_FLEX_VALIDATIO!$K:$K, _xlfn.CONCAT(C138,D138), PRO_LT_SCORECARD_FLEX_VALIDATIO!$G:$G, "KO") &gt; 0, "NOK", "OK")</f>
        <v>NOK</v>
      </c>
      <c r="Q138" t="s">
        <v>13</v>
      </c>
      <c r="R138" t="s">
        <v>131</v>
      </c>
      <c r="S138" t="s">
        <v>132</v>
      </c>
      <c r="T138" t="s">
        <v>131</v>
      </c>
      <c r="U138" t="s">
        <v>132</v>
      </c>
      <c r="V138" t="s">
        <v>132</v>
      </c>
      <c r="W138" t="s">
        <v>131</v>
      </c>
      <c r="X138" t="s">
        <v>143</v>
      </c>
      <c r="Y138" t="str">
        <f>_xlfn.IFNA(_xlfn.XLOOKUP(D138,[1]Especificação!$G:$G,[1]Especificação!$C:$C),0)</f>
        <v>F4. Fora âmbito | Re-especificação de campos complexos - Dem. Fin. CIB</v>
      </c>
    </row>
    <row r="139" spans="1:25" ht="15" hidden="1">
      <c r="A139" s="40" t="str">
        <f t="shared" si="2"/>
        <v>ENTITY_EQTY_PRVS</v>
      </c>
      <c r="B139" s="40"/>
      <c r="C139" t="s">
        <v>139</v>
      </c>
      <c r="D139" t="s">
        <v>309</v>
      </c>
      <c r="E139" t="s">
        <v>14</v>
      </c>
      <c r="F139" t="s">
        <v>25</v>
      </c>
      <c r="G139" t="s">
        <v>129</v>
      </c>
      <c r="H139" t="s">
        <v>141</v>
      </c>
      <c r="I139" t="s">
        <v>142</v>
      </c>
      <c r="J139" t="s">
        <v>29</v>
      </c>
      <c r="K139" s="15">
        <v>45450</v>
      </c>
      <c r="L139" t="s">
        <v>25</v>
      </c>
      <c r="M139" t="str">
        <f>IF(COUNTIFS(PRO_LT_SCORECARD_FLEX_VALIDATIO!$K:$K, _xlfn.CONCAT(C139,D139), PRO_LT_SCORECARD_FLEX_VALIDATIO!$G:$G, "KO") &gt; 0, "NOK", "OK")</f>
        <v>NOK</v>
      </c>
      <c r="Q139" t="s">
        <v>13</v>
      </c>
      <c r="R139" t="s">
        <v>131</v>
      </c>
      <c r="S139" t="s">
        <v>132</v>
      </c>
      <c r="T139" t="s">
        <v>132</v>
      </c>
      <c r="U139" t="s">
        <v>132</v>
      </c>
      <c r="V139" t="s">
        <v>132</v>
      </c>
      <c r="W139" t="s">
        <v>131</v>
      </c>
      <c r="X139" t="s">
        <v>143</v>
      </c>
      <c r="Y139" t="str">
        <f>_xlfn.IFNA(_xlfn.XLOOKUP(D139,[1]Especificação!$G:$G,[1]Especificação!$C:$C),0)</f>
        <v>F4. Fora âmbito | Re-especificação de campos complexos - Dem. Fin. CIB</v>
      </c>
    </row>
    <row r="140" spans="1:25" ht="15" hidden="1">
      <c r="A140" s="40" t="str">
        <f t="shared" si="2"/>
        <v>INSTRUMENT_EXPCTD_LSS_CRR</v>
      </c>
      <c r="B140" s="40"/>
      <c r="C140" t="s">
        <v>127</v>
      </c>
      <c r="D140" t="s">
        <v>310</v>
      </c>
      <c r="E140" t="s">
        <v>6</v>
      </c>
      <c r="F140" t="s">
        <v>31</v>
      </c>
      <c r="G140" t="s">
        <v>129</v>
      </c>
      <c r="H140" t="s">
        <v>169</v>
      </c>
      <c r="J140" t="s">
        <v>29</v>
      </c>
      <c r="K140" s="15">
        <v>45460</v>
      </c>
      <c r="L140" t="s">
        <v>33</v>
      </c>
      <c r="M140" t="str">
        <f>IF(COUNTIFS(PRO_LT_SCORECARD_FLEX_VALIDATIO!$K:$K, _xlfn.CONCAT(C140,D140), PRO_LT_SCORECARD_FLEX_VALIDATIO!$G:$G, "KO") &gt; 0, "NOK", "OK")</f>
        <v>OK</v>
      </c>
      <c r="O140" s="15">
        <v>45324</v>
      </c>
      <c r="P140" s="15">
        <v>45379</v>
      </c>
      <c r="Q140" t="s">
        <v>19</v>
      </c>
      <c r="R140" t="s">
        <v>131</v>
      </c>
      <c r="S140" t="s">
        <v>132</v>
      </c>
      <c r="T140" t="s">
        <v>132</v>
      </c>
      <c r="U140" t="s">
        <v>132</v>
      </c>
      <c r="V140" t="s">
        <v>132</v>
      </c>
      <c r="W140" t="s">
        <v>132</v>
      </c>
      <c r="X140" t="s">
        <v>5</v>
      </c>
      <c r="Y140">
        <f>_xlfn.IFNA(_xlfn.XLOOKUP(D140,[1]Especificação!$G:$G,[1]Especificação!$C:$C),0)</f>
        <v>0</v>
      </c>
    </row>
    <row r="141" spans="1:25" ht="15" hidden="1">
      <c r="A141" s="40" t="str">
        <f t="shared" si="2"/>
        <v>INSTRUMENT_EXPSR_IN_SCP</v>
      </c>
      <c r="B141" s="40"/>
      <c r="C141" t="s">
        <v>127</v>
      </c>
      <c r="D141" t="s">
        <v>311</v>
      </c>
      <c r="E141" t="s">
        <v>14</v>
      </c>
      <c r="F141" t="s">
        <v>38</v>
      </c>
      <c r="G141" t="s">
        <v>129</v>
      </c>
      <c r="H141" t="s">
        <v>130</v>
      </c>
      <c r="J141" t="s">
        <v>26</v>
      </c>
      <c r="K141" s="15">
        <v>45450</v>
      </c>
      <c r="L141" t="s">
        <v>38</v>
      </c>
      <c r="M141" t="str">
        <f>IF(COUNTIFS(PRO_LT_SCORECARD_FLEX_VALIDATIO!$K:$K, _xlfn.CONCAT(C141,D141), PRO_LT_SCORECARD_FLEX_VALIDATIO!$G:$G, "KO") &gt; 0, "NOK", "OK")</f>
        <v>OK</v>
      </c>
      <c r="Q141" t="s">
        <v>30</v>
      </c>
      <c r="R141" t="s">
        <v>131</v>
      </c>
      <c r="S141" t="s">
        <v>132</v>
      </c>
      <c r="T141" t="s">
        <v>132</v>
      </c>
      <c r="U141" t="s">
        <v>132</v>
      </c>
      <c r="V141" t="s">
        <v>132</v>
      </c>
      <c r="W141" t="s">
        <v>131</v>
      </c>
      <c r="X141" t="s">
        <v>5</v>
      </c>
      <c r="Y141" t="str">
        <f>_xlfn.IFNA(_xlfn.XLOOKUP(D141,[1]Especificação!$G:$G,[1]Especificação!$C:$C),0)</f>
        <v>F1. Fora âmbito | Campos concluídos - Sem necessidade de espec.</v>
      </c>
    </row>
    <row r="142" spans="1:25" ht="15" hidden="1">
      <c r="A142" s="40" t="str">
        <f t="shared" si="2"/>
        <v>INSTRUMENT_FRBRNC_STTS_INSTRMNT</v>
      </c>
      <c r="B142" s="40"/>
      <c r="C142" t="s">
        <v>127</v>
      </c>
      <c r="D142" t="s">
        <v>312</v>
      </c>
      <c r="E142" t="s">
        <v>14</v>
      </c>
      <c r="F142" t="s">
        <v>25</v>
      </c>
      <c r="G142" t="s">
        <v>129</v>
      </c>
      <c r="H142" t="s">
        <v>432</v>
      </c>
      <c r="I142" t="s">
        <v>313</v>
      </c>
      <c r="J142" t="s">
        <v>29</v>
      </c>
      <c r="K142" s="15">
        <v>45958</v>
      </c>
      <c r="L142" t="s">
        <v>38</v>
      </c>
      <c r="M142" t="str">
        <f>IF(COUNTIFS(PRO_LT_SCORECARD_FLEX_VALIDATIO!$K:$K, _xlfn.CONCAT(C142,D142), PRO_LT_SCORECARD_FLEX_VALIDATIO!$G:$G, "KO") &gt; 0, "NOK", "OK")</f>
        <v>OK</v>
      </c>
      <c r="P142" s="15">
        <v>45958</v>
      </c>
      <c r="Q142" t="s">
        <v>13</v>
      </c>
      <c r="R142" t="s">
        <v>131</v>
      </c>
      <c r="S142" t="s">
        <v>132</v>
      </c>
      <c r="T142" t="s">
        <v>131</v>
      </c>
      <c r="U142" t="s">
        <v>132</v>
      </c>
      <c r="V142" t="s">
        <v>132</v>
      </c>
      <c r="W142" t="s">
        <v>131</v>
      </c>
      <c r="X142" t="s">
        <v>136</v>
      </c>
      <c r="Y142" t="str">
        <f>_xlfn.IFNA(_xlfn.XLOOKUP(D142,[1]Especificação!$G:$G,[1]Especificação!$C:$C),0)</f>
        <v>B2. Re-especificação de campos complexos - Resto</v>
      </c>
    </row>
    <row r="143" spans="1:25" ht="15" hidden="1">
      <c r="A143" s="40" t="str">
        <f t="shared" si="2"/>
        <v>ENTITY_EXTRNL_RTNG_PRVS</v>
      </c>
      <c r="B143" s="40"/>
      <c r="C143" t="s">
        <v>139</v>
      </c>
      <c r="D143" s="10" t="s">
        <v>314</v>
      </c>
      <c r="E143" t="s">
        <v>14</v>
      </c>
      <c r="F143" t="s">
        <v>25</v>
      </c>
      <c r="G143" t="s">
        <v>129</v>
      </c>
      <c r="H143" t="s">
        <v>315</v>
      </c>
      <c r="I143" t="s">
        <v>316</v>
      </c>
      <c r="J143" t="s">
        <v>32</v>
      </c>
      <c r="K143" s="15">
        <v>45958</v>
      </c>
      <c r="L143" t="s">
        <v>38</v>
      </c>
      <c r="M143" t="str">
        <f>IF(COUNTIFS(PRO_LT_SCORECARD_FLEX_VALIDATIO!$K:$K, _xlfn.CONCAT(C143,D143), PRO_LT_SCORECARD_FLEX_VALIDATIO!$G:$G, "KO") &gt; 0, "NOK", "OK")</f>
        <v>OK</v>
      </c>
      <c r="P143" s="15">
        <v>45958</v>
      </c>
      <c r="Q143" t="s">
        <v>34</v>
      </c>
      <c r="R143" t="s">
        <v>131</v>
      </c>
      <c r="S143" t="s">
        <v>132</v>
      </c>
      <c r="T143" t="s">
        <v>132</v>
      </c>
      <c r="U143" t="s">
        <v>132</v>
      </c>
      <c r="V143" t="s">
        <v>132</v>
      </c>
      <c r="W143" t="s">
        <v>131</v>
      </c>
      <c r="X143" t="s">
        <v>136</v>
      </c>
      <c r="Y143" t="str">
        <f>_xlfn.IFNA(_xlfn.XLOOKUP(D143,[1]Especificação!$G:$G,[1]Especificação!$C:$C),0)</f>
        <v>B2. Re-especificação de campos complexos - Resto</v>
      </c>
    </row>
    <row r="144" spans="1:25" ht="15" hidden="1">
      <c r="A144" s="40" t="str">
        <f t="shared" si="2"/>
        <v>ENTITY_EXTRNL_RTNG_NM</v>
      </c>
      <c r="B144" s="40"/>
      <c r="C144" t="s">
        <v>139</v>
      </c>
      <c r="D144" s="10" t="s">
        <v>317</v>
      </c>
      <c r="E144" t="s">
        <v>14</v>
      </c>
      <c r="F144" t="s">
        <v>25</v>
      </c>
      <c r="G144" t="s">
        <v>145</v>
      </c>
      <c r="H144" t="s">
        <v>315</v>
      </c>
      <c r="I144" t="s">
        <v>316</v>
      </c>
      <c r="J144" t="s">
        <v>32</v>
      </c>
      <c r="K144" s="15">
        <v>45958</v>
      </c>
      <c r="L144" t="s">
        <v>38</v>
      </c>
      <c r="M144" t="str">
        <f>IF(COUNTIFS(PRO_LT_SCORECARD_FLEX_VALIDATIO!$K:$K, _xlfn.CONCAT(C144,D144), PRO_LT_SCORECARD_FLEX_VALIDATIO!$G:$G, "KO") &gt; 0, "NOK", "OK")</f>
        <v>OK</v>
      </c>
      <c r="P144" s="15">
        <v>45958</v>
      </c>
      <c r="Q144" t="s">
        <v>34</v>
      </c>
      <c r="R144" t="s">
        <v>131</v>
      </c>
      <c r="S144" t="s">
        <v>132</v>
      </c>
      <c r="T144" t="s">
        <v>132</v>
      </c>
      <c r="U144" t="s">
        <v>132</v>
      </c>
      <c r="V144" t="s">
        <v>132</v>
      </c>
      <c r="W144" t="s">
        <v>131</v>
      </c>
      <c r="X144" t="s">
        <v>136</v>
      </c>
      <c r="Y144" t="str">
        <f>_xlfn.IFNA(_xlfn.XLOOKUP(D144,[1]Especificação!$G:$G,[1]Especificação!$C:$C),0)</f>
        <v>B2. Re-especificação de campos complexos - Resto</v>
      </c>
    </row>
    <row r="145" spans="1:25" ht="15" hidden="1">
      <c r="A145" s="40" t="str">
        <f t="shared" si="2"/>
        <v>INSTRUMENT_FLD_SYNDCTN</v>
      </c>
      <c r="B145" s="40"/>
      <c r="C145" t="s">
        <v>127</v>
      </c>
      <c r="D145" t="s">
        <v>318</v>
      </c>
      <c r="E145" t="s">
        <v>6</v>
      </c>
      <c r="F145" t="s">
        <v>56</v>
      </c>
      <c r="G145" t="s">
        <v>129</v>
      </c>
      <c r="H145" t="s">
        <v>319</v>
      </c>
      <c r="I145" t="s">
        <v>320</v>
      </c>
      <c r="J145" t="s">
        <v>29</v>
      </c>
      <c r="K145" s="15">
        <v>45953</v>
      </c>
      <c r="L145" t="s">
        <v>38</v>
      </c>
      <c r="M145" t="str">
        <f>IF(COUNTIFS(PRO_LT_SCORECARD_FLEX_VALIDATIO!$K:$K, _xlfn.CONCAT(C145,D145), PRO_LT_SCORECARD_FLEX_VALIDATIO!$G:$G, "KO") &gt; 0, "NOK", "OK")</f>
        <v>OK</v>
      </c>
      <c r="P145" s="15">
        <v>45952</v>
      </c>
      <c r="Q145" t="s">
        <v>13</v>
      </c>
      <c r="R145" t="s">
        <v>131</v>
      </c>
      <c r="S145" t="s">
        <v>132</v>
      </c>
      <c r="T145" t="s">
        <v>132</v>
      </c>
      <c r="U145" t="s">
        <v>132</v>
      </c>
      <c r="V145" t="s">
        <v>132</v>
      </c>
      <c r="W145" t="s">
        <v>131</v>
      </c>
      <c r="X145" t="s">
        <v>136</v>
      </c>
      <c r="Y145" t="str">
        <f>_xlfn.IFNA(_xlfn.XLOOKUP(D145,[1]Especificação!$G:$G,[1]Especificação!$C:$C),0)</f>
        <v>B1. Re-especificação de campos complexos | Sindicados</v>
      </c>
    </row>
    <row r="146" spans="1:25" ht="15" hidden="1">
      <c r="A146" s="40" t="str">
        <f t="shared" si="2"/>
        <v>ENTITY_FLG_BNKRPTCY_IN_GRP</v>
      </c>
      <c r="B146" s="40"/>
      <c r="C146" t="s">
        <v>139</v>
      </c>
      <c r="D146" t="s">
        <v>321</v>
      </c>
      <c r="E146" t="s">
        <v>14</v>
      </c>
      <c r="F146" t="s">
        <v>38</v>
      </c>
      <c r="G146" t="s">
        <v>129</v>
      </c>
      <c r="H146" t="s">
        <v>130</v>
      </c>
      <c r="J146" t="s">
        <v>26</v>
      </c>
      <c r="K146" s="15">
        <v>45450</v>
      </c>
      <c r="L146" t="s">
        <v>38</v>
      </c>
      <c r="M146" t="str">
        <f>IF(COUNTIFS(PRO_LT_SCORECARD_FLEX_VALIDATIO!$K:$K, _xlfn.CONCAT(C146,D146), PRO_LT_SCORECARD_FLEX_VALIDATIO!$G:$G, "KO") &gt; 0, "NOK", "OK")</f>
        <v>NOK</v>
      </c>
      <c r="Q146" t="s">
        <v>30</v>
      </c>
      <c r="R146" t="s">
        <v>131</v>
      </c>
      <c r="S146" t="s">
        <v>132</v>
      </c>
      <c r="T146" t="s">
        <v>132</v>
      </c>
      <c r="U146" t="s">
        <v>132</v>
      </c>
      <c r="V146" t="s">
        <v>132</v>
      </c>
      <c r="W146" t="s">
        <v>132</v>
      </c>
      <c r="X146" t="s">
        <v>5</v>
      </c>
      <c r="Y146">
        <f>_xlfn.IFNA(_xlfn.XLOOKUP(D146,[1]Especificação!$G:$G,[1]Especificação!$C:$C),0)</f>
        <v>0</v>
      </c>
    </row>
    <row r="147" spans="1:25" ht="15" hidden="1">
      <c r="A147" s="40" t="str">
        <f t="shared" si="2"/>
        <v>ENTITY_FLG_HGH_CDS</v>
      </c>
      <c r="B147" s="40"/>
      <c r="C147" t="s">
        <v>139</v>
      </c>
      <c r="D147" t="s">
        <v>322</v>
      </c>
      <c r="E147" t="s">
        <v>14</v>
      </c>
      <c r="F147" t="s">
        <v>38</v>
      </c>
      <c r="G147" t="s">
        <v>129</v>
      </c>
      <c r="H147" t="s">
        <v>130</v>
      </c>
      <c r="J147" t="s">
        <v>26</v>
      </c>
      <c r="K147" s="15">
        <v>45450</v>
      </c>
      <c r="L147" t="s">
        <v>38</v>
      </c>
      <c r="M147" t="str">
        <f>IF(COUNTIFS(PRO_LT_SCORECARD_FLEX_VALIDATIO!$K:$K, _xlfn.CONCAT(C147,D147), PRO_LT_SCORECARD_FLEX_VALIDATIO!$G:$G, "KO") &gt; 0, "NOK", "OK")</f>
        <v>NOK</v>
      </c>
      <c r="Q147" t="s">
        <v>30</v>
      </c>
      <c r="R147" t="s">
        <v>131</v>
      </c>
      <c r="S147" t="s">
        <v>132</v>
      </c>
      <c r="T147" t="s">
        <v>132</v>
      </c>
      <c r="U147" t="s">
        <v>132</v>
      </c>
      <c r="V147" t="s">
        <v>132</v>
      </c>
      <c r="W147" t="s">
        <v>132</v>
      </c>
      <c r="X147" t="s">
        <v>5</v>
      </c>
      <c r="Y147">
        <f>_xlfn.IFNA(_xlfn.XLOOKUP(D147,[1]Especificação!$G:$G,[1]Especificação!$C:$C),0)</f>
        <v>0</v>
      </c>
    </row>
    <row r="148" spans="1:25" ht="15" hidden="1">
      <c r="A148" s="40" t="str">
        <f t="shared" si="2"/>
        <v>ENTITY_FLG_ISDA_CRDT_EVNT</v>
      </c>
      <c r="B148" s="40"/>
      <c r="C148" t="s">
        <v>139</v>
      </c>
      <c r="D148" t="s">
        <v>323</v>
      </c>
      <c r="E148" t="s">
        <v>14</v>
      </c>
      <c r="F148" t="s">
        <v>38</v>
      </c>
      <c r="G148" t="s">
        <v>129</v>
      </c>
      <c r="H148" t="s">
        <v>130</v>
      </c>
      <c r="J148" t="s">
        <v>26</v>
      </c>
      <c r="K148" s="15">
        <v>45450</v>
      </c>
      <c r="L148" t="s">
        <v>38</v>
      </c>
      <c r="M148" t="str">
        <f>IF(COUNTIFS(PRO_LT_SCORECARD_FLEX_VALIDATIO!$K:$K, _xlfn.CONCAT(C148,D148), PRO_LT_SCORECARD_FLEX_VALIDATIO!$G:$G, "KO") &gt; 0, "NOK", "OK")</f>
        <v>NOK</v>
      </c>
      <c r="Q148" t="s">
        <v>30</v>
      </c>
      <c r="R148" t="s">
        <v>131</v>
      </c>
      <c r="S148" t="s">
        <v>132</v>
      </c>
      <c r="T148" t="s">
        <v>132</v>
      </c>
      <c r="U148" t="s">
        <v>132</v>
      </c>
      <c r="V148" t="s">
        <v>132</v>
      </c>
      <c r="W148" t="s">
        <v>132</v>
      </c>
      <c r="X148" t="s">
        <v>5</v>
      </c>
      <c r="Y148">
        <f>_xlfn.IFNA(_xlfn.XLOOKUP(D148,[1]Especificação!$G:$G,[1]Especificação!$C:$C),0)</f>
        <v>0</v>
      </c>
    </row>
    <row r="149" spans="1:25" ht="15" hidden="1">
      <c r="A149" s="40" t="str">
        <f t="shared" si="2"/>
        <v>INSTRUMENT_FLG_LBO</v>
      </c>
      <c r="B149" s="40"/>
      <c r="C149" t="s">
        <v>127</v>
      </c>
      <c r="D149" t="s">
        <v>324</v>
      </c>
      <c r="E149" t="s">
        <v>6</v>
      </c>
      <c r="F149" t="s">
        <v>38</v>
      </c>
      <c r="G149" t="s">
        <v>129</v>
      </c>
      <c r="H149" t="s">
        <v>130</v>
      </c>
      <c r="J149" t="s">
        <v>26</v>
      </c>
      <c r="K149" s="15">
        <v>45958</v>
      </c>
      <c r="L149" t="s">
        <v>38</v>
      </c>
      <c r="M149" t="str">
        <f>IF(COUNTIFS(PRO_LT_SCORECARD_FLEX_VALIDATIO!$K:$K, _xlfn.CONCAT(C149,D149), PRO_LT_SCORECARD_FLEX_VALIDATIO!$G:$G, "KO") &gt; 0, "NOK", "OK")</f>
        <v>OK</v>
      </c>
      <c r="P149" s="15">
        <v>45958</v>
      </c>
      <c r="Q149" t="s">
        <v>30</v>
      </c>
      <c r="R149" t="s">
        <v>131</v>
      </c>
      <c r="S149" t="s">
        <v>132</v>
      </c>
      <c r="T149" t="s">
        <v>132</v>
      </c>
      <c r="U149" t="s">
        <v>132</v>
      </c>
      <c r="V149" t="s">
        <v>132</v>
      </c>
      <c r="W149" t="s">
        <v>131</v>
      </c>
      <c r="X149" t="s">
        <v>143</v>
      </c>
      <c r="Y149" t="str">
        <f>_xlfn.IFNA(_xlfn.XLOOKUP(D149,[1]Especificação!$G:$G,[1]Especificação!$C:$C),0)</f>
        <v>B2. Re-especificação de campos complexos - Resto</v>
      </c>
    </row>
    <row r="150" spans="1:25" ht="15" hidden="1">
      <c r="A150" s="40" t="str">
        <f t="shared" si="2"/>
        <v>ENTITY_FLG_NN_ACCRL</v>
      </c>
      <c r="B150" s="40"/>
      <c r="C150" t="s">
        <v>139</v>
      </c>
      <c r="D150" t="s">
        <v>325</v>
      </c>
      <c r="E150" t="s">
        <v>14</v>
      </c>
      <c r="F150" t="s">
        <v>38</v>
      </c>
      <c r="G150" t="s">
        <v>129</v>
      </c>
      <c r="H150" t="s">
        <v>130</v>
      </c>
      <c r="J150" t="s">
        <v>26</v>
      </c>
      <c r="K150" s="15">
        <v>45450</v>
      </c>
      <c r="L150" t="s">
        <v>38</v>
      </c>
      <c r="M150" t="str">
        <f>IF(COUNTIFS(PRO_LT_SCORECARD_FLEX_VALIDATIO!$K:$K, _xlfn.CONCAT(C150,D150), PRO_LT_SCORECARD_FLEX_VALIDATIO!$G:$G, "KO") &gt; 0, "NOK", "OK")</f>
        <v>OK</v>
      </c>
      <c r="Q150" t="s">
        <v>30</v>
      </c>
      <c r="R150" t="s">
        <v>131</v>
      </c>
      <c r="S150" t="s">
        <v>132</v>
      </c>
      <c r="T150" t="s">
        <v>132</v>
      </c>
      <c r="U150" t="s">
        <v>132</v>
      </c>
      <c r="V150" t="s">
        <v>132</v>
      </c>
      <c r="W150" t="s">
        <v>132</v>
      </c>
      <c r="X150" t="s">
        <v>5</v>
      </c>
      <c r="Y150">
        <f>_xlfn.IFNA(_xlfn.XLOOKUP(D150,[1]Especificação!$G:$G,[1]Especificação!$C:$C),0)</f>
        <v>0</v>
      </c>
    </row>
    <row r="151" spans="1:25" ht="15" hidden="1">
      <c r="A151" s="40" t="str">
        <f t="shared" si="2"/>
        <v>ENTITY_FLG_RQST_BNKRPTCY</v>
      </c>
      <c r="B151" s="40"/>
      <c r="C151" t="s">
        <v>139</v>
      </c>
      <c r="D151" t="s">
        <v>326</v>
      </c>
      <c r="E151" t="s">
        <v>14</v>
      </c>
      <c r="F151" t="s">
        <v>38</v>
      </c>
      <c r="G151" t="s">
        <v>129</v>
      </c>
      <c r="H151" t="s">
        <v>130</v>
      </c>
      <c r="J151" t="s">
        <v>26</v>
      </c>
      <c r="K151" s="15">
        <v>45450</v>
      </c>
      <c r="L151" t="s">
        <v>38</v>
      </c>
      <c r="M151" t="str">
        <f>IF(COUNTIFS(PRO_LT_SCORECARD_FLEX_VALIDATIO!$K:$K, _xlfn.CONCAT(C151,D151), PRO_LT_SCORECARD_FLEX_VALIDATIO!$G:$G, "KO") &gt; 0, "NOK", "OK")</f>
        <v>NOK</v>
      </c>
      <c r="Q151" t="s">
        <v>30</v>
      </c>
      <c r="R151" t="s">
        <v>131</v>
      </c>
      <c r="S151" t="s">
        <v>132</v>
      </c>
      <c r="T151" t="s">
        <v>132</v>
      </c>
      <c r="U151" t="s">
        <v>132</v>
      </c>
      <c r="V151" t="s">
        <v>132</v>
      </c>
      <c r="W151" t="s">
        <v>132</v>
      </c>
      <c r="X151" t="s">
        <v>5</v>
      </c>
      <c r="Y151">
        <f>_xlfn.IFNA(_xlfn.XLOOKUP(D151,[1]Especificação!$G:$G,[1]Especificação!$C:$C),0)</f>
        <v>0</v>
      </c>
    </row>
    <row r="152" spans="1:25" ht="15" hidden="1">
      <c r="A152" s="40" t="str">
        <f t="shared" si="2"/>
        <v>ENTITY_FLG_RQST_DSTRSSD_RSTRCTRNG</v>
      </c>
      <c r="B152" s="40"/>
      <c r="C152" t="s">
        <v>139</v>
      </c>
      <c r="D152" t="s">
        <v>327</v>
      </c>
      <c r="E152" t="s">
        <v>14</v>
      </c>
      <c r="F152" t="s">
        <v>20</v>
      </c>
      <c r="G152" t="s">
        <v>145</v>
      </c>
      <c r="H152" t="s">
        <v>328</v>
      </c>
      <c r="J152" t="s">
        <v>29</v>
      </c>
      <c r="K152" s="15">
        <v>45450</v>
      </c>
      <c r="L152" t="s">
        <v>20</v>
      </c>
      <c r="M152" t="str">
        <f>IF(COUNTIFS(PRO_LT_SCORECARD_FLEX_VALIDATIO!$K:$K, _xlfn.CONCAT(C152,D152), PRO_LT_SCORECARD_FLEX_VALIDATIO!$G:$G, "KO") &gt; 0, "NOK", "OK")</f>
        <v>NOK</v>
      </c>
      <c r="Q152" t="s">
        <v>13</v>
      </c>
      <c r="R152" t="s">
        <v>131</v>
      </c>
      <c r="S152" t="s">
        <v>132</v>
      </c>
      <c r="T152" t="s">
        <v>132</v>
      </c>
      <c r="U152" t="s">
        <v>132</v>
      </c>
      <c r="V152" t="s">
        <v>132</v>
      </c>
      <c r="W152" t="s">
        <v>132</v>
      </c>
      <c r="X152" t="s">
        <v>5</v>
      </c>
      <c r="Y152">
        <f>_xlfn.IFNA(_xlfn.XLOOKUP(D152,[1]Especificação!$G:$G,[1]Especificação!$C:$C),0)</f>
        <v>0</v>
      </c>
    </row>
    <row r="153" spans="1:25" ht="15" hidden="1">
      <c r="A153" s="40" t="str">
        <f t="shared" si="2"/>
        <v>ENTITY_FLG_RQST_EMRGNCY_FNDNG</v>
      </c>
      <c r="B153" s="40"/>
      <c r="C153" t="s">
        <v>139</v>
      </c>
      <c r="D153" t="s">
        <v>329</v>
      </c>
      <c r="E153" t="s">
        <v>14</v>
      </c>
      <c r="F153" t="s">
        <v>38</v>
      </c>
      <c r="G153" t="s">
        <v>129</v>
      </c>
      <c r="H153" t="s">
        <v>130</v>
      </c>
      <c r="J153" t="s">
        <v>29</v>
      </c>
      <c r="K153" s="15">
        <v>45450</v>
      </c>
      <c r="L153" t="s">
        <v>38</v>
      </c>
      <c r="M153" t="str">
        <f>IF(COUNTIFS(PRO_LT_SCORECARD_FLEX_VALIDATIO!$K:$K, _xlfn.CONCAT(C153,D153), PRO_LT_SCORECARD_FLEX_VALIDATIO!$G:$G, "KO") &gt; 0, "NOK", "OK")</f>
        <v>NOK</v>
      </c>
      <c r="P153" s="15">
        <v>45952</v>
      </c>
      <c r="Q153" t="s">
        <v>30</v>
      </c>
      <c r="R153" t="s">
        <v>131</v>
      </c>
      <c r="S153" t="s">
        <v>132</v>
      </c>
      <c r="T153" t="s">
        <v>132</v>
      </c>
      <c r="U153" t="s">
        <v>132</v>
      </c>
      <c r="V153" t="s">
        <v>132</v>
      </c>
      <c r="W153" t="s">
        <v>131</v>
      </c>
      <c r="X153" t="s">
        <v>5</v>
      </c>
      <c r="Y153" t="str">
        <f>_xlfn.IFNA(_xlfn.XLOOKUP(D153,[1]Especificação!$G:$G,[1]Especificação!$C:$C),0)</f>
        <v>A. Novos Campos</v>
      </c>
    </row>
    <row r="154" spans="1:25" ht="15" hidden="1">
      <c r="A154" s="40" t="str">
        <f t="shared" si="2"/>
        <v>ENTITY_FLG_SLL_WTH_LSS</v>
      </c>
      <c r="B154" s="40"/>
      <c r="C154" t="s">
        <v>139</v>
      </c>
      <c r="D154" t="s">
        <v>330</v>
      </c>
      <c r="E154" t="s">
        <v>14</v>
      </c>
      <c r="F154" t="s">
        <v>38</v>
      </c>
      <c r="G154" t="s">
        <v>129</v>
      </c>
      <c r="H154" t="s">
        <v>130</v>
      </c>
      <c r="J154" t="s">
        <v>26</v>
      </c>
      <c r="K154" s="15">
        <v>45450</v>
      </c>
      <c r="L154" t="s">
        <v>38</v>
      </c>
      <c r="M154" t="str">
        <f>IF(COUNTIFS(PRO_LT_SCORECARD_FLEX_VALIDATIO!$K:$K, _xlfn.CONCAT(C154,D154), PRO_LT_SCORECARD_FLEX_VALIDATIO!$G:$G, "KO") &gt; 0, "NOK", "OK")</f>
        <v>OK</v>
      </c>
      <c r="Q154" t="s">
        <v>30</v>
      </c>
      <c r="R154" t="s">
        <v>131</v>
      </c>
      <c r="S154" t="s">
        <v>132</v>
      </c>
      <c r="T154" t="s">
        <v>132</v>
      </c>
      <c r="U154" t="s">
        <v>132</v>
      </c>
      <c r="V154" t="s">
        <v>132</v>
      </c>
      <c r="W154" t="s">
        <v>132</v>
      </c>
      <c r="X154" t="s">
        <v>5</v>
      </c>
      <c r="Y154">
        <f>_xlfn.IFNA(_xlfn.XLOOKUP(D154,[1]Especificação!$G:$G,[1]Especificação!$C:$C),0)</f>
        <v>0</v>
      </c>
    </row>
    <row r="155" spans="1:25" ht="15" hidden="1">
      <c r="A155" s="40" t="str">
        <f t="shared" si="2"/>
        <v>ENTITY_FR_CSH_FLW</v>
      </c>
      <c r="B155" s="40"/>
      <c r="C155" t="s">
        <v>139</v>
      </c>
      <c r="D155" t="s">
        <v>331</v>
      </c>
      <c r="E155" t="s">
        <v>14</v>
      </c>
      <c r="F155" t="s">
        <v>20</v>
      </c>
      <c r="G155" t="s">
        <v>129</v>
      </c>
      <c r="H155" t="s">
        <v>227</v>
      </c>
      <c r="J155" t="s">
        <v>29</v>
      </c>
      <c r="K155" s="15">
        <v>45958</v>
      </c>
      <c r="L155" t="s">
        <v>38</v>
      </c>
      <c r="M155" t="str">
        <f>IF(COUNTIFS(PRO_LT_SCORECARD_FLEX_VALIDATIO!$K:$K, _xlfn.CONCAT(C155,D155), PRO_LT_SCORECARD_FLEX_VALIDATIO!$G:$G, "KO") &gt; 0, "NOK", "OK")</f>
        <v>NOK</v>
      </c>
      <c r="P155" s="15">
        <v>45958</v>
      </c>
      <c r="Q155" t="s">
        <v>19</v>
      </c>
      <c r="R155" t="s">
        <v>131</v>
      </c>
      <c r="S155" t="s">
        <v>132</v>
      </c>
      <c r="T155" t="s">
        <v>132</v>
      </c>
      <c r="U155" t="s">
        <v>132</v>
      </c>
      <c r="V155" t="s">
        <v>132</v>
      </c>
      <c r="W155" t="s">
        <v>131</v>
      </c>
      <c r="X155" t="s">
        <v>136</v>
      </c>
      <c r="Y155" t="str">
        <f>_xlfn.IFNA(_xlfn.XLOOKUP(D155,[1]Especificação!$G:$G,[1]Especificação!$C:$C),0)</f>
        <v>B2. Re-especificação de campos complexos - Resto</v>
      </c>
    </row>
    <row r="156" spans="1:25" ht="15" hidden="1">
      <c r="A156" s="40" t="str">
        <f t="shared" si="2"/>
        <v>ENTITY_FR_CSH_FLW_T1</v>
      </c>
      <c r="B156" s="40"/>
      <c r="C156" t="s">
        <v>139</v>
      </c>
      <c r="D156" t="s">
        <v>332</v>
      </c>
      <c r="E156" t="s">
        <v>14</v>
      </c>
      <c r="F156" t="s">
        <v>20</v>
      </c>
      <c r="G156" t="s">
        <v>129</v>
      </c>
      <c r="H156" t="s">
        <v>227</v>
      </c>
      <c r="J156" t="s">
        <v>29</v>
      </c>
      <c r="K156" s="15">
        <v>45958</v>
      </c>
      <c r="L156" t="s">
        <v>38</v>
      </c>
      <c r="M156" t="str">
        <f>IF(COUNTIFS(PRO_LT_SCORECARD_FLEX_VALIDATIO!$K:$K, _xlfn.CONCAT(C156,D156), PRO_LT_SCORECARD_FLEX_VALIDATIO!$G:$G, "KO") &gt; 0, "NOK", "OK")</f>
        <v>NOK</v>
      </c>
      <c r="P156" s="15">
        <v>45958</v>
      </c>
      <c r="Q156" t="s">
        <v>19</v>
      </c>
      <c r="R156" t="s">
        <v>131</v>
      </c>
      <c r="S156" t="s">
        <v>132</v>
      </c>
      <c r="T156" t="s">
        <v>132</v>
      </c>
      <c r="U156" t="s">
        <v>132</v>
      </c>
      <c r="V156" t="s">
        <v>132</v>
      </c>
      <c r="W156" t="s">
        <v>131</v>
      </c>
      <c r="X156" t="s">
        <v>136</v>
      </c>
      <c r="Y156" t="str">
        <f>_xlfn.IFNA(_xlfn.XLOOKUP(D156,[1]Especificação!$G:$G,[1]Especificação!$C:$C),0)</f>
        <v>B2. Re-especificação de campos complexos - Resto</v>
      </c>
    </row>
    <row r="157" spans="1:25" ht="15" hidden="1">
      <c r="A157" s="40" t="str">
        <f t="shared" si="2"/>
        <v>ENTITY_FR_CSH_FLW_T2</v>
      </c>
      <c r="B157" s="40"/>
      <c r="C157" t="s">
        <v>139</v>
      </c>
      <c r="D157" t="s">
        <v>333</v>
      </c>
      <c r="E157" t="s">
        <v>14</v>
      </c>
      <c r="F157" t="s">
        <v>20</v>
      </c>
      <c r="G157" t="s">
        <v>129</v>
      </c>
      <c r="H157" t="s">
        <v>227</v>
      </c>
      <c r="J157" t="s">
        <v>29</v>
      </c>
      <c r="K157" s="15">
        <v>45958</v>
      </c>
      <c r="L157" t="s">
        <v>38</v>
      </c>
      <c r="M157" t="str">
        <f>IF(COUNTIFS(PRO_LT_SCORECARD_FLEX_VALIDATIO!$K:$K, _xlfn.CONCAT(C157,D157), PRO_LT_SCORECARD_FLEX_VALIDATIO!$G:$G, "KO") &gt; 0, "NOK", "OK")</f>
        <v>NOK</v>
      </c>
      <c r="P157" s="15">
        <v>45958</v>
      </c>
      <c r="Q157" t="s">
        <v>19</v>
      </c>
      <c r="R157" t="s">
        <v>131</v>
      </c>
      <c r="S157" t="s">
        <v>132</v>
      </c>
      <c r="T157" t="s">
        <v>132</v>
      </c>
      <c r="U157" t="s">
        <v>132</v>
      </c>
      <c r="V157" t="s">
        <v>132</v>
      </c>
      <c r="W157" t="s">
        <v>131</v>
      </c>
      <c r="X157" t="s">
        <v>136</v>
      </c>
      <c r="Y157" t="str">
        <f>_xlfn.IFNA(_xlfn.XLOOKUP(D157,[1]Especificação!$G:$G,[1]Especificação!$C:$C),0)</f>
        <v>B2. Re-especificação de campos complexos - Resto</v>
      </c>
    </row>
    <row r="158" spans="1:25" ht="15" hidden="1">
      <c r="A158" s="40" t="str">
        <f t="shared" si="2"/>
        <v>ENTITY_FR_CSH_FLW_T3</v>
      </c>
      <c r="B158" s="40"/>
      <c r="C158" t="s">
        <v>139</v>
      </c>
      <c r="D158" t="s">
        <v>334</v>
      </c>
      <c r="E158" t="s">
        <v>14</v>
      </c>
      <c r="F158" t="s">
        <v>20</v>
      </c>
      <c r="G158" t="s">
        <v>129</v>
      </c>
      <c r="H158" t="s">
        <v>227</v>
      </c>
      <c r="J158" t="s">
        <v>29</v>
      </c>
      <c r="K158" s="15">
        <v>45958</v>
      </c>
      <c r="L158" t="s">
        <v>38</v>
      </c>
      <c r="M158" t="str">
        <f>IF(COUNTIFS(PRO_LT_SCORECARD_FLEX_VALIDATIO!$K:$K, _xlfn.CONCAT(C158,D158), PRO_LT_SCORECARD_FLEX_VALIDATIO!$G:$G, "KO") &gt; 0, "NOK", "OK")</f>
        <v>NOK</v>
      </c>
      <c r="P158" s="15">
        <v>45958</v>
      </c>
      <c r="Q158" t="s">
        <v>19</v>
      </c>
      <c r="R158" t="s">
        <v>131</v>
      </c>
      <c r="S158" t="s">
        <v>132</v>
      </c>
      <c r="T158" t="s">
        <v>132</v>
      </c>
      <c r="U158" t="s">
        <v>132</v>
      </c>
      <c r="V158" t="s">
        <v>132</v>
      </c>
      <c r="W158" t="s">
        <v>131</v>
      </c>
      <c r="X158" t="s">
        <v>136</v>
      </c>
      <c r="Y158" t="str">
        <f>_xlfn.IFNA(_xlfn.XLOOKUP(D158,[1]Especificação!$G:$G,[1]Especificação!$C:$C),0)</f>
        <v>B2. Re-especificação de campos complexos - Resto</v>
      </c>
    </row>
    <row r="159" spans="1:25" ht="15" hidden="1">
      <c r="A159" s="40" t="str">
        <f t="shared" si="2"/>
        <v>INSTRUMENT_FRBRNC_STTS_C19</v>
      </c>
      <c r="B159" s="40"/>
      <c r="C159" t="s">
        <v>127</v>
      </c>
      <c r="D159" t="s">
        <v>335</v>
      </c>
      <c r="E159" t="s">
        <v>6</v>
      </c>
      <c r="F159" t="s">
        <v>38</v>
      </c>
      <c r="G159" t="s">
        <v>129</v>
      </c>
      <c r="H159" t="s">
        <v>130</v>
      </c>
      <c r="J159" t="s">
        <v>26</v>
      </c>
      <c r="K159" s="15">
        <v>45450</v>
      </c>
      <c r="L159" t="s">
        <v>38</v>
      </c>
      <c r="M159" t="str">
        <f>IF(COUNTIFS(PRO_LT_SCORECARD_FLEX_VALIDATIO!$K:$K, _xlfn.CONCAT(C159,D159), PRO_LT_SCORECARD_FLEX_VALIDATIO!$G:$G, "KO") &gt; 0, "NOK", "OK")</f>
        <v>OK</v>
      </c>
      <c r="Q159" t="s">
        <v>30</v>
      </c>
      <c r="R159" t="s">
        <v>131</v>
      </c>
      <c r="S159" t="s">
        <v>132</v>
      </c>
      <c r="T159" t="s">
        <v>132</v>
      </c>
      <c r="U159" t="s">
        <v>132</v>
      </c>
      <c r="V159" t="s">
        <v>132</v>
      </c>
      <c r="W159" t="s">
        <v>132</v>
      </c>
      <c r="X159" t="s">
        <v>5</v>
      </c>
      <c r="Y159">
        <f>_xlfn.IFNA(_xlfn.XLOOKUP(D159,[1]Especificação!$G:$G,[1]Especificação!$C:$C),0)</f>
        <v>0</v>
      </c>
    </row>
    <row r="160" spans="1:25" ht="15" hidden="1">
      <c r="A160" s="40" t="str">
        <f t="shared" si="2"/>
        <v>ENTITY_EXTRNL_RTNG</v>
      </c>
      <c r="B160" s="40"/>
      <c r="C160" t="s">
        <v>139</v>
      </c>
      <c r="D160" s="10" t="s">
        <v>336</v>
      </c>
      <c r="E160" t="s">
        <v>14</v>
      </c>
      <c r="F160" t="s">
        <v>25</v>
      </c>
      <c r="G160" t="s">
        <v>129</v>
      </c>
      <c r="H160" t="s">
        <v>315</v>
      </c>
      <c r="I160" t="s">
        <v>316</v>
      </c>
      <c r="J160" t="s">
        <v>32</v>
      </c>
      <c r="K160" s="15">
        <v>45958</v>
      </c>
      <c r="L160" t="s">
        <v>38</v>
      </c>
      <c r="M160" t="str">
        <f>IF(COUNTIFS(PRO_LT_SCORECARD_FLEX_VALIDATIO!$K:$K, _xlfn.CONCAT(C160,D160), PRO_LT_SCORECARD_FLEX_VALIDATIO!$G:$G, "KO") &gt; 0, "NOK", "OK")</f>
        <v>OK</v>
      </c>
      <c r="P160" s="15">
        <v>45958</v>
      </c>
      <c r="Q160" t="s">
        <v>34</v>
      </c>
      <c r="R160" t="s">
        <v>131</v>
      </c>
      <c r="S160" t="s">
        <v>132</v>
      </c>
      <c r="T160" t="s">
        <v>132</v>
      </c>
      <c r="U160" t="s">
        <v>132</v>
      </c>
      <c r="V160" t="s">
        <v>132</v>
      </c>
      <c r="W160" t="s">
        <v>131</v>
      </c>
      <c r="X160" t="s">
        <v>136</v>
      </c>
      <c r="Y160" t="str">
        <f>_xlfn.IFNA(_xlfn.XLOOKUP(D160,[1]Especificação!$G:$G,[1]Especificação!$C:$C),0)</f>
        <v>B2. Re-especificação de campos complexos - Resto</v>
      </c>
    </row>
    <row r="161" spans="1:25" ht="15" hidden="1">
      <c r="A161" s="40" t="str">
        <f t="shared" si="2"/>
        <v>ENTITY_GCC_PRNT_ID</v>
      </c>
      <c r="B161" s="40"/>
      <c r="C161" t="s">
        <v>139</v>
      </c>
      <c r="D161" t="s">
        <v>337</v>
      </c>
      <c r="E161" t="s">
        <v>14</v>
      </c>
      <c r="F161" t="s">
        <v>38</v>
      </c>
      <c r="G161" t="s">
        <v>129</v>
      </c>
      <c r="H161" t="s">
        <v>130</v>
      </c>
      <c r="J161" t="s">
        <v>26</v>
      </c>
      <c r="K161" s="15">
        <v>45450</v>
      </c>
      <c r="L161" t="s">
        <v>38</v>
      </c>
      <c r="M161" t="str">
        <f>IF(COUNTIFS(PRO_LT_SCORECARD_FLEX_VALIDATIO!$K:$K, _xlfn.CONCAT(C161,D161), PRO_LT_SCORECARD_FLEX_VALIDATIO!$G:$G, "KO") &gt; 0, "NOK", "OK")</f>
        <v>NOK</v>
      </c>
      <c r="Q161" t="s">
        <v>30</v>
      </c>
      <c r="R161" t="s">
        <v>131</v>
      </c>
      <c r="S161" t="s">
        <v>132</v>
      </c>
      <c r="T161" t="s">
        <v>132</v>
      </c>
      <c r="U161" t="s">
        <v>132</v>
      </c>
      <c r="V161" t="s">
        <v>132</v>
      </c>
      <c r="W161" t="s">
        <v>131</v>
      </c>
      <c r="X161" t="s">
        <v>5</v>
      </c>
      <c r="Y161" t="str">
        <f>_xlfn.IFNA(_xlfn.XLOOKUP(D161,[1]Especificação!$G:$G,[1]Especificação!$C:$C),0)</f>
        <v>F1. Fora âmbito | Campos concluídos - Sem necessidade de espec.</v>
      </c>
    </row>
    <row r="162" spans="1:25" ht="15" hidden="1">
      <c r="A162" s="40" t="str">
        <f t="shared" si="2"/>
        <v>ENTITY_GCC_PRNT_NM</v>
      </c>
      <c r="B162" s="40"/>
      <c r="C162" t="s">
        <v>139</v>
      </c>
      <c r="D162" t="s">
        <v>338</v>
      </c>
      <c r="E162" t="s">
        <v>14</v>
      </c>
      <c r="F162" t="s">
        <v>38</v>
      </c>
      <c r="G162" t="s">
        <v>129</v>
      </c>
      <c r="H162" t="s">
        <v>130</v>
      </c>
      <c r="J162" t="s">
        <v>26</v>
      </c>
      <c r="K162" s="15">
        <v>45450</v>
      </c>
      <c r="L162" t="s">
        <v>38</v>
      </c>
      <c r="M162" t="str">
        <f>IF(COUNTIFS(PRO_LT_SCORECARD_FLEX_VALIDATIO!$K:$K, _xlfn.CONCAT(C162,D162), PRO_LT_SCORECARD_FLEX_VALIDATIO!$G:$G, "KO") &gt; 0, "NOK", "OK")</f>
        <v>NOK</v>
      </c>
      <c r="Q162" t="s">
        <v>30</v>
      </c>
      <c r="R162" t="s">
        <v>131</v>
      </c>
      <c r="S162" t="s">
        <v>132</v>
      </c>
      <c r="T162" t="s">
        <v>132</v>
      </c>
      <c r="U162" t="s">
        <v>132</v>
      </c>
      <c r="V162" t="s">
        <v>132</v>
      </c>
      <c r="W162" t="s">
        <v>131</v>
      </c>
      <c r="X162" t="s">
        <v>5</v>
      </c>
      <c r="Y162" t="str">
        <f>_xlfn.IFNA(_xlfn.XLOOKUP(D162,[1]Especificação!$G:$G,[1]Especificação!$C:$C),0)</f>
        <v>F1. Fora âmbito | Campos concluídos - Sem necessidade de espec.</v>
      </c>
    </row>
    <row r="163" spans="1:25" ht="15" hidden="1">
      <c r="A163" s="40" t="str">
        <f t="shared" si="2"/>
        <v>ENTITY_GDWILL</v>
      </c>
      <c r="B163" s="40"/>
      <c r="C163" t="s">
        <v>139</v>
      </c>
      <c r="D163" t="s">
        <v>339</v>
      </c>
      <c r="E163" t="s">
        <v>14</v>
      </c>
      <c r="F163" t="s">
        <v>38</v>
      </c>
      <c r="G163" t="s">
        <v>129</v>
      </c>
      <c r="H163" t="s">
        <v>130</v>
      </c>
      <c r="J163" t="s">
        <v>26</v>
      </c>
      <c r="K163" s="15">
        <v>45450</v>
      </c>
      <c r="L163" t="s">
        <v>38</v>
      </c>
      <c r="M163" t="str">
        <f>IF(COUNTIFS(PRO_LT_SCORECARD_FLEX_VALIDATIO!$K:$K, _xlfn.CONCAT(C163,D163), PRO_LT_SCORECARD_FLEX_VALIDATIO!$G:$G, "KO") &gt; 0, "NOK", "OK")</f>
        <v>NOK</v>
      </c>
      <c r="Q163" t="s">
        <v>30</v>
      </c>
      <c r="R163" t="s">
        <v>131</v>
      </c>
      <c r="S163" t="s">
        <v>132</v>
      </c>
      <c r="T163" t="s">
        <v>132</v>
      </c>
      <c r="U163" t="s">
        <v>132</v>
      </c>
      <c r="V163" t="s">
        <v>132</v>
      </c>
      <c r="W163" t="s">
        <v>132</v>
      </c>
      <c r="X163" t="s">
        <v>5</v>
      </c>
      <c r="Y163">
        <f>_xlfn.IFNA(_xlfn.XLOOKUP(D163,[1]Especificação!$G:$G,[1]Especificação!$C:$C),0)</f>
        <v>0</v>
      </c>
    </row>
    <row r="164" spans="1:25" ht="15" hidden="1">
      <c r="A164" s="40" t="str">
        <f t="shared" si="2"/>
        <v>ENTITY_GDWILL_PRVS</v>
      </c>
      <c r="B164" s="40"/>
      <c r="C164" t="s">
        <v>139</v>
      </c>
      <c r="D164" t="s">
        <v>340</v>
      </c>
      <c r="E164" t="s">
        <v>14</v>
      </c>
      <c r="F164" t="s">
        <v>38</v>
      </c>
      <c r="G164" t="s">
        <v>129</v>
      </c>
      <c r="H164" t="s">
        <v>130</v>
      </c>
      <c r="J164" t="s">
        <v>26</v>
      </c>
      <c r="K164" s="15">
        <v>45450</v>
      </c>
      <c r="L164" t="s">
        <v>38</v>
      </c>
      <c r="M164" t="str">
        <f>IF(COUNTIFS(PRO_LT_SCORECARD_FLEX_VALIDATIO!$K:$K, _xlfn.CONCAT(C164,D164), PRO_LT_SCORECARD_FLEX_VALIDATIO!$G:$G, "KO") &gt; 0, "NOK", "OK")</f>
        <v>NOK</v>
      </c>
      <c r="Q164" t="s">
        <v>30</v>
      </c>
      <c r="R164" t="s">
        <v>131</v>
      </c>
      <c r="S164" t="s">
        <v>132</v>
      </c>
      <c r="T164" t="s">
        <v>132</v>
      </c>
      <c r="U164" t="s">
        <v>132</v>
      </c>
      <c r="V164" t="s">
        <v>132</v>
      </c>
      <c r="W164" t="s">
        <v>132</v>
      </c>
      <c r="X164" t="s">
        <v>5</v>
      </c>
      <c r="Y164">
        <f>_xlfn.IFNA(_xlfn.XLOOKUP(D164,[1]Especificação!$G:$G,[1]Especificação!$C:$C),0)</f>
        <v>0</v>
      </c>
    </row>
    <row r="165" spans="1:25" ht="15" hidden="1">
      <c r="A165" s="40" t="str">
        <f t="shared" si="2"/>
        <v>INSTRUMENT_GRC_PRD_CPTL_INTRST_C19</v>
      </c>
      <c r="B165" s="40"/>
      <c r="C165" t="s">
        <v>127</v>
      </c>
      <c r="D165" t="s">
        <v>341</v>
      </c>
      <c r="E165" t="s">
        <v>6</v>
      </c>
      <c r="F165" t="s">
        <v>38</v>
      </c>
      <c r="G165" t="s">
        <v>129</v>
      </c>
      <c r="H165" t="s">
        <v>130</v>
      </c>
      <c r="J165" t="s">
        <v>26</v>
      </c>
      <c r="K165" s="15">
        <v>45450</v>
      </c>
      <c r="L165" t="s">
        <v>38</v>
      </c>
      <c r="M165" t="str">
        <f>IF(COUNTIFS(PRO_LT_SCORECARD_FLEX_VALIDATIO!$K:$K, _xlfn.CONCAT(C165,D165), PRO_LT_SCORECARD_FLEX_VALIDATIO!$G:$G, "KO") &gt; 0, "NOK", "OK")</f>
        <v>OK</v>
      </c>
      <c r="Q165" t="s">
        <v>30</v>
      </c>
      <c r="R165" t="s">
        <v>131</v>
      </c>
      <c r="S165" t="s">
        <v>132</v>
      </c>
      <c r="T165" t="s">
        <v>132</v>
      </c>
      <c r="U165" t="s">
        <v>132</v>
      </c>
      <c r="V165" t="s">
        <v>132</v>
      </c>
      <c r="W165" t="s">
        <v>132</v>
      </c>
      <c r="X165" t="s">
        <v>5</v>
      </c>
      <c r="Y165">
        <f>_xlfn.IFNA(_xlfn.XLOOKUP(D165,[1]Especificação!$G:$G,[1]Especificação!$C:$C),0)</f>
        <v>0</v>
      </c>
    </row>
    <row r="166" spans="1:25" ht="15" hidden="1">
      <c r="A166" s="40" t="str">
        <f t="shared" si="2"/>
        <v>INSTRUMENT_GRNTR_ID</v>
      </c>
      <c r="B166" s="40"/>
      <c r="C166" t="s">
        <v>127</v>
      </c>
      <c r="D166" t="s">
        <v>342</v>
      </c>
      <c r="E166" t="s">
        <v>6</v>
      </c>
      <c r="F166" t="s">
        <v>38</v>
      </c>
      <c r="G166" t="s">
        <v>129</v>
      </c>
      <c r="H166" t="s">
        <v>130</v>
      </c>
      <c r="J166" t="s">
        <v>26</v>
      </c>
      <c r="K166" s="15">
        <v>45450</v>
      </c>
      <c r="L166" t="s">
        <v>38</v>
      </c>
      <c r="M166" t="str">
        <f>IF(COUNTIFS(PRO_LT_SCORECARD_FLEX_VALIDATIO!$K:$K, _xlfn.CONCAT(C166,D166), PRO_LT_SCORECARD_FLEX_VALIDATIO!$G:$G, "KO") &gt; 0, "NOK", "OK")</f>
        <v>OK</v>
      </c>
      <c r="Q166" t="s">
        <v>30</v>
      </c>
      <c r="R166" t="s">
        <v>131</v>
      </c>
      <c r="S166" t="s">
        <v>132</v>
      </c>
      <c r="T166" t="s">
        <v>132</v>
      </c>
      <c r="U166" t="s">
        <v>132</v>
      </c>
      <c r="V166" t="s">
        <v>132</v>
      </c>
      <c r="W166" t="s">
        <v>132</v>
      </c>
      <c r="X166" t="s">
        <v>5</v>
      </c>
      <c r="Y166">
        <f>_xlfn.IFNA(_xlfn.XLOOKUP(D166,[1]Especificação!$G:$G,[1]Especificação!$C:$C),0)</f>
        <v>0</v>
      </c>
    </row>
    <row r="167" spans="1:25" ht="15" hidden="1">
      <c r="A167" s="40" t="str">
        <f t="shared" si="2"/>
        <v>INSTRUMENT_GRNTR_ID_TYP</v>
      </c>
      <c r="B167" s="40"/>
      <c r="C167" t="s">
        <v>127</v>
      </c>
      <c r="D167" t="s">
        <v>343</v>
      </c>
      <c r="E167" t="s">
        <v>6</v>
      </c>
      <c r="F167" t="s">
        <v>38</v>
      </c>
      <c r="G167" t="s">
        <v>129</v>
      </c>
      <c r="H167" t="s">
        <v>130</v>
      </c>
      <c r="J167" t="s">
        <v>26</v>
      </c>
      <c r="K167" s="15">
        <v>45450</v>
      </c>
      <c r="L167" t="s">
        <v>38</v>
      </c>
      <c r="M167" t="str">
        <f>IF(COUNTIFS(PRO_LT_SCORECARD_FLEX_VALIDATIO!$K:$K, _xlfn.CONCAT(C167,D167), PRO_LT_SCORECARD_FLEX_VALIDATIO!$G:$G, "KO") &gt; 0, "NOK", "OK")</f>
        <v>OK</v>
      </c>
      <c r="Q167" t="s">
        <v>30</v>
      </c>
      <c r="R167" t="s">
        <v>131</v>
      </c>
      <c r="S167" t="s">
        <v>132</v>
      </c>
      <c r="T167" t="s">
        <v>132</v>
      </c>
      <c r="U167" t="s">
        <v>132</v>
      </c>
      <c r="V167" t="s">
        <v>132</v>
      </c>
      <c r="W167" t="s">
        <v>132</v>
      </c>
      <c r="X167" t="s">
        <v>5</v>
      </c>
      <c r="Y167">
        <f>_xlfn.IFNA(_xlfn.XLOOKUP(D167,[1]Especificação!$G:$G,[1]Especificação!$C:$C),0)</f>
        <v>0</v>
      </c>
    </row>
    <row r="168" spans="1:25" ht="15" hidden="1">
      <c r="A168" s="40" t="str">
        <f t="shared" si="2"/>
        <v>ENTITY_GRP_EBITDA</v>
      </c>
      <c r="B168" s="40"/>
      <c r="C168" t="s">
        <v>139</v>
      </c>
      <c r="D168" t="s">
        <v>344</v>
      </c>
      <c r="E168" t="s">
        <v>14</v>
      </c>
      <c r="F168" t="s">
        <v>38</v>
      </c>
      <c r="G168" t="s">
        <v>129</v>
      </c>
      <c r="H168" t="s">
        <v>130</v>
      </c>
      <c r="J168" t="s">
        <v>26</v>
      </c>
      <c r="K168" s="15">
        <v>45450</v>
      </c>
      <c r="L168" t="s">
        <v>38</v>
      </c>
      <c r="M168" t="str">
        <f>IF(COUNTIFS(PRO_LT_SCORECARD_FLEX_VALIDATIO!$K:$K, _xlfn.CONCAT(C168,D168), PRO_LT_SCORECARD_FLEX_VALIDATIO!$G:$G, "KO") &gt; 0, "NOK", "OK")</f>
        <v>NOK</v>
      </c>
      <c r="Q168" t="s">
        <v>30</v>
      </c>
      <c r="R168" t="s">
        <v>131</v>
      </c>
      <c r="S168" t="s">
        <v>132</v>
      </c>
      <c r="T168" t="s">
        <v>132</v>
      </c>
      <c r="U168" t="s">
        <v>132</v>
      </c>
      <c r="V168" t="s">
        <v>132</v>
      </c>
      <c r="W168" t="s">
        <v>131</v>
      </c>
      <c r="X168" t="s">
        <v>5</v>
      </c>
      <c r="Y168" t="str">
        <f>_xlfn.IFNA(_xlfn.XLOOKUP(D168,[1]Especificação!$G:$G,[1]Especificação!$C:$C),0)</f>
        <v>F1. Fora âmbito | Campos concluídos - Sem necessidade de espec.</v>
      </c>
    </row>
    <row r="169" spans="1:25" ht="15" hidden="1">
      <c r="A169" s="40" t="str">
        <f t="shared" si="2"/>
        <v>ENTITY_GRP_EQTY</v>
      </c>
      <c r="B169" s="40"/>
      <c r="C169" t="s">
        <v>139</v>
      </c>
      <c r="D169" t="s">
        <v>345</v>
      </c>
      <c r="E169" t="s">
        <v>14</v>
      </c>
      <c r="F169" t="s">
        <v>38</v>
      </c>
      <c r="G169" t="s">
        <v>129</v>
      </c>
      <c r="H169" t="s">
        <v>130</v>
      </c>
      <c r="J169" t="s">
        <v>26</v>
      </c>
      <c r="K169" s="15">
        <v>45450</v>
      </c>
      <c r="L169" t="s">
        <v>38</v>
      </c>
      <c r="M169" t="str">
        <f>IF(COUNTIFS(PRO_LT_SCORECARD_FLEX_VALIDATIO!$K:$K, _xlfn.CONCAT(C169,D169), PRO_LT_SCORECARD_FLEX_VALIDATIO!$G:$G, "KO") &gt; 0, "NOK", "OK")</f>
        <v>NOK</v>
      </c>
      <c r="Q169" t="s">
        <v>30</v>
      </c>
      <c r="R169" t="s">
        <v>131</v>
      </c>
      <c r="S169" t="s">
        <v>132</v>
      </c>
      <c r="T169" t="s">
        <v>131</v>
      </c>
      <c r="U169" t="s">
        <v>132</v>
      </c>
      <c r="V169" t="s">
        <v>132</v>
      </c>
      <c r="W169" t="s">
        <v>131</v>
      </c>
      <c r="X169" t="s">
        <v>5</v>
      </c>
      <c r="Y169" t="str">
        <f>_xlfn.IFNA(_xlfn.XLOOKUP(D169,[1]Especificação!$G:$G,[1]Especificação!$C:$C),0)</f>
        <v>F1. Fora âmbito | Campos concluídos - Sem necessidade de espec.</v>
      </c>
    </row>
    <row r="170" spans="1:25" ht="15" hidden="1">
      <c r="A170" s="40" t="str">
        <f t="shared" si="2"/>
        <v>ENTITY_GRP_NT_DBT</v>
      </c>
      <c r="B170" s="40"/>
      <c r="C170" t="s">
        <v>139</v>
      </c>
      <c r="D170" t="s">
        <v>346</v>
      </c>
      <c r="E170" t="s">
        <v>14</v>
      </c>
      <c r="F170" t="s">
        <v>38</v>
      </c>
      <c r="G170" t="s">
        <v>129</v>
      </c>
      <c r="H170" t="s">
        <v>130</v>
      </c>
      <c r="J170" t="s">
        <v>26</v>
      </c>
      <c r="K170" s="15">
        <v>45450</v>
      </c>
      <c r="L170" t="s">
        <v>38</v>
      </c>
      <c r="M170" t="str">
        <f>IF(COUNTIFS(PRO_LT_SCORECARD_FLEX_VALIDATIO!$K:$K, _xlfn.CONCAT(C170,D170), PRO_LT_SCORECARD_FLEX_VALIDATIO!$G:$G, "KO") &gt; 0, "NOK", "OK")</f>
        <v>NOK</v>
      </c>
      <c r="Q170" t="s">
        <v>30</v>
      </c>
      <c r="R170" t="s">
        <v>131</v>
      </c>
      <c r="S170" t="s">
        <v>132</v>
      </c>
      <c r="T170" t="s">
        <v>132</v>
      </c>
      <c r="U170" t="s">
        <v>132</v>
      </c>
      <c r="V170" t="s">
        <v>132</v>
      </c>
      <c r="W170" t="s">
        <v>131</v>
      </c>
      <c r="X170" t="s">
        <v>5</v>
      </c>
      <c r="Y170" t="str">
        <f>_xlfn.IFNA(_xlfn.XLOOKUP(D170,[1]Especificação!$G:$G,[1]Especificação!$C:$C),0)</f>
        <v>F1. Fora âmbito | Campos concluídos - Sem necessidade de espec.</v>
      </c>
    </row>
    <row r="171" spans="1:25" ht="15" hidden="1">
      <c r="A171" s="40" t="str">
        <f t="shared" si="2"/>
        <v>ENTITY_GRP_TTL_DBT</v>
      </c>
      <c r="B171" s="40"/>
      <c r="C171" t="s">
        <v>139</v>
      </c>
      <c r="D171" t="s">
        <v>347</v>
      </c>
      <c r="E171" t="s">
        <v>6</v>
      </c>
      <c r="F171" t="s">
        <v>25</v>
      </c>
      <c r="G171" t="s">
        <v>129</v>
      </c>
      <c r="H171" t="s">
        <v>141</v>
      </c>
      <c r="I171" t="s">
        <v>142</v>
      </c>
      <c r="J171" t="s">
        <v>29</v>
      </c>
      <c r="K171" s="15">
        <v>45450</v>
      </c>
      <c r="L171" t="s">
        <v>25</v>
      </c>
      <c r="M171" t="str">
        <f>IF(COUNTIFS(PRO_LT_SCORECARD_FLEX_VALIDATIO!$K:$K, _xlfn.CONCAT(C171,D171), PRO_LT_SCORECARD_FLEX_VALIDATIO!$G:$G, "KO") &gt; 0, "NOK", "OK")</f>
        <v>NOK</v>
      </c>
      <c r="Q171" t="s">
        <v>13</v>
      </c>
      <c r="R171" t="s">
        <v>131</v>
      </c>
      <c r="S171" t="s">
        <v>132</v>
      </c>
      <c r="T171" t="s">
        <v>131</v>
      </c>
      <c r="U171" t="s">
        <v>132</v>
      </c>
      <c r="V171" t="s">
        <v>132</v>
      </c>
      <c r="W171" t="s">
        <v>132</v>
      </c>
      <c r="X171" t="s">
        <v>5</v>
      </c>
      <c r="Y171">
        <f>_xlfn.IFNA(_xlfn.XLOOKUP(D171,[1]Especificação!$G:$G,[1]Especificação!$C:$C),0)</f>
        <v>0</v>
      </c>
    </row>
    <row r="172" spans="1:25" ht="15" hidden="1">
      <c r="A172" s="40" t="str">
        <f t="shared" si="2"/>
        <v>INSTRUMENT_GRSS_CRRYNG_AMNT_INSTRMNT</v>
      </c>
      <c r="B172" s="40"/>
      <c r="C172" t="s">
        <v>127</v>
      </c>
      <c r="D172" t="s">
        <v>348</v>
      </c>
      <c r="E172" t="s">
        <v>14</v>
      </c>
      <c r="F172" t="s">
        <v>38</v>
      </c>
      <c r="G172" t="s">
        <v>129</v>
      </c>
      <c r="H172" t="s">
        <v>130</v>
      </c>
      <c r="J172" t="s">
        <v>26</v>
      </c>
      <c r="K172" s="15">
        <v>45450</v>
      </c>
      <c r="L172" t="s">
        <v>38</v>
      </c>
      <c r="M172" t="str">
        <f>IF(COUNTIFS(PRO_LT_SCORECARD_FLEX_VALIDATIO!$K:$K, _xlfn.CONCAT(C172,D172), PRO_LT_SCORECARD_FLEX_VALIDATIO!$G:$G, "KO") &gt; 0, "NOK", "OK")</f>
        <v>NOK</v>
      </c>
      <c r="Q172" t="s">
        <v>30</v>
      </c>
      <c r="R172" t="s">
        <v>131</v>
      </c>
      <c r="S172" t="s">
        <v>131</v>
      </c>
      <c r="T172" t="s">
        <v>131</v>
      </c>
      <c r="U172" t="s">
        <v>132</v>
      </c>
      <c r="V172" t="s">
        <v>131</v>
      </c>
      <c r="W172" t="s">
        <v>131</v>
      </c>
      <c r="X172" t="s">
        <v>5</v>
      </c>
      <c r="Y172" t="str">
        <f>_xlfn.IFNA(_xlfn.XLOOKUP(D172,[1]Especificação!$G:$G,[1]Especificação!$C:$C),0)</f>
        <v>F1. Fora âmbito | Campos concluídos - Sem necessidade de espec.</v>
      </c>
    </row>
    <row r="173" spans="1:25" ht="15" hidden="1">
      <c r="A173" s="40" t="str">
        <f t="shared" si="2"/>
        <v>INSTRUMENT_HEDGE_ID</v>
      </c>
      <c r="B173" s="40"/>
      <c r="C173" t="s">
        <v>127</v>
      </c>
      <c r="D173" t="s">
        <v>349</v>
      </c>
      <c r="E173" t="s">
        <v>6</v>
      </c>
      <c r="F173" t="s">
        <v>38</v>
      </c>
      <c r="G173" t="s">
        <v>129</v>
      </c>
      <c r="H173" t="s">
        <v>130</v>
      </c>
      <c r="J173" t="s">
        <v>26</v>
      </c>
      <c r="K173" s="15">
        <v>45450</v>
      </c>
      <c r="L173" t="s">
        <v>38</v>
      </c>
      <c r="M173" t="str">
        <f>IF(COUNTIFS(PRO_LT_SCORECARD_FLEX_VALIDATIO!$K:$K, _xlfn.CONCAT(C173,D173), PRO_LT_SCORECARD_FLEX_VALIDATIO!$G:$G, "KO") &gt; 0, "NOK", "OK")</f>
        <v>OK</v>
      </c>
      <c r="Q173" t="s">
        <v>30</v>
      </c>
      <c r="R173" t="s">
        <v>131</v>
      </c>
      <c r="S173" t="s">
        <v>132</v>
      </c>
      <c r="T173" t="s">
        <v>132</v>
      </c>
      <c r="U173" t="s">
        <v>132</v>
      </c>
      <c r="V173" t="s">
        <v>132</v>
      </c>
      <c r="W173" t="s">
        <v>132</v>
      </c>
      <c r="X173" t="s">
        <v>5</v>
      </c>
      <c r="Y173">
        <f>_xlfn.IFNA(_xlfn.XLOOKUP(D173,[1]Especificação!$G:$G,[1]Especificação!$C:$C),0)</f>
        <v>0</v>
      </c>
    </row>
    <row r="174" spans="1:25" ht="15" hidden="1">
      <c r="A174" s="40" t="str">
        <f t="shared" si="2"/>
        <v>PROTECTION_HRCT_MV</v>
      </c>
      <c r="B174" s="40"/>
      <c r="C174" t="s">
        <v>156</v>
      </c>
      <c r="D174" t="s">
        <v>350</v>
      </c>
      <c r="E174" t="s">
        <v>14</v>
      </c>
      <c r="F174" t="s">
        <v>38</v>
      </c>
      <c r="G174" t="s">
        <v>129</v>
      </c>
      <c r="H174" t="s">
        <v>130</v>
      </c>
      <c r="J174" t="s">
        <v>26</v>
      </c>
      <c r="K174" s="15">
        <v>45450</v>
      </c>
      <c r="L174" t="s">
        <v>38</v>
      </c>
      <c r="M174" t="str">
        <f>IF(COUNTIFS(PRO_LT_SCORECARD_FLEX_VALIDATIO!$K:$K, _xlfn.CONCAT(C174,D174), PRO_LT_SCORECARD_FLEX_VALIDATIO!$G:$G, "KO") &gt; 0, "NOK", "OK")</f>
        <v>OK</v>
      </c>
      <c r="Q174" t="s">
        <v>30</v>
      </c>
      <c r="R174" t="s">
        <v>131</v>
      </c>
      <c r="S174" t="s">
        <v>132</v>
      </c>
      <c r="T174" t="s">
        <v>132</v>
      </c>
      <c r="U174" t="s">
        <v>132</v>
      </c>
      <c r="V174" t="s">
        <v>132</v>
      </c>
      <c r="W174" t="s">
        <v>132</v>
      </c>
      <c r="X174" t="s">
        <v>5</v>
      </c>
      <c r="Y174">
        <f>_xlfn.IFNA(_xlfn.XLOOKUP(D174,[1]Especificação!$G:$G,[1]Especificação!$C:$C),0)</f>
        <v>0</v>
      </c>
    </row>
    <row r="175" spans="1:25" ht="15" hidden="1">
      <c r="A175" s="40" t="str">
        <f t="shared" si="2"/>
        <v>INSTRUMENT_IDCMB</v>
      </c>
      <c r="B175" s="40"/>
      <c r="C175" t="s">
        <v>127</v>
      </c>
      <c r="D175" s="11" t="s">
        <v>351</v>
      </c>
      <c r="E175" t="s">
        <v>6</v>
      </c>
      <c r="F175" t="s">
        <v>33</v>
      </c>
      <c r="G175" t="s">
        <v>145</v>
      </c>
      <c r="H175" s="76" t="s">
        <v>352</v>
      </c>
      <c r="J175" t="s">
        <v>32</v>
      </c>
      <c r="K175" s="15">
        <v>45958</v>
      </c>
      <c r="L175" t="s">
        <v>38</v>
      </c>
      <c r="M175" t="str">
        <f>IF(COUNTIFS(PRO_LT_SCORECARD_FLEX_VALIDATIO!$K:$K, _xlfn.CONCAT(C175,D175), PRO_LT_SCORECARD_FLEX_VALIDATIO!$G:$G, "KO") &gt; 0, "NOK", "OK")</f>
        <v>NOK</v>
      </c>
      <c r="O175" s="15"/>
      <c r="P175" s="15">
        <v>45958</v>
      </c>
      <c r="Q175" t="s">
        <v>19</v>
      </c>
      <c r="R175" t="s">
        <v>131</v>
      </c>
      <c r="S175" t="s">
        <v>131</v>
      </c>
      <c r="T175" t="s">
        <v>131</v>
      </c>
      <c r="U175" t="s">
        <v>132</v>
      </c>
      <c r="V175" t="s">
        <v>131</v>
      </c>
      <c r="W175" t="s">
        <v>131</v>
      </c>
      <c r="X175" t="s">
        <v>136</v>
      </c>
      <c r="Y175" t="str">
        <f>_xlfn.IFNA(_xlfn.XLOOKUP(D175,[1]Especificação!$G:$G,[1]Especificação!$C:$C),0)</f>
        <v>C. Campos em testes ou c/ incidências</v>
      </c>
    </row>
    <row r="176" spans="1:25" ht="15" hidden="1">
      <c r="A176" s="40" t="str">
        <f t="shared" si="2"/>
        <v>ENTITY_EBITDA_PRVS</v>
      </c>
      <c r="B176" s="40"/>
      <c r="C176" t="s">
        <v>139</v>
      </c>
      <c r="D176" t="s">
        <v>353</v>
      </c>
      <c r="E176" t="s">
        <v>14</v>
      </c>
      <c r="F176" t="s">
        <v>25</v>
      </c>
      <c r="G176" t="s">
        <v>129</v>
      </c>
      <c r="H176" t="s">
        <v>354</v>
      </c>
      <c r="J176" t="s">
        <v>29</v>
      </c>
      <c r="K176" s="15">
        <v>45450</v>
      </c>
      <c r="L176" t="s">
        <v>25</v>
      </c>
      <c r="M176" t="str">
        <f>IF(COUNTIFS(PRO_LT_SCORECARD_FLEX_VALIDATIO!$K:$K, _xlfn.CONCAT(C176,D176), PRO_LT_SCORECARD_FLEX_VALIDATIO!$G:$G, "KO") &gt; 0, "NOK", "OK")</f>
        <v>NOK</v>
      </c>
      <c r="Q176" t="s">
        <v>13</v>
      </c>
      <c r="R176" t="s">
        <v>131</v>
      </c>
      <c r="S176" t="s">
        <v>132</v>
      </c>
      <c r="T176" t="s">
        <v>132</v>
      </c>
      <c r="U176" t="s">
        <v>132</v>
      </c>
      <c r="V176" t="s">
        <v>132</v>
      </c>
      <c r="W176" t="s">
        <v>131</v>
      </c>
      <c r="X176" t="s">
        <v>143</v>
      </c>
      <c r="Y176" t="str">
        <f>_xlfn.IFNA(_xlfn.XLOOKUP(D176,[1]Especificação!$G:$G,[1]Especificação!$C:$C),0)</f>
        <v>F4. Fora âmbito | Re-especificação de campos complexos - Dem. Fin. CIB</v>
      </c>
    </row>
    <row r="177" spans="1:25" ht="15" hidden="1">
      <c r="A177" s="40" t="str">
        <f t="shared" si="2"/>
        <v>INSTRUMENT_IFRS9_CCF</v>
      </c>
      <c r="B177" s="40"/>
      <c r="C177" t="s">
        <v>127</v>
      </c>
      <c r="D177" t="s">
        <v>355</v>
      </c>
      <c r="E177" t="s">
        <v>14</v>
      </c>
      <c r="F177" t="s">
        <v>38</v>
      </c>
      <c r="G177" t="s">
        <v>129</v>
      </c>
      <c r="H177" t="s">
        <v>130</v>
      </c>
      <c r="J177" t="s">
        <v>26</v>
      </c>
      <c r="K177" s="15">
        <v>45450</v>
      </c>
      <c r="L177" t="s">
        <v>38</v>
      </c>
      <c r="M177" t="str">
        <f>IF(COUNTIFS(PRO_LT_SCORECARD_FLEX_VALIDATIO!$K:$K, _xlfn.CONCAT(C177,D177), PRO_LT_SCORECARD_FLEX_VALIDATIO!$G:$G, "KO") &gt; 0, "NOK", "OK")</f>
        <v>NOK</v>
      </c>
      <c r="N177" t="s">
        <v>356</v>
      </c>
      <c r="Q177" t="s">
        <v>30</v>
      </c>
      <c r="R177" t="s">
        <v>131</v>
      </c>
      <c r="S177" t="s">
        <v>132</v>
      </c>
      <c r="T177" t="s">
        <v>132</v>
      </c>
      <c r="U177" t="s">
        <v>132</v>
      </c>
      <c r="V177" t="s">
        <v>132</v>
      </c>
      <c r="W177" t="s">
        <v>132</v>
      </c>
      <c r="X177" t="s">
        <v>5</v>
      </c>
      <c r="Y177">
        <f>_xlfn.IFNA(_xlfn.XLOOKUP(D177,[1]Especificação!$G:$G,[1]Especificação!$C:$C),0)</f>
        <v>0</v>
      </c>
    </row>
    <row r="178" spans="1:25" ht="15" hidden="1">
      <c r="A178" s="40" t="str">
        <f t="shared" si="2"/>
        <v>INSTRUMENT_IFRS9_EAD</v>
      </c>
      <c r="B178" s="40"/>
      <c r="C178" t="s">
        <v>127</v>
      </c>
      <c r="D178" t="s">
        <v>357</v>
      </c>
      <c r="E178" t="s">
        <v>14</v>
      </c>
      <c r="F178" t="s">
        <v>36</v>
      </c>
      <c r="G178" t="s">
        <v>145</v>
      </c>
      <c r="H178" t="s">
        <v>158</v>
      </c>
      <c r="J178" t="s">
        <v>29</v>
      </c>
      <c r="K178" s="15">
        <v>45450</v>
      </c>
      <c r="L178" t="s">
        <v>36</v>
      </c>
      <c r="M178" t="str">
        <f>IF(COUNTIFS(PRO_LT_SCORECARD_FLEX_VALIDATIO!$K:$K, _xlfn.CONCAT(C178,D178), PRO_LT_SCORECARD_FLEX_VALIDATIO!$G:$G, "KO") &gt; 0, "NOK", "OK")</f>
        <v>NOK</v>
      </c>
      <c r="N178" t="s">
        <v>356</v>
      </c>
      <c r="Q178" t="s">
        <v>8</v>
      </c>
      <c r="R178" t="s">
        <v>131</v>
      </c>
      <c r="S178" t="s">
        <v>132</v>
      </c>
      <c r="T178" t="s">
        <v>132</v>
      </c>
      <c r="U178" t="s">
        <v>132</v>
      </c>
      <c r="V178" t="s">
        <v>132</v>
      </c>
      <c r="W178" t="s">
        <v>132</v>
      </c>
      <c r="X178" t="s">
        <v>5</v>
      </c>
      <c r="Y178">
        <f>_xlfn.IFNA(_xlfn.XLOOKUP(D178,[1]Especificação!$G:$G,[1]Especificação!$C:$C),0)</f>
        <v>0</v>
      </c>
    </row>
    <row r="179" spans="1:25" ht="15" hidden="1">
      <c r="A179" s="40" t="str">
        <f t="shared" si="2"/>
        <v>INSTRUMENT_IFRS9_LGD</v>
      </c>
      <c r="B179" s="40"/>
      <c r="C179" t="s">
        <v>127</v>
      </c>
      <c r="D179" t="s">
        <v>358</v>
      </c>
      <c r="E179" t="s">
        <v>14</v>
      </c>
      <c r="F179" t="s">
        <v>38</v>
      </c>
      <c r="G179" t="s">
        <v>129</v>
      </c>
      <c r="H179" t="s">
        <v>130</v>
      </c>
      <c r="J179" t="s">
        <v>26</v>
      </c>
      <c r="K179" s="15">
        <v>45450</v>
      </c>
      <c r="L179" t="s">
        <v>38</v>
      </c>
      <c r="M179" t="str">
        <f>IF(COUNTIFS(PRO_LT_SCORECARD_FLEX_VALIDATIO!$K:$K, _xlfn.CONCAT(C179,D179), PRO_LT_SCORECARD_FLEX_VALIDATIO!$G:$G, "KO") &gt; 0, "NOK", "OK")</f>
        <v>OK</v>
      </c>
      <c r="N179" t="s">
        <v>356</v>
      </c>
      <c r="Q179" t="s">
        <v>30</v>
      </c>
      <c r="R179" t="s">
        <v>131</v>
      </c>
      <c r="S179" t="s">
        <v>132</v>
      </c>
      <c r="T179" t="s">
        <v>132</v>
      </c>
      <c r="U179" t="s">
        <v>132</v>
      </c>
      <c r="V179" t="s">
        <v>132</v>
      </c>
      <c r="W179" t="s">
        <v>132</v>
      </c>
      <c r="X179" t="s">
        <v>5</v>
      </c>
      <c r="Y179">
        <f>_xlfn.IFNA(_xlfn.XLOOKUP(D179,[1]Especificação!$G:$G,[1]Especificação!$C:$C),0)</f>
        <v>0</v>
      </c>
    </row>
    <row r="180" spans="1:25" ht="15" hidden="1">
      <c r="A180" s="40" t="str">
        <f t="shared" si="2"/>
        <v>INSTRUMENT_IMPRMNT_ASSSSMNT_MTHD</v>
      </c>
      <c r="B180" s="40"/>
      <c r="C180" t="s">
        <v>127</v>
      </c>
      <c r="D180" t="s">
        <v>359</v>
      </c>
      <c r="E180" t="s">
        <v>14</v>
      </c>
      <c r="F180" t="s">
        <v>38</v>
      </c>
      <c r="G180" t="s">
        <v>129</v>
      </c>
      <c r="H180" t="s">
        <v>130</v>
      </c>
      <c r="J180" t="s">
        <v>26</v>
      </c>
      <c r="K180" s="15">
        <v>45450</v>
      </c>
      <c r="L180" t="s">
        <v>38</v>
      </c>
      <c r="M180" t="str">
        <f>IF(COUNTIFS(PRO_LT_SCORECARD_FLEX_VALIDATIO!$K:$K, _xlfn.CONCAT(C180,D180), PRO_LT_SCORECARD_FLEX_VALIDATIO!$G:$G, "KO") &gt; 0, "NOK", "OK")</f>
        <v>OK</v>
      </c>
      <c r="Q180" t="s">
        <v>30</v>
      </c>
      <c r="R180" t="s">
        <v>131</v>
      </c>
      <c r="S180" t="s">
        <v>132</v>
      </c>
      <c r="T180" t="s">
        <v>132</v>
      </c>
      <c r="U180" t="s">
        <v>132</v>
      </c>
      <c r="V180" t="s">
        <v>132</v>
      </c>
      <c r="W180" t="s">
        <v>131</v>
      </c>
      <c r="X180" t="s">
        <v>5</v>
      </c>
      <c r="Y180" t="str">
        <f>_xlfn.IFNA(_xlfn.XLOOKUP(D180,[1]Especificação!$G:$G,[1]Especificação!$C:$C),0)</f>
        <v>F1. Fora âmbito | Campos concluídos - Sem necessidade de espec.</v>
      </c>
    </row>
    <row r="181" spans="1:25" ht="15" hidden="1">
      <c r="A181" s="40" t="str">
        <f t="shared" si="2"/>
        <v>INSTRUMENT_IMPRMNT_CLCLTN_MTHD</v>
      </c>
      <c r="B181" s="40"/>
      <c r="C181" t="s">
        <v>127</v>
      </c>
      <c r="D181" t="s">
        <v>360</v>
      </c>
      <c r="E181" t="s">
        <v>14</v>
      </c>
      <c r="F181" t="s">
        <v>36</v>
      </c>
      <c r="G181" t="s">
        <v>145</v>
      </c>
      <c r="H181" t="s">
        <v>158</v>
      </c>
      <c r="J181" t="s">
        <v>29</v>
      </c>
      <c r="K181" s="15">
        <v>45450</v>
      </c>
      <c r="L181" t="s">
        <v>36</v>
      </c>
      <c r="M181" t="str">
        <f>IF(COUNTIFS(PRO_LT_SCORECARD_FLEX_VALIDATIO!$K:$K, _xlfn.CONCAT(C181,D181), PRO_LT_SCORECARD_FLEX_VALIDATIO!$G:$G, "KO") &gt; 0, "NOK", "OK")</f>
        <v>NOK</v>
      </c>
      <c r="Q181" t="s">
        <v>8</v>
      </c>
      <c r="R181" t="s">
        <v>131</v>
      </c>
      <c r="S181" t="s">
        <v>132</v>
      </c>
      <c r="T181" t="s">
        <v>132</v>
      </c>
      <c r="U181" t="s">
        <v>132</v>
      </c>
      <c r="V181" t="s">
        <v>132</v>
      </c>
      <c r="W181" t="s">
        <v>132</v>
      </c>
      <c r="X181" t="s">
        <v>5</v>
      </c>
      <c r="Y181">
        <f>_xlfn.IFNA(_xlfn.XLOOKUP(D181,[1]Especificação!$G:$G,[1]Especificação!$C:$C),0)</f>
        <v>0</v>
      </c>
    </row>
    <row r="182" spans="1:25" ht="15" hidden="1">
      <c r="A182" s="40" t="str">
        <f t="shared" si="2"/>
        <v>INSTRUMENT_IMPRMNT_STTS</v>
      </c>
      <c r="B182" s="40"/>
      <c r="C182" t="s">
        <v>127</v>
      </c>
      <c r="D182" s="11" t="s">
        <v>44</v>
      </c>
      <c r="E182" t="s">
        <v>14</v>
      </c>
      <c r="F182" t="s">
        <v>28</v>
      </c>
      <c r="G182" t="s">
        <v>145</v>
      </c>
      <c r="H182" t="s">
        <v>361</v>
      </c>
      <c r="J182" t="s">
        <v>32</v>
      </c>
      <c r="K182" s="15">
        <v>45952</v>
      </c>
      <c r="L182" t="s">
        <v>36</v>
      </c>
      <c r="M182" t="str">
        <f>IF(COUNTIFS(PRO_LT_SCORECARD_FLEX_VALIDATIO!$K:$K, _xlfn.CONCAT(C182,D182), PRO_LT_SCORECARD_FLEX_VALIDATIO!$G:$G, "KO") &gt; 0, "NOK", "OK")</f>
        <v>NOK</v>
      </c>
      <c r="N182" t="s">
        <v>1128</v>
      </c>
      <c r="O182" s="15"/>
      <c r="P182" s="15">
        <v>45952</v>
      </c>
      <c r="Q182" t="s">
        <v>39</v>
      </c>
      <c r="R182" t="s">
        <v>131</v>
      </c>
      <c r="S182" t="s">
        <v>131</v>
      </c>
      <c r="T182" t="s">
        <v>131</v>
      </c>
      <c r="U182" t="s">
        <v>132</v>
      </c>
      <c r="V182" t="s">
        <v>132</v>
      </c>
      <c r="W182" t="s">
        <v>131</v>
      </c>
      <c r="X182" t="s">
        <v>5</v>
      </c>
      <c r="Y182" t="str">
        <f>_xlfn.IFNA(_xlfn.XLOOKUP(D182,[1]Especificação!$G:$G,[1]Especificação!$C:$C),0)</f>
        <v>F2. Fora âmbito | Campos em testes ou c/ incidências (LT - PM)</v>
      </c>
    </row>
    <row r="183" spans="1:25" ht="15" hidden="1">
      <c r="A183" s="40" t="str">
        <f t="shared" si="2"/>
        <v>INSTRUMENT_IMPRMNT_STTS_PRVS</v>
      </c>
      <c r="B183" s="40"/>
      <c r="C183" t="s">
        <v>127</v>
      </c>
      <c r="D183" s="11" t="s">
        <v>46</v>
      </c>
      <c r="E183" t="s">
        <v>14</v>
      </c>
      <c r="F183" t="s">
        <v>28</v>
      </c>
      <c r="G183" t="s">
        <v>129</v>
      </c>
      <c r="H183" t="s">
        <v>154</v>
      </c>
      <c r="I183" t="s">
        <v>258</v>
      </c>
      <c r="J183" t="s">
        <v>32</v>
      </c>
      <c r="K183" s="15">
        <v>45952</v>
      </c>
      <c r="L183" t="s">
        <v>36</v>
      </c>
      <c r="M183" t="str">
        <f>IF(COUNTIFS(PRO_LT_SCORECARD_FLEX_VALIDATIO!$K:$K, _xlfn.CONCAT(C183,D183), PRO_LT_SCORECARD_FLEX_VALIDATIO!$G:$G, "KO") &gt; 0, "NOK", "OK")</f>
        <v>NOK</v>
      </c>
      <c r="N183" t="s">
        <v>1127</v>
      </c>
      <c r="O183" s="15"/>
      <c r="P183" s="15">
        <v>45952</v>
      </c>
      <c r="Q183" t="s">
        <v>39</v>
      </c>
      <c r="R183" t="s">
        <v>131</v>
      </c>
      <c r="S183" t="s">
        <v>132</v>
      </c>
      <c r="T183" t="s">
        <v>132</v>
      </c>
      <c r="U183" t="s">
        <v>132</v>
      </c>
      <c r="V183" t="s">
        <v>132</v>
      </c>
      <c r="W183" t="s">
        <v>131</v>
      </c>
      <c r="X183" t="s">
        <v>5</v>
      </c>
      <c r="Y183" t="str">
        <f>_xlfn.IFNA(_xlfn.XLOOKUP(D183,[1]Especificação!$G:$G,[1]Especificação!$C:$C),0)</f>
        <v>F2. Fora âmbito | Campos em testes ou c/ incidências (LT - PM)</v>
      </c>
    </row>
    <row r="184" spans="1:25" ht="15" hidden="1">
      <c r="A184" s="40" t="str">
        <f t="shared" si="2"/>
        <v>ENTITY_INCM_SC</v>
      </c>
      <c r="B184" s="40"/>
      <c r="C184" t="s">
        <v>139</v>
      </c>
      <c r="D184" t="s">
        <v>362</v>
      </c>
      <c r="E184" t="s">
        <v>6</v>
      </c>
      <c r="F184" t="s">
        <v>20</v>
      </c>
      <c r="G184" t="s">
        <v>129</v>
      </c>
      <c r="H184" t="s">
        <v>363</v>
      </c>
      <c r="J184" t="s">
        <v>29</v>
      </c>
      <c r="K184" s="15">
        <v>45450</v>
      </c>
      <c r="L184" t="s">
        <v>20</v>
      </c>
      <c r="M184" t="str">
        <f>IF(COUNTIFS(PRO_LT_SCORECARD_FLEX_VALIDATIO!$K:$K, _xlfn.CONCAT(C184,D184), PRO_LT_SCORECARD_FLEX_VALIDATIO!$G:$G, "KO") &gt; 0, "NOK", "OK")</f>
        <v>NOK</v>
      </c>
      <c r="Q184" t="s">
        <v>13</v>
      </c>
      <c r="R184" t="s">
        <v>131</v>
      </c>
      <c r="S184" t="s">
        <v>132</v>
      </c>
      <c r="T184" t="s">
        <v>132</v>
      </c>
      <c r="U184" t="s">
        <v>132</v>
      </c>
      <c r="V184" t="s">
        <v>132</v>
      </c>
      <c r="W184" t="s">
        <v>132</v>
      </c>
      <c r="X184" t="s">
        <v>5</v>
      </c>
      <c r="Y184">
        <f>_xlfn.IFNA(_xlfn.XLOOKUP(D184,[1]Especificação!$G:$G,[1]Especificação!$C:$C),0)</f>
        <v>0</v>
      </c>
    </row>
    <row r="185" spans="1:25" ht="15" hidden="1">
      <c r="A185" s="40" t="str">
        <f t="shared" si="2"/>
        <v>ENTITY_EBITDA</v>
      </c>
      <c r="B185" s="40"/>
      <c r="C185" t="s">
        <v>139</v>
      </c>
      <c r="D185" t="s">
        <v>364</v>
      </c>
      <c r="E185" t="s">
        <v>14</v>
      </c>
      <c r="F185" t="s">
        <v>25</v>
      </c>
      <c r="G185" t="s">
        <v>129</v>
      </c>
      <c r="H185" t="s">
        <v>354</v>
      </c>
      <c r="J185" t="s">
        <v>29</v>
      </c>
      <c r="K185" s="15">
        <v>45450</v>
      </c>
      <c r="L185" t="s">
        <v>25</v>
      </c>
      <c r="M185" t="str">
        <f>IF(COUNTIFS(PRO_LT_SCORECARD_FLEX_VALIDATIO!$K:$K, _xlfn.CONCAT(C185,D185), PRO_LT_SCORECARD_FLEX_VALIDATIO!$G:$G, "KO") &gt; 0, "NOK", "OK")</f>
        <v>NOK</v>
      </c>
      <c r="Q185" t="s">
        <v>13</v>
      </c>
      <c r="R185" t="s">
        <v>131</v>
      </c>
      <c r="S185" t="s">
        <v>132</v>
      </c>
      <c r="T185" t="s">
        <v>132</v>
      </c>
      <c r="U185" t="s">
        <v>132</v>
      </c>
      <c r="V185" t="s">
        <v>132</v>
      </c>
      <c r="W185" t="s">
        <v>131</v>
      </c>
      <c r="X185" t="s">
        <v>143</v>
      </c>
      <c r="Y185" t="str">
        <f>_xlfn.IFNA(_xlfn.XLOOKUP(D185,[1]Especificação!$G:$G,[1]Especificação!$C:$C),0)</f>
        <v>F4. Fora âmbito | Re-especificação de campos complexos - Dem. Fin. CIB</v>
      </c>
    </row>
    <row r="186" spans="1:25" ht="15" hidden="1">
      <c r="A186" s="40" t="str">
        <f t="shared" si="2"/>
        <v>INSTRUMENT_INSTR_SNRTY_CLSS</v>
      </c>
      <c r="B186" s="40"/>
      <c r="C186" t="s">
        <v>127</v>
      </c>
      <c r="D186" t="s">
        <v>365</v>
      </c>
      <c r="E186" t="s">
        <v>6</v>
      </c>
      <c r="F186" t="s">
        <v>38</v>
      </c>
      <c r="G186" t="s">
        <v>129</v>
      </c>
      <c r="H186" t="s">
        <v>130</v>
      </c>
      <c r="J186" t="s">
        <v>26</v>
      </c>
      <c r="K186" s="15">
        <v>45450</v>
      </c>
      <c r="L186" t="s">
        <v>38</v>
      </c>
      <c r="M186" t="str">
        <f>IF(COUNTIFS(PRO_LT_SCORECARD_FLEX_VALIDATIO!$K:$K, _xlfn.CONCAT(C186,D186), PRO_LT_SCORECARD_FLEX_VALIDATIO!$G:$G, "KO") &gt; 0, "NOK", "OK")</f>
        <v>OK</v>
      </c>
      <c r="Q186" t="s">
        <v>30</v>
      </c>
      <c r="R186" t="s">
        <v>131</v>
      </c>
      <c r="S186" t="s">
        <v>132</v>
      </c>
      <c r="T186" t="s">
        <v>132</v>
      </c>
      <c r="U186" t="s">
        <v>132</v>
      </c>
      <c r="V186" t="s">
        <v>132</v>
      </c>
      <c r="W186" t="s">
        <v>131</v>
      </c>
      <c r="X186" t="s">
        <v>5</v>
      </c>
      <c r="Y186" t="str">
        <f>_xlfn.IFNA(_xlfn.XLOOKUP(D186,[1]Especificação!$G:$G,[1]Especificação!$C:$C),0)</f>
        <v>F1. Fora âmbito | Campos concluídos - Sem necessidade de espec.</v>
      </c>
    </row>
    <row r="187" spans="1:25" ht="15" hidden="1">
      <c r="A187" s="40" t="str">
        <f t="shared" si="2"/>
        <v>INSTRUMENT_INSTRMNT_CLSS</v>
      </c>
      <c r="B187" s="40"/>
      <c r="C187" t="s">
        <v>127</v>
      </c>
      <c r="D187" t="s">
        <v>366</v>
      </c>
      <c r="E187" t="s">
        <v>6</v>
      </c>
      <c r="F187" t="s">
        <v>38</v>
      </c>
      <c r="G187" t="s">
        <v>129</v>
      </c>
      <c r="H187" t="s">
        <v>130</v>
      </c>
      <c r="J187" t="s">
        <v>26</v>
      </c>
      <c r="K187" s="15">
        <v>45450</v>
      </c>
      <c r="L187" t="s">
        <v>38</v>
      </c>
      <c r="M187" t="str">
        <f>IF(COUNTIFS(PRO_LT_SCORECARD_FLEX_VALIDATIO!$K:$K, _xlfn.CONCAT(C187,D187), PRO_LT_SCORECARD_FLEX_VALIDATIO!$G:$G, "KO") &gt; 0, "NOK", "OK")</f>
        <v>OK</v>
      </c>
      <c r="Q187" t="s">
        <v>30</v>
      </c>
      <c r="R187" t="s">
        <v>131</v>
      </c>
      <c r="S187" t="s">
        <v>132</v>
      </c>
      <c r="T187" t="s">
        <v>132</v>
      </c>
      <c r="U187" t="s">
        <v>132</v>
      </c>
      <c r="V187" t="s">
        <v>132</v>
      </c>
      <c r="W187" t="s">
        <v>132</v>
      </c>
      <c r="X187" t="s">
        <v>5</v>
      </c>
      <c r="Y187">
        <f>_xlfn.IFNA(_xlfn.XLOOKUP(D187,[1]Especificação!$G:$G,[1]Especificação!$C:$C),0)</f>
        <v>0</v>
      </c>
    </row>
    <row r="188" spans="1:25" ht="15" hidden="1">
      <c r="A188" s="40" t="str">
        <f t="shared" si="2"/>
        <v>INSTR_ENTITY_INSTRMNT_ID</v>
      </c>
      <c r="B188" s="40"/>
      <c r="C188" t="s">
        <v>187</v>
      </c>
      <c r="D188" t="s">
        <v>367</v>
      </c>
      <c r="E188" t="s">
        <v>14</v>
      </c>
      <c r="F188" t="s">
        <v>38</v>
      </c>
      <c r="G188" t="s">
        <v>129</v>
      </c>
      <c r="H188" t="s">
        <v>130</v>
      </c>
      <c r="J188" t="s">
        <v>26</v>
      </c>
      <c r="K188" s="15">
        <v>45450</v>
      </c>
      <c r="L188" t="s">
        <v>38</v>
      </c>
      <c r="M188" t="str">
        <f>IF(COUNTIFS(PRO_LT_SCORECARD_FLEX_VALIDATIO!$K:$K, _xlfn.CONCAT(C188,D188), PRO_LT_SCORECARD_FLEX_VALIDATIO!$G:$G, "KO") &gt; 0, "NOK", "OK")</f>
        <v>OK</v>
      </c>
      <c r="Q188" t="s">
        <v>30</v>
      </c>
      <c r="R188" t="s">
        <v>131</v>
      </c>
      <c r="S188" t="s">
        <v>132</v>
      </c>
      <c r="T188" t="s">
        <v>131</v>
      </c>
      <c r="U188" t="s">
        <v>132</v>
      </c>
      <c r="V188" t="s">
        <v>132</v>
      </c>
      <c r="W188" t="s">
        <v>131</v>
      </c>
      <c r="X188" t="s">
        <v>5</v>
      </c>
      <c r="Y188" t="str">
        <f>_xlfn.IFNA(_xlfn.XLOOKUP(D188,[1]Especificação!$G:$G,[1]Especificação!$C:$C),0)</f>
        <v>F1. Fora âmbito | Campos concluídos - Sem necessidade de espec.</v>
      </c>
    </row>
    <row r="189" spans="1:25" ht="15" hidden="1">
      <c r="A189" s="40" t="str">
        <f t="shared" si="2"/>
        <v>INSTR_PROTECTION_INSTRMNT_ID</v>
      </c>
      <c r="B189" s="40"/>
      <c r="C189" t="s">
        <v>188</v>
      </c>
      <c r="D189" t="s">
        <v>367</v>
      </c>
      <c r="E189" t="s">
        <v>14</v>
      </c>
      <c r="F189" t="s">
        <v>38</v>
      </c>
      <c r="G189" t="s">
        <v>129</v>
      </c>
      <c r="H189" t="s">
        <v>130</v>
      </c>
      <c r="J189" t="s">
        <v>26</v>
      </c>
      <c r="K189" s="15">
        <v>45450</v>
      </c>
      <c r="L189" t="s">
        <v>38</v>
      </c>
      <c r="M189" t="str">
        <f>IF(COUNTIFS(PRO_LT_SCORECARD_FLEX_VALIDATIO!$K:$K, _xlfn.CONCAT(C189,D189), PRO_LT_SCORECARD_FLEX_VALIDATIO!$G:$G, "KO") &gt; 0, "NOK", "OK")</f>
        <v>OK</v>
      </c>
      <c r="Q189" t="s">
        <v>30</v>
      </c>
      <c r="R189" t="s">
        <v>131</v>
      </c>
      <c r="S189" t="s">
        <v>131</v>
      </c>
      <c r="T189" t="s">
        <v>131</v>
      </c>
      <c r="U189" t="s">
        <v>132</v>
      </c>
      <c r="V189" t="s">
        <v>132</v>
      </c>
      <c r="W189" t="s">
        <v>132</v>
      </c>
      <c r="X189" t="s">
        <v>5</v>
      </c>
      <c r="Y189" t="str">
        <f>_xlfn.IFNA(_xlfn.XLOOKUP(D189,[1]Especificação!$G:$G,[1]Especificação!$C:$C),0)</f>
        <v>F1. Fora âmbito | Campos concluídos - Sem necessidade de espec.</v>
      </c>
    </row>
    <row r="190" spans="1:25" ht="15" hidden="1">
      <c r="A190" s="40" t="str">
        <f t="shared" si="2"/>
        <v>INSTRUMENT_INSTRMNT_ID</v>
      </c>
      <c r="B190" s="40"/>
      <c r="C190" t="s">
        <v>127</v>
      </c>
      <c r="D190" t="s">
        <v>367</v>
      </c>
      <c r="E190" t="s">
        <v>14</v>
      </c>
      <c r="F190" t="s">
        <v>38</v>
      </c>
      <c r="G190" t="s">
        <v>129</v>
      </c>
      <c r="H190" t="s">
        <v>130</v>
      </c>
      <c r="J190" t="s">
        <v>26</v>
      </c>
      <c r="K190" s="15">
        <v>45450</v>
      </c>
      <c r="L190" t="s">
        <v>38</v>
      </c>
      <c r="M190" t="str">
        <f>IF(COUNTIFS(PRO_LT_SCORECARD_FLEX_VALIDATIO!$K:$K, _xlfn.CONCAT(C190,D190), PRO_LT_SCORECARD_FLEX_VALIDATIO!$G:$G, "KO") &gt; 0, "NOK", "OK")</f>
        <v>NOK</v>
      </c>
      <c r="Q190" t="s">
        <v>30</v>
      </c>
      <c r="R190" t="s">
        <v>131</v>
      </c>
      <c r="S190" t="s">
        <v>131</v>
      </c>
      <c r="T190" t="s">
        <v>131</v>
      </c>
      <c r="U190" t="s">
        <v>132</v>
      </c>
      <c r="V190" t="s">
        <v>131</v>
      </c>
      <c r="W190" t="s">
        <v>131</v>
      </c>
      <c r="X190" t="s">
        <v>5</v>
      </c>
      <c r="Y190" t="str">
        <f>_xlfn.IFNA(_xlfn.XLOOKUP(D190,[1]Especificação!$G:$G,[1]Especificação!$C:$C),0)</f>
        <v>F1. Fora âmbito | Campos concluídos - Sem necessidade de espec.</v>
      </c>
    </row>
    <row r="191" spans="1:25" ht="15" hidden="1">
      <c r="A191" s="40" t="str">
        <f t="shared" si="2"/>
        <v>ENTITY_INTRNL_RTNG</v>
      </c>
      <c r="B191" s="40"/>
      <c r="C191" t="s">
        <v>139</v>
      </c>
      <c r="D191" s="10" t="s">
        <v>368</v>
      </c>
      <c r="E191" t="s">
        <v>14</v>
      </c>
      <c r="F191" t="s">
        <v>33</v>
      </c>
      <c r="G191" t="s">
        <v>145</v>
      </c>
      <c r="H191" t="s">
        <v>369</v>
      </c>
      <c r="J191" t="s">
        <v>32</v>
      </c>
      <c r="K191" s="15">
        <v>45958</v>
      </c>
      <c r="L191" t="s">
        <v>55</v>
      </c>
      <c r="M191" t="str">
        <f>IF(COUNTIFS(PRO_LT_SCORECARD_FLEX_VALIDATIO!$K:$K, _xlfn.CONCAT(C191,D191), PRO_LT_SCORECARD_FLEX_VALIDATIO!$G:$G, "KO") &gt; 0, "NOK", "OK")</f>
        <v>NOK</v>
      </c>
      <c r="O191" s="15"/>
      <c r="P191" s="15">
        <v>45958</v>
      </c>
      <c r="Q191" t="s">
        <v>24</v>
      </c>
      <c r="R191" t="s">
        <v>131</v>
      </c>
      <c r="S191" t="s">
        <v>132</v>
      </c>
      <c r="T191" t="s">
        <v>132</v>
      </c>
      <c r="U191" t="s">
        <v>132</v>
      </c>
      <c r="V191" t="s">
        <v>132</v>
      </c>
      <c r="W191" t="s">
        <v>131</v>
      </c>
      <c r="X191" t="s">
        <v>136</v>
      </c>
      <c r="Y191" t="str">
        <f>_xlfn.IFNA(_xlfn.XLOOKUP(D191,[1]Especificação!$G:$G,[1]Especificação!$C:$C),0)</f>
        <v>C. Campos em testes ou c/ incidências</v>
      </c>
    </row>
    <row r="192" spans="1:25" ht="15" hidden="1">
      <c r="A192" s="40" t="str">
        <f t="shared" si="2"/>
        <v>INSTRUMENT_INTRNL_RTNG</v>
      </c>
      <c r="B192" s="40"/>
      <c r="C192" t="s">
        <v>127</v>
      </c>
      <c r="D192" s="10" t="s">
        <v>368</v>
      </c>
      <c r="E192" t="s">
        <v>14</v>
      </c>
      <c r="F192" t="s">
        <v>33</v>
      </c>
      <c r="G192" t="s">
        <v>145</v>
      </c>
      <c r="H192" t="s">
        <v>369</v>
      </c>
      <c r="J192" t="s">
        <v>32</v>
      </c>
      <c r="K192" s="15">
        <v>45958</v>
      </c>
      <c r="L192" t="s">
        <v>55</v>
      </c>
      <c r="M192" t="str">
        <f>IF(COUNTIFS(PRO_LT_SCORECARD_FLEX_VALIDATIO!$K:$K, _xlfn.CONCAT(C192,D192), PRO_LT_SCORECARD_FLEX_VALIDATIO!$G:$G, "KO") &gt; 0, "NOK", "OK")</f>
        <v>OK</v>
      </c>
      <c r="O192" s="15"/>
      <c r="P192" s="15">
        <v>45958</v>
      </c>
      <c r="Q192" t="s">
        <v>24</v>
      </c>
      <c r="R192" t="s">
        <v>131</v>
      </c>
      <c r="S192" t="s">
        <v>132</v>
      </c>
      <c r="T192" t="s">
        <v>132</v>
      </c>
      <c r="U192" t="s">
        <v>132</v>
      </c>
      <c r="V192" t="s">
        <v>132</v>
      </c>
      <c r="W192" t="s">
        <v>131</v>
      </c>
      <c r="X192" t="s">
        <v>136</v>
      </c>
      <c r="Y192" t="str">
        <f>_xlfn.IFNA(_xlfn.XLOOKUP(D192,[1]Especificação!$G:$G,[1]Especificação!$C:$C),0)</f>
        <v>C. Campos em testes ou c/ incidências</v>
      </c>
    </row>
    <row r="193" spans="1:25" ht="15" hidden="1">
      <c r="A193" s="40" t="str">
        <f t="shared" si="2"/>
        <v>INSTRUMENT_INTRNL_RTNG_INCPTN</v>
      </c>
      <c r="B193" s="40"/>
      <c r="C193" t="s">
        <v>127</v>
      </c>
      <c r="D193" t="s">
        <v>370</v>
      </c>
      <c r="E193" t="s">
        <v>14</v>
      </c>
      <c r="F193" t="s">
        <v>35</v>
      </c>
      <c r="G193" t="s">
        <v>145</v>
      </c>
      <c r="H193" t="s">
        <v>371</v>
      </c>
      <c r="I193" t="s">
        <v>372</v>
      </c>
      <c r="J193" t="s">
        <v>29</v>
      </c>
      <c r="K193" s="15">
        <v>45958</v>
      </c>
      <c r="L193" t="s">
        <v>38</v>
      </c>
      <c r="M193" t="str">
        <f>IF(COUNTIFS(PRO_LT_SCORECARD_FLEX_VALIDATIO!$K:$K, _xlfn.CONCAT(C193,D193), PRO_LT_SCORECARD_FLEX_VALIDATIO!$G:$G, "KO") &gt; 0, "NOK", "OK")</f>
        <v>OK</v>
      </c>
      <c r="P193" s="15">
        <v>45958</v>
      </c>
      <c r="Q193" t="s">
        <v>13</v>
      </c>
      <c r="R193" t="s">
        <v>131</v>
      </c>
      <c r="S193" t="s">
        <v>132</v>
      </c>
      <c r="T193" t="s">
        <v>132</v>
      </c>
      <c r="U193" t="s">
        <v>132</v>
      </c>
      <c r="V193" t="s">
        <v>132</v>
      </c>
      <c r="W193" t="s">
        <v>131</v>
      </c>
      <c r="X193" t="s">
        <v>136</v>
      </c>
      <c r="Y193" t="str">
        <f>_xlfn.IFNA(_xlfn.XLOOKUP(D193,[1]Especificação!$G:$G,[1]Especificação!$C:$C),0)</f>
        <v>C. Campos em testes ou c/ incidências</v>
      </c>
    </row>
    <row r="194" spans="1:25" ht="15" hidden="1">
      <c r="A194" s="40" t="str">
        <f t="shared" si="2"/>
        <v>ENTITY_INTRNL_RTNG_PRVS</v>
      </c>
      <c r="B194" s="40"/>
      <c r="C194" t="s">
        <v>139</v>
      </c>
      <c r="D194" s="10" t="s">
        <v>373</v>
      </c>
      <c r="E194" t="s">
        <v>14</v>
      </c>
      <c r="F194" t="s">
        <v>33</v>
      </c>
      <c r="G194" t="s">
        <v>129</v>
      </c>
      <c r="H194" s="76" t="s">
        <v>262</v>
      </c>
      <c r="J194" t="s">
        <v>32</v>
      </c>
      <c r="K194" s="15">
        <v>45958</v>
      </c>
      <c r="L194" t="s">
        <v>55</v>
      </c>
      <c r="M194" t="str">
        <f>IF(COUNTIFS(PRO_LT_SCORECARD_FLEX_VALIDATIO!$K:$K, _xlfn.CONCAT(C194,D194), PRO_LT_SCORECARD_FLEX_VALIDATIO!$G:$G, "KO") &gt; 0, "NOK", "OK")</f>
        <v>NOK</v>
      </c>
      <c r="O194" s="15"/>
      <c r="P194" s="15">
        <v>45958</v>
      </c>
      <c r="Q194" t="s">
        <v>24</v>
      </c>
      <c r="R194" t="s">
        <v>131</v>
      </c>
      <c r="S194" t="s">
        <v>132</v>
      </c>
      <c r="T194" t="s">
        <v>132</v>
      </c>
      <c r="U194" t="s">
        <v>132</v>
      </c>
      <c r="V194" t="s">
        <v>132</v>
      </c>
      <c r="W194" t="s">
        <v>131</v>
      </c>
      <c r="X194" t="s">
        <v>136</v>
      </c>
      <c r="Y194" t="str">
        <f>_xlfn.IFNA(_xlfn.XLOOKUP(D194,[1]Especificação!$G:$G,[1]Especificação!$C:$C),0)</f>
        <v>C. Campos em testes ou c/ incidências</v>
      </c>
    </row>
    <row r="195" spans="1:25" ht="15" hidden="1">
      <c r="A195" s="40" t="str">
        <f t="shared" si="2"/>
        <v>ENTITY_INTRNL_SGMNT</v>
      </c>
      <c r="B195" s="40"/>
      <c r="C195" t="s">
        <v>139</v>
      </c>
      <c r="D195" t="s">
        <v>374</v>
      </c>
      <c r="E195" t="s">
        <v>14</v>
      </c>
      <c r="F195" t="s">
        <v>38</v>
      </c>
      <c r="G195" t="s">
        <v>129</v>
      </c>
      <c r="H195" t="s">
        <v>130</v>
      </c>
      <c r="J195" t="s">
        <v>26</v>
      </c>
      <c r="K195" s="15">
        <v>45450</v>
      </c>
      <c r="L195" t="s">
        <v>38</v>
      </c>
      <c r="M195" t="str">
        <f>IF(COUNTIFS(PRO_LT_SCORECARD_FLEX_VALIDATIO!$K:$K, _xlfn.CONCAT(C195,D195), PRO_LT_SCORECARD_FLEX_VALIDATIO!$G:$G, "KO") &gt; 0, "NOK", "OK")</f>
        <v>OK</v>
      </c>
      <c r="Q195" t="s">
        <v>30</v>
      </c>
      <c r="R195" t="s">
        <v>131</v>
      </c>
      <c r="S195" t="s">
        <v>132</v>
      </c>
      <c r="T195" t="s">
        <v>132</v>
      </c>
      <c r="U195" t="s">
        <v>132</v>
      </c>
      <c r="V195" t="s">
        <v>132</v>
      </c>
      <c r="W195" t="s">
        <v>131</v>
      </c>
      <c r="X195" t="s">
        <v>5</v>
      </c>
      <c r="Y195" t="str">
        <f>_xlfn.IFNA(_xlfn.XLOOKUP(D195,[1]Especificação!$G:$G,[1]Especificação!$C:$C),0)</f>
        <v>F1. Fora âmbito | Campos concluídos - Sem necessidade de espec.</v>
      </c>
    </row>
    <row r="196" spans="1:25" ht="15" hidden="1">
      <c r="A196" s="40" t="str">
        <f t="shared" si="2"/>
        <v>INSTRUMENT_INTRNL_SGMNT</v>
      </c>
      <c r="B196" s="40"/>
      <c r="C196" t="s">
        <v>127</v>
      </c>
      <c r="D196" t="s">
        <v>374</v>
      </c>
      <c r="E196" t="s">
        <v>14</v>
      </c>
      <c r="F196" t="s">
        <v>38</v>
      </c>
      <c r="G196" t="s">
        <v>129</v>
      </c>
      <c r="H196" t="s">
        <v>130</v>
      </c>
      <c r="J196" t="s">
        <v>26</v>
      </c>
      <c r="K196" s="15">
        <v>45450</v>
      </c>
      <c r="L196" t="s">
        <v>38</v>
      </c>
      <c r="M196" t="str">
        <f>IF(COUNTIFS(PRO_LT_SCORECARD_FLEX_VALIDATIO!$K:$K, _xlfn.CONCAT(C196,D196), PRO_LT_SCORECARD_FLEX_VALIDATIO!$G:$G, "KO") &gt; 0, "NOK", "OK")</f>
        <v>OK</v>
      </c>
      <c r="Q196" t="s">
        <v>30</v>
      </c>
      <c r="R196" t="s">
        <v>131</v>
      </c>
      <c r="S196" t="s">
        <v>132</v>
      </c>
      <c r="T196" t="s">
        <v>132</v>
      </c>
      <c r="U196" t="s">
        <v>132</v>
      </c>
      <c r="V196" t="s">
        <v>131</v>
      </c>
      <c r="W196" t="s">
        <v>131</v>
      </c>
      <c r="X196" t="s">
        <v>5</v>
      </c>
      <c r="Y196" t="str">
        <f>_xlfn.IFNA(_xlfn.XLOOKUP(D196,[1]Especificação!$G:$G,[1]Especificação!$C:$C),0)</f>
        <v>F1. Fora âmbito | Campos concluídos - Sem necessidade de espec.</v>
      </c>
    </row>
    <row r="197" spans="1:25" ht="15" hidden="1">
      <c r="A197" s="40" t="str">
        <f t="shared" si="2"/>
        <v>INSTRUMENT_INTRNL_SGMNT_CAT_MSTA</v>
      </c>
      <c r="B197" s="40"/>
      <c r="C197" t="s">
        <v>127</v>
      </c>
      <c r="D197" t="s">
        <v>375</v>
      </c>
      <c r="E197" t="s">
        <v>6</v>
      </c>
      <c r="F197" t="s">
        <v>38</v>
      </c>
      <c r="G197" t="s">
        <v>129</v>
      </c>
      <c r="H197" t="s">
        <v>130</v>
      </c>
      <c r="J197" t="s">
        <v>26</v>
      </c>
      <c r="K197" s="15">
        <v>45450</v>
      </c>
      <c r="L197" t="s">
        <v>38</v>
      </c>
      <c r="M197" t="str">
        <f>IF(COUNTIFS(PRO_LT_SCORECARD_FLEX_VALIDATIO!$K:$K, _xlfn.CONCAT(C197,D197), PRO_LT_SCORECARD_FLEX_VALIDATIO!$G:$G, "KO") &gt; 0, "NOK", "OK")</f>
        <v>NOK</v>
      </c>
      <c r="Q197" t="s">
        <v>30</v>
      </c>
      <c r="R197" t="s">
        <v>131</v>
      </c>
      <c r="S197" t="s">
        <v>132</v>
      </c>
      <c r="T197" t="s">
        <v>132</v>
      </c>
      <c r="U197" t="s">
        <v>132</v>
      </c>
      <c r="V197" t="s">
        <v>131</v>
      </c>
      <c r="W197" t="s">
        <v>132</v>
      </c>
      <c r="X197" t="s">
        <v>5</v>
      </c>
      <c r="Y197">
        <f>_xlfn.IFNA(_xlfn.XLOOKUP(D197,[1]Especificação!$G:$G,[1]Especificação!$C:$C),0)</f>
        <v>0</v>
      </c>
    </row>
    <row r="198" spans="1:25" ht="15" hidden="1">
      <c r="A198" s="40" t="str">
        <f t="shared" ref="A198:A261" si="3">C198&amp;"_"&amp;D198</f>
        <v>INSTRUMENT_INTRNL_SGMNT_CATGSUB</v>
      </c>
      <c r="B198" s="40"/>
      <c r="C198" t="s">
        <v>127</v>
      </c>
      <c r="D198" t="s">
        <v>376</v>
      </c>
      <c r="E198" t="s">
        <v>6</v>
      </c>
      <c r="F198" t="s">
        <v>38</v>
      </c>
      <c r="G198" t="s">
        <v>129</v>
      </c>
      <c r="H198" t="s">
        <v>130</v>
      </c>
      <c r="J198" t="s">
        <v>26</v>
      </c>
      <c r="K198" s="15">
        <v>45450</v>
      </c>
      <c r="L198" t="s">
        <v>38</v>
      </c>
      <c r="M198" t="str">
        <f>IF(COUNTIFS(PRO_LT_SCORECARD_FLEX_VALIDATIO!$K:$K, _xlfn.CONCAT(C198,D198), PRO_LT_SCORECARD_FLEX_VALIDATIO!$G:$G, "KO") &gt; 0, "NOK", "OK")</f>
        <v>NOK</v>
      </c>
      <c r="Q198" t="s">
        <v>30</v>
      </c>
      <c r="R198" t="s">
        <v>131</v>
      </c>
      <c r="S198" t="s">
        <v>132</v>
      </c>
      <c r="T198" t="s">
        <v>132</v>
      </c>
      <c r="U198" t="s">
        <v>132</v>
      </c>
      <c r="V198" t="s">
        <v>131</v>
      </c>
      <c r="W198" t="s">
        <v>132</v>
      </c>
      <c r="X198" t="s">
        <v>5</v>
      </c>
      <c r="Y198">
        <f>_xlfn.IFNA(_xlfn.XLOOKUP(D198,[1]Especificação!$G:$G,[1]Especificação!$C:$C),0)</f>
        <v>0</v>
      </c>
    </row>
    <row r="199" spans="1:25" ht="15" hidden="1">
      <c r="A199" s="40" t="str">
        <f t="shared" si="3"/>
        <v>INSTRUMENT_INTRNL_SGMNT_IFRS9</v>
      </c>
      <c r="B199" s="40"/>
      <c r="C199" t="s">
        <v>127</v>
      </c>
      <c r="D199" t="s">
        <v>377</v>
      </c>
      <c r="E199" t="s">
        <v>6</v>
      </c>
      <c r="F199" t="s">
        <v>38</v>
      </c>
      <c r="G199" t="s">
        <v>129</v>
      </c>
      <c r="H199" t="s">
        <v>130</v>
      </c>
      <c r="J199" t="s">
        <v>26</v>
      </c>
      <c r="K199" s="15">
        <v>45450</v>
      </c>
      <c r="L199" t="s">
        <v>38</v>
      </c>
      <c r="M199" t="str">
        <f>IF(COUNTIFS(PRO_LT_SCORECARD_FLEX_VALIDATIO!$K:$K, _xlfn.CONCAT(C199,D199), PRO_LT_SCORECARD_FLEX_VALIDATIO!$G:$G, "KO") &gt; 0, "NOK", "OK")</f>
        <v>OK</v>
      </c>
      <c r="N199" t="s">
        <v>356</v>
      </c>
      <c r="Q199" t="s">
        <v>30</v>
      </c>
      <c r="R199" t="s">
        <v>131</v>
      </c>
      <c r="S199" t="s">
        <v>132</v>
      </c>
      <c r="T199" t="s">
        <v>132</v>
      </c>
      <c r="U199" t="s">
        <v>132</v>
      </c>
      <c r="V199" t="s">
        <v>132</v>
      </c>
      <c r="W199" t="s">
        <v>132</v>
      </c>
      <c r="X199" t="s">
        <v>5</v>
      </c>
      <c r="Y199">
        <f>_xlfn.IFNA(_xlfn.XLOOKUP(D199,[1]Especificação!$G:$G,[1]Especificação!$C:$C),0)</f>
        <v>0</v>
      </c>
    </row>
    <row r="200" spans="1:25" ht="15" hidden="1">
      <c r="A200" s="40" t="str">
        <f t="shared" si="3"/>
        <v>ENTITY_INTRNL_UNT</v>
      </c>
      <c r="B200" s="40"/>
      <c r="C200" t="s">
        <v>139</v>
      </c>
      <c r="D200" t="s">
        <v>378</v>
      </c>
      <c r="E200" t="s">
        <v>14</v>
      </c>
      <c r="F200" t="s">
        <v>38</v>
      </c>
      <c r="G200" t="s">
        <v>129</v>
      </c>
      <c r="H200" t="s">
        <v>130</v>
      </c>
      <c r="J200" t="s">
        <v>26</v>
      </c>
      <c r="K200" s="15">
        <v>45450</v>
      </c>
      <c r="L200" t="s">
        <v>38</v>
      </c>
      <c r="M200" t="str">
        <f>IF(COUNTIFS(PRO_LT_SCORECARD_FLEX_VALIDATIO!$K:$K, _xlfn.CONCAT(C200,D200), PRO_LT_SCORECARD_FLEX_VALIDATIO!$G:$G, "KO") &gt; 0, "NOK", "OK")</f>
        <v>OK</v>
      </c>
      <c r="Q200" t="s">
        <v>30</v>
      </c>
      <c r="R200" t="s">
        <v>131</v>
      </c>
      <c r="S200" t="s">
        <v>132</v>
      </c>
      <c r="T200" t="s">
        <v>132</v>
      </c>
      <c r="U200" t="s">
        <v>132</v>
      </c>
      <c r="V200" t="s">
        <v>132</v>
      </c>
      <c r="W200" t="s">
        <v>131</v>
      </c>
      <c r="X200" t="s">
        <v>5</v>
      </c>
      <c r="Y200" t="str">
        <f>_xlfn.IFNA(_xlfn.XLOOKUP(D200,[1]Especificação!$G:$G,[1]Especificação!$C:$C),0)</f>
        <v>F1. Fora âmbito | Campos concluídos - Sem necessidade de espec.</v>
      </c>
    </row>
    <row r="201" spans="1:25" ht="15" hidden="1">
      <c r="A201" s="40" t="str">
        <f t="shared" si="3"/>
        <v>INSTRUMENT_INTRNL_UNT</v>
      </c>
      <c r="B201" s="40"/>
      <c r="C201" t="s">
        <v>127</v>
      </c>
      <c r="D201" t="s">
        <v>378</v>
      </c>
      <c r="E201" t="s">
        <v>14</v>
      </c>
      <c r="F201" t="s">
        <v>38</v>
      </c>
      <c r="G201" t="s">
        <v>129</v>
      </c>
      <c r="H201" t="s">
        <v>130</v>
      </c>
      <c r="J201" t="s">
        <v>26</v>
      </c>
      <c r="K201" s="15">
        <v>45450</v>
      </c>
      <c r="L201" t="s">
        <v>38</v>
      </c>
      <c r="M201" t="str">
        <f>IF(COUNTIFS(PRO_LT_SCORECARD_FLEX_VALIDATIO!$K:$K, _xlfn.CONCAT(C201,D201), PRO_LT_SCORECARD_FLEX_VALIDATIO!$G:$G, "KO") &gt; 0, "NOK", "OK")</f>
        <v>OK</v>
      </c>
      <c r="Q201" t="s">
        <v>30</v>
      </c>
      <c r="R201" t="s">
        <v>131</v>
      </c>
      <c r="S201" t="s">
        <v>132</v>
      </c>
      <c r="T201" t="s">
        <v>132</v>
      </c>
      <c r="U201" t="s">
        <v>132</v>
      </c>
      <c r="V201" t="s">
        <v>132</v>
      </c>
      <c r="W201" t="s">
        <v>131</v>
      </c>
      <c r="X201" t="s">
        <v>5</v>
      </c>
      <c r="Y201" t="str">
        <f>_xlfn.IFNA(_xlfn.XLOOKUP(D201,[1]Especificação!$G:$G,[1]Especificação!$C:$C),0)</f>
        <v>F1. Fora âmbito | Campos concluídos - Sem necessidade de espec.</v>
      </c>
    </row>
    <row r="202" spans="1:25" ht="15" hidden="1">
      <c r="A202" s="40" t="str">
        <f t="shared" si="3"/>
        <v>INSTRUMENT_INTRST_RT_RST_FRQNCY</v>
      </c>
      <c r="B202" s="40"/>
      <c r="C202" t="s">
        <v>127</v>
      </c>
      <c r="D202" t="s">
        <v>379</v>
      </c>
      <c r="E202" t="s">
        <v>14</v>
      </c>
      <c r="F202" t="s">
        <v>38</v>
      </c>
      <c r="G202" t="s">
        <v>129</v>
      </c>
      <c r="H202" t="s">
        <v>130</v>
      </c>
      <c r="J202" t="s">
        <v>26</v>
      </c>
      <c r="K202" s="15">
        <v>45450</v>
      </c>
      <c r="L202" t="s">
        <v>38</v>
      </c>
      <c r="M202" t="str">
        <f>IF(COUNTIFS(PRO_LT_SCORECARD_FLEX_VALIDATIO!$K:$K, _xlfn.CONCAT(C202,D202), PRO_LT_SCORECARD_FLEX_VALIDATIO!$G:$G, "KO") &gt; 0, "NOK", "OK")</f>
        <v>NOK</v>
      </c>
      <c r="Q202" t="s">
        <v>30</v>
      </c>
      <c r="R202" t="s">
        <v>131</v>
      </c>
      <c r="S202" t="s">
        <v>132</v>
      </c>
      <c r="T202" t="s">
        <v>132</v>
      </c>
      <c r="U202" t="s">
        <v>132</v>
      </c>
      <c r="V202" t="s">
        <v>132</v>
      </c>
      <c r="W202" t="s">
        <v>132</v>
      </c>
      <c r="X202" t="s">
        <v>5</v>
      </c>
      <c r="Y202">
        <f>_xlfn.IFNA(_xlfn.XLOOKUP(D202,[1]Especificação!$G:$G,[1]Especificação!$C:$C),0)</f>
        <v>0</v>
      </c>
    </row>
    <row r="203" spans="1:25" ht="15" hidden="1">
      <c r="A203" s="40" t="str">
        <f t="shared" si="3"/>
        <v>INSTRUMENT_ISIN</v>
      </c>
      <c r="B203" s="40"/>
      <c r="C203" t="s">
        <v>127</v>
      </c>
      <c r="D203" t="s">
        <v>380</v>
      </c>
      <c r="E203" t="s">
        <v>6</v>
      </c>
      <c r="F203" t="s">
        <v>38</v>
      </c>
      <c r="G203" t="s">
        <v>129</v>
      </c>
      <c r="H203" t="s">
        <v>130</v>
      </c>
      <c r="J203" t="s">
        <v>26</v>
      </c>
      <c r="K203" s="15">
        <v>45450</v>
      </c>
      <c r="L203" t="s">
        <v>38</v>
      </c>
      <c r="M203" t="str">
        <f>IF(COUNTIFS(PRO_LT_SCORECARD_FLEX_VALIDATIO!$K:$K, _xlfn.CONCAT(C203,D203), PRO_LT_SCORECARD_FLEX_VALIDATIO!$G:$G, "KO") &gt; 0, "NOK", "OK")</f>
        <v>OK</v>
      </c>
      <c r="Q203" t="s">
        <v>30</v>
      </c>
      <c r="R203" t="s">
        <v>131</v>
      </c>
      <c r="S203" t="s">
        <v>132</v>
      </c>
      <c r="T203" t="s">
        <v>132</v>
      </c>
      <c r="U203" t="s">
        <v>132</v>
      </c>
      <c r="V203" t="s">
        <v>132</v>
      </c>
      <c r="W203" t="s">
        <v>132</v>
      </c>
      <c r="X203" t="s">
        <v>5</v>
      </c>
      <c r="Y203">
        <f>_xlfn.IFNA(_xlfn.XLOOKUP(D203,[1]Especificação!$G:$G,[1]Especificação!$C:$C),0)</f>
        <v>0</v>
      </c>
    </row>
    <row r="204" spans="1:25" ht="15" hidden="1">
      <c r="A204" s="40" t="str">
        <f t="shared" si="3"/>
        <v>INSTRUMENT_ISIN_SCRTSTN</v>
      </c>
      <c r="B204" s="40"/>
      <c r="C204" t="s">
        <v>127</v>
      </c>
      <c r="D204" t="s">
        <v>381</v>
      </c>
      <c r="E204" t="s">
        <v>6</v>
      </c>
      <c r="F204" t="s">
        <v>38</v>
      </c>
      <c r="G204" t="s">
        <v>129</v>
      </c>
      <c r="H204" t="s">
        <v>130</v>
      </c>
      <c r="J204" t="s">
        <v>26</v>
      </c>
      <c r="K204" s="15">
        <v>45450</v>
      </c>
      <c r="L204" t="s">
        <v>38</v>
      </c>
      <c r="M204" t="str">
        <f>IF(COUNTIFS(PRO_LT_SCORECARD_FLEX_VALIDATIO!$K:$K, _xlfn.CONCAT(C204,D204), PRO_LT_SCORECARD_FLEX_VALIDATIO!$G:$G, "KO") &gt; 0, "NOK", "OK")</f>
        <v>NOK</v>
      </c>
      <c r="Q204" t="s">
        <v>30</v>
      </c>
      <c r="R204" t="s">
        <v>131</v>
      </c>
      <c r="S204" t="s">
        <v>132</v>
      </c>
      <c r="T204" t="s">
        <v>132</v>
      </c>
      <c r="U204" t="s">
        <v>132</v>
      </c>
      <c r="V204" t="s">
        <v>132</v>
      </c>
      <c r="W204" t="s">
        <v>132</v>
      </c>
      <c r="X204" t="s">
        <v>5</v>
      </c>
      <c r="Y204">
        <f>_xlfn.IFNA(_xlfn.XLOOKUP(D204,[1]Especificação!$G:$G,[1]Especificação!$C:$C),0)</f>
        <v>0</v>
      </c>
    </row>
    <row r="205" spans="1:25" ht="15" hidden="1">
      <c r="A205" s="40" t="str">
        <f t="shared" si="3"/>
        <v>INSTRUMENT_ISSR_CNTRY</v>
      </c>
      <c r="B205" s="40"/>
      <c r="C205" t="s">
        <v>127</v>
      </c>
      <c r="D205" t="s">
        <v>382</v>
      </c>
      <c r="E205" t="s">
        <v>6</v>
      </c>
      <c r="F205" t="s">
        <v>38</v>
      </c>
      <c r="G205" t="s">
        <v>129</v>
      </c>
      <c r="H205" t="s">
        <v>130</v>
      </c>
      <c r="J205" t="s">
        <v>26</v>
      </c>
      <c r="K205" s="15">
        <v>45450</v>
      </c>
      <c r="L205" t="s">
        <v>38</v>
      </c>
      <c r="M205" t="str">
        <f>IF(COUNTIFS(PRO_LT_SCORECARD_FLEX_VALIDATIO!$K:$K, _xlfn.CONCAT(C205,D205), PRO_LT_SCORECARD_FLEX_VALIDATIO!$G:$G, "KO") &gt; 0, "NOK", "OK")</f>
        <v>OK</v>
      </c>
      <c r="Q205" t="s">
        <v>30</v>
      </c>
      <c r="R205" t="s">
        <v>131</v>
      </c>
      <c r="S205" t="s">
        <v>132</v>
      </c>
      <c r="T205" t="s">
        <v>131</v>
      </c>
      <c r="U205" t="s">
        <v>132</v>
      </c>
      <c r="V205" t="s">
        <v>132</v>
      </c>
      <c r="W205" t="s">
        <v>132</v>
      </c>
      <c r="X205" t="s">
        <v>5</v>
      </c>
      <c r="Y205">
        <f>_xlfn.IFNA(_xlfn.XLOOKUP(D205,[1]Especificação!$G:$G,[1]Especificação!$C:$C),0)</f>
        <v>0</v>
      </c>
    </row>
    <row r="206" spans="1:25" ht="15" hidden="1">
      <c r="A206" s="40" t="str">
        <f t="shared" si="3"/>
        <v>INSTRUMENT_ISSR_ESA_2010</v>
      </c>
      <c r="B206" s="40"/>
      <c r="C206" t="s">
        <v>127</v>
      </c>
      <c r="D206" t="s">
        <v>383</v>
      </c>
      <c r="E206" t="s">
        <v>6</v>
      </c>
      <c r="F206" t="s">
        <v>36</v>
      </c>
      <c r="G206" t="s">
        <v>145</v>
      </c>
      <c r="H206" t="s">
        <v>158</v>
      </c>
      <c r="J206" t="s">
        <v>29</v>
      </c>
      <c r="K206" s="15">
        <v>45450</v>
      </c>
      <c r="L206" t="s">
        <v>36</v>
      </c>
      <c r="M206" t="str">
        <f>IF(COUNTIFS(PRO_LT_SCORECARD_FLEX_VALIDATIO!$K:$K, _xlfn.CONCAT(C206,D206), PRO_LT_SCORECARD_FLEX_VALIDATIO!$G:$G, "KO") &gt; 0, "NOK", "OK")</f>
        <v>NOK</v>
      </c>
      <c r="Q206" t="s">
        <v>8</v>
      </c>
      <c r="R206" t="s">
        <v>131</v>
      </c>
      <c r="S206" t="s">
        <v>132</v>
      </c>
      <c r="T206" t="s">
        <v>132</v>
      </c>
      <c r="U206" t="s">
        <v>132</v>
      </c>
      <c r="V206" t="s">
        <v>132</v>
      </c>
      <c r="W206" t="s">
        <v>132</v>
      </c>
      <c r="X206" t="s">
        <v>5</v>
      </c>
      <c r="Y206">
        <f>_xlfn.IFNA(_xlfn.XLOOKUP(D206,[1]Especificação!$G:$G,[1]Especificação!$C:$C),0)</f>
        <v>0</v>
      </c>
    </row>
    <row r="207" spans="1:25" ht="15" hidden="1">
      <c r="A207" s="40" t="str">
        <f t="shared" si="3"/>
        <v>INSTRUMENT_ISSR_ID</v>
      </c>
      <c r="B207" s="40"/>
      <c r="C207" t="s">
        <v>127</v>
      </c>
      <c r="D207" t="s">
        <v>384</v>
      </c>
      <c r="E207" t="s">
        <v>6</v>
      </c>
      <c r="F207" t="s">
        <v>38</v>
      </c>
      <c r="G207" t="s">
        <v>129</v>
      </c>
      <c r="H207" t="s">
        <v>130</v>
      </c>
      <c r="J207" t="s">
        <v>26</v>
      </c>
      <c r="K207" s="15">
        <v>45450</v>
      </c>
      <c r="L207" t="s">
        <v>38</v>
      </c>
      <c r="M207" t="str">
        <f>IF(COUNTIFS(PRO_LT_SCORECARD_FLEX_VALIDATIO!$K:$K, _xlfn.CONCAT(C207,D207), PRO_LT_SCORECARD_FLEX_VALIDATIO!$G:$G, "KO") &gt; 0, "NOK", "OK")</f>
        <v>OK</v>
      </c>
      <c r="Q207" t="s">
        <v>30</v>
      </c>
      <c r="R207" t="s">
        <v>131</v>
      </c>
      <c r="S207" t="s">
        <v>132</v>
      </c>
      <c r="T207" t="s">
        <v>132</v>
      </c>
      <c r="U207" t="s">
        <v>132</v>
      </c>
      <c r="V207" t="s">
        <v>132</v>
      </c>
      <c r="W207" t="s">
        <v>132</v>
      </c>
      <c r="X207" t="s">
        <v>5</v>
      </c>
      <c r="Y207">
        <f>_xlfn.IFNA(_xlfn.XLOOKUP(D207,[1]Especificação!$G:$G,[1]Especificação!$C:$C),0)</f>
        <v>0</v>
      </c>
    </row>
    <row r="208" spans="1:25" ht="15" hidden="1">
      <c r="A208" s="40" t="str">
        <f t="shared" si="3"/>
        <v>INSTRUMENT_ISSR_ID_TYP</v>
      </c>
      <c r="B208" s="40"/>
      <c r="C208" t="s">
        <v>127</v>
      </c>
      <c r="D208" t="s">
        <v>385</v>
      </c>
      <c r="E208" t="s">
        <v>6</v>
      </c>
      <c r="F208" t="s">
        <v>38</v>
      </c>
      <c r="G208" t="s">
        <v>129</v>
      </c>
      <c r="H208" t="s">
        <v>130</v>
      </c>
      <c r="J208" t="s">
        <v>26</v>
      </c>
      <c r="K208" s="15">
        <v>45450</v>
      </c>
      <c r="L208" t="s">
        <v>38</v>
      </c>
      <c r="M208" t="str">
        <f>IF(COUNTIFS(PRO_LT_SCORECARD_FLEX_VALIDATIO!$K:$K, _xlfn.CONCAT(C208,D208), PRO_LT_SCORECARD_FLEX_VALIDATIO!$G:$G, "KO") &gt; 0, "NOK", "OK")</f>
        <v>OK</v>
      </c>
      <c r="Q208" t="s">
        <v>30</v>
      </c>
      <c r="R208" t="s">
        <v>131</v>
      </c>
      <c r="S208" t="s">
        <v>132</v>
      </c>
      <c r="T208" t="s">
        <v>132</v>
      </c>
      <c r="U208" t="s">
        <v>132</v>
      </c>
      <c r="V208" t="s">
        <v>132</v>
      </c>
      <c r="W208" t="s">
        <v>132</v>
      </c>
      <c r="X208" t="s">
        <v>5</v>
      </c>
      <c r="Y208">
        <f>_xlfn.IFNA(_xlfn.XLOOKUP(D208,[1]Especificação!$G:$G,[1]Especificação!$C:$C),0)</f>
        <v>0</v>
      </c>
    </row>
    <row r="209" spans="1:25" ht="15" hidden="1">
      <c r="A209" s="40" t="str">
        <f t="shared" si="3"/>
        <v>INSTRUMENT_ISSR_NACE_SCTR</v>
      </c>
      <c r="B209" s="40"/>
      <c r="C209" t="s">
        <v>127</v>
      </c>
      <c r="D209" t="s">
        <v>386</v>
      </c>
      <c r="E209" t="s">
        <v>6</v>
      </c>
      <c r="F209" t="s">
        <v>38</v>
      </c>
      <c r="G209" t="s">
        <v>129</v>
      </c>
      <c r="H209" t="s">
        <v>130</v>
      </c>
      <c r="J209" t="s">
        <v>26</v>
      </c>
      <c r="K209" s="15">
        <v>45450</v>
      </c>
      <c r="L209" t="s">
        <v>38</v>
      </c>
      <c r="M209" t="str">
        <f>IF(COUNTIFS(PRO_LT_SCORECARD_FLEX_VALIDATIO!$K:$K, _xlfn.CONCAT(C209,D209), PRO_LT_SCORECARD_FLEX_VALIDATIO!$G:$G, "KO") &gt; 0, "NOK", "OK")</f>
        <v>OK</v>
      </c>
      <c r="Q209" t="s">
        <v>30</v>
      </c>
      <c r="R209" t="s">
        <v>131</v>
      </c>
      <c r="S209" t="s">
        <v>132</v>
      </c>
      <c r="T209" t="s">
        <v>131</v>
      </c>
      <c r="U209" t="s">
        <v>132</v>
      </c>
      <c r="V209" t="s">
        <v>132</v>
      </c>
      <c r="W209" t="s">
        <v>132</v>
      </c>
      <c r="X209" t="s">
        <v>5</v>
      </c>
      <c r="Y209">
        <f>_xlfn.IFNA(_xlfn.XLOOKUP(D209,[1]Especificação!$G:$G,[1]Especificação!$C:$C),0)</f>
        <v>0</v>
      </c>
    </row>
    <row r="210" spans="1:25" ht="15" hidden="1">
      <c r="A210" s="40" t="str">
        <f t="shared" si="3"/>
        <v>INSTRUMENT_ISSR_RTNG</v>
      </c>
      <c r="B210" s="40"/>
      <c r="C210" t="s">
        <v>127</v>
      </c>
      <c r="D210" t="s">
        <v>387</v>
      </c>
      <c r="E210" t="s">
        <v>6</v>
      </c>
      <c r="F210" t="s">
        <v>37</v>
      </c>
      <c r="G210" t="s">
        <v>129</v>
      </c>
      <c r="H210" t="s">
        <v>164</v>
      </c>
      <c r="J210" t="s">
        <v>26</v>
      </c>
      <c r="K210" s="15">
        <v>45450</v>
      </c>
      <c r="L210" t="s">
        <v>37</v>
      </c>
      <c r="M210" t="str">
        <f>IF(COUNTIFS(PRO_LT_SCORECARD_FLEX_VALIDATIO!$K:$K, _xlfn.CONCAT(C210,D210), PRO_LT_SCORECARD_FLEX_VALIDATIO!$G:$G, "KO") &gt; 0, "NOK", "OK")</f>
        <v>OK</v>
      </c>
      <c r="Q210" t="s">
        <v>27</v>
      </c>
      <c r="R210" t="s">
        <v>131</v>
      </c>
      <c r="S210" t="s">
        <v>132</v>
      </c>
      <c r="T210" t="s">
        <v>132</v>
      </c>
      <c r="U210" t="s">
        <v>132</v>
      </c>
      <c r="V210" t="s">
        <v>132</v>
      </c>
      <c r="W210" t="s">
        <v>132</v>
      </c>
      <c r="X210" t="s">
        <v>5</v>
      </c>
      <c r="Y210">
        <f>_xlfn.IFNA(_xlfn.XLOOKUP(D210,[1]Especificação!$G:$G,[1]Especificação!$C:$C),0)</f>
        <v>0</v>
      </c>
    </row>
    <row r="211" spans="1:25" ht="15" hidden="1">
      <c r="A211" s="40" t="str">
        <f t="shared" si="3"/>
        <v>INSTRUMENT_ISSR_RTNG_SRC</v>
      </c>
      <c r="B211" s="40"/>
      <c r="C211" t="s">
        <v>127</v>
      </c>
      <c r="D211" t="s">
        <v>388</v>
      </c>
      <c r="E211" t="s">
        <v>6</v>
      </c>
      <c r="F211" t="s">
        <v>37</v>
      </c>
      <c r="G211" t="s">
        <v>129</v>
      </c>
      <c r="H211" t="s">
        <v>164</v>
      </c>
      <c r="J211" t="s">
        <v>26</v>
      </c>
      <c r="K211" s="15">
        <v>45450</v>
      </c>
      <c r="L211" t="s">
        <v>37</v>
      </c>
      <c r="M211" t="str">
        <f>IF(COUNTIFS(PRO_LT_SCORECARD_FLEX_VALIDATIO!$K:$K, _xlfn.CONCAT(C211,D211), PRO_LT_SCORECARD_FLEX_VALIDATIO!$G:$G, "KO") &gt; 0, "NOK", "OK")</f>
        <v>OK</v>
      </c>
      <c r="Q211" t="s">
        <v>27</v>
      </c>
      <c r="R211" t="s">
        <v>131</v>
      </c>
      <c r="S211" t="s">
        <v>132</v>
      </c>
      <c r="T211" t="s">
        <v>132</v>
      </c>
      <c r="U211" t="s">
        <v>132</v>
      </c>
      <c r="V211" t="s">
        <v>132</v>
      </c>
      <c r="W211" t="s">
        <v>132</v>
      </c>
      <c r="X211" t="s">
        <v>5</v>
      </c>
      <c r="Y211">
        <f>_xlfn.IFNA(_xlfn.XLOOKUP(D211,[1]Especificação!$G:$G,[1]Especificação!$C:$C),0)</f>
        <v>0</v>
      </c>
    </row>
    <row r="212" spans="1:25" ht="15" hidden="1">
      <c r="A212" s="40" t="str">
        <f t="shared" si="3"/>
        <v>INSTRUMENT_ISSR_TYP</v>
      </c>
      <c r="B212" s="40"/>
      <c r="C212" t="s">
        <v>127</v>
      </c>
      <c r="D212" t="s">
        <v>389</v>
      </c>
      <c r="E212" t="s">
        <v>6</v>
      </c>
      <c r="F212" t="s">
        <v>38</v>
      </c>
      <c r="G212" t="s">
        <v>129</v>
      </c>
      <c r="H212" t="s">
        <v>130</v>
      </c>
      <c r="J212" t="s">
        <v>26</v>
      </c>
      <c r="K212" s="15">
        <v>45450</v>
      </c>
      <c r="L212" t="s">
        <v>38</v>
      </c>
      <c r="M212" t="str">
        <f>IF(COUNTIFS(PRO_LT_SCORECARD_FLEX_VALIDATIO!$K:$K, _xlfn.CONCAT(C212,D212), PRO_LT_SCORECARD_FLEX_VALIDATIO!$G:$G, "KO") &gt; 0, "NOK", "OK")</f>
        <v>OK</v>
      </c>
      <c r="Q212" t="s">
        <v>30</v>
      </c>
      <c r="R212" t="s">
        <v>131</v>
      </c>
      <c r="S212" t="s">
        <v>132</v>
      </c>
      <c r="T212" t="s">
        <v>132</v>
      </c>
      <c r="U212" t="s">
        <v>132</v>
      </c>
      <c r="V212" t="s">
        <v>132</v>
      </c>
      <c r="W212" t="s">
        <v>132</v>
      </c>
      <c r="X212" t="s">
        <v>5</v>
      </c>
      <c r="Y212">
        <f>_xlfn.IFNA(_xlfn.XLOOKUP(D212,[1]Especificação!$G:$G,[1]Especificação!$C:$C),0)</f>
        <v>0</v>
      </c>
    </row>
    <row r="213" spans="1:25" ht="15" hidden="1">
      <c r="A213" s="40" t="str">
        <f t="shared" si="3"/>
        <v>INSTR_ENTITY_JNT_LBLTY_AMNT</v>
      </c>
      <c r="B213" s="40"/>
      <c r="C213" t="s">
        <v>187</v>
      </c>
      <c r="D213" t="s">
        <v>390</v>
      </c>
      <c r="E213" t="s">
        <v>14</v>
      </c>
      <c r="F213" t="s">
        <v>38</v>
      </c>
      <c r="G213" t="s">
        <v>129</v>
      </c>
      <c r="H213" t="s">
        <v>130</v>
      </c>
      <c r="J213" t="s">
        <v>26</v>
      </c>
      <c r="K213" s="15">
        <v>45450</v>
      </c>
      <c r="L213" t="s">
        <v>38</v>
      </c>
      <c r="M213" t="str">
        <f>IF(COUNTIFS(PRO_LT_SCORECARD_FLEX_VALIDATIO!$K:$K, _xlfn.CONCAT(C213,D213), PRO_LT_SCORECARD_FLEX_VALIDATIO!$G:$G, "KO") &gt; 0, "NOK", "OK")</f>
        <v>NOK</v>
      </c>
      <c r="Q213" t="s">
        <v>30</v>
      </c>
      <c r="R213" t="s">
        <v>131</v>
      </c>
      <c r="S213" t="s">
        <v>132</v>
      </c>
      <c r="T213" t="s">
        <v>132</v>
      </c>
      <c r="U213" t="s">
        <v>132</v>
      </c>
      <c r="V213" t="s">
        <v>132</v>
      </c>
      <c r="W213" t="s">
        <v>131</v>
      </c>
      <c r="X213" t="s">
        <v>5</v>
      </c>
      <c r="Y213" t="str">
        <f>_xlfn.IFNA(_xlfn.XLOOKUP(D213,[1]Especificação!$G:$G,[1]Especificação!$C:$C),0)</f>
        <v>F1. Fora âmbito | Campos concluídos - Sem necessidade de espec.</v>
      </c>
    </row>
    <row r="214" spans="1:25" ht="15" hidden="1">
      <c r="A214" s="40" t="str">
        <f t="shared" si="3"/>
        <v>INSTRUMENT_LCL_INSTMRNT_ID</v>
      </c>
      <c r="B214" s="40"/>
      <c r="C214" t="s">
        <v>127</v>
      </c>
      <c r="D214" t="s">
        <v>391</v>
      </c>
      <c r="E214" t="s">
        <v>6</v>
      </c>
      <c r="F214" t="s">
        <v>36</v>
      </c>
      <c r="G214" t="s">
        <v>145</v>
      </c>
      <c r="H214" t="s">
        <v>158</v>
      </c>
      <c r="J214" t="s">
        <v>29</v>
      </c>
      <c r="K214" s="15">
        <v>45450</v>
      </c>
      <c r="L214" t="s">
        <v>36</v>
      </c>
      <c r="M214" t="str">
        <f>IF(COUNTIFS(PRO_LT_SCORECARD_FLEX_VALIDATIO!$K:$K, _xlfn.CONCAT(C214,D214), PRO_LT_SCORECARD_FLEX_VALIDATIO!$G:$G, "KO") &gt; 0, "NOK", "OK")</f>
        <v>OK</v>
      </c>
      <c r="Q214" t="s">
        <v>8</v>
      </c>
      <c r="R214" t="s">
        <v>131</v>
      </c>
      <c r="S214" t="s">
        <v>131</v>
      </c>
      <c r="T214" t="s">
        <v>131</v>
      </c>
      <c r="U214" t="s">
        <v>132</v>
      </c>
      <c r="V214" t="s">
        <v>132</v>
      </c>
      <c r="W214" t="s">
        <v>132</v>
      </c>
      <c r="X214" t="s">
        <v>5</v>
      </c>
      <c r="Y214">
        <f>_xlfn.IFNA(_xlfn.XLOOKUP(D214,[1]Especificação!$G:$G,[1]Especificação!$C:$C),0)</f>
        <v>0</v>
      </c>
    </row>
    <row r="215" spans="1:25" ht="15" hidden="1">
      <c r="A215" s="40" t="str">
        <f t="shared" si="3"/>
        <v>INSTRUMENT_LCR_BFFR_CTGRY</v>
      </c>
      <c r="B215" s="40"/>
      <c r="C215" t="s">
        <v>127</v>
      </c>
      <c r="D215" t="s">
        <v>392</v>
      </c>
      <c r="E215" t="s">
        <v>6</v>
      </c>
      <c r="F215" t="s">
        <v>38</v>
      </c>
      <c r="G215" t="s">
        <v>129</v>
      </c>
      <c r="H215" t="s">
        <v>130</v>
      </c>
      <c r="J215" t="s">
        <v>26</v>
      </c>
      <c r="K215" s="15">
        <v>45450</v>
      </c>
      <c r="L215" t="s">
        <v>38</v>
      </c>
      <c r="M215" t="str">
        <f>IF(COUNTIFS(PRO_LT_SCORECARD_FLEX_VALIDATIO!$K:$K, _xlfn.CONCAT(C215,D215), PRO_LT_SCORECARD_FLEX_VALIDATIO!$G:$G, "KO") &gt; 0, "NOK", "OK")</f>
        <v>OK</v>
      </c>
      <c r="Q215" t="s">
        <v>30</v>
      </c>
      <c r="R215" t="s">
        <v>131</v>
      </c>
      <c r="S215" t="s">
        <v>132</v>
      </c>
      <c r="T215" t="s">
        <v>132</v>
      </c>
      <c r="U215" t="s">
        <v>132</v>
      </c>
      <c r="V215" t="s">
        <v>132</v>
      </c>
      <c r="W215" t="s">
        <v>132</v>
      </c>
      <c r="X215" t="s">
        <v>5</v>
      </c>
      <c r="Y215">
        <f>_xlfn.IFNA(_xlfn.XLOOKUP(D215,[1]Especificação!$G:$G,[1]Especificação!$C:$C),0)</f>
        <v>0</v>
      </c>
    </row>
    <row r="216" spans="1:25" ht="15" hidden="1">
      <c r="A216" s="40" t="str">
        <f t="shared" si="3"/>
        <v>INSTRUMENT_LCRE</v>
      </c>
      <c r="B216" s="40"/>
      <c r="C216" t="s">
        <v>127</v>
      </c>
      <c r="D216" s="11" t="s">
        <v>393</v>
      </c>
      <c r="E216" t="s">
        <v>14</v>
      </c>
      <c r="F216" t="s">
        <v>28</v>
      </c>
      <c r="G216" t="s">
        <v>129</v>
      </c>
      <c r="H216" t="s">
        <v>154</v>
      </c>
      <c r="I216" t="s">
        <v>394</v>
      </c>
      <c r="J216" t="s">
        <v>32</v>
      </c>
      <c r="K216" s="15">
        <v>45450</v>
      </c>
      <c r="L216" t="s">
        <v>28</v>
      </c>
      <c r="M216" t="str">
        <f>IF(COUNTIFS(PRO_LT_SCORECARD_FLEX_VALIDATIO!$K:$K, _xlfn.CONCAT(C216,D216), PRO_LT_SCORECARD_FLEX_VALIDATIO!$G:$G, "KO") &gt; 0, "NOK", "OK")</f>
        <v>NOK</v>
      </c>
      <c r="Q216" t="s">
        <v>39</v>
      </c>
      <c r="R216" t="s">
        <v>131</v>
      </c>
      <c r="S216" t="s">
        <v>132</v>
      </c>
      <c r="T216" t="s">
        <v>132</v>
      </c>
      <c r="U216" t="s">
        <v>132</v>
      </c>
      <c r="V216" t="s">
        <v>132</v>
      </c>
      <c r="W216" t="s">
        <v>132</v>
      </c>
      <c r="X216" t="s">
        <v>5</v>
      </c>
      <c r="Y216">
        <f>_xlfn.IFNA(_xlfn.XLOOKUP(D216,[1]Especificação!$G:$G,[1]Especificação!$C:$C),0)</f>
        <v>0</v>
      </c>
    </row>
    <row r="217" spans="1:25" ht="15" hidden="1">
      <c r="A217" s="40" t="str">
        <f t="shared" si="3"/>
        <v>ENTITY_LEI</v>
      </c>
      <c r="B217" s="40"/>
      <c r="C217" t="s">
        <v>139</v>
      </c>
      <c r="D217" t="s">
        <v>395</v>
      </c>
      <c r="E217" t="s">
        <v>14</v>
      </c>
      <c r="F217" t="s">
        <v>38</v>
      </c>
      <c r="G217" t="s">
        <v>129</v>
      </c>
      <c r="H217" t="s">
        <v>130</v>
      </c>
      <c r="J217" t="s">
        <v>26</v>
      </c>
      <c r="K217" s="15">
        <v>45450</v>
      </c>
      <c r="L217" t="s">
        <v>38</v>
      </c>
      <c r="M217" t="str">
        <f>IF(COUNTIFS(PRO_LT_SCORECARD_FLEX_VALIDATIO!$K:$K, _xlfn.CONCAT(C217,D217), PRO_LT_SCORECARD_FLEX_VALIDATIO!$G:$G, "KO") &gt; 0, "NOK", "OK")</f>
        <v>OK</v>
      </c>
      <c r="Q217" t="s">
        <v>30</v>
      </c>
      <c r="R217" t="s">
        <v>131</v>
      </c>
      <c r="S217" t="s">
        <v>132</v>
      </c>
      <c r="T217" t="s">
        <v>131</v>
      </c>
      <c r="U217" t="s">
        <v>132</v>
      </c>
      <c r="V217" t="s">
        <v>132</v>
      </c>
      <c r="W217" t="s">
        <v>131</v>
      </c>
      <c r="X217" t="s">
        <v>5</v>
      </c>
      <c r="Y217" t="str">
        <f>_xlfn.IFNA(_xlfn.XLOOKUP(D217,[1]Especificação!$G:$G,[1]Especificação!$C:$C),0)</f>
        <v>F1. Fora âmbito | Campos concluídos - Sem necessidade de espec.</v>
      </c>
    </row>
    <row r="218" spans="1:25" ht="15" hidden="1">
      <c r="A218" s="40" t="str">
        <f t="shared" si="3"/>
        <v>INSTRUMENT_LGD</v>
      </c>
      <c r="B218" s="40"/>
      <c r="C218" t="s">
        <v>127</v>
      </c>
      <c r="D218" t="s">
        <v>396</v>
      </c>
      <c r="E218" t="s">
        <v>14</v>
      </c>
      <c r="F218" t="s">
        <v>38</v>
      </c>
      <c r="G218" t="s">
        <v>129</v>
      </c>
      <c r="H218" t="s">
        <v>130</v>
      </c>
      <c r="J218" t="s">
        <v>26</v>
      </c>
      <c r="K218" s="15">
        <v>45450</v>
      </c>
      <c r="L218" t="s">
        <v>38</v>
      </c>
      <c r="M218" t="str">
        <f>IF(COUNTIFS(PRO_LT_SCORECARD_FLEX_VALIDATIO!$K:$K, _xlfn.CONCAT(C218,D218), PRO_LT_SCORECARD_FLEX_VALIDATIO!$G:$G, "KO") &gt; 0, "NOK", "OK")</f>
        <v>OK</v>
      </c>
      <c r="Q218" t="s">
        <v>30</v>
      </c>
      <c r="R218" t="s">
        <v>131</v>
      </c>
      <c r="S218" t="s">
        <v>132</v>
      </c>
      <c r="T218" t="s">
        <v>132</v>
      </c>
      <c r="U218" t="s">
        <v>132</v>
      </c>
      <c r="V218" t="s">
        <v>132</v>
      </c>
      <c r="W218" t="s">
        <v>131</v>
      </c>
      <c r="X218" t="s">
        <v>5</v>
      </c>
      <c r="Y218" t="str">
        <f>_xlfn.IFNA(_xlfn.XLOOKUP(D218,[1]Especificação!$G:$G,[1]Especificação!$C:$C),0)</f>
        <v>F1. Fora âmbito | Campos concluídos - Sem necessidade de espec.</v>
      </c>
    </row>
    <row r="219" spans="1:25" ht="15" hidden="1">
      <c r="A219" s="40" t="str">
        <f t="shared" si="3"/>
        <v>INSTRUMENT_LGL_PRCDNG_STTS</v>
      </c>
      <c r="B219" s="40"/>
      <c r="C219" t="s">
        <v>127</v>
      </c>
      <c r="D219" t="s">
        <v>397</v>
      </c>
      <c r="E219" t="s">
        <v>14</v>
      </c>
      <c r="F219" t="s">
        <v>38</v>
      </c>
      <c r="G219" t="s">
        <v>129</v>
      </c>
      <c r="H219" t="s">
        <v>130</v>
      </c>
      <c r="J219" t="s">
        <v>26</v>
      </c>
      <c r="K219" s="15">
        <v>45450</v>
      </c>
      <c r="L219" t="s">
        <v>38</v>
      </c>
      <c r="M219" t="str">
        <f>IF(COUNTIFS(PRO_LT_SCORECARD_FLEX_VALIDATIO!$K:$K, _xlfn.CONCAT(C219,D219), PRO_LT_SCORECARD_FLEX_VALIDATIO!$G:$G, "KO") &gt; 0, "NOK", "OK")</f>
        <v>OK</v>
      </c>
      <c r="Q219" t="s">
        <v>30</v>
      </c>
      <c r="R219" t="s">
        <v>131</v>
      </c>
      <c r="S219" t="s">
        <v>132</v>
      </c>
      <c r="T219" t="s">
        <v>132</v>
      </c>
      <c r="U219" t="s">
        <v>132</v>
      </c>
      <c r="V219" t="s">
        <v>132</v>
      </c>
      <c r="W219" t="s">
        <v>132</v>
      </c>
      <c r="X219" t="s">
        <v>5</v>
      </c>
      <c r="Y219">
        <f>_xlfn.IFNA(_xlfn.XLOOKUP(D219,[1]Especificação!$G:$G,[1]Especificação!$C:$C),0)</f>
        <v>0</v>
      </c>
    </row>
    <row r="220" spans="1:25" ht="15" hidden="1">
      <c r="A220" s="40" t="str">
        <f t="shared" si="3"/>
        <v>ENTITY_LGL_PRCDNG_STTS_LE</v>
      </c>
      <c r="B220" s="40"/>
      <c r="C220" t="s">
        <v>139</v>
      </c>
      <c r="D220" t="s">
        <v>398</v>
      </c>
      <c r="E220" t="s">
        <v>14</v>
      </c>
      <c r="F220" t="s">
        <v>36</v>
      </c>
      <c r="G220" t="s">
        <v>145</v>
      </c>
      <c r="H220" t="s">
        <v>158</v>
      </c>
      <c r="J220" t="s">
        <v>29</v>
      </c>
      <c r="K220" s="15">
        <v>45958</v>
      </c>
      <c r="L220" t="s">
        <v>38</v>
      </c>
      <c r="M220" t="str">
        <f>IF(COUNTIFS(PRO_LT_SCORECARD_FLEX_VALIDATIO!$K:$K, _xlfn.CONCAT(C220,D220), PRO_LT_SCORECARD_FLEX_VALIDATIO!$G:$G, "KO") &gt; 0, "NOK", "OK")</f>
        <v>NOK</v>
      </c>
      <c r="P220" s="15">
        <v>45958</v>
      </c>
      <c r="Q220" t="s">
        <v>8</v>
      </c>
      <c r="R220" t="s">
        <v>131</v>
      </c>
      <c r="S220" t="s">
        <v>132</v>
      </c>
      <c r="T220" t="s">
        <v>132</v>
      </c>
      <c r="U220" t="s">
        <v>132</v>
      </c>
      <c r="V220" t="s">
        <v>132</v>
      </c>
      <c r="W220" t="s">
        <v>131</v>
      </c>
      <c r="X220" t="s">
        <v>136</v>
      </c>
      <c r="Y220" t="str">
        <f>_xlfn.IFNA(_xlfn.XLOOKUP(D220,[1]Especificação!$G:$G,[1]Especificação!$C:$C),0)</f>
        <v>D. Campos com NOK controlos Corporativos</v>
      </c>
    </row>
    <row r="221" spans="1:25" ht="15" hidden="1">
      <c r="A221" s="40" t="str">
        <f t="shared" si="3"/>
        <v>INSTRUMENT_LND_DRGTN</v>
      </c>
      <c r="B221" s="40"/>
      <c r="C221" t="s">
        <v>127</v>
      </c>
      <c r="D221" t="s">
        <v>399</v>
      </c>
      <c r="E221" t="s">
        <v>6</v>
      </c>
      <c r="F221" t="s">
        <v>38</v>
      </c>
      <c r="G221" t="s">
        <v>129</v>
      </c>
      <c r="H221" t="s">
        <v>130</v>
      </c>
      <c r="J221" t="s">
        <v>26</v>
      </c>
      <c r="K221" s="15">
        <v>45450</v>
      </c>
      <c r="L221" t="s">
        <v>38</v>
      </c>
      <c r="M221" t="str">
        <f>IF(COUNTIFS(PRO_LT_SCORECARD_FLEX_VALIDATIO!$K:$K, _xlfn.CONCAT(C221,D221), PRO_LT_SCORECARD_FLEX_VALIDATIO!$G:$G, "KO") &gt; 0, "NOK", "OK")</f>
        <v>OK</v>
      </c>
      <c r="Q221" t="s">
        <v>30</v>
      </c>
      <c r="R221" t="s">
        <v>131</v>
      </c>
      <c r="S221" t="s">
        <v>132</v>
      </c>
      <c r="T221" t="s">
        <v>132</v>
      </c>
      <c r="U221" t="s">
        <v>132</v>
      </c>
      <c r="V221" t="s">
        <v>132</v>
      </c>
      <c r="W221" t="s">
        <v>132</v>
      </c>
      <c r="X221" t="s">
        <v>5</v>
      </c>
      <c r="Y221">
        <f>_xlfn.IFNA(_xlfn.XLOOKUP(D221,[1]Especificação!$G:$G,[1]Especificação!$C:$C),0)</f>
        <v>0</v>
      </c>
    </row>
    <row r="222" spans="1:25" ht="15" hidden="1">
      <c r="A222" s="40" t="str">
        <f t="shared" si="3"/>
        <v>INSTRUMENT_LSTI</v>
      </c>
      <c r="B222" s="40"/>
      <c r="C222" t="s">
        <v>127</v>
      </c>
      <c r="D222" t="s">
        <v>400</v>
      </c>
      <c r="E222" t="s">
        <v>6</v>
      </c>
      <c r="F222" t="s">
        <v>20</v>
      </c>
      <c r="G222" t="s">
        <v>129</v>
      </c>
      <c r="H222" t="s">
        <v>227</v>
      </c>
      <c r="J222" t="s">
        <v>29</v>
      </c>
      <c r="K222" s="15">
        <v>45450</v>
      </c>
      <c r="L222" t="s">
        <v>20</v>
      </c>
      <c r="M222" t="str">
        <f>IF(COUNTIFS(PRO_LT_SCORECARD_FLEX_VALIDATIO!$K:$K, _xlfn.CONCAT(C222,D222), PRO_LT_SCORECARD_FLEX_VALIDATIO!$G:$G, "KO") &gt; 0, "NOK", "OK")</f>
        <v>NOK</v>
      </c>
      <c r="Q222" t="s">
        <v>19</v>
      </c>
      <c r="R222" t="s">
        <v>131</v>
      </c>
      <c r="S222" t="s">
        <v>132</v>
      </c>
      <c r="T222" t="s">
        <v>132</v>
      </c>
      <c r="U222" t="s">
        <v>132</v>
      </c>
      <c r="V222" t="s">
        <v>132</v>
      </c>
      <c r="W222" t="s">
        <v>132</v>
      </c>
      <c r="X222" t="s">
        <v>5</v>
      </c>
      <c r="Y222">
        <f>_xlfn.IFNA(_xlfn.XLOOKUP(D222,[1]Especificação!$G:$G,[1]Especificação!$C:$C),0)</f>
        <v>0</v>
      </c>
    </row>
    <row r="223" spans="1:25" ht="15" hidden="1">
      <c r="A223" s="40" t="str">
        <f t="shared" si="3"/>
        <v>ENTITY_LTI</v>
      </c>
      <c r="B223" s="40"/>
      <c r="C223" t="s">
        <v>139</v>
      </c>
      <c r="D223" t="s">
        <v>401</v>
      </c>
      <c r="E223" t="s">
        <v>6</v>
      </c>
      <c r="F223" t="s">
        <v>20</v>
      </c>
      <c r="G223" t="s">
        <v>145</v>
      </c>
      <c r="H223" t="s">
        <v>363</v>
      </c>
      <c r="J223" t="s">
        <v>29</v>
      </c>
      <c r="K223" s="15">
        <v>45952</v>
      </c>
      <c r="L223" t="s">
        <v>38</v>
      </c>
      <c r="M223" t="str">
        <f>IF(COUNTIFS(PRO_LT_SCORECARD_FLEX_VALIDATIO!$K:$K, _xlfn.CONCAT(C223,D223), PRO_LT_SCORECARD_FLEX_VALIDATIO!$G:$G, "KO") &gt; 0, "NOK", "OK")</f>
        <v>NOK</v>
      </c>
      <c r="P223" s="15">
        <v>45952</v>
      </c>
      <c r="Q223" t="s">
        <v>13</v>
      </c>
      <c r="R223" t="s">
        <v>131</v>
      </c>
      <c r="S223" t="s">
        <v>132</v>
      </c>
      <c r="T223" t="s">
        <v>132</v>
      </c>
      <c r="U223" t="s">
        <v>132</v>
      </c>
      <c r="V223" t="s">
        <v>132</v>
      </c>
      <c r="W223" t="s">
        <v>132</v>
      </c>
      <c r="X223" t="s">
        <v>5</v>
      </c>
      <c r="Y223">
        <f>_xlfn.IFNA(_xlfn.XLOOKUP(D223,[1]Especificação!$G:$G,[1]Especificação!$C:$C),0)</f>
        <v>0</v>
      </c>
    </row>
    <row r="224" spans="1:25" ht="15" hidden="1">
      <c r="A224" s="40" t="str">
        <f t="shared" si="3"/>
        <v>INSTRUMENT_LTI_INSTRMNT</v>
      </c>
      <c r="B224" s="40"/>
      <c r="C224" t="s">
        <v>127</v>
      </c>
      <c r="D224" t="s">
        <v>402</v>
      </c>
      <c r="E224" t="s">
        <v>6</v>
      </c>
      <c r="F224" t="s">
        <v>20</v>
      </c>
      <c r="G224" t="s">
        <v>129</v>
      </c>
      <c r="H224" t="s">
        <v>227</v>
      </c>
      <c r="J224" t="s">
        <v>29</v>
      </c>
      <c r="K224" s="15">
        <v>45450</v>
      </c>
      <c r="L224" t="s">
        <v>20</v>
      </c>
      <c r="M224" t="str">
        <f>IF(COUNTIFS(PRO_LT_SCORECARD_FLEX_VALIDATIO!$K:$K, _xlfn.CONCAT(C224,D224), PRO_LT_SCORECARD_FLEX_VALIDATIO!$G:$G, "KO") &gt; 0, "NOK", "OK")</f>
        <v>NOK</v>
      </c>
      <c r="Q224" t="s">
        <v>19</v>
      </c>
      <c r="R224" t="s">
        <v>131</v>
      </c>
      <c r="S224" t="s">
        <v>132</v>
      </c>
      <c r="T224" t="s">
        <v>132</v>
      </c>
      <c r="U224" t="s">
        <v>132</v>
      </c>
      <c r="V224" t="s">
        <v>132</v>
      </c>
      <c r="W224" t="s">
        <v>132</v>
      </c>
      <c r="X224" t="s">
        <v>5</v>
      </c>
      <c r="Y224">
        <f>_xlfn.IFNA(_xlfn.XLOOKUP(D224,[1]Especificação!$G:$G,[1]Especificação!$C:$C),0)</f>
        <v>0</v>
      </c>
    </row>
    <row r="225" spans="1:25" ht="15" hidden="1">
      <c r="A225" s="40" t="str">
        <f t="shared" si="3"/>
        <v>INSTRUMENT_LTV</v>
      </c>
      <c r="B225" s="40"/>
      <c r="C225" t="s">
        <v>127</v>
      </c>
      <c r="D225" t="s">
        <v>403</v>
      </c>
      <c r="E225" t="s">
        <v>14</v>
      </c>
      <c r="F225" t="s">
        <v>36</v>
      </c>
      <c r="G225" t="s">
        <v>145</v>
      </c>
      <c r="H225" t="s">
        <v>158</v>
      </c>
      <c r="J225" t="s">
        <v>29</v>
      </c>
      <c r="K225" s="15">
        <v>45450</v>
      </c>
      <c r="L225" t="s">
        <v>36</v>
      </c>
      <c r="M225" t="str">
        <f>IF(COUNTIFS(PRO_LT_SCORECARD_FLEX_VALIDATIO!$K:$K, _xlfn.CONCAT(C225,D225), PRO_LT_SCORECARD_FLEX_VALIDATIO!$G:$G, "KO") &gt; 0, "NOK", "OK")</f>
        <v>NOK</v>
      </c>
      <c r="Q225" t="s">
        <v>8</v>
      </c>
      <c r="R225" t="s">
        <v>131</v>
      </c>
      <c r="S225" t="s">
        <v>132</v>
      </c>
      <c r="T225" t="s">
        <v>131</v>
      </c>
      <c r="U225" t="s">
        <v>132</v>
      </c>
      <c r="V225" t="s">
        <v>132</v>
      </c>
      <c r="W225" t="s">
        <v>132</v>
      </c>
      <c r="X225" t="s">
        <v>5</v>
      </c>
      <c r="Y225">
        <f>_xlfn.IFNA(_xlfn.XLOOKUP(D225,[1]Especificação!$G:$G,[1]Especificação!$C:$C),0)</f>
        <v>0</v>
      </c>
    </row>
    <row r="226" spans="1:25" ht="15" hidden="1">
      <c r="A226" s="40" t="str">
        <f t="shared" si="3"/>
        <v>INSTRUMENT_LTV_INCPTN</v>
      </c>
      <c r="B226" s="40"/>
      <c r="C226" t="s">
        <v>127</v>
      </c>
      <c r="D226" t="s">
        <v>404</v>
      </c>
      <c r="E226" t="s">
        <v>14</v>
      </c>
      <c r="F226" t="s">
        <v>38</v>
      </c>
      <c r="G226" t="s">
        <v>129</v>
      </c>
      <c r="H226" t="s">
        <v>130</v>
      </c>
      <c r="J226" t="s">
        <v>26</v>
      </c>
      <c r="K226" s="15">
        <v>45450</v>
      </c>
      <c r="L226" t="s">
        <v>38</v>
      </c>
      <c r="M226" t="str">
        <f>IF(COUNTIFS(PRO_LT_SCORECARD_FLEX_VALIDATIO!$K:$K, _xlfn.CONCAT(C226,D226), PRO_LT_SCORECARD_FLEX_VALIDATIO!$G:$G, "KO") &gt; 0, "NOK", "OK")</f>
        <v>NOK</v>
      </c>
      <c r="Q226" t="s">
        <v>30</v>
      </c>
      <c r="R226" t="s">
        <v>131</v>
      </c>
      <c r="S226" t="s">
        <v>132</v>
      </c>
      <c r="T226" t="s">
        <v>131</v>
      </c>
      <c r="U226" t="s">
        <v>132</v>
      </c>
      <c r="V226" t="s">
        <v>132</v>
      </c>
      <c r="W226" t="s">
        <v>132</v>
      </c>
      <c r="X226" t="s">
        <v>5</v>
      </c>
      <c r="Y226">
        <f>_xlfn.IFNA(_xlfn.XLOOKUP(D226,[1]Especificação!$G:$G,[1]Especificação!$C:$C),0)</f>
        <v>0</v>
      </c>
    </row>
    <row r="227" spans="1:25" ht="15" hidden="1">
      <c r="A227" s="40" t="str">
        <f t="shared" si="3"/>
        <v>INSTRUMENT_LTV_NPE</v>
      </c>
      <c r="B227" s="40"/>
      <c r="C227" t="s">
        <v>127</v>
      </c>
      <c r="D227" s="11" t="s">
        <v>405</v>
      </c>
      <c r="E227" t="s">
        <v>14</v>
      </c>
      <c r="F227" t="s">
        <v>33</v>
      </c>
      <c r="G227" t="s">
        <v>129</v>
      </c>
      <c r="H227" t="s">
        <v>224</v>
      </c>
      <c r="J227" t="s">
        <v>32</v>
      </c>
      <c r="K227" s="15">
        <v>45450</v>
      </c>
      <c r="L227" t="s">
        <v>33</v>
      </c>
      <c r="M227" t="str">
        <f>IF(COUNTIFS(PRO_LT_SCORECARD_FLEX_VALIDATIO!$K:$K, _xlfn.CONCAT(C227,D227), PRO_LT_SCORECARD_FLEX_VALIDATIO!$G:$G, "KO") &gt; 0, "NOK", "OK")</f>
        <v>NOK</v>
      </c>
      <c r="O227" s="15">
        <v>44697</v>
      </c>
      <c r="P227" s="15">
        <v>44708</v>
      </c>
      <c r="Q227" t="s">
        <v>39</v>
      </c>
      <c r="R227" t="s">
        <v>131</v>
      </c>
      <c r="S227" t="s">
        <v>132</v>
      </c>
      <c r="T227" t="s">
        <v>132</v>
      </c>
      <c r="U227" t="s">
        <v>132</v>
      </c>
      <c r="V227" t="s">
        <v>132</v>
      </c>
      <c r="W227" t="s">
        <v>132</v>
      </c>
      <c r="X227" t="s">
        <v>5</v>
      </c>
      <c r="Y227">
        <f>_xlfn.IFNA(_xlfn.XLOOKUP(D227,[1]Especificação!$G:$G,[1]Especificação!$C:$C),0)</f>
        <v>0</v>
      </c>
    </row>
    <row r="228" spans="1:25" ht="15" hidden="1">
      <c r="A228" s="40" t="str">
        <f t="shared" si="3"/>
        <v>ENTITY_LVRG</v>
      </c>
      <c r="B228" s="40"/>
      <c r="C228" t="s">
        <v>139</v>
      </c>
      <c r="D228" t="s">
        <v>406</v>
      </c>
      <c r="E228" t="s">
        <v>14</v>
      </c>
      <c r="F228" t="s">
        <v>38</v>
      </c>
      <c r="G228" t="s">
        <v>129</v>
      </c>
      <c r="H228" t="s">
        <v>130</v>
      </c>
      <c r="J228" t="s">
        <v>26</v>
      </c>
      <c r="K228" s="15">
        <v>45450</v>
      </c>
      <c r="L228" t="s">
        <v>38</v>
      </c>
      <c r="M228" t="str">
        <f>IF(COUNTIFS(PRO_LT_SCORECARD_FLEX_VALIDATIO!$K:$K, _xlfn.CONCAT(C228,D228), PRO_LT_SCORECARD_FLEX_VALIDATIO!$G:$G, "KO") &gt; 0, "NOK", "OK")</f>
        <v>NOK</v>
      </c>
      <c r="O228" s="15"/>
      <c r="P228" s="15"/>
      <c r="Q228" t="s">
        <v>30</v>
      </c>
      <c r="R228" t="s">
        <v>131</v>
      </c>
      <c r="S228" t="s">
        <v>132</v>
      </c>
      <c r="T228" t="s">
        <v>132</v>
      </c>
      <c r="U228" t="s">
        <v>132</v>
      </c>
      <c r="V228" t="s">
        <v>132</v>
      </c>
      <c r="W228" t="s">
        <v>131</v>
      </c>
      <c r="X228" t="s">
        <v>5</v>
      </c>
      <c r="Y228" t="str">
        <f>_xlfn.IFNA(_xlfn.XLOOKUP(D228,[1]Especificação!$G:$G,[1]Especificação!$C:$C),0)</f>
        <v>F1. Fora âmbito | Campos concluídos - Sem necessidade de espec.</v>
      </c>
    </row>
    <row r="229" spans="1:25" ht="15" hidden="1">
      <c r="A229" s="40" t="str">
        <f t="shared" si="3"/>
        <v>INSTRUMENT_LVRG_FNNC_FLG</v>
      </c>
      <c r="B229" s="40"/>
      <c r="C229" t="s">
        <v>127</v>
      </c>
      <c r="D229" t="s">
        <v>407</v>
      </c>
      <c r="E229" t="s">
        <v>6</v>
      </c>
      <c r="F229" t="s">
        <v>38</v>
      </c>
      <c r="G229" t="s">
        <v>129</v>
      </c>
      <c r="H229" t="s">
        <v>130</v>
      </c>
      <c r="J229" t="s">
        <v>26</v>
      </c>
      <c r="K229" s="15">
        <v>45958</v>
      </c>
      <c r="L229" t="s">
        <v>38</v>
      </c>
      <c r="M229" t="str">
        <f>IF(COUNTIFS(PRO_LT_SCORECARD_FLEX_VALIDATIO!$K:$K, _xlfn.CONCAT(C229,D229), PRO_LT_SCORECARD_FLEX_VALIDATIO!$G:$G, "KO") &gt; 0, "NOK", "OK")</f>
        <v>NOK</v>
      </c>
      <c r="O229" s="15"/>
      <c r="P229" s="15">
        <v>45958</v>
      </c>
      <c r="Q229" t="s">
        <v>30</v>
      </c>
      <c r="R229" t="s">
        <v>131</v>
      </c>
      <c r="S229" t="s">
        <v>132</v>
      </c>
      <c r="T229" t="s">
        <v>132</v>
      </c>
      <c r="U229" t="s">
        <v>132</v>
      </c>
      <c r="V229" t="s">
        <v>132</v>
      </c>
      <c r="W229" t="s">
        <v>131</v>
      </c>
      <c r="X229" t="s">
        <v>143</v>
      </c>
      <c r="Y229" t="str">
        <f>_xlfn.IFNA(_xlfn.XLOOKUP(D229,[1]Especificação!$G:$G,[1]Especificação!$C:$C),0)</f>
        <v>B2. Re-especificação de campos complexos - Resto</v>
      </c>
    </row>
    <row r="230" spans="1:25" ht="15" hidden="1">
      <c r="A230" s="40" t="str">
        <f t="shared" si="3"/>
        <v>ENTITY_LVRG_PRVS</v>
      </c>
      <c r="B230" s="40"/>
      <c r="C230" t="s">
        <v>139</v>
      </c>
      <c r="D230" t="s">
        <v>408</v>
      </c>
      <c r="E230" t="s">
        <v>14</v>
      </c>
      <c r="F230" t="s">
        <v>38</v>
      </c>
      <c r="G230" t="s">
        <v>129</v>
      </c>
      <c r="H230" t="s">
        <v>130</v>
      </c>
      <c r="J230" t="s">
        <v>26</v>
      </c>
      <c r="K230" s="15">
        <v>45450</v>
      </c>
      <c r="L230" t="s">
        <v>38</v>
      </c>
      <c r="M230" t="str">
        <f>IF(COUNTIFS(PRO_LT_SCORECARD_FLEX_VALIDATIO!$K:$K, _xlfn.CONCAT(C230,D230), PRO_LT_SCORECARD_FLEX_VALIDATIO!$G:$G, "KO") &gt; 0, "NOK", "OK")</f>
        <v>NOK</v>
      </c>
      <c r="O230" s="15"/>
      <c r="P230" s="15"/>
      <c r="Q230" t="s">
        <v>30</v>
      </c>
      <c r="R230" t="s">
        <v>131</v>
      </c>
      <c r="S230" t="s">
        <v>132</v>
      </c>
      <c r="T230" t="s">
        <v>132</v>
      </c>
      <c r="U230" t="s">
        <v>132</v>
      </c>
      <c r="V230" t="s">
        <v>132</v>
      </c>
      <c r="W230" t="s">
        <v>131</v>
      </c>
      <c r="X230" t="s">
        <v>5</v>
      </c>
      <c r="Y230" t="str">
        <f>_xlfn.IFNA(_xlfn.XLOOKUP(D230,[1]Especificação!$G:$G,[1]Especificação!$C:$C),0)</f>
        <v>F1. Fora âmbito | Campos concluídos - Sem necessidade de espec.</v>
      </c>
    </row>
    <row r="231" spans="1:25" ht="15" hidden="1">
      <c r="A231" s="40" t="str">
        <f t="shared" si="3"/>
        <v>INSTR_ENTITY_MN_ENTTY_ID</v>
      </c>
      <c r="B231" s="40"/>
      <c r="C231" t="s">
        <v>187</v>
      </c>
      <c r="D231" s="11" t="s">
        <v>409</v>
      </c>
      <c r="E231" t="s">
        <v>14</v>
      </c>
      <c r="F231" t="s">
        <v>35</v>
      </c>
      <c r="G231" t="s">
        <v>129</v>
      </c>
      <c r="H231" s="76" t="s">
        <v>410</v>
      </c>
      <c r="I231" t="s">
        <v>411</v>
      </c>
      <c r="J231" t="s">
        <v>32</v>
      </c>
      <c r="K231" s="15">
        <v>45958</v>
      </c>
      <c r="L231" t="s">
        <v>35</v>
      </c>
      <c r="M231" t="str">
        <f>IF(COUNTIFS(PRO_LT_SCORECARD_FLEX_VALIDATIO!$K:$K, _xlfn.CONCAT(C231,D231), PRO_LT_SCORECARD_FLEX_VALIDATIO!$G:$G, "KO") &gt; 0, "NOK", "OK")</f>
        <v>OK</v>
      </c>
      <c r="O231" s="15"/>
      <c r="P231" s="15">
        <v>45958</v>
      </c>
      <c r="Q231" t="s">
        <v>39</v>
      </c>
      <c r="R231" t="s">
        <v>131</v>
      </c>
      <c r="S231" t="s">
        <v>132</v>
      </c>
      <c r="T231" t="s">
        <v>131</v>
      </c>
      <c r="U231" t="s">
        <v>132</v>
      </c>
      <c r="V231" t="s">
        <v>132</v>
      </c>
      <c r="W231" t="s">
        <v>131</v>
      </c>
      <c r="X231" t="s">
        <v>136</v>
      </c>
      <c r="Y231" t="str">
        <f>_xlfn.IFNA(_xlfn.XLOOKUP(D231,[1]Especificação!$G:$G,[1]Especificação!$C:$C),0)</f>
        <v>C. Campos em testes ou c/ incidências</v>
      </c>
    </row>
    <row r="232" spans="1:25" ht="15" hidden="1">
      <c r="A232" s="40" t="str">
        <f t="shared" si="3"/>
        <v>PROTECTION_MN_PRPS</v>
      </c>
      <c r="B232" s="40"/>
      <c r="C232" t="s">
        <v>156</v>
      </c>
      <c r="D232" t="s">
        <v>412</v>
      </c>
      <c r="E232" t="s">
        <v>6</v>
      </c>
      <c r="F232" t="s">
        <v>36</v>
      </c>
      <c r="G232" t="s">
        <v>145</v>
      </c>
      <c r="H232" t="s">
        <v>158</v>
      </c>
      <c r="J232" t="s">
        <v>29</v>
      </c>
      <c r="K232" s="15">
        <v>45450</v>
      </c>
      <c r="L232" t="s">
        <v>36</v>
      </c>
      <c r="M232" t="str">
        <f>IF(COUNTIFS(PRO_LT_SCORECARD_FLEX_VALIDATIO!$K:$K, _xlfn.CONCAT(C232,D232), PRO_LT_SCORECARD_FLEX_VALIDATIO!$G:$G, "KO") &gt; 0, "NOK", "OK")</f>
        <v>NOK</v>
      </c>
      <c r="O232" s="15"/>
      <c r="P232" s="15"/>
      <c r="Q232" t="s">
        <v>8</v>
      </c>
      <c r="R232" t="s">
        <v>131</v>
      </c>
      <c r="S232" t="s">
        <v>132</v>
      </c>
      <c r="T232" t="s">
        <v>132</v>
      </c>
      <c r="U232" t="s">
        <v>132</v>
      </c>
      <c r="V232" t="s">
        <v>132</v>
      </c>
      <c r="W232" t="s">
        <v>132</v>
      </c>
      <c r="X232" t="s">
        <v>5</v>
      </c>
      <c r="Y232">
        <f>_xlfn.IFNA(_xlfn.XLOOKUP(D232,[1]Especificação!$G:$G,[1]Especificação!$C:$C),0)</f>
        <v>0</v>
      </c>
    </row>
    <row r="233" spans="1:25" ht="15" hidden="1">
      <c r="A233" s="40" t="str">
        <f t="shared" si="3"/>
        <v>ENTITY_MNTHL_INCM</v>
      </c>
      <c r="B233" s="40"/>
      <c r="C233" t="s">
        <v>139</v>
      </c>
      <c r="D233" t="s">
        <v>413</v>
      </c>
      <c r="E233" t="s">
        <v>6</v>
      </c>
      <c r="F233" t="s">
        <v>20</v>
      </c>
      <c r="G233" t="s">
        <v>129</v>
      </c>
      <c r="H233" t="s">
        <v>363</v>
      </c>
      <c r="J233" t="s">
        <v>29</v>
      </c>
      <c r="K233" s="15">
        <v>45450</v>
      </c>
      <c r="L233" t="s">
        <v>20</v>
      </c>
      <c r="M233" t="str">
        <f>IF(COUNTIFS(PRO_LT_SCORECARD_FLEX_VALIDATIO!$K:$K, _xlfn.CONCAT(C233,D233), PRO_LT_SCORECARD_FLEX_VALIDATIO!$G:$G, "KO") &gt; 0, "NOK", "OK")</f>
        <v>OK</v>
      </c>
      <c r="O233" s="15"/>
      <c r="P233" s="15"/>
      <c r="Q233" t="s">
        <v>13</v>
      </c>
      <c r="R233" t="s">
        <v>131</v>
      </c>
      <c r="S233" t="s">
        <v>132</v>
      </c>
      <c r="T233" t="s">
        <v>132</v>
      </c>
      <c r="U233" t="s">
        <v>132</v>
      </c>
      <c r="V233" t="s">
        <v>132</v>
      </c>
      <c r="W233" t="s">
        <v>132</v>
      </c>
      <c r="X233" t="s">
        <v>5</v>
      </c>
      <c r="Y233">
        <f>_xlfn.IFNA(_xlfn.XLOOKUP(D233,[1]Especificação!$G:$G,[1]Especificação!$C:$C),0)</f>
        <v>0</v>
      </c>
    </row>
    <row r="234" spans="1:25" ht="15" hidden="1">
      <c r="A234" s="40" t="str">
        <f t="shared" si="3"/>
        <v>ENTITY_MNTHL_INCM_SLR</v>
      </c>
      <c r="B234" s="40"/>
      <c r="C234" t="s">
        <v>139</v>
      </c>
      <c r="D234" t="s">
        <v>414</v>
      </c>
      <c r="E234" t="s">
        <v>6</v>
      </c>
      <c r="F234" t="s">
        <v>20</v>
      </c>
      <c r="G234" t="s">
        <v>145</v>
      </c>
      <c r="H234" t="s">
        <v>363</v>
      </c>
      <c r="J234" t="s">
        <v>29</v>
      </c>
      <c r="K234" s="15">
        <v>45450</v>
      </c>
      <c r="L234" t="s">
        <v>20</v>
      </c>
      <c r="M234" t="str">
        <f>IF(COUNTIFS(PRO_LT_SCORECARD_FLEX_VALIDATIO!$K:$K, _xlfn.CONCAT(C234,D234), PRO_LT_SCORECARD_FLEX_VALIDATIO!$G:$G, "KO") &gt; 0, "NOK", "OK")</f>
        <v>NOK</v>
      </c>
      <c r="O234" s="15"/>
      <c r="P234" s="15"/>
      <c r="Q234" t="s">
        <v>13</v>
      </c>
      <c r="R234" t="s">
        <v>131</v>
      </c>
      <c r="S234" t="s">
        <v>132</v>
      </c>
      <c r="T234" t="s">
        <v>132</v>
      </c>
      <c r="U234" t="s">
        <v>132</v>
      </c>
      <c r="V234" t="s">
        <v>132</v>
      </c>
      <c r="W234" t="s">
        <v>132</v>
      </c>
      <c r="X234" t="s">
        <v>5</v>
      </c>
      <c r="Y234">
        <f>_xlfn.IFNA(_xlfn.XLOOKUP(D234,[1]Especificação!$G:$G,[1]Especificação!$C:$C),0)</f>
        <v>0</v>
      </c>
    </row>
    <row r="235" spans="1:25" ht="15" hidden="1">
      <c r="A235" s="40" t="str">
        <f t="shared" si="3"/>
        <v>ENTITY_MNTHL_TRNVR</v>
      </c>
      <c r="B235" s="40"/>
      <c r="C235" t="s">
        <v>139</v>
      </c>
      <c r="D235" t="s">
        <v>415</v>
      </c>
      <c r="E235" t="s">
        <v>6</v>
      </c>
      <c r="F235" t="s">
        <v>20</v>
      </c>
      <c r="G235" t="s">
        <v>129</v>
      </c>
      <c r="H235" t="s">
        <v>363</v>
      </c>
      <c r="J235" t="s">
        <v>29</v>
      </c>
      <c r="K235" s="15">
        <v>45952</v>
      </c>
      <c r="L235" t="s">
        <v>36</v>
      </c>
      <c r="M235" t="str">
        <f>IF(COUNTIFS(PRO_LT_SCORECARD_FLEX_VALIDATIO!$K:$K, _xlfn.CONCAT(C235,D235), PRO_LT_SCORECARD_FLEX_VALIDATIO!$G:$G, "KO") &gt; 0, "NOK", "OK")</f>
        <v>NOK</v>
      </c>
      <c r="N235" t="s">
        <v>1172</v>
      </c>
      <c r="O235" s="15"/>
      <c r="P235" s="15">
        <v>45952</v>
      </c>
      <c r="Q235" t="s">
        <v>13</v>
      </c>
      <c r="R235" t="s">
        <v>131</v>
      </c>
      <c r="S235" t="s">
        <v>132</v>
      </c>
      <c r="T235" t="s">
        <v>132</v>
      </c>
      <c r="U235" t="s">
        <v>132</v>
      </c>
      <c r="V235" t="s">
        <v>132</v>
      </c>
      <c r="W235" t="s">
        <v>132</v>
      </c>
      <c r="X235" t="s">
        <v>5</v>
      </c>
      <c r="Y235">
        <f>_xlfn.IFNA(_xlfn.XLOOKUP(D235,[1]Especificação!$G:$G,[1]Especificação!$C:$C),0)</f>
        <v>0</v>
      </c>
    </row>
    <row r="236" spans="1:25" ht="15" hidden="1">
      <c r="A236" s="40" t="str">
        <f t="shared" si="3"/>
        <v>INSTRUMENT_MTRTY_LTST_FRBRNC_MSR_C19</v>
      </c>
      <c r="B236" s="40"/>
      <c r="C236" t="s">
        <v>127</v>
      </c>
      <c r="D236" t="s">
        <v>416</v>
      </c>
      <c r="E236" t="s">
        <v>6</v>
      </c>
      <c r="F236" t="s">
        <v>38</v>
      </c>
      <c r="G236" t="s">
        <v>129</v>
      </c>
      <c r="H236" t="s">
        <v>130</v>
      </c>
      <c r="J236" t="s">
        <v>26</v>
      </c>
      <c r="K236" s="15">
        <v>45450</v>
      </c>
      <c r="L236" t="s">
        <v>38</v>
      </c>
      <c r="M236" t="str">
        <f>IF(COUNTIFS(PRO_LT_SCORECARD_FLEX_VALIDATIO!$K:$K, _xlfn.CONCAT(C236,D236), PRO_LT_SCORECARD_FLEX_VALIDATIO!$G:$G, "KO") &gt; 0, "NOK", "OK")</f>
        <v>OK</v>
      </c>
      <c r="O236" s="15"/>
      <c r="P236" s="15"/>
      <c r="Q236" t="s">
        <v>30</v>
      </c>
      <c r="R236" t="s">
        <v>131</v>
      </c>
      <c r="S236" t="s">
        <v>132</v>
      </c>
      <c r="T236" t="s">
        <v>132</v>
      </c>
      <c r="U236" t="s">
        <v>132</v>
      </c>
      <c r="V236" t="s">
        <v>132</v>
      </c>
      <c r="W236" t="s">
        <v>132</v>
      </c>
      <c r="X236" t="s">
        <v>5</v>
      </c>
      <c r="Y236">
        <f>_xlfn.IFNA(_xlfn.XLOOKUP(D236,[1]Especificação!$G:$G,[1]Especificação!$C:$C),0)</f>
        <v>0</v>
      </c>
    </row>
    <row r="237" spans="1:25" ht="15" hidden="1">
      <c r="A237" s="40" t="str">
        <f t="shared" si="3"/>
        <v>INSTRUMENT_MTRTY_LTST_MRTR_C19</v>
      </c>
      <c r="B237" s="40"/>
      <c r="C237" t="s">
        <v>127</v>
      </c>
      <c r="D237" t="s">
        <v>417</v>
      </c>
      <c r="E237" t="s">
        <v>6</v>
      </c>
      <c r="F237" t="s">
        <v>38</v>
      </c>
      <c r="G237" t="s">
        <v>129</v>
      </c>
      <c r="H237" t="s">
        <v>130</v>
      </c>
      <c r="J237" t="s">
        <v>26</v>
      </c>
      <c r="K237" s="15">
        <v>45450</v>
      </c>
      <c r="L237" t="s">
        <v>38</v>
      </c>
      <c r="M237" t="str">
        <f>IF(COUNTIFS(PRO_LT_SCORECARD_FLEX_VALIDATIO!$K:$K, _xlfn.CONCAT(C237,D237), PRO_LT_SCORECARD_FLEX_VALIDATIO!$G:$G, "KO") &gt; 0, "NOK", "OK")</f>
        <v>OK</v>
      </c>
      <c r="O237" s="15"/>
      <c r="P237" s="15"/>
      <c r="Q237" t="s">
        <v>30</v>
      </c>
      <c r="R237" t="s">
        <v>131</v>
      </c>
      <c r="S237" t="s">
        <v>132</v>
      </c>
      <c r="T237" t="s">
        <v>132</v>
      </c>
      <c r="U237" t="s">
        <v>132</v>
      </c>
      <c r="V237" t="s">
        <v>132</v>
      </c>
      <c r="W237" t="s">
        <v>132</v>
      </c>
      <c r="X237" t="s">
        <v>5</v>
      </c>
      <c r="Y237">
        <f>_xlfn.IFNA(_xlfn.XLOOKUP(D237,[1]Especificação!$G:$G,[1]Especificação!$C:$C),0)</f>
        <v>0</v>
      </c>
    </row>
    <row r="238" spans="1:25" ht="15" hidden="1">
      <c r="A238" s="40" t="str">
        <f t="shared" si="3"/>
        <v>INSTRUMENT_NMBR_FRBRNC_MSRS</v>
      </c>
      <c r="B238" s="40"/>
      <c r="C238" t="s">
        <v>127</v>
      </c>
      <c r="D238" t="s">
        <v>418</v>
      </c>
      <c r="E238" t="s">
        <v>14</v>
      </c>
      <c r="F238" t="s">
        <v>38</v>
      </c>
      <c r="G238" t="s">
        <v>129</v>
      </c>
      <c r="H238" t="s">
        <v>130</v>
      </c>
      <c r="J238" t="s">
        <v>26</v>
      </c>
      <c r="K238" s="15">
        <v>45450</v>
      </c>
      <c r="L238" t="s">
        <v>38</v>
      </c>
      <c r="M238" t="str">
        <f>IF(COUNTIFS(PRO_LT_SCORECARD_FLEX_VALIDATIO!$K:$K, _xlfn.CONCAT(C238,D238), PRO_LT_SCORECARD_FLEX_VALIDATIO!$G:$G, "KO") &gt; 0, "NOK", "OK")</f>
        <v>NOK</v>
      </c>
      <c r="O238" s="15"/>
      <c r="P238" s="15"/>
      <c r="Q238" t="s">
        <v>30</v>
      </c>
      <c r="R238" t="s">
        <v>131</v>
      </c>
      <c r="S238" t="s">
        <v>132</v>
      </c>
      <c r="T238" t="s">
        <v>132</v>
      </c>
      <c r="U238" t="s">
        <v>132</v>
      </c>
      <c r="V238" t="s">
        <v>132</v>
      </c>
      <c r="W238" t="s">
        <v>131</v>
      </c>
      <c r="X238" t="s">
        <v>5</v>
      </c>
      <c r="Y238" t="str">
        <f>_xlfn.IFNA(_xlfn.XLOOKUP(D238,[1]Especificação!$G:$G,[1]Especificação!$C:$C),0)</f>
        <v>F1. Fora âmbito | Campos concluídos - Sem necessidade de espec.</v>
      </c>
    </row>
    <row r="239" spans="1:25" ht="15" hidden="1">
      <c r="A239" s="40" t="str">
        <f t="shared" si="3"/>
        <v>ENTITY_NT_INCM</v>
      </c>
      <c r="B239" s="40"/>
      <c r="C239" t="s">
        <v>139</v>
      </c>
      <c r="D239" t="s">
        <v>419</v>
      </c>
      <c r="E239" t="s">
        <v>14</v>
      </c>
      <c r="F239" t="s">
        <v>25</v>
      </c>
      <c r="G239" t="s">
        <v>129</v>
      </c>
      <c r="H239" t="s">
        <v>141</v>
      </c>
      <c r="I239" t="s">
        <v>142</v>
      </c>
      <c r="J239" t="s">
        <v>29</v>
      </c>
      <c r="K239" s="15">
        <v>45450</v>
      </c>
      <c r="L239" t="s">
        <v>25</v>
      </c>
      <c r="M239" t="str">
        <f>IF(COUNTIFS(PRO_LT_SCORECARD_FLEX_VALIDATIO!$K:$K, _xlfn.CONCAT(C239,D239), PRO_LT_SCORECARD_FLEX_VALIDATIO!$G:$G, "KO") &gt; 0, "NOK", "OK")</f>
        <v>NOK</v>
      </c>
      <c r="O239" s="15"/>
      <c r="P239" s="15"/>
      <c r="Q239" t="s">
        <v>13</v>
      </c>
      <c r="R239" t="s">
        <v>131</v>
      </c>
      <c r="S239" t="s">
        <v>132</v>
      </c>
      <c r="T239" t="s">
        <v>132</v>
      </c>
      <c r="U239" t="s">
        <v>132</v>
      </c>
      <c r="V239" t="s">
        <v>132</v>
      </c>
      <c r="W239" t="s">
        <v>131</v>
      </c>
      <c r="X239" t="s">
        <v>143</v>
      </c>
      <c r="Y239" t="str">
        <f>_xlfn.IFNA(_xlfn.XLOOKUP(D239,[1]Especificação!$G:$G,[1]Especificação!$C:$C),0)</f>
        <v>F4. Fora âmbito | Re-especificação de campos complexos - Dem. Fin. CIB</v>
      </c>
    </row>
    <row r="240" spans="1:25" ht="15" hidden="1">
      <c r="A240" s="40" t="str">
        <f t="shared" si="3"/>
        <v>ENTITY_NT_INCM_PRVS</v>
      </c>
      <c r="B240" s="40"/>
      <c r="C240" t="s">
        <v>139</v>
      </c>
      <c r="D240" t="s">
        <v>420</v>
      </c>
      <c r="E240" t="s">
        <v>14</v>
      </c>
      <c r="F240" t="s">
        <v>25</v>
      </c>
      <c r="G240" t="s">
        <v>129</v>
      </c>
      <c r="H240" t="s">
        <v>141</v>
      </c>
      <c r="I240" t="s">
        <v>142</v>
      </c>
      <c r="J240" t="s">
        <v>29</v>
      </c>
      <c r="K240" s="15">
        <v>45450</v>
      </c>
      <c r="L240" t="s">
        <v>25</v>
      </c>
      <c r="M240" t="str">
        <f>IF(COUNTIFS(PRO_LT_SCORECARD_FLEX_VALIDATIO!$K:$K, _xlfn.CONCAT(C240,D240), PRO_LT_SCORECARD_FLEX_VALIDATIO!$G:$G, "KO") &gt; 0, "NOK", "OK")</f>
        <v>NOK</v>
      </c>
      <c r="O240" s="15"/>
      <c r="P240" s="15"/>
      <c r="Q240" t="s">
        <v>13</v>
      </c>
      <c r="R240" t="s">
        <v>131</v>
      </c>
      <c r="S240" t="s">
        <v>132</v>
      </c>
      <c r="T240" t="s">
        <v>132</v>
      </c>
      <c r="U240" t="s">
        <v>132</v>
      </c>
      <c r="V240" t="s">
        <v>132</v>
      </c>
      <c r="W240" t="s">
        <v>131</v>
      </c>
      <c r="X240" t="s">
        <v>143</v>
      </c>
      <c r="Y240" t="str">
        <f>_xlfn.IFNA(_xlfn.XLOOKUP(D240,[1]Especificação!$G:$G,[1]Especificação!$C:$C),0)</f>
        <v>F4. Fora âmbito | Re-especificação de campos complexos - Dem. Fin. CIB</v>
      </c>
    </row>
    <row r="241" spans="1:25" ht="15" hidden="1">
      <c r="A241" s="40" t="str">
        <f t="shared" si="3"/>
        <v>INSTRUMENT_RWA_MTHD</v>
      </c>
      <c r="B241" s="40"/>
      <c r="C241" t="s">
        <v>127</v>
      </c>
      <c r="D241" s="10" t="s">
        <v>421</v>
      </c>
      <c r="E241" t="s">
        <v>14</v>
      </c>
      <c r="F241" t="s">
        <v>33</v>
      </c>
      <c r="G241" t="s">
        <v>129</v>
      </c>
      <c r="H241" t="s">
        <v>262</v>
      </c>
      <c r="I241" t="s">
        <v>422</v>
      </c>
      <c r="J241" t="s">
        <v>26</v>
      </c>
      <c r="K241" s="15">
        <v>45463</v>
      </c>
      <c r="L241" t="s">
        <v>38</v>
      </c>
      <c r="M241" t="str">
        <f>IF(COUNTIFS(PRO_LT_SCORECARD_FLEX_VALIDATIO!$K:$K, _xlfn.CONCAT(C241,D241), PRO_LT_SCORECARD_FLEX_VALIDATIO!$G:$G, "KO") &gt; 0, "NOK", "OK")</f>
        <v>NOK</v>
      </c>
      <c r="N241" t="s">
        <v>423</v>
      </c>
      <c r="O241" s="15"/>
      <c r="P241" s="15">
        <v>45463</v>
      </c>
      <c r="Q241" t="s">
        <v>30</v>
      </c>
      <c r="R241" t="s">
        <v>131</v>
      </c>
      <c r="S241" t="s">
        <v>132</v>
      </c>
      <c r="T241" t="s">
        <v>132</v>
      </c>
      <c r="U241" t="s">
        <v>132</v>
      </c>
      <c r="V241" t="s">
        <v>132</v>
      </c>
      <c r="W241" t="s">
        <v>131</v>
      </c>
      <c r="X241" t="s">
        <v>5</v>
      </c>
      <c r="Y241" t="str">
        <f>_xlfn.IFNA(_xlfn.XLOOKUP(D241,[1]Especificação!$G:$G,[1]Especificação!$C:$C),0)</f>
        <v>F1. Fora âmbito | Campos concluídos - Sem necessidade de espec.</v>
      </c>
    </row>
    <row r="242" spans="1:25" ht="15" hidden="1">
      <c r="A242" s="40" t="str">
        <f t="shared" si="3"/>
        <v>INSTRUMENT_OBSRVD_AGNT_ID</v>
      </c>
      <c r="B242" s="40"/>
      <c r="C242" t="s">
        <v>127</v>
      </c>
      <c r="D242" t="s">
        <v>424</v>
      </c>
      <c r="E242" t="s">
        <v>14</v>
      </c>
      <c r="F242" t="s">
        <v>38</v>
      </c>
      <c r="G242" t="s">
        <v>129</v>
      </c>
      <c r="H242" t="s">
        <v>130</v>
      </c>
      <c r="J242" t="s">
        <v>26</v>
      </c>
      <c r="K242" s="15">
        <v>45450</v>
      </c>
      <c r="L242" t="s">
        <v>38</v>
      </c>
      <c r="M242" t="str">
        <f>IF(COUNTIFS(PRO_LT_SCORECARD_FLEX_VALIDATIO!$K:$K, _xlfn.CONCAT(C242,D242), PRO_LT_SCORECARD_FLEX_VALIDATIO!$G:$G, "KO") &gt; 0, "NOK", "OK")</f>
        <v>OK</v>
      </c>
      <c r="O242" s="15"/>
      <c r="P242" s="15"/>
      <c r="Q242" t="s">
        <v>30</v>
      </c>
      <c r="R242" t="s">
        <v>131</v>
      </c>
      <c r="S242" t="s">
        <v>132</v>
      </c>
      <c r="T242" t="s">
        <v>132</v>
      </c>
      <c r="U242" t="s">
        <v>132</v>
      </c>
      <c r="V242" t="s">
        <v>132</v>
      </c>
      <c r="W242" t="s">
        <v>131</v>
      </c>
      <c r="X242" t="s">
        <v>5</v>
      </c>
      <c r="Y242" t="str">
        <f>_xlfn.IFNA(_xlfn.XLOOKUP(D242,[1]Especificação!$G:$G,[1]Especificação!$C:$C),0)</f>
        <v>F1. Fora âmbito | Campos concluídos - Sem necessidade de espec.</v>
      </c>
    </row>
    <row r="243" spans="1:25" ht="15" hidden="1">
      <c r="A243" s="40" t="str">
        <f t="shared" si="3"/>
        <v>INSTRUMENT_OBSRVD_AGNT_NM</v>
      </c>
      <c r="B243" s="40"/>
      <c r="C243" t="s">
        <v>127</v>
      </c>
      <c r="D243" t="s">
        <v>425</v>
      </c>
      <c r="E243" t="s">
        <v>14</v>
      </c>
      <c r="F243" t="s">
        <v>38</v>
      </c>
      <c r="G243" t="s">
        <v>129</v>
      </c>
      <c r="H243" t="s">
        <v>130</v>
      </c>
      <c r="J243" t="s">
        <v>26</v>
      </c>
      <c r="K243" s="15">
        <v>45450</v>
      </c>
      <c r="L243" t="s">
        <v>38</v>
      </c>
      <c r="M243" t="str">
        <f>IF(COUNTIFS(PRO_LT_SCORECARD_FLEX_VALIDATIO!$K:$K, _xlfn.CONCAT(C243,D243), PRO_LT_SCORECARD_FLEX_VALIDATIO!$G:$G, "KO") &gt; 0, "NOK", "OK")</f>
        <v>OK</v>
      </c>
      <c r="O243" s="15"/>
      <c r="P243" s="15"/>
      <c r="Q243" t="s">
        <v>30</v>
      </c>
      <c r="R243" t="s">
        <v>131</v>
      </c>
      <c r="S243" t="s">
        <v>132</v>
      </c>
      <c r="T243" t="s">
        <v>132</v>
      </c>
      <c r="U243" t="s">
        <v>132</v>
      </c>
      <c r="V243" t="s">
        <v>132</v>
      </c>
      <c r="W243" t="s">
        <v>131</v>
      </c>
      <c r="X243" t="s">
        <v>5</v>
      </c>
      <c r="Y243" t="str">
        <f>_xlfn.IFNA(_xlfn.XLOOKUP(D243,[1]Especificação!$G:$G,[1]Especificação!$C:$C),0)</f>
        <v>F1. Fora âmbito | Campos concluídos - Sem necessidade de espec.</v>
      </c>
    </row>
    <row r="244" spans="1:25" ht="15" hidden="1">
      <c r="A244" s="40" t="str">
        <f t="shared" si="3"/>
        <v>INSTRUMENT_OFF_BLNC_SHT_AMNT_INSTRMNT</v>
      </c>
      <c r="B244" s="40"/>
      <c r="C244" t="s">
        <v>127</v>
      </c>
      <c r="D244" t="s">
        <v>426</v>
      </c>
      <c r="E244" t="s">
        <v>14</v>
      </c>
      <c r="F244" t="s">
        <v>36</v>
      </c>
      <c r="G244" t="s">
        <v>145</v>
      </c>
      <c r="H244" t="s">
        <v>158</v>
      </c>
      <c r="J244" t="s">
        <v>29</v>
      </c>
      <c r="K244" s="15">
        <v>45958</v>
      </c>
      <c r="L244" t="s">
        <v>38</v>
      </c>
      <c r="M244" t="str">
        <f>IF(COUNTIFS(PRO_LT_SCORECARD_FLEX_VALIDATIO!$K:$K, _xlfn.CONCAT(C244,D244), PRO_LT_SCORECARD_FLEX_VALIDATIO!$G:$G, "KO") &gt; 0, "NOK", "OK")</f>
        <v>NOK</v>
      </c>
      <c r="O244" s="15"/>
      <c r="P244" s="15">
        <v>45958</v>
      </c>
      <c r="Q244" t="s">
        <v>8</v>
      </c>
      <c r="R244" t="s">
        <v>131</v>
      </c>
      <c r="S244" t="s">
        <v>131</v>
      </c>
      <c r="T244" t="s">
        <v>132</v>
      </c>
      <c r="U244" t="s">
        <v>132</v>
      </c>
      <c r="V244" t="s">
        <v>131</v>
      </c>
      <c r="W244" t="s">
        <v>131</v>
      </c>
      <c r="X244" t="s">
        <v>136</v>
      </c>
      <c r="Y244" t="str">
        <f>_xlfn.IFNA(_xlfn.XLOOKUP(D244,[1]Especificação!$G:$G,[1]Especificação!$C:$C),0)</f>
        <v>D. Campos com NOK controlos Corporativos</v>
      </c>
    </row>
    <row r="245" spans="1:25" ht="15" hidden="1">
      <c r="A245" s="40" t="str">
        <f t="shared" si="3"/>
        <v>INSTRUMENT_OFF_BLNC_SHT_AMNT_INSTRMNT_PRVS</v>
      </c>
      <c r="B245" s="40"/>
      <c r="C245" t="s">
        <v>127</v>
      </c>
      <c r="D245" s="10" t="s">
        <v>427</v>
      </c>
      <c r="E245" t="s">
        <v>14</v>
      </c>
      <c r="F245" t="s">
        <v>35</v>
      </c>
      <c r="G245" t="s">
        <v>129</v>
      </c>
      <c r="H245" t="s">
        <v>293</v>
      </c>
      <c r="I245" t="s">
        <v>428</v>
      </c>
      <c r="J245" t="s">
        <v>32</v>
      </c>
      <c r="K245" s="15">
        <v>45952</v>
      </c>
      <c r="L245" t="s">
        <v>38</v>
      </c>
      <c r="M245" t="str">
        <f>IF(COUNTIFS(PRO_LT_SCORECARD_FLEX_VALIDATIO!$K:$K, _xlfn.CONCAT(C245,D245), PRO_LT_SCORECARD_FLEX_VALIDATIO!$G:$G, "KO") &gt; 0, "NOK", "OK")</f>
        <v>OK</v>
      </c>
      <c r="O245" s="15">
        <v>45471</v>
      </c>
      <c r="P245" s="15">
        <v>45952</v>
      </c>
      <c r="Q245" t="s">
        <v>24</v>
      </c>
      <c r="R245" t="s">
        <v>131</v>
      </c>
      <c r="S245" t="s">
        <v>132</v>
      </c>
      <c r="T245" t="s">
        <v>132</v>
      </c>
      <c r="U245" t="s">
        <v>132</v>
      </c>
      <c r="V245" t="s">
        <v>132</v>
      </c>
      <c r="W245" t="s">
        <v>132</v>
      </c>
      <c r="X245" t="s">
        <v>5</v>
      </c>
      <c r="Y245">
        <f>_xlfn.IFNA(_xlfn.XLOOKUP(D245,[1]Especificação!$G:$G,[1]Especificação!$C:$C),0)</f>
        <v>0</v>
      </c>
    </row>
    <row r="246" spans="1:25" ht="15" hidden="1">
      <c r="A246" s="40" t="str">
        <f t="shared" si="3"/>
        <v>PROTECTION_DT_ORGNL_PRTCTN_VL</v>
      </c>
      <c r="B246" s="40"/>
      <c r="C246" t="s">
        <v>156</v>
      </c>
      <c r="D246" s="10" t="s">
        <v>43</v>
      </c>
      <c r="E246" t="s">
        <v>14</v>
      </c>
      <c r="F246" t="s">
        <v>35</v>
      </c>
      <c r="G246" t="s">
        <v>145</v>
      </c>
      <c r="H246" t="s">
        <v>180</v>
      </c>
      <c r="I246" t="s">
        <v>181</v>
      </c>
      <c r="J246" t="s">
        <v>26</v>
      </c>
      <c r="K246" s="15">
        <v>45670</v>
      </c>
      <c r="L246" t="s">
        <v>38</v>
      </c>
      <c r="M246" t="str">
        <f>IF(COUNTIFS(PRO_LT_SCORECARD_FLEX_VALIDATIO!$K:$K, _xlfn.CONCAT(C246,D246), PRO_LT_SCORECARD_FLEX_VALIDATIO!$G:$G, "KO") &gt; 0, "NOK", "OK")</f>
        <v>NOK</v>
      </c>
      <c r="O246" s="15">
        <v>45555</v>
      </c>
      <c r="P246" s="15">
        <v>45646</v>
      </c>
      <c r="Q246" t="s">
        <v>24</v>
      </c>
      <c r="R246" t="s">
        <v>131</v>
      </c>
      <c r="S246" t="s">
        <v>132</v>
      </c>
      <c r="T246" t="s">
        <v>132</v>
      </c>
      <c r="U246" t="s">
        <v>132</v>
      </c>
      <c r="V246" t="s">
        <v>132</v>
      </c>
      <c r="W246" t="s">
        <v>132</v>
      </c>
      <c r="X246" t="s">
        <v>5</v>
      </c>
      <c r="Y246">
        <f>_xlfn.IFNA(_xlfn.XLOOKUP(D246,[1]Especificação!$G:$G,[1]Especificação!$C:$C),0)</f>
        <v>0</v>
      </c>
    </row>
    <row r="247" spans="1:25" ht="15" hidden="1">
      <c r="A247" s="40" t="str">
        <f t="shared" si="3"/>
        <v>ENTITY_OSI_ID</v>
      </c>
      <c r="B247" s="40"/>
      <c r="C247" t="s">
        <v>139</v>
      </c>
      <c r="D247" t="s">
        <v>429</v>
      </c>
      <c r="E247" t="s">
        <v>14</v>
      </c>
      <c r="F247" t="s">
        <v>38</v>
      </c>
      <c r="G247" t="s">
        <v>129</v>
      </c>
      <c r="H247" t="s">
        <v>130</v>
      </c>
      <c r="J247" t="s">
        <v>26</v>
      </c>
      <c r="K247" s="15">
        <v>45450</v>
      </c>
      <c r="L247" t="s">
        <v>38</v>
      </c>
      <c r="M247" t="str">
        <f>IF(COUNTIFS(PRO_LT_SCORECARD_FLEX_VALIDATIO!$K:$K, _xlfn.CONCAT(C247,D247), PRO_LT_SCORECARD_FLEX_VALIDATIO!$G:$G, "KO") &gt; 0, "NOK", "OK")</f>
        <v>OK</v>
      </c>
      <c r="O247" s="15"/>
      <c r="P247" s="15"/>
      <c r="Q247" t="s">
        <v>30</v>
      </c>
      <c r="R247" t="s">
        <v>131</v>
      </c>
      <c r="S247" t="s">
        <v>132</v>
      </c>
      <c r="T247" t="s">
        <v>132</v>
      </c>
      <c r="U247" t="s">
        <v>132</v>
      </c>
      <c r="V247" t="s">
        <v>132</v>
      </c>
      <c r="W247" t="s">
        <v>131</v>
      </c>
      <c r="X247" t="s">
        <v>5</v>
      </c>
      <c r="Y247" t="str">
        <f>_xlfn.IFNA(_xlfn.XLOOKUP(D247,[1]Especificação!$G:$G,[1]Especificação!$C:$C),0)</f>
        <v>F1. Fora âmbito | Campos concluídos - Sem necessidade de espec.</v>
      </c>
    </row>
    <row r="248" spans="1:25" ht="15" hidden="1">
      <c r="A248" s="40" t="str">
        <f t="shared" si="3"/>
        <v>INSTRUMENT_OTSTNDNG_NMNL_AMNT_INSTRMNT</v>
      </c>
      <c r="B248" s="40"/>
      <c r="C248" t="s">
        <v>127</v>
      </c>
      <c r="D248" t="s">
        <v>430</v>
      </c>
      <c r="E248" t="s">
        <v>14</v>
      </c>
      <c r="F248" t="s">
        <v>36</v>
      </c>
      <c r="G248" t="s">
        <v>145</v>
      </c>
      <c r="H248" t="s">
        <v>158</v>
      </c>
      <c r="J248" t="s">
        <v>29</v>
      </c>
      <c r="K248" s="15">
        <v>45952</v>
      </c>
      <c r="L248" t="s">
        <v>38</v>
      </c>
      <c r="M248" t="str">
        <f>IF(COUNTIFS(PRO_LT_SCORECARD_FLEX_VALIDATIO!$K:$K, _xlfn.CONCAT(C248,D248), PRO_LT_SCORECARD_FLEX_VALIDATIO!$G:$G, "KO") &gt; 0, "NOK", "OK")</f>
        <v>NOK</v>
      </c>
      <c r="O248" s="15"/>
      <c r="P248" s="15">
        <v>45952</v>
      </c>
      <c r="Q248" t="s">
        <v>8</v>
      </c>
      <c r="R248" t="s">
        <v>131</v>
      </c>
      <c r="S248" t="s">
        <v>132</v>
      </c>
      <c r="T248" t="s">
        <v>132</v>
      </c>
      <c r="U248" t="s">
        <v>132</v>
      </c>
      <c r="V248" t="s">
        <v>132</v>
      </c>
      <c r="W248" t="s">
        <v>131</v>
      </c>
      <c r="X248" t="s">
        <v>136</v>
      </c>
      <c r="Y248" t="str">
        <f>_xlfn.IFNA(_xlfn.XLOOKUP(D248,[1]Especificação!$G:$G,[1]Especificação!$C:$C),0)</f>
        <v>D. Campos com NOK controlos Corporativos</v>
      </c>
    </row>
    <row r="249" spans="1:25" ht="15" hidden="1">
      <c r="A249" s="40" t="str">
        <f t="shared" si="3"/>
        <v>INSTRUMENT_DT_FRBRNC_STTS_PRVS</v>
      </c>
      <c r="B249" s="40"/>
      <c r="C249" t="s">
        <v>127</v>
      </c>
      <c r="D249" t="s">
        <v>431</v>
      </c>
      <c r="E249" t="s">
        <v>14</v>
      </c>
      <c r="F249" t="s">
        <v>25</v>
      </c>
      <c r="G249" t="s">
        <v>145</v>
      </c>
      <c r="H249" t="s">
        <v>432</v>
      </c>
      <c r="I249" t="s">
        <v>313</v>
      </c>
      <c r="J249" t="s">
        <v>29</v>
      </c>
      <c r="K249" s="15">
        <v>45450</v>
      </c>
      <c r="L249" t="s">
        <v>25</v>
      </c>
      <c r="M249" t="str">
        <f>IF(COUNTIFS(PRO_LT_SCORECARD_FLEX_VALIDATIO!$K:$K, _xlfn.CONCAT(C249,D249), PRO_LT_SCORECARD_FLEX_VALIDATIO!$G:$G, "KO") &gt; 0, "NOK", "OK")</f>
        <v>NOK</v>
      </c>
      <c r="Q249" t="s">
        <v>13</v>
      </c>
      <c r="R249" t="s">
        <v>131</v>
      </c>
      <c r="S249" t="s">
        <v>132</v>
      </c>
      <c r="T249" t="s">
        <v>132</v>
      </c>
      <c r="U249" t="s">
        <v>132</v>
      </c>
      <c r="V249" t="s">
        <v>132</v>
      </c>
      <c r="W249" t="s">
        <v>132</v>
      </c>
      <c r="X249" t="s">
        <v>5</v>
      </c>
      <c r="Y249">
        <f>_xlfn.IFNA(_xlfn.XLOOKUP(D249,[1]Especificação!$G:$G,[1]Especificação!$C:$C),0)</f>
        <v>0</v>
      </c>
    </row>
    <row r="250" spans="1:25" ht="15" hidden="1">
      <c r="A250" s="40" t="str">
        <f t="shared" si="3"/>
        <v>ENTITY_OWND_BY_SPNSR</v>
      </c>
      <c r="B250" s="40"/>
      <c r="C250" t="s">
        <v>139</v>
      </c>
      <c r="D250" t="s">
        <v>433</v>
      </c>
      <c r="E250" t="s">
        <v>6</v>
      </c>
      <c r="F250" t="s">
        <v>38</v>
      </c>
      <c r="G250" t="s">
        <v>129</v>
      </c>
      <c r="H250" t="s">
        <v>130</v>
      </c>
      <c r="J250" t="s">
        <v>26</v>
      </c>
      <c r="K250" s="15">
        <v>45450</v>
      </c>
      <c r="L250" t="s">
        <v>38</v>
      </c>
      <c r="M250" t="str">
        <f>IF(COUNTIFS(PRO_LT_SCORECARD_FLEX_VALIDATIO!$K:$K, _xlfn.CONCAT(C250,D250), PRO_LT_SCORECARD_FLEX_VALIDATIO!$G:$G, "KO") &gt; 0, "NOK", "OK")</f>
        <v>OK</v>
      </c>
      <c r="O250" s="15"/>
      <c r="P250" s="15"/>
      <c r="Q250" t="s">
        <v>30</v>
      </c>
      <c r="R250" t="s">
        <v>131</v>
      </c>
      <c r="S250" t="s">
        <v>132</v>
      </c>
      <c r="T250" t="s">
        <v>132</v>
      </c>
      <c r="U250" t="s">
        <v>132</v>
      </c>
      <c r="V250" t="s">
        <v>132</v>
      </c>
      <c r="W250" t="s">
        <v>131</v>
      </c>
      <c r="X250" t="s">
        <v>143</v>
      </c>
      <c r="Y250" t="str">
        <f>_xlfn.IFNA(_xlfn.XLOOKUP(D250,[1]Especificação!$G:$G,[1]Especificação!$C:$C),0)</f>
        <v>F3. Fora âmbito | Fonte Manual LF</v>
      </c>
    </row>
    <row r="251" spans="1:25" ht="15" hidden="1">
      <c r="A251" s="40" t="str">
        <f t="shared" si="3"/>
        <v>INSTRUMENT_PBLC_GRNT_SCHM_C19_NM</v>
      </c>
      <c r="B251" s="40"/>
      <c r="C251" t="s">
        <v>127</v>
      </c>
      <c r="D251" t="s">
        <v>434</v>
      </c>
      <c r="E251" t="s">
        <v>6</v>
      </c>
      <c r="F251" t="s">
        <v>38</v>
      </c>
      <c r="G251" t="s">
        <v>129</v>
      </c>
      <c r="H251" t="s">
        <v>130</v>
      </c>
      <c r="J251" t="s">
        <v>26</v>
      </c>
      <c r="K251" s="15">
        <v>45450</v>
      </c>
      <c r="L251" t="s">
        <v>38</v>
      </c>
      <c r="M251" t="str">
        <f>IF(COUNTIFS(PRO_LT_SCORECARD_FLEX_VALIDATIO!$K:$K, _xlfn.CONCAT(C251,D251), PRO_LT_SCORECARD_FLEX_VALIDATIO!$G:$G, "KO") &gt; 0, "NOK", "OK")</f>
        <v>OK</v>
      </c>
      <c r="O251" s="15"/>
      <c r="P251" s="15"/>
      <c r="Q251" t="s">
        <v>30</v>
      </c>
      <c r="R251" t="s">
        <v>131</v>
      </c>
      <c r="S251" t="s">
        <v>132</v>
      </c>
      <c r="T251" t="s">
        <v>132</v>
      </c>
      <c r="U251" t="s">
        <v>132</v>
      </c>
      <c r="V251" t="s">
        <v>132</v>
      </c>
      <c r="W251" t="s">
        <v>132</v>
      </c>
      <c r="X251" t="s">
        <v>5</v>
      </c>
      <c r="Y251">
        <f>_xlfn.IFNA(_xlfn.XLOOKUP(D251,[1]Especificação!$G:$G,[1]Especificação!$C:$C),0)</f>
        <v>0</v>
      </c>
    </row>
    <row r="252" spans="1:25" ht="15" hidden="1">
      <c r="A252" s="40" t="str">
        <f t="shared" si="3"/>
        <v>INSTRUMENT_PD_CRR_INCPTN</v>
      </c>
      <c r="B252" s="40"/>
      <c r="C252" t="s">
        <v>127</v>
      </c>
      <c r="D252" t="s">
        <v>435</v>
      </c>
      <c r="E252" t="s">
        <v>14</v>
      </c>
      <c r="F252" t="s">
        <v>35</v>
      </c>
      <c r="G252" t="s">
        <v>129</v>
      </c>
      <c r="H252" s="76" t="s">
        <v>293</v>
      </c>
      <c r="I252" t="s">
        <v>436</v>
      </c>
      <c r="J252" t="s">
        <v>29</v>
      </c>
      <c r="K252" s="15">
        <v>45958</v>
      </c>
      <c r="L252" t="s">
        <v>35</v>
      </c>
      <c r="M252" t="str">
        <f>IF(COUNTIFS(PRO_LT_SCORECARD_FLEX_VALIDATIO!$K:$K, _xlfn.CONCAT(C252,D252), PRO_LT_SCORECARD_FLEX_VALIDATIO!$G:$G, "KO") &gt; 0, "NOK", "OK")</f>
        <v>NOK</v>
      </c>
      <c r="O252" s="15"/>
      <c r="P252" s="15">
        <v>45958</v>
      </c>
      <c r="Q252" t="s">
        <v>13</v>
      </c>
      <c r="R252" t="s">
        <v>131</v>
      </c>
      <c r="S252" t="s">
        <v>132</v>
      </c>
      <c r="T252" t="s">
        <v>132</v>
      </c>
      <c r="U252" t="s">
        <v>132</v>
      </c>
      <c r="V252" t="s">
        <v>132</v>
      </c>
      <c r="W252" t="s">
        <v>131</v>
      </c>
      <c r="X252" t="s">
        <v>136</v>
      </c>
      <c r="Y252" t="str">
        <f>_xlfn.IFNA(_xlfn.XLOOKUP(D252,[1]Especificação!$G:$G,[1]Especificação!$C:$C),0)</f>
        <v>C. Campos em testes ou c/ incidências</v>
      </c>
    </row>
    <row r="253" spans="1:25" ht="15" hidden="1">
      <c r="A253" s="40" t="str">
        <f t="shared" si="3"/>
        <v>ENTITY_PD_CRR_RD</v>
      </c>
      <c r="B253" s="40"/>
      <c r="C253" t="s">
        <v>139</v>
      </c>
      <c r="D253" t="s">
        <v>437</v>
      </c>
      <c r="E253" t="s">
        <v>14</v>
      </c>
      <c r="F253" t="s">
        <v>36</v>
      </c>
      <c r="G253" t="s">
        <v>145</v>
      </c>
      <c r="H253" t="s">
        <v>158</v>
      </c>
      <c r="J253" t="s">
        <v>29</v>
      </c>
      <c r="K253" s="15">
        <v>45958</v>
      </c>
      <c r="L253" t="s">
        <v>38</v>
      </c>
      <c r="M253" t="str">
        <f>IF(COUNTIFS(PRO_LT_SCORECARD_FLEX_VALIDATIO!$K:$K, _xlfn.CONCAT(C253,D253), PRO_LT_SCORECARD_FLEX_VALIDATIO!$G:$G, "KO") &gt; 0, "NOK", "OK")</f>
        <v>OK</v>
      </c>
      <c r="O253" s="15"/>
      <c r="P253" s="15">
        <v>45958</v>
      </c>
      <c r="Q253" t="s">
        <v>8</v>
      </c>
      <c r="R253" t="s">
        <v>131</v>
      </c>
      <c r="S253" t="s">
        <v>132</v>
      </c>
      <c r="T253" t="s">
        <v>132</v>
      </c>
      <c r="U253" t="s">
        <v>132</v>
      </c>
      <c r="V253" t="s">
        <v>132</v>
      </c>
      <c r="W253" t="s">
        <v>131</v>
      </c>
      <c r="X253" t="s">
        <v>136</v>
      </c>
      <c r="Y253" t="str">
        <f>_xlfn.IFNA(_xlfn.XLOOKUP(D253,[1]Especificação!$G:$G,[1]Especificação!$C:$C),0)</f>
        <v>D. Campos com NOK controlos Corporativos</v>
      </c>
    </row>
    <row r="254" spans="1:25" ht="15" hidden="1">
      <c r="A254" s="40" t="str">
        <f t="shared" si="3"/>
        <v>INSTRUMENT_PD_CRR_RD</v>
      </c>
      <c r="B254" s="40"/>
      <c r="C254" t="s">
        <v>127</v>
      </c>
      <c r="D254" t="s">
        <v>437</v>
      </c>
      <c r="E254" t="s">
        <v>14</v>
      </c>
      <c r="F254" t="s">
        <v>36</v>
      </c>
      <c r="G254" t="s">
        <v>145</v>
      </c>
      <c r="H254" t="s">
        <v>158</v>
      </c>
      <c r="J254" t="s">
        <v>29</v>
      </c>
      <c r="K254" s="15">
        <v>45958</v>
      </c>
      <c r="L254" t="s">
        <v>38</v>
      </c>
      <c r="M254" t="str">
        <f>IF(COUNTIFS(PRO_LT_SCORECARD_FLEX_VALIDATIO!$K:$K, _xlfn.CONCAT(C254,D254), PRO_LT_SCORECARD_FLEX_VALIDATIO!$G:$G, "KO") &gt; 0, "NOK", "OK")</f>
        <v>NOK</v>
      </c>
      <c r="O254" s="15"/>
      <c r="P254" s="15">
        <v>45958</v>
      </c>
      <c r="Q254" t="s">
        <v>8</v>
      </c>
      <c r="R254" t="s">
        <v>131</v>
      </c>
      <c r="S254" t="s">
        <v>132</v>
      </c>
      <c r="T254" t="s">
        <v>132</v>
      </c>
      <c r="U254" t="s">
        <v>132</v>
      </c>
      <c r="V254" t="s">
        <v>132</v>
      </c>
      <c r="W254" t="s">
        <v>131</v>
      </c>
      <c r="X254" t="s">
        <v>136</v>
      </c>
      <c r="Y254" t="str">
        <f>_xlfn.IFNA(_xlfn.XLOOKUP(D254,[1]Especificação!$G:$G,[1]Especificação!$C:$C),0)</f>
        <v>D. Campos com NOK controlos Corporativos</v>
      </c>
    </row>
    <row r="255" spans="1:25" ht="15" hidden="1">
      <c r="A255" s="40" t="str">
        <f t="shared" si="3"/>
        <v>ENTITY_PD_CRR_RD_T1</v>
      </c>
      <c r="B255" s="40"/>
      <c r="C255" t="s">
        <v>139</v>
      </c>
      <c r="D255" s="11" t="s">
        <v>438</v>
      </c>
      <c r="E255" t="s">
        <v>6</v>
      </c>
      <c r="F255" t="s">
        <v>33</v>
      </c>
      <c r="G255" t="s">
        <v>145</v>
      </c>
      <c r="H255" t="s">
        <v>369</v>
      </c>
      <c r="J255" t="s">
        <v>32</v>
      </c>
      <c r="K255" s="15">
        <v>45958</v>
      </c>
      <c r="L255" t="s">
        <v>55</v>
      </c>
      <c r="M255" t="str">
        <f>IF(COUNTIFS(PRO_LT_SCORECARD_FLEX_VALIDATIO!$K:$K, _xlfn.CONCAT(C255,D255), PRO_LT_SCORECARD_FLEX_VALIDATIO!$G:$G, "KO") &gt; 0, "NOK", "OK")</f>
        <v>NOK</v>
      </c>
      <c r="N255" t="s">
        <v>1195</v>
      </c>
      <c r="O255" s="15">
        <v>44750</v>
      </c>
      <c r="P255" s="15">
        <v>45267</v>
      </c>
      <c r="Q255" t="s">
        <v>24</v>
      </c>
      <c r="R255" t="s">
        <v>131</v>
      </c>
      <c r="S255" t="s">
        <v>132</v>
      </c>
      <c r="T255" t="s">
        <v>132</v>
      </c>
      <c r="U255" t="s">
        <v>132</v>
      </c>
      <c r="V255" t="s">
        <v>132</v>
      </c>
      <c r="W255" t="s">
        <v>132</v>
      </c>
      <c r="X255" t="s">
        <v>5</v>
      </c>
      <c r="Y255">
        <f>_xlfn.IFNA(_xlfn.XLOOKUP(D255,[1]Especificação!$G:$G,[1]Especificação!$C:$C),0)</f>
        <v>0</v>
      </c>
    </row>
    <row r="256" spans="1:25" ht="15" hidden="1">
      <c r="A256" s="40" t="str">
        <f t="shared" si="3"/>
        <v>INSTRUMENT_PD_CRR_RD_T1</v>
      </c>
      <c r="B256" s="40"/>
      <c r="C256" t="s">
        <v>127</v>
      </c>
      <c r="D256" s="11" t="s">
        <v>438</v>
      </c>
      <c r="E256" t="s">
        <v>6</v>
      </c>
      <c r="F256" t="s">
        <v>33</v>
      </c>
      <c r="G256" t="s">
        <v>145</v>
      </c>
      <c r="H256" t="s">
        <v>369</v>
      </c>
      <c r="J256" t="s">
        <v>32</v>
      </c>
      <c r="K256" s="15">
        <v>45958</v>
      </c>
      <c r="L256" t="s">
        <v>55</v>
      </c>
      <c r="M256" t="str">
        <f>IF(COUNTIFS(PRO_LT_SCORECARD_FLEX_VALIDATIO!$K:$K, _xlfn.CONCAT(C256,D256), PRO_LT_SCORECARD_FLEX_VALIDATIO!$G:$G, "KO") &gt; 0, "NOK", "OK")</f>
        <v>OK</v>
      </c>
      <c r="N256" t="s">
        <v>1195</v>
      </c>
      <c r="O256" s="15">
        <v>45281</v>
      </c>
      <c r="P256" s="15">
        <v>45330</v>
      </c>
      <c r="Q256" t="s">
        <v>24</v>
      </c>
      <c r="R256" t="s">
        <v>131</v>
      </c>
      <c r="S256" t="s">
        <v>132</v>
      </c>
      <c r="T256" t="s">
        <v>132</v>
      </c>
      <c r="U256" t="s">
        <v>132</v>
      </c>
      <c r="V256" t="s">
        <v>132</v>
      </c>
      <c r="W256" t="s">
        <v>132</v>
      </c>
      <c r="X256" t="s">
        <v>5</v>
      </c>
      <c r="Y256">
        <f>_xlfn.IFNA(_xlfn.XLOOKUP(D256,[1]Especificação!$G:$G,[1]Especificação!$C:$C),0)</f>
        <v>0</v>
      </c>
    </row>
    <row r="257" spans="1:25" ht="15" hidden="1">
      <c r="A257" s="40" t="str">
        <f t="shared" si="3"/>
        <v>INSTRUMENT_PD_IFRS9_12M_INCPTN</v>
      </c>
      <c r="B257" s="40"/>
      <c r="C257" t="s">
        <v>127</v>
      </c>
      <c r="D257" t="s">
        <v>439</v>
      </c>
      <c r="E257" t="s">
        <v>14</v>
      </c>
      <c r="F257" t="s">
        <v>38</v>
      </c>
      <c r="G257" t="s">
        <v>129</v>
      </c>
      <c r="H257" t="s">
        <v>130</v>
      </c>
      <c r="J257" t="s">
        <v>26</v>
      </c>
      <c r="K257" s="15">
        <v>45450</v>
      </c>
      <c r="L257" t="s">
        <v>38</v>
      </c>
      <c r="M257" t="str">
        <f>IF(COUNTIFS(PRO_LT_SCORECARD_FLEX_VALIDATIO!$K:$K, _xlfn.CONCAT(C257,D257), PRO_LT_SCORECARD_FLEX_VALIDATIO!$G:$G, "KO") &gt; 0, "NOK", "OK")</f>
        <v>OK</v>
      </c>
      <c r="N257" t="s">
        <v>356</v>
      </c>
      <c r="O257" s="15"/>
      <c r="P257" s="15"/>
      <c r="Q257" t="s">
        <v>30</v>
      </c>
      <c r="R257" t="s">
        <v>131</v>
      </c>
      <c r="S257" t="s">
        <v>132</v>
      </c>
      <c r="T257" t="s">
        <v>132</v>
      </c>
      <c r="U257" t="s">
        <v>132</v>
      </c>
      <c r="V257" t="s">
        <v>132</v>
      </c>
      <c r="W257" t="s">
        <v>131</v>
      </c>
      <c r="X257" t="s">
        <v>5</v>
      </c>
      <c r="Y257" t="str">
        <f>_xlfn.IFNA(_xlfn.XLOOKUP(D257,[1]Especificação!$G:$G,[1]Especificação!$C:$C),0)</f>
        <v>F1. Fora âmbito | Campos concluídos - Sem necessidade de espec.</v>
      </c>
    </row>
    <row r="258" spans="1:25" ht="15" hidden="1">
      <c r="A258" s="40" t="str">
        <f t="shared" si="3"/>
        <v>ENTITY_PD_IFRS9_12M_RD</v>
      </c>
      <c r="B258" s="40"/>
      <c r="C258" t="s">
        <v>139</v>
      </c>
      <c r="D258" t="s">
        <v>440</v>
      </c>
      <c r="E258" t="s">
        <v>14</v>
      </c>
      <c r="F258" t="s">
        <v>28</v>
      </c>
      <c r="G258" t="s">
        <v>145</v>
      </c>
      <c r="H258" t="s">
        <v>441</v>
      </c>
      <c r="J258" t="s">
        <v>29</v>
      </c>
      <c r="K258" s="15">
        <v>45958</v>
      </c>
      <c r="L258" t="s">
        <v>38</v>
      </c>
      <c r="M258" t="str">
        <f>IF(COUNTIFS(PRO_LT_SCORECARD_FLEX_VALIDATIO!$K:$K, _xlfn.CONCAT(C258,D258), PRO_LT_SCORECARD_FLEX_VALIDATIO!$G:$G, "KO") &gt; 0, "NOK", "OK")</f>
        <v>NOK</v>
      </c>
      <c r="N258" t="s">
        <v>356</v>
      </c>
      <c r="O258" s="15"/>
      <c r="P258" s="15">
        <v>45958</v>
      </c>
      <c r="Q258" t="s">
        <v>8</v>
      </c>
      <c r="R258" t="s">
        <v>131</v>
      </c>
      <c r="S258" t="s">
        <v>132</v>
      </c>
      <c r="T258" t="s">
        <v>132</v>
      </c>
      <c r="U258" t="s">
        <v>132</v>
      </c>
      <c r="V258" t="s">
        <v>132</v>
      </c>
      <c r="W258" t="s">
        <v>131</v>
      </c>
      <c r="X258" t="s">
        <v>136</v>
      </c>
      <c r="Y258" t="str">
        <f>_xlfn.IFNA(_xlfn.XLOOKUP(D258,[1]Especificação!$G:$G,[1]Especificação!$C:$C),0)</f>
        <v>D. Campos com NOK controlos Corporativos</v>
      </c>
    </row>
    <row r="259" spans="1:25" ht="15" hidden="1">
      <c r="A259" s="40" t="str">
        <f t="shared" si="3"/>
        <v>INSTRUMENT_PD_IFRS9_12M_RD</v>
      </c>
      <c r="B259" s="40"/>
      <c r="C259" t="s">
        <v>127</v>
      </c>
      <c r="D259" s="11" t="s">
        <v>440</v>
      </c>
      <c r="E259" t="s">
        <v>14</v>
      </c>
      <c r="F259" t="s">
        <v>36</v>
      </c>
      <c r="G259" t="s">
        <v>145</v>
      </c>
      <c r="J259" t="s">
        <v>32</v>
      </c>
      <c r="K259" s="15">
        <v>45958</v>
      </c>
      <c r="L259" t="s">
        <v>38</v>
      </c>
      <c r="M259" t="str">
        <f>IF(COUNTIFS(PRO_LT_SCORECARD_FLEX_VALIDATIO!$K:$K, _xlfn.CONCAT(C259,D259), PRO_LT_SCORECARD_FLEX_VALIDATIO!$G:$G, "KO") &gt; 0, "NOK", "OK")</f>
        <v>NOK</v>
      </c>
      <c r="N259" t="s">
        <v>356</v>
      </c>
      <c r="O259" s="15"/>
      <c r="P259" s="15">
        <v>45958</v>
      </c>
      <c r="Q259" t="s">
        <v>39</v>
      </c>
      <c r="R259" t="s">
        <v>131</v>
      </c>
      <c r="S259" t="s">
        <v>132</v>
      </c>
      <c r="T259" t="s">
        <v>132</v>
      </c>
      <c r="U259" t="s">
        <v>132</v>
      </c>
      <c r="V259" t="s">
        <v>132</v>
      </c>
      <c r="W259" t="s">
        <v>131</v>
      </c>
      <c r="X259" t="s">
        <v>136</v>
      </c>
      <c r="Y259" t="str">
        <f>_xlfn.IFNA(_xlfn.XLOOKUP(D259,[1]Especificação!$G:$G,[1]Especificação!$C:$C),0)</f>
        <v>D. Campos com NOK controlos Corporativos</v>
      </c>
    </row>
    <row r="260" spans="1:25" ht="15" hidden="1">
      <c r="A260" s="40" t="str">
        <f t="shared" si="3"/>
        <v>ENTITY_PD_IFRS9_12M_RD_T1</v>
      </c>
      <c r="B260" s="40"/>
      <c r="C260" t="s">
        <v>139</v>
      </c>
      <c r="D260" t="s">
        <v>442</v>
      </c>
      <c r="E260" t="s">
        <v>6</v>
      </c>
      <c r="F260" t="s">
        <v>36</v>
      </c>
      <c r="G260" t="s">
        <v>145</v>
      </c>
      <c r="H260" t="s">
        <v>158</v>
      </c>
      <c r="J260" t="s">
        <v>29</v>
      </c>
      <c r="K260" s="15">
        <v>45958</v>
      </c>
      <c r="L260" t="s">
        <v>55</v>
      </c>
      <c r="M260" t="str">
        <f>IF(COUNTIFS(PRO_LT_SCORECARD_FLEX_VALIDATIO!$K:$K, _xlfn.CONCAT(C260,D260), PRO_LT_SCORECARD_FLEX_VALIDATIO!$G:$G, "KO") &gt; 0, "NOK", "OK")</f>
        <v>NOK</v>
      </c>
      <c r="N260" t="s">
        <v>1196</v>
      </c>
      <c r="O260" s="15"/>
      <c r="P260" s="15"/>
      <c r="Q260" t="s">
        <v>8</v>
      </c>
      <c r="R260" t="s">
        <v>131</v>
      </c>
      <c r="S260" t="s">
        <v>132</v>
      </c>
      <c r="T260" t="s">
        <v>132</v>
      </c>
      <c r="U260" t="s">
        <v>132</v>
      </c>
      <c r="V260" t="s">
        <v>132</v>
      </c>
      <c r="W260" t="s">
        <v>132</v>
      </c>
      <c r="X260" t="s">
        <v>5</v>
      </c>
      <c r="Y260">
        <f>_xlfn.IFNA(_xlfn.XLOOKUP(D260,[1]Especificação!$G:$G,[1]Especificação!$C:$C),0)</f>
        <v>0</v>
      </c>
    </row>
    <row r="261" spans="1:25" ht="15" hidden="1">
      <c r="A261" s="40" t="str">
        <f t="shared" si="3"/>
        <v>INSTRUMENT_PD_IFRS9_12M_RD_T1</v>
      </c>
      <c r="B261" s="40"/>
      <c r="C261" t="s">
        <v>127</v>
      </c>
      <c r="D261" t="s">
        <v>442</v>
      </c>
      <c r="E261" t="s">
        <v>14</v>
      </c>
      <c r="F261" t="s">
        <v>36</v>
      </c>
      <c r="G261" t="s">
        <v>145</v>
      </c>
      <c r="H261" t="s">
        <v>158</v>
      </c>
      <c r="J261" t="s">
        <v>29</v>
      </c>
      <c r="K261" s="15">
        <v>45958</v>
      </c>
      <c r="L261" t="s">
        <v>38</v>
      </c>
      <c r="M261" t="str">
        <f>IF(COUNTIFS(PRO_LT_SCORECARD_FLEX_VALIDATIO!$K:$K, _xlfn.CONCAT(C261,D261), PRO_LT_SCORECARD_FLEX_VALIDATIO!$G:$G, "KO") &gt; 0, "NOK", "OK")</f>
        <v>NOK</v>
      </c>
      <c r="O261" s="15"/>
      <c r="P261" s="15">
        <v>45958</v>
      </c>
      <c r="Q261" t="s">
        <v>8</v>
      </c>
      <c r="R261" t="s">
        <v>131</v>
      </c>
      <c r="S261" t="s">
        <v>132</v>
      </c>
      <c r="T261" t="s">
        <v>132</v>
      </c>
      <c r="U261" t="s">
        <v>132</v>
      </c>
      <c r="V261" t="s">
        <v>132</v>
      </c>
      <c r="W261" t="s">
        <v>132</v>
      </c>
      <c r="X261" t="s">
        <v>5</v>
      </c>
      <c r="Y261">
        <f>_xlfn.IFNA(_xlfn.XLOOKUP(D261,[1]Especificação!$G:$G,[1]Especificação!$C:$C),0)</f>
        <v>0</v>
      </c>
    </row>
    <row r="262" spans="1:25" ht="15" hidden="1">
      <c r="A262" s="40" t="str">
        <f t="shared" ref="A262:A324" si="4">C262&amp;"_"&amp;D262</f>
        <v>INSTRUMENT_PD_IFRS9_LFTM_INCPTN</v>
      </c>
      <c r="B262" s="40"/>
      <c r="C262" t="s">
        <v>127</v>
      </c>
      <c r="D262" t="s">
        <v>443</v>
      </c>
      <c r="E262" t="s">
        <v>14</v>
      </c>
      <c r="F262" t="s">
        <v>38</v>
      </c>
      <c r="G262" t="s">
        <v>129</v>
      </c>
      <c r="H262" t="s">
        <v>130</v>
      </c>
      <c r="J262" t="s">
        <v>26</v>
      </c>
      <c r="K262" s="15">
        <v>45450</v>
      </c>
      <c r="L262" t="s">
        <v>38</v>
      </c>
      <c r="M262" t="str">
        <f>IF(COUNTIFS(PRO_LT_SCORECARD_FLEX_VALIDATIO!$K:$K, _xlfn.CONCAT(C262,D262), PRO_LT_SCORECARD_FLEX_VALIDATIO!$G:$G, "KO") &gt; 0, "NOK", "OK")</f>
        <v>OK</v>
      </c>
      <c r="N262" t="s">
        <v>356</v>
      </c>
      <c r="O262" s="15"/>
      <c r="P262" s="15"/>
      <c r="Q262" t="s">
        <v>30</v>
      </c>
      <c r="R262" t="s">
        <v>131</v>
      </c>
      <c r="S262" t="s">
        <v>132</v>
      </c>
      <c r="T262" t="s">
        <v>132</v>
      </c>
      <c r="U262" t="s">
        <v>132</v>
      </c>
      <c r="V262" t="s">
        <v>132</v>
      </c>
      <c r="W262" t="s">
        <v>131</v>
      </c>
      <c r="X262" t="s">
        <v>5</v>
      </c>
      <c r="Y262" t="str">
        <f>_xlfn.IFNA(_xlfn.XLOOKUP(D262,[1]Especificação!$G:$G,[1]Especificação!$C:$C),0)</f>
        <v>F1. Fora âmbito | Campos concluídos - Sem necessidade de espec.</v>
      </c>
    </row>
    <row r="263" spans="1:25" ht="15" hidden="1">
      <c r="A263" s="40" t="str">
        <f t="shared" si="4"/>
        <v>INSTRUMENT_PD_IFRS9_RMNNG_LFTM_INCPTN</v>
      </c>
      <c r="B263" s="40"/>
      <c r="C263" t="s">
        <v>127</v>
      </c>
      <c r="D263" t="s">
        <v>444</v>
      </c>
      <c r="E263" t="s">
        <v>14</v>
      </c>
      <c r="F263" t="s">
        <v>38</v>
      </c>
      <c r="G263" t="s">
        <v>129</v>
      </c>
      <c r="H263" t="s">
        <v>130</v>
      </c>
      <c r="J263" t="s">
        <v>26</v>
      </c>
      <c r="K263" s="15">
        <v>45450</v>
      </c>
      <c r="L263" t="s">
        <v>38</v>
      </c>
      <c r="M263" t="str">
        <f>IF(COUNTIFS(PRO_LT_SCORECARD_FLEX_VALIDATIO!$K:$K, _xlfn.CONCAT(C263,D263), PRO_LT_SCORECARD_FLEX_VALIDATIO!$G:$G, "KO") &gt; 0, "NOK", "OK")</f>
        <v>OK</v>
      </c>
      <c r="N263" t="s">
        <v>356</v>
      </c>
      <c r="O263" s="15"/>
      <c r="P263" s="15"/>
      <c r="Q263" t="s">
        <v>30</v>
      </c>
      <c r="R263" t="s">
        <v>131</v>
      </c>
      <c r="S263" t="s">
        <v>132</v>
      </c>
      <c r="T263" t="s">
        <v>132</v>
      </c>
      <c r="U263" t="s">
        <v>132</v>
      </c>
      <c r="V263" t="s">
        <v>132</v>
      </c>
      <c r="W263" t="s">
        <v>131</v>
      </c>
      <c r="X263" t="s">
        <v>5</v>
      </c>
      <c r="Y263" t="str">
        <f>_xlfn.IFNA(_xlfn.XLOOKUP(D263,[1]Especificação!$G:$G,[1]Especificação!$C:$C),0)</f>
        <v>F1. Fora âmbito | Campos concluídos - Sem necessidade de espec.</v>
      </c>
    </row>
    <row r="264" spans="1:25" ht="15" hidden="1">
      <c r="A264" s="40" t="str">
        <f t="shared" si="4"/>
        <v>INSTRUMENT_PD_IFRS9_RMNNG_LFTM_RD</v>
      </c>
      <c r="B264" s="40"/>
      <c r="C264" t="s">
        <v>127</v>
      </c>
      <c r="D264" t="s">
        <v>445</v>
      </c>
      <c r="E264" t="s">
        <v>14</v>
      </c>
      <c r="F264" t="s">
        <v>38</v>
      </c>
      <c r="G264" t="s">
        <v>129</v>
      </c>
      <c r="H264" t="s">
        <v>130</v>
      </c>
      <c r="J264" t="s">
        <v>26</v>
      </c>
      <c r="K264" s="15">
        <v>45450</v>
      </c>
      <c r="L264" t="s">
        <v>38</v>
      </c>
      <c r="M264" t="str">
        <f>IF(COUNTIFS(PRO_LT_SCORECARD_FLEX_VALIDATIO!$K:$K, _xlfn.CONCAT(C264,D264), PRO_LT_SCORECARD_FLEX_VALIDATIO!$G:$G, "KO") &gt; 0, "NOK", "OK")</f>
        <v>OK</v>
      </c>
      <c r="N264" t="s">
        <v>356</v>
      </c>
      <c r="O264" s="15"/>
      <c r="P264" s="15"/>
      <c r="Q264" t="s">
        <v>30</v>
      </c>
      <c r="R264" t="s">
        <v>131</v>
      </c>
      <c r="S264" t="s">
        <v>132</v>
      </c>
      <c r="T264" t="s">
        <v>132</v>
      </c>
      <c r="U264" t="s">
        <v>132</v>
      </c>
      <c r="V264" t="s">
        <v>132</v>
      </c>
      <c r="W264" t="s">
        <v>131</v>
      </c>
      <c r="X264" t="s">
        <v>5</v>
      </c>
      <c r="Y264" t="str">
        <f>_xlfn.IFNA(_xlfn.XLOOKUP(D264,[1]Especificação!$G:$G,[1]Especificação!$C:$C),0)</f>
        <v>F1. Fora âmbito | Campos concluídos - Sem necessidade de espec.</v>
      </c>
    </row>
    <row r="265" spans="1:25" ht="15" hidden="1">
      <c r="A265" s="40" t="str">
        <f t="shared" si="4"/>
        <v>INSTRUMENT_PMNT_PBLC_GRNT_SCHM_C19</v>
      </c>
      <c r="B265" s="40"/>
      <c r="C265" t="s">
        <v>127</v>
      </c>
      <c r="D265" t="s">
        <v>446</v>
      </c>
      <c r="E265" t="s">
        <v>6</v>
      </c>
      <c r="F265" t="s">
        <v>38</v>
      </c>
      <c r="G265" t="s">
        <v>129</v>
      </c>
      <c r="H265" t="s">
        <v>130</v>
      </c>
      <c r="J265" t="s">
        <v>26</v>
      </c>
      <c r="K265" s="15">
        <v>45450</v>
      </c>
      <c r="L265" t="s">
        <v>38</v>
      </c>
      <c r="M265" t="str">
        <f>IF(COUNTIFS(PRO_LT_SCORECARD_FLEX_VALIDATIO!$K:$K, _xlfn.CONCAT(C265,D265), PRO_LT_SCORECARD_FLEX_VALIDATIO!$G:$G, "KO") &gt; 0, "NOK", "OK")</f>
        <v>OK</v>
      </c>
      <c r="O265" s="15"/>
      <c r="P265" s="15"/>
      <c r="Q265" t="s">
        <v>30</v>
      </c>
      <c r="R265" t="s">
        <v>131</v>
      </c>
      <c r="S265" t="s">
        <v>132</v>
      </c>
      <c r="T265" t="s">
        <v>132</v>
      </c>
      <c r="U265" t="s">
        <v>132</v>
      </c>
      <c r="V265" t="s">
        <v>132</v>
      </c>
      <c r="W265" t="s">
        <v>132</v>
      </c>
      <c r="X265" t="s">
        <v>5</v>
      </c>
      <c r="Y265">
        <f>_xlfn.IFNA(_xlfn.XLOOKUP(D265,[1]Especificação!$G:$G,[1]Especificação!$C:$C),0)</f>
        <v>0</v>
      </c>
    </row>
    <row r="266" spans="1:25" ht="15" hidden="1">
      <c r="A266" s="40" t="str">
        <f t="shared" si="4"/>
        <v>INSTRUMENT_DT_FRBRNC_STTS</v>
      </c>
      <c r="B266" s="40"/>
      <c r="C266" t="s">
        <v>127</v>
      </c>
      <c r="D266" t="s">
        <v>447</v>
      </c>
      <c r="E266" t="s">
        <v>14</v>
      </c>
      <c r="F266" t="s">
        <v>25</v>
      </c>
      <c r="G266" t="s">
        <v>145</v>
      </c>
      <c r="H266" t="s">
        <v>432</v>
      </c>
      <c r="I266" t="s">
        <v>313</v>
      </c>
      <c r="J266" t="s">
        <v>29</v>
      </c>
      <c r="K266" s="15">
        <v>45958</v>
      </c>
      <c r="L266" t="s">
        <v>38</v>
      </c>
      <c r="M266" t="str">
        <f>IF(COUNTIFS(PRO_LT_SCORECARD_FLEX_VALIDATIO!$K:$K, _xlfn.CONCAT(C266,D266), PRO_LT_SCORECARD_FLEX_VALIDATIO!$G:$G, "KO") &gt; 0, "NOK", "OK")</f>
        <v>NOK</v>
      </c>
      <c r="P266" s="15">
        <v>45958</v>
      </c>
      <c r="Q266" t="s">
        <v>13</v>
      </c>
      <c r="R266" t="s">
        <v>131</v>
      </c>
      <c r="S266" t="s">
        <v>132</v>
      </c>
      <c r="T266" t="s">
        <v>132</v>
      </c>
      <c r="U266" t="s">
        <v>132</v>
      </c>
      <c r="V266" t="s">
        <v>132</v>
      </c>
      <c r="W266" t="s">
        <v>131</v>
      </c>
      <c r="X266" t="s">
        <v>136</v>
      </c>
      <c r="Y266" t="str">
        <f>_xlfn.IFNA(_xlfn.XLOOKUP(D266,[1]Especificação!$G:$G,[1]Especificação!$C:$C),0)</f>
        <v>B2. Re-especificação de campos complexos - Resto</v>
      </c>
    </row>
    <row r="267" spans="1:25" ht="15" hidden="1">
      <c r="A267" s="40" t="str">
        <f t="shared" si="4"/>
        <v>INSTRUMENT_PRCH_UNDR_RSL_AGR</v>
      </c>
      <c r="B267" s="40"/>
      <c r="C267" t="s">
        <v>127</v>
      </c>
      <c r="D267" t="s">
        <v>448</v>
      </c>
      <c r="E267" t="s">
        <v>6</v>
      </c>
      <c r="F267" t="s">
        <v>38</v>
      </c>
      <c r="G267" t="s">
        <v>129</v>
      </c>
      <c r="H267" t="s">
        <v>130</v>
      </c>
      <c r="J267" t="s">
        <v>26</v>
      </c>
      <c r="K267" s="15">
        <v>45450</v>
      </c>
      <c r="L267" t="s">
        <v>38</v>
      </c>
      <c r="M267" t="str">
        <f>IF(COUNTIFS(PRO_LT_SCORECARD_FLEX_VALIDATIO!$K:$K, _xlfn.CONCAT(C267,D267), PRO_LT_SCORECARD_FLEX_VALIDATIO!$G:$G, "KO") &gt; 0, "NOK", "OK")</f>
        <v>OK</v>
      </c>
      <c r="O267" s="15"/>
      <c r="P267" s="15"/>
      <c r="Q267" t="s">
        <v>30</v>
      </c>
      <c r="R267" t="s">
        <v>131</v>
      </c>
      <c r="S267" t="s">
        <v>132</v>
      </c>
      <c r="T267" t="s">
        <v>132</v>
      </c>
      <c r="U267" t="s">
        <v>132</v>
      </c>
      <c r="V267" t="s">
        <v>132</v>
      </c>
      <c r="W267" t="s">
        <v>132</v>
      </c>
      <c r="X267" t="s">
        <v>5</v>
      </c>
      <c r="Y267">
        <f>_xlfn.IFNA(_xlfn.XLOOKUP(D267,[1]Especificação!$G:$G,[1]Especificação!$C:$C),0)</f>
        <v>0</v>
      </c>
    </row>
    <row r="268" spans="1:25" ht="15" hidden="1">
      <c r="A268" s="40" t="str">
        <f t="shared" si="4"/>
        <v>INSTRUMENT_PRDCT</v>
      </c>
      <c r="B268" s="40"/>
      <c r="C268" t="s">
        <v>127</v>
      </c>
      <c r="D268" t="s">
        <v>449</v>
      </c>
      <c r="E268" t="s">
        <v>14</v>
      </c>
      <c r="F268" t="s">
        <v>38</v>
      </c>
      <c r="G268" t="s">
        <v>129</v>
      </c>
      <c r="H268" t="s">
        <v>130</v>
      </c>
      <c r="J268" t="s">
        <v>26</v>
      </c>
      <c r="K268" s="15">
        <v>45450</v>
      </c>
      <c r="L268" t="s">
        <v>38</v>
      </c>
      <c r="M268" t="str">
        <f>IF(COUNTIFS(PRO_LT_SCORECARD_FLEX_VALIDATIO!$K:$K, _xlfn.CONCAT(C268,D268), PRO_LT_SCORECARD_FLEX_VALIDATIO!$G:$G, "KO") &gt; 0, "NOK", "OK")</f>
        <v>OK</v>
      </c>
      <c r="O268" s="15"/>
      <c r="P268" s="15"/>
      <c r="Q268" t="s">
        <v>30</v>
      </c>
      <c r="R268" t="s">
        <v>131</v>
      </c>
      <c r="S268" t="s">
        <v>132</v>
      </c>
      <c r="T268" t="s">
        <v>132</v>
      </c>
      <c r="U268" t="s">
        <v>131</v>
      </c>
      <c r="V268" t="s">
        <v>132</v>
      </c>
      <c r="W268" t="s">
        <v>132</v>
      </c>
      <c r="X268" t="s">
        <v>5</v>
      </c>
      <c r="Y268">
        <f>_xlfn.IFNA(_xlfn.XLOOKUP(D268,[1]Especificação!$G:$G,[1]Especificação!$C:$C),0)</f>
        <v>0</v>
      </c>
    </row>
    <row r="269" spans="1:25" ht="15" hidden="1">
      <c r="A269" s="40" t="str">
        <f t="shared" si="4"/>
        <v>INSTRUMENT_PRDNTL_PRTFL</v>
      </c>
      <c r="B269" s="40"/>
      <c r="C269" t="s">
        <v>127</v>
      </c>
      <c r="D269" t="s">
        <v>450</v>
      </c>
      <c r="E269" t="s">
        <v>6</v>
      </c>
      <c r="F269" t="s">
        <v>38</v>
      </c>
      <c r="G269" t="s">
        <v>129</v>
      </c>
      <c r="H269" t="s">
        <v>130</v>
      </c>
      <c r="J269" t="s">
        <v>26</v>
      </c>
      <c r="K269" s="15">
        <v>45450</v>
      </c>
      <c r="L269" t="s">
        <v>38</v>
      </c>
      <c r="M269" t="str">
        <f>IF(COUNTIFS(PRO_LT_SCORECARD_FLEX_VALIDATIO!$K:$K, _xlfn.CONCAT(C269,D269), PRO_LT_SCORECARD_FLEX_VALIDATIO!$G:$G, "KO") &gt; 0, "NOK", "OK")</f>
        <v>OK</v>
      </c>
      <c r="O269" s="15"/>
      <c r="P269" s="15"/>
      <c r="Q269" t="s">
        <v>30</v>
      </c>
      <c r="R269" t="s">
        <v>131</v>
      </c>
      <c r="S269" t="s">
        <v>132</v>
      </c>
      <c r="T269" t="s">
        <v>132</v>
      </c>
      <c r="U269" t="s">
        <v>132</v>
      </c>
      <c r="V269" t="s">
        <v>132</v>
      </c>
      <c r="W269" t="s">
        <v>131</v>
      </c>
      <c r="X269" t="s">
        <v>5</v>
      </c>
      <c r="Y269" t="str">
        <f>_xlfn.IFNA(_xlfn.XLOOKUP(D269,[1]Especificação!$G:$G,[1]Especificação!$C:$C),0)</f>
        <v>F1. Fora âmbito | Campos concluídos - Sem necessidade de espec.</v>
      </c>
    </row>
    <row r="270" spans="1:25" ht="15" hidden="1">
      <c r="A270" s="40" t="str">
        <f t="shared" si="4"/>
        <v>INSTRUMENT_PRFRMNG_STTS</v>
      </c>
      <c r="B270" s="40"/>
      <c r="C270" t="s">
        <v>127</v>
      </c>
      <c r="D270" s="11" t="s">
        <v>45</v>
      </c>
      <c r="E270" t="s">
        <v>14</v>
      </c>
      <c r="F270" t="s">
        <v>28</v>
      </c>
      <c r="G270" t="s">
        <v>145</v>
      </c>
      <c r="H270" t="s">
        <v>154</v>
      </c>
      <c r="J270" t="s">
        <v>32</v>
      </c>
      <c r="K270" s="15">
        <v>45952</v>
      </c>
      <c r="L270" t="s">
        <v>36</v>
      </c>
      <c r="M270" t="str">
        <f>IF(COUNTIFS(PRO_LT_SCORECARD_FLEX_VALIDATIO!$K:$K, _xlfn.CONCAT(C270,D270), PRO_LT_SCORECARD_FLEX_VALIDATIO!$G:$G, "KO") &gt; 0, "NOK", "OK")</f>
        <v>NOK</v>
      </c>
      <c r="N270" t="s">
        <v>1043</v>
      </c>
      <c r="O270" s="15"/>
      <c r="P270" s="15">
        <v>45952</v>
      </c>
      <c r="Q270" t="s">
        <v>39</v>
      </c>
      <c r="R270" t="s">
        <v>131</v>
      </c>
      <c r="S270" t="s">
        <v>131</v>
      </c>
      <c r="T270" t="s">
        <v>131</v>
      </c>
      <c r="U270" t="s">
        <v>132</v>
      </c>
      <c r="V270" t="s">
        <v>132</v>
      </c>
      <c r="W270" t="s">
        <v>131</v>
      </c>
      <c r="X270" t="s">
        <v>5</v>
      </c>
      <c r="Y270" t="str">
        <f>_xlfn.IFNA(_xlfn.XLOOKUP(D270,[1]Especificação!$G:$G,[1]Especificação!$C:$C),0)</f>
        <v>F2. Fora âmbito | Campos em testes ou c/ incidências (LT - PM)</v>
      </c>
    </row>
    <row r="271" spans="1:25" ht="15" hidden="1">
      <c r="A271" s="40" t="str">
        <f t="shared" si="4"/>
        <v>ENTITY_PRFRMNG_STTS_LE</v>
      </c>
      <c r="B271" s="40"/>
      <c r="C271" t="s">
        <v>139</v>
      </c>
      <c r="D271" t="s">
        <v>451</v>
      </c>
      <c r="E271" t="s">
        <v>14</v>
      </c>
      <c r="F271" t="s">
        <v>38</v>
      </c>
      <c r="G271" t="s">
        <v>129</v>
      </c>
      <c r="H271" t="s">
        <v>130</v>
      </c>
      <c r="J271" t="s">
        <v>26</v>
      </c>
      <c r="K271" s="15">
        <v>45952</v>
      </c>
      <c r="L271" t="s">
        <v>38</v>
      </c>
      <c r="M271" t="str">
        <f>IF(COUNTIFS(PRO_LT_SCORECARD_FLEX_VALIDATIO!$K:$K, _xlfn.CONCAT(C271,D271), PRO_LT_SCORECARD_FLEX_VALIDATIO!$G:$G, "KO") &gt; 0, "NOK", "OK")</f>
        <v>OK</v>
      </c>
      <c r="O271" s="15"/>
      <c r="P271" s="15">
        <v>45952</v>
      </c>
      <c r="Q271" t="s">
        <v>30</v>
      </c>
      <c r="R271" t="s">
        <v>131</v>
      </c>
      <c r="S271" t="s">
        <v>132</v>
      </c>
      <c r="T271" t="s">
        <v>132</v>
      </c>
      <c r="U271" t="s">
        <v>132</v>
      </c>
      <c r="V271" t="s">
        <v>132</v>
      </c>
      <c r="W271" t="s">
        <v>131</v>
      </c>
      <c r="X271" t="s">
        <v>5</v>
      </c>
      <c r="Y271" t="str">
        <f>_xlfn.IFNA(_xlfn.XLOOKUP(D271,[1]Especificação!$G:$G,[1]Especificação!$C:$C),0)</f>
        <v>F1. Fora âmbito | Campos concluídos - Sem necessidade de espec.</v>
      </c>
    </row>
    <row r="272" spans="1:25" ht="15" hidden="1">
      <c r="A272" s="40" t="str">
        <f t="shared" si="4"/>
        <v>INSTRUMENT_PRFRMNG_STTS_PRVS</v>
      </c>
      <c r="B272" s="40"/>
      <c r="C272" t="s">
        <v>127</v>
      </c>
      <c r="D272" s="11" t="s">
        <v>47</v>
      </c>
      <c r="E272" t="s">
        <v>14</v>
      </c>
      <c r="F272" t="s">
        <v>33</v>
      </c>
      <c r="G272" t="s">
        <v>129</v>
      </c>
      <c r="H272" t="s">
        <v>224</v>
      </c>
      <c r="J272" t="s">
        <v>32</v>
      </c>
      <c r="K272" s="15">
        <v>45958</v>
      </c>
      <c r="L272" t="s">
        <v>38</v>
      </c>
      <c r="M272" t="str">
        <f>IF(COUNTIFS(PRO_LT_SCORECARD_FLEX_VALIDATIO!$K:$K, _xlfn.CONCAT(C272,D272), PRO_LT_SCORECARD_FLEX_VALIDATIO!$G:$G, "KO") &gt; 0, "NOK", "OK")</f>
        <v>OK</v>
      </c>
      <c r="O272" s="15"/>
      <c r="P272" s="15">
        <v>45958</v>
      </c>
      <c r="Q272" t="s">
        <v>39</v>
      </c>
      <c r="R272" t="s">
        <v>131</v>
      </c>
      <c r="S272" t="s">
        <v>132</v>
      </c>
      <c r="T272" t="s">
        <v>132</v>
      </c>
      <c r="U272" t="s">
        <v>132</v>
      </c>
      <c r="V272" t="s">
        <v>132</v>
      </c>
      <c r="W272" t="s">
        <v>131</v>
      </c>
      <c r="X272" t="s">
        <v>5</v>
      </c>
      <c r="Y272" t="str">
        <f>_xlfn.IFNA(_xlfn.XLOOKUP(D272,[1]Especificação!$G:$G,[1]Especificação!$C:$C),0)</f>
        <v>B2. Re-especificação de campos complexos - Resto</v>
      </c>
    </row>
    <row r="273" spans="1:25" ht="15" hidden="1">
      <c r="A273" s="40" t="str">
        <f t="shared" si="4"/>
        <v>INSTRUMENT_PRJCT_FNNC_LN</v>
      </c>
      <c r="B273" s="40"/>
      <c r="C273" t="s">
        <v>127</v>
      </c>
      <c r="D273" t="s">
        <v>452</v>
      </c>
      <c r="E273" t="s">
        <v>14</v>
      </c>
      <c r="F273" t="s">
        <v>38</v>
      </c>
      <c r="G273" t="s">
        <v>129</v>
      </c>
      <c r="H273" t="s">
        <v>130</v>
      </c>
      <c r="J273" t="s">
        <v>26</v>
      </c>
      <c r="K273" s="15">
        <v>45450</v>
      </c>
      <c r="L273" t="s">
        <v>38</v>
      </c>
      <c r="M273" t="str">
        <f>IF(COUNTIFS(PRO_LT_SCORECARD_FLEX_VALIDATIO!$K:$K, _xlfn.CONCAT(C273,D273), PRO_LT_SCORECARD_FLEX_VALIDATIO!$G:$G, "KO") &gt; 0, "NOK", "OK")</f>
        <v>OK</v>
      </c>
      <c r="Q273" t="s">
        <v>30</v>
      </c>
      <c r="R273" t="s">
        <v>131</v>
      </c>
      <c r="S273" t="s">
        <v>132</v>
      </c>
      <c r="T273" t="s">
        <v>131</v>
      </c>
      <c r="U273" t="s">
        <v>132</v>
      </c>
      <c r="V273" t="s">
        <v>132</v>
      </c>
      <c r="W273" t="s">
        <v>132</v>
      </c>
      <c r="X273" t="s">
        <v>5</v>
      </c>
      <c r="Y273">
        <f>_xlfn.IFNA(_xlfn.XLOOKUP(D273,[1]Especificação!$G:$G,[1]Especificação!$C:$C),0)</f>
        <v>0</v>
      </c>
    </row>
    <row r="274" spans="1:25" ht="15" hidden="1">
      <c r="A274" s="40" t="str">
        <f>C274&amp;"_"&amp;D274</f>
        <v>PROTECTION_PRM_LCTN</v>
      </c>
      <c r="B274" s="40"/>
      <c r="C274" t="s">
        <v>156</v>
      </c>
      <c r="D274" s="10" t="s">
        <v>453</v>
      </c>
      <c r="E274" t="s">
        <v>6</v>
      </c>
      <c r="F274" t="s">
        <v>33</v>
      </c>
      <c r="G274" t="s">
        <v>145</v>
      </c>
      <c r="H274" t="s">
        <v>369</v>
      </c>
      <c r="J274" t="s">
        <v>26</v>
      </c>
      <c r="K274" s="15">
        <v>45670</v>
      </c>
      <c r="L274" t="s">
        <v>38</v>
      </c>
      <c r="M274" t="str">
        <f>IF(COUNTIFS(PRO_LT_SCORECARD_FLEX_VALIDATIO!$K:$K, _xlfn.CONCAT(C274,D274), PRO_LT_SCORECARD_FLEX_VALIDATIO!$G:$G, "KO") &gt; 0, "NOK", "OK")</f>
        <v>NOK</v>
      </c>
      <c r="N274" t="s">
        <v>454</v>
      </c>
      <c r="O274" s="15">
        <v>45471</v>
      </c>
      <c r="P274" s="15">
        <v>45646</v>
      </c>
      <c r="Q274" t="s">
        <v>24</v>
      </c>
      <c r="R274" t="s">
        <v>131</v>
      </c>
      <c r="S274" t="s">
        <v>132</v>
      </c>
      <c r="T274" t="s">
        <v>132</v>
      </c>
      <c r="U274" t="s">
        <v>132</v>
      </c>
      <c r="V274" t="s">
        <v>132</v>
      </c>
      <c r="W274" t="s">
        <v>132</v>
      </c>
      <c r="X274" t="s">
        <v>5</v>
      </c>
      <c r="Y274">
        <f>_xlfn.IFNA(_xlfn.XLOOKUP(D274,[1]Especificação!$G:$G,[1]Especificação!$C:$C),0)</f>
        <v>0</v>
      </c>
    </row>
    <row r="275" spans="1:25" ht="15" hidden="1">
      <c r="A275" s="40" t="str">
        <f t="shared" si="4"/>
        <v>INSTRUMENT_PRMRY_ASST_CLSSF</v>
      </c>
      <c r="B275" s="40"/>
      <c r="C275" t="s">
        <v>127</v>
      </c>
      <c r="D275" t="s">
        <v>455</v>
      </c>
      <c r="E275" t="s">
        <v>6</v>
      </c>
      <c r="F275" t="s">
        <v>38</v>
      </c>
      <c r="G275" t="s">
        <v>129</v>
      </c>
      <c r="H275" t="s">
        <v>130</v>
      </c>
      <c r="J275" t="s">
        <v>26</v>
      </c>
      <c r="K275" s="15">
        <v>45450</v>
      </c>
      <c r="L275" t="s">
        <v>38</v>
      </c>
      <c r="M275" t="str">
        <f>IF(COUNTIFS(PRO_LT_SCORECARD_FLEX_VALIDATIO!$K:$K, _xlfn.CONCAT(C275,D275), PRO_LT_SCORECARD_FLEX_VALIDATIO!$G:$G, "KO") &gt; 0, "NOK", "OK")</f>
        <v>OK</v>
      </c>
      <c r="Q275" t="s">
        <v>30</v>
      </c>
      <c r="R275" t="s">
        <v>131</v>
      </c>
      <c r="S275" t="s">
        <v>132</v>
      </c>
      <c r="T275" t="s">
        <v>131</v>
      </c>
      <c r="U275" t="s">
        <v>132</v>
      </c>
      <c r="V275" t="s">
        <v>132</v>
      </c>
      <c r="W275" t="s">
        <v>132</v>
      </c>
      <c r="X275" t="s">
        <v>5</v>
      </c>
      <c r="Y275">
        <f>_xlfn.IFNA(_xlfn.XLOOKUP(D275,[1]Especificação!$G:$G,[1]Especificação!$C:$C),0)</f>
        <v>0</v>
      </c>
    </row>
    <row r="276" spans="1:25" ht="15" hidden="1">
      <c r="A276" s="40" t="str">
        <f t="shared" si="4"/>
        <v>INSTRUMENT_PRPS</v>
      </c>
      <c r="B276" s="40"/>
      <c r="C276" t="s">
        <v>127</v>
      </c>
      <c r="D276" t="s">
        <v>456</v>
      </c>
      <c r="E276" t="s">
        <v>14</v>
      </c>
      <c r="F276" t="s">
        <v>38</v>
      </c>
      <c r="G276" t="s">
        <v>129</v>
      </c>
      <c r="H276" t="s">
        <v>130</v>
      </c>
      <c r="J276" t="s">
        <v>26</v>
      </c>
      <c r="K276" s="15">
        <v>45450</v>
      </c>
      <c r="L276" t="s">
        <v>38</v>
      </c>
      <c r="M276" t="str">
        <f>IF(COUNTIFS(PRO_LT_SCORECARD_FLEX_VALIDATIO!$K:$K, _xlfn.CONCAT(C276,D276), PRO_LT_SCORECARD_FLEX_VALIDATIO!$G:$G, "KO") &gt; 0, "NOK", "OK")</f>
        <v>OK</v>
      </c>
      <c r="Q276" t="s">
        <v>30</v>
      </c>
      <c r="R276" t="s">
        <v>131</v>
      </c>
      <c r="S276" t="s">
        <v>132</v>
      </c>
      <c r="T276" t="s">
        <v>132</v>
      </c>
      <c r="U276" t="s">
        <v>132</v>
      </c>
      <c r="V276" t="s">
        <v>132</v>
      </c>
      <c r="W276" t="s">
        <v>131</v>
      </c>
      <c r="X276" t="s">
        <v>5</v>
      </c>
      <c r="Y276" t="str">
        <f>_xlfn.IFNA(_xlfn.XLOOKUP(D276,[1]Especificação!$G:$G,[1]Especificação!$C:$C),0)</f>
        <v>F1. Fora âmbito | Campos concluídos - Sem necessidade de espec.</v>
      </c>
    </row>
    <row r="277" spans="1:25" ht="15" hidden="1">
      <c r="A277" s="40" t="str">
        <f t="shared" si="4"/>
        <v>ENTITY_PRSN_TYP</v>
      </c>
      <c r="B277" s="40"/>
      <c r="C277" t="s">
        <v>139</v>
      </c>
      <c r="D277" t="s">
        <v>457</v>
      </c>
      <c r="E277" t="s">
        <v>6</v>
      </c>
      <c r="F277" t="s">
        <v>31</v>
      </c>
      <c r="G277" t="s">
        <v>129</v>
      </c>
      <c r="H277" t="s">
        <v>169</v>
      </c>
      <c r="J277" t="s">
        <v>29</v>
      </c>
      <c r="K277" s="15">
        <v>45460</v>
      </c>
      <c r="L277" t="s">
        <v>33</v>
      </c>
      <c r="M277" t="str">
        <f>IF(COUNTIFS(PRO_LT_SCORECARD_FLEX_VALIDATIO!$K:$K, _xlfn.CONCAT(C277,D277), PRO_LT_SCORECARD_FLEX_VALIDATIO!$G:$G, "KO") &gt; 0, "NOK", "OK")</f>
        <v>OK</v>
      </c>
      <c r="O277" s="15">
        <v>45303</v>
      </c>
      <c r="P277" s="15">
        <v>45372</v>
      </c>
      <c r="Q277" t="s">
        <v>19</v>
      </c>
      <c r="R277" t="s">
        <v>131</v>
      </c>
      <c r="S277" t="s">
        <v>132</v>
      </c>
      <c r="T277" t="s">
        <v>132</v>
      </c>
      <c r="U277" t="s">
        <v>132</v>
      </c>
      <c r="V277" t="s">
        <v>132</v>
      </c>
      <c r="W277" t="s">
        <v>132</v>
      </c>
      <c r="X277" t="s">
        <v>5</v>
      </c>
      <c r="Y277">
        <f>_xlfn.IFNA(_xlfn.XLOOKUP(D277,[1]Especificação!$G:$G,[1]Especificação!$C:$C),0)</f>
        <v>0</v>
      </c>
    </row>
    <row r="278" spans="1:25" ht="15" hidden="1">
      <c r="A278" s="40" t="str">
        <f t="shared" si="4"/>
        <v>INSTRUMENT_PRT_LCR_BFFR</v>
      </c>
      <c r="B278" s="40"/>
      <c r="C278" t="s">
        <v>127</v>
      </c>
      <c r="D278" t="s">
        <v>458</v>
      </c>
      <c r="E278" t="s">
        <v>6</v>
      </c>
      <c r="F278" t="s">
        <v>38</v>
      </c>
      <c r="G278" t="s">
        <v>129</v>
      </c>
      <c r="H278" t="s">
        <v>130</v>
      </c>
      <c r="J278" t="s">
        <v>26</v>
      </c>
      <c r="K278" s="15">
        <v>45450</v>
      </c>
      <c r="L278" t="s">
        <v>38</v>
      </c>
      <c r="M278" t="str">
        <f>IF(COUNTIFS(PRO_LT_SCORECARD_FLEX_VALIDATIO!$K:$K, _xlfn.CONCAT(C278,D278), PRO_LT_SCORECARD_FLEX_VALIDATIO!$G:$G, "KO") &gt; 0, "NOK", "OK")</f>
        <v>OK</v>
      </c>
      <c r="Q278" t="s">
        <v>30</v>
      </c>
      <c r="R278" t="s">
        <v>131</v>
      </c>
      <c r="S278" t="s">
        <v>132</v>
      </c>
      <c r="T278" t="s">
        <v>132</v>
      </c>
      <c r="U278" t="s">
        <v>132</v>
      </c>
      <c r="V278" t="s">
        <v>132</v>
      </c>
      <c r="W278" t="s">
        <v>132</v>
      </c>
      <c r="X278" t="s">
        <v>5</v>
      </c>
      <c r="Y278">
        <f>_xlfn.IFNA(_xlfn.XLOOKUP(D278,[1]Especificação!$G:$G,[1]Especificação!$C:$C),0)</f>
        <v>0</v>
      </c>
    </row>
    <row r="279" spans="1:25" ht="15" hidden="1">
      <c r="A279" s="40" t="str">
        <f t="shared" si="4"/>
        <v>INSTR_PROTECTION_PRTCTN_ALLCTD_VL</v>
      </c>
      <c r="B279" s="40"/>
      <c r="C279" t="s">
        <v>188</v>
      </c>
      <c r="D279" t="s">
        <v>459</v>
      </c>
      <c r="E279" t="s">
        <v>14</v>
      </c>
      <c r="F279" t="s">
        <v>38</v>
      </c>
      <c r="G279" t="s">
        <v>129</v>
      </c>
      <c r="H279" t="s">
        <v>130</v>
      </c>
      <c r="J279" t="s">
        <v>26</v>
      </c>
      <c r="K279" s="15">
        <v>45450</v>
      </c>
      <c r="L279" t="s">
        <v>38</v>
      </c>
      <c r="M279" t="str">
        <f>IF(COUNTIFS(PRO_LT_SCORECARD_FLEX_VALIDATIO!$K:$K, _xlfn.CONCAT(C279,D279), PRO_LT_SCORECARD_FLEX_VALIDATIO!$G:$G, "KO") &gt; 0, "NOK", "OK")</f>
        <v>OK</v>
      </c>
      <c r="Q279" t="s">
        <v>30</v>
      </c>
      <c r="R279" t="s">
        <v>131</v>
      </c>
      <c r="S279" t="s">
        <v>132</v>
      </c>
      <c r="T279" t="s">
        <v>131</v>
      </c>
      <c r="U279" t="s">
        <v>132</v>
      </c>
      <c r="V279" t="s">
        <v>132</v>
      </c>
      <c r="W279" t="s">
        <v>132</v>
      </c>
      <c r="X279" t="s">
        <v>5</v>
      </c>
      <c r="Y279">
        <f>_xlfn.IFNA(_xlfn.XLOOKUP(D279,[1]Especificação!$G:$G,[1]Especificação!$C:$C),0)</f>
        <v>0</v>
      </c>
    </row>
    <row r="280" spans="1:25" ht="15" hidden="1">
      <c r="A280" s="40" t="str">
        <f t="shared" si="4"/>
        <v>PROTECTION_PRTCTN_CLLD</v>
      </c>
      <c r="B280" s="40"/>
      <c r="C280" t="s">
        <v>156</v>
      </c>
      <c r="D280" t="s">
        <v>460</v>
      </c>
      <c r="E280" t="s">
        <v>14</v>
      </c>
      <c r="F280" t="s">
        <v>36</v>
      </c>
      <c r="G280" t="s">
        <v>145</v>
      </c>
      <c r="H280" t="s">
        <v>158</v>
      </c>
      <c r="J280" t="s">
        <v>29</v>
      </c>
      <c r="K280" s="15">
        <v>45450</v>
      </c>
      <c r="L280" t="s">
        <v>36</v>
      </c>
      <c r="M280" t="str">
        <f>IF(COUNTIFS(PRO_LT_SCORECARD_FLEX_VALIDATIO!$K:$K, _xlfn.CONCAT(C280,D280), PRO_LT_SCORECARD_FLEX_VALIDATIO!$G:$G, "KO") &gt; 0, "NOK", "OK")</f>
        <v>OK</v>
      </c>
      <c r="Q280" t="s">
        <v>8</v>
      </c>
      <c r="R280" t="s">
        <v>131</v>
      </c>
      <c r="S280" t="s">
        <v>132</v>
      </c>
      <c r="T280" t="s">
        <v>132</v>
      </c>
      <c r="U280" t="s">
        <v>132</v>
      </c>
      <c r="V280" t="s">
        <v>132</v>
      </c>
      <c r="W280" t="s">
        <v>132</v>
      </c>
      <c r="X280" t="s">
        <v>5</v>
      </c>
      <c r="Y280">
        <f>_xlfn.IFNA(_xlfn.XLOOKUP(D280,[1]Especificação!$G:$G,[1]Especificação!$C:$C),0)</f>
        <v>0</v>
      </c>
    </row>
    <row r="281" spans="1:25" ht="15" hidden="1">
      <c r="A281" s="40" t="str">
        <f t="shared" si="4"/>
        <v>PROTECTION_PRTCTN_FRCD_SL_VL</v>
      </c>
      <c r="B281" s="40"/>
      <c r="C281" t="s">
        <v>156</v>
      </c>
      <c r="D281" t="s">
        <v>461</v>
      </c>
      <c r="E281" t="s">
        <v>14</v>
      </c>
      <c r="F281" t="s">
        <v>38</v>
      </c>
      <c r="G281" t="s">
        <v>129</v>
      </c>
      <c r="H281" t="s">
        <v>130</v>
      </c>
      <c r="J281" t="s">
        <v>26</v>
      </c>
      <c r="K281" s="15">
        <v>45450</v>
      </c>
      <c r="L281" t="s">
        <v>38</v>
      </c>
      <c r="M281" t="str">
        <f>IF(COUNTIFS(PRO_LT_SCORECARD_FLEX_VALIDATIO!$K:$K, _xlfn.CONCAT(C281,D281), PRO_LT_SCORECARD_FLEX_VALIDATIO!$G:$G, "KO") &gt; 0, "NOK", "OK")</f>
        <v>OK</v>
      </c>
      <c r="Q281" t="s">
        <v>30</v>
      </c>
      <c r="R281" t="s">
        <v>131</v>
      </c>
      <c r="S281" t="s">
        <v>132</v>
      </c>
      <c r="T281" t="s">
        <v>132</v>
      </c>
      <c r="U281" t="s">
        <v>132</v>
      </c>
      <c r="V281" t="s">
        <v>132</v>
      </c>
      <c r="W281" t="s">
        <v>132</v>
      </c>
      <c r="X281" t="s">
        <v>5</v>
      </c>
      <c r="Y281">
        <f>_xlfn.IFNA(_xlfn.XLOOKUP(D281,[1]Especificação!$G:$G,[1]Especificação!$C:$C),0)</f>
        <v>0</v>
      </c>
    </row>
    <row r="282" spans="1:25" ht="15" hidden="1">
      <c r="A282" s="40" t="str">
        <f t="shared" si="4"/>
        <v>INSTR_PROTECTION_PRTCTN_ID</v>
      </c>
      <c r="B282" s="40"/>
      <c r="C282" t="s">
        <v>188</v>
      </c>
      <c r="D282" t="s">
        <v>462</v>
      </c>
      <c r="E282" t="s">
        <v>14</v>
      </c>
      <c r="F282" t="s">
        <v>36</v>
      </c>
      <c r="G282" t="s">
        <v>145</v>
      </c>
      <c r="H282" t="s">
        <v>158</v>
      </c>
      <c r="J282" t="s">
        <v>29</v>
      </c>
      <c r="K282" s="15">
        <v>45450</v>
      </c>
      <c r="L282" t="s">
        <v>36</v>
      </c>
      <c r="M282" t="str">
        <f>IF(COUNTIFS(PRO_LT_SCORECARD_FLEX_VALIDATIO!$K:$K, _xlfn.CONCAT(C282,D282), PRO_LT_SCORECARD_FLEX_VALIDATIO!$G:$G, "KO") &gt; 0, "NOK", "OK")</f>
        <v>NOK</v>
      </c>
      <c r="Q282" t="s">
        <v>8</v>
      </c>
      <c r="R282" t="s">
        <v>131</v>
      </c>
      <c r="S282" t="s">
        <v>131</v>
      </c>
      <c r="T282" t="s">
        <v>131</v>
      </c>
      <c r="U282" t="s">
        <v>132</v>
      </c>
      <c r="V282" t="s">
        <v>132</v>
      </c>
      <c r="W282" t="s">
        <v>132</v>
      </c>
      <c r="X282" t="s">
        <v>5</v>
      </c>
      <c r="Y282">
        <f>_xlfn.IFNA(_xlfn.XLOOKUP(D282,[1]Especificação!$G:$G,[1]Especificação!$C:$C),0)</f>
        <v>0</v>
      </c>
    </row>
    <row r="283" spans="1:25" ht="15" hidden="1">
      <c r="A283" s="40" t="str">
        <f t="shared" si="4"/>
        <v>PROTECTION_PRTCTN_ID</v>
      </c>
      <c r="B283" s="40"/>
      <c r="C283" t="s">
        <v>156</v>
      </c>
      <c r="D283" t="s">
        <v>462</v>
      </c>
      <c r="E283" t="s">
        <v>14</v>
      </c>
      <c r="F283" t="s">
        <v>36</v>
      </c>
      <c r="G283" t="s">
        <v>145</v>
      </c>
      <c r="H283" t="s">
        <v>158</v>
      </c>
      <c r="J283" t="s">
        <v>29</v>
      </c>
      <c r="K283" s="15">
        <v>45450</v>
      </c>
      <c r="L283" t="s">
        <v>36</v>
      </c>
      <c r="M283" t="str">
        <f>IF(COUNTIFS(PRO_LT_SCORECARD_FLEX_VALIDATIO!$K:$K, _xlfn.CONCAT(C283,D283), PRO_LT_SCORECARD_FLEX_VALIDATIO!$G:$G, "KO") &gt; 0, "NOK", "OK")</f>
        <v>OK</v>
      </c>
      <c r="Q283" t="s">
        <v>8</v>
      </c>
      <c r="R283" t="s">
        <v>131</v>
      </c>
      <c r="S283" t="s">
        <v>131</v>
      </c>
      <c r="T283" t="s">
        <v>131</v>
      </c>
      <c r="U283" t="s">
        <v>132</v>
      </c>
      <c r="V283" t="s">
        <v>131</v>
      </c>
      <c r="W283" t="s">
        <v>132</v>
      </c>
      <c r="X283" t="s">
        <v>5</v>
      </c>
      <c r="Y283">
        <f>_xlfn.IFNA(_xlfn.XLOOKUP(D283,[1]Especificação!$G:$G,[1]Especificação!$C:$C),0)</f>
        <v>0</v>
      </c>
    </row>
    <row r="284" spans="1:25" ht="15" hidden="1">
      <c r="A284" s="40" t="str">
        <f t="shared" si="4"/>
        <v>PROTECTION_PRTCTN_PRVDR_ID</v>
      </c>
      <c r="B284" s="40"/>
      <c r="C284" t="s">
        <v>156</v>
      </c>
      <c r="D284" t="s">
        <v>463</v>
      </c>
      <c r="E284" t="s">
        <v>14</v>
      </c>
      <c r="F284" t="s">
        <v>36</v>
      </c>
      <c r="G284" t="s">
        <v>145</v>
      </c>
      <c r="H284" t="s">
        <v>158</v>
      </c>
      <c r="J284" t="s">
        <v>29</v>
      </c>
      <c r="K284" s="15">
        <v>45450</v>
      </c>
      <c r="L284" t="s">
        <v>36</v>
      </c>
      <c r="M284" t="str">
        <f>IF(COUNTIFS(PRO_LT_SCORECARD_FLEX_VALIDATIO!$K:$K, _xlfn.CONCAT(C284,D284), PRO_LT_SCORECARD_FLEX_VALIDATIO!$G:$G, "KO") &gt; 0, "NOK", "OK")</f>
        <v>OK</v>
      </c>
      <c r="Q284" t="s">
        <v>8</v>
      </c>
      <c r="R284" t="s">
        <v>131</v>
      </c>
      <c r="S284" t="s">
        <v>132</v>
      </c>
      <c r="T284" t="s">
        <v>132</v>
      </c>
      <c r="U284" t="s">
        <v>132</v>
      </c>
      <c r="V284" t="s">
        <v>132</v>
      </c>
      <c r="W284" t="s">
        <v>132</v>
      </c>
      <c r="X284" t="s">
        <v>5</v>
      </c>
      <c r="Y284">
        <f>_xlfn.IFNA(_xlfn.XLOOKUP(D284,[1]Especificação!$G:$G,[1]Especificação!$C:$C),0)</f>
        <v>0</v>
      </c>
    </row>
    <row r="285" spans="1:25" ht="15" hidden="1">
      <c r="A285" s="40" t="str">
        <f t="shared" si="4"/>
        <v>PROTECTION_PRTCTN_TYP_PBLC_GRNT_SCHM_C19</v>
      </c>
      <c r="B285" s="40"/>
      <c r="C285" t="s">
        <v>156</v>
      </c>
      <c r="D285" t="s">
        <v>464</v>
      </c>
      <c r="E285" t="s">
        <v>6</v>
      </c>
      <c r="F285" t="s">
        <v>36</v>
      </c>
      <c r="G285" t="s">
        <v>145</v>
      </c>
      <c r="H285" t="s">
        <v>158</v>
      </c>
      <c r="J285" t="s">
        <v>29</v>
      </c>
      <c r="K285" s="15">
        <v>45450</v>
      </c>
      <c r="L285" t="s">
        <v>36</v>
      </c>
      <c r="M285" t="str">
        <f>IF(COUNTIFS(PRO_LT_SCORECARD_FLEX_VALIDATIO!$K:$K, _xlfn.CONCAT(C285,D285), PRO_LT_SCORECARD_FLEX_VALIDATIO!$G:$G, "KO") &gt; 0, "NOK", "OK")</f>
        <v>OK</v>
      </c>
      <c r="Q285" t="s">
        <v>8</v>
      </c>
      <c r="R285" t="s">
        <v>131</v>
      </c>
      <c r="S285" t="s">
        <v>132</v>
      </c>
      <c r="T285" t="s">
        <v>132</v>
      </c>
      <c r="U285" t="s">
        <v>132</v>
      </c>
      <c r="V285" t="s">
        <v>132</v>
      </c>
      <c r="W285" t="s">
        <v>132</v>
      </c>
      <c r="X285" t="s">
        <v>5</v>
      </c>
      <c r="Y285">
        <f>_xlfn.IFNA(_xlfn.XLOOKUP(D285,[1]Especificação!$G:$G,[1]Especificação!$C:$C),0)</f>
        <v>0</v>
      </c>
    </row>
    <row r="286" spans="1:25" ht="15" hidden="1">
      <c r="A286" s="40" t="str">
        <f t="shared" si="4"/>
        <v>ENTITY_DT_EXTRNL_RTNG</v>
      </c>
      <c r="B286" s="40"/>
      <c r="C286" t="s">
        <v>139</v>
      </c>
      <c r="D286" s="10" t="s">
        <v>465</v>
      </c>
      <c r="E286" t="s">
        <v>14</v>
      </c>
      <c r="F286" t="s">
        <v>25</v>
      </c>
      <c r="G286" t="s">
        <v>129</v>
      </c>
      <c r="H286" t="s">
        <v>315</v>
      </c>
      <c r="I286" t="s">
        <v>316</v>
      </c>
      <c r="J286" t="s">
        <v>32</v>
      </c>
      <c r="K286" s="15">
        <v>45958</v>
      </c>
      <c r="L286" t="s">
        <v>38</v>
      </c>
      <c r="M286" t="str">
        <f>IF(COUNTIFS(PRO_LT_SCORECARD_FLEX_VALIDATIO!$K:$K, _xlfn.CONCAT(C286,D286), PRO_LT_SCORECARD_FLEX_VALIDATIO!$G:$G, "KO") &gt; 0, "NOK", "OK")</f>
        <v>OK</v>
      </c>
      <c r="P286" s="15">
        <v>45958</v>
      </c>
      <c r="Q286" t="s">
        <v>34</v>
      </c>
      <c r="R286" t="s">
        <v>131</v>
      </c>
      <c r="S286" t="s">
        <v>132</v>
      </c>
      <c r="T286" t="s">
        <v>132</v>
      </c>
      <c r="U286" t="s">
        <v>132</v>
      </c>
      <c r="V286" t="s">
        <v>132</v>
      </c>
      <c r="W286" t="s">
        <v>131</v>
      </c>
      <c r="X286" t="s">
        <v>136</v>
      </c>
      <c r="Y286" t="str">
        <f>_xlfn.IFNA(_xlfn.XLOOKUP(D286,[1]Especificação!$G:$G,[1]Especificação!$C:$C),0)</f>
        <v>B2. Re-especificação de campos complexos - Resto</v>
      </c>
    </row>
    <row r="287" spans="1:25" ht="15" hidden="1">
      <c r="A287" s="40" t="str">
        <f t="shared" si="4"/>
        <v>PROTECTION_ORGNL_PRTCTN_VL</v>
      </c>
      <c r="B287" s="40"/>
      <c r="C287" t="s">
        <v>156</v>
      </c>
      <c r="D287" s="10" t="s">
        <v>41</v>
      </c>
      <c r="E287" t="s">
        <v>14</v>
      </c>
      <c r="F287" t="s">
        <v>35</v>
      </c>
      <c r="G287" t="s">
        <v>129</v>
      </c>
      <c r="H287" t="s">
        <v>293</v>
      </c>
      <c r="I287" t="s">
        <v>466</v>
      </c>
      <c r="J287" t="s">
        <v>32</v>
      </c>
      <c r="K287" s="15">
        <v>45952</v>
      </c>
      <c r="L287" t="s">
        <v>36</v>
      </c>
      <c r="M287" t="str">
        <f>IF(COUNTIFS(PRO_LT_SCORECARD_FLEX_VALIDATIO!$K:$K, _xlfn.CONCAT(C287,D287), PRO_LT_SCORECARD_FLEX_VALIDATIO!$G:$G, "KO") &gt; 0, "NOK", "OK")</f>
        <v>NOK</v>
      </c>
      <c r="N287" t="s">
        <v>1171</v>
      </c>
      <c r="O287" s="15"/>
      <c r="P287" s="15">
        <v>45952</v>
      </c>
      <c r="Q287" t="s">
        <v>24</v>
      </c>
      <c r="R287" t="s">
        <v>131</v>
      </c>
      <c r="S287" t="s">
        <v>132</v>
      </c>
      <c r="T287" t="s">
        <v>131</v>
      </c>
      <c r="U287" t="s">
        <v>132</v>
      </c>
      <c r="V287" t="s">
        <v>132</v>
      </c>
      <c r="W287" t="s">
        <v>132</v>
      </c>
      <c r="X287" t="s">
        <v>5</v>
      </c>
      <c r="Y287">
        <f>_xlfn.IFNA(_xlfn.XLOOKUP(D287,[1]Especificação!$G:$G,[1]Especificação!$C:$C),0)</f>
        <v>0</v>
      </c>
    </row>
    <row r="288" spans="1:25" ht="15" hidden="1">
      <c r="A288" s="40" t="str">
        <f t="shared" si="4"/>
        <v>PROTECTION_PRTCTN_VL_PRVS</v>
      </c>
      <c r="B288" s="40"/>
      <c r="C288" t="s">
        <v>156</v>
      </c>
      <c r="D288" t="s">
        <v>468</v>
      </c>
      <c r="E288" t="s">
        <v>14</v>
      </c>
      <c r="F288" t="s">
        <v>38</v>
      </c>
      <c r="G288" t="s">
        <v>129</v>
      </c>
      <c r="H288" t="s">
        <v>130</v>
      </c>
      <c r="J288" t="s">
        <v>26</v>
      </c>
      <c r="K288" s="15">
        <v>45450</v>
      </c>
      <c r="L288" t="s">
        <v>38</v>
      </c>
      <c r="M288" t="str">
        <f>IF(COUNTIFS(PRO_LT_SCORECARD_FLEX_VALIDATIO!$K:$K, _xlfn.CONCAT(C288,D288), PRO_LT_SCORECARD_FLEX_VALIDATIO!$G:$G, "KO") &gt; 0, "NOK", "OK")</f>
        <v>OK</v>
      </c>
      <c r="Q288" t="s">
        <v>30</v>
      </c>
      <c r="R288" t="s">
        <v>131</v>
      </c>
      <c r="S288" t="s">
        <v>132</v>
      </c>
      <c r="T288" t="s">
        <v>132</v>
      </c>
      <c r="U288" t="s">
        <v>132</v>
      </c>
      <c r="V288" t="s">
        <v>132</v>
      </c>
      <c r="W288" t="s">
        <v>132</v>
      </c>
      <c r="X288" t="s">
        <v>5</v>
      </c>
      <c r="Y288">
        <f>_xlfn.IFNA(_xlfn.XLOOKUP(D288,[1]Especificação!$G:$G,[1]Especificação!$C:$C),0)</f>
        <v>0</v>
      </c>
    </row>
    <row r="289" spans="1:25" ht="15" hidden="1">
      <c r="A289" s="40" t="str">
        <f t="shared" si="4"/>
        <v>PROTECTION_PRTCTN_VLTN_APPRCH</v>
      </c>
      <c r="B289" s="40"/>
      <c r="C289" t="s">
        <v>156</v>
      </c>
      <c r="D289" t="s">
        <v>469</v>
      </c>
      <c r="E289" t="s">
        <v>14</v>
      </c>
      <c r="F289" t="s">
        <v>36</v>
      </c>
      <c r="G289" t="s">
        <v>145</v>
      </c>
      <c r="H289" t="s">
        <v>158</v>
      </c>
      <c r="J289" t="s">
        <v>29</v>
      </c>
      <c r="K289" s="15">
        <v>45450</v>
      </c>
      <c r="L289" t="s">
        <v>36</v>
      </c>
      <c r="M289" t="str">
        <f>IF(COUNTIFS(PRO_LT_SCORECARD_FLEX_VALIDATIO!$K:$K, _xlfn.CONCAT(C289,D289), PRO_LT_SCORECARD_FLEX_VALIDATIO!$G:$G, "KO") &gt; 0, "NOK", "OK")</f>
        <v>NOK</v>
      </c>
      <c r="Q289" t="s">
        <v>8</v>
      </c>
      <c r="R289" t="s">
        <v>131</v>
      </c>
      <c r="S289" t="s">
        <v>132</v>
      </c>
      <c r="T289" t="s">
        <v>132</v>
      </c>
      <c r="U289" t="s">
        <v>132</v>
      </c>
      <c r="V289" t="s">
        <v>132</v>
      </c>
      <c r="W289" t="s">
        <v>132</v>
      </c>
      <c r="X289" t="s">
        <v>5</v>
      </c>
      <c r="Y289">
        <f>_xlfn.IFNA(_xlfn.XLOOKUP(D289,[1]Especificação!$G:$G,[1]Especificação!$C:$C),0)</f>
        <v>0</v>
      </c>
    </row>
    <row r="290" spans="1:25" ht="15" hidden="1">
      <c r="A290" s="40" t="str">
        <f t="shared" si="4"/>
        <v>INSTRUMENT_PRVSNS_OFF_BLNC_SHT</v>
      </c>
      <c r="B290" s="40"/>
      <c r="C290" t="s">
        <v>127</v>
      </c>
      <c r="D290" t="s">
        <v>470</v>
      </c>
      <c r="E290" t="s">
        <v>14</v>
      </c>
      <c r="F290" t="s">
        <v>38</v>
      </c>
      <c r="G290" t="s">
        <v>129</v>
      </c>
      <c r="H290" t="s">
        <v>130</v>
      </c>
      <c r="J290" t="s">
        <v>26</v>
      </c>
      <c r="K290" s="15">
        <v>45450</v>
      </c>
      <c r="L290" t="s">
        <v>38</v>
      </c>
      <c r="M290" t="str">
        <f>IF(COUNTIFS(PRO_LT_SCORECARD_FLEX_VALIDATIO!$K:$K, _xlfn.CONCAT(C290,D290), PRO_LT_SCORECARD_FLEX_VALIDATIO!$G:$G, "KO") &gt; 0, "NOK", "OK")</f>
        <v>OK</v>
      </c>
      <c r="Q290" t="s">
        <v>30</v>
      </c>
      <c r="R290" t="s">
        <v>131</v>
      </c>
      <c r="S290" t="s">
        <v>131</v>
      </c>
      <c r="T290" t="s">
        <v>132</v>
      </c>
      <c r="U290" t="s">
        <v>132</v>
      </c>
      <c r="V290" t="s">
        <v>132</v>
      </c>
      <c r="W290" t="s">
        <v>132</v>
      </c>
      <c r="X290" t="s">
        <v>5</v>
      </c>
      <c r="Y290">
        <f>_xlfn.IFNA(_xlfn.XLOOKUP(D290,[1]Especificação!$G:$G,[1]Especificação!$C:$C),0)</f>
        <v>0</v>
      </c>
    </row>
    <row r="291" spans="1:25" ht="15" hidden="1">
      <c r="A291" s="40" t="str">
        <f t="shared" si="4"/>
        <v>INSTRUMENT_PYMNT_FRQNCY</v>
      </c>
      <c r="B291" s="40"/>
      <c r="C291" t="s">
        <v>127</v>
      </c>
      <c r="D291" s="11" t="s">
        <v>471</v>
      </c>
      <c r="E291" t="s">
        <v>14</v>
      </c>
      <c r="F291" t="s">
        <v>35</v>
      </c>
      <c r="G291" t="s">
        <v>129</v>
      </c>
      <c r="H291" t="s">
        <v>472</v>
      </c>
      <c r="I291" t="s">
        <v>473</v>
      </c>
      <c r="J291" t="s">
        <v>32</v>
      </c>
      <c r="K291" s="15">
        <v>45450</v>
      </c>
      <c r="L291" t="s">
        <v>35</v>
      </c>
      <c r="M291" t="str">
        <f>IF(COUNTIFS(PRO_LT_SCORECARD_FLEX_VALIDATIO!$K:$K, _xlfn.CONCAT(C291,D291), PRO_LT_SCORECARD_FLEX_VALIDATIO!$G:$G, "KO") &gt; 0, "NOK", "OK")</f>
        <v>OK</v>
      </c>
      <c r="Q291" t="s">
        <v>39</v>
      </c>
      <c r="R291" t="s">
        <v>131</v>
      </c>
      <c r="S291" t="s">
        <v>132</v>
      </c>
      <c r="T291" t="s">
        <v>132</v>
      </c>
      <c r="U291" t="s">
        <v>132</v>
      </c>
      <c r="V291" t="s">
        <v>132</v>
      </c>
      <c r="W291" t="s">
        <v>132</v>
      </c>
      <c r="X291" t="s">
        <v>5</v>
      </c>
      <c r="Y291">
        <f>_xlfn.IFNA(_xlfn.XLOOKUP(D291,[1]Especificação!$G:$G,[1]Especificação!$C:$C),0)</f>
        <v>0</v>
      </c>
    </row>
    <row r="292" spans="1:25" ht="15" hidden="1">
      <c r="A292" s="40" t="str">
        <f t="shared" si="4"/>
        <v>INSTRUMENT_PYMNT_INTRST_ONLY</v>
      </c>
      <c r="B292" s="40"/>
      <c r="C292" t="s">
        <v>127</v>
      </c>
      <c r="D292" s="11" t="s">
        <v>474</v>
      </c>
      <c r="E292" t="s">
        <v>14</v>
      </c>
      <c r="F292" t="s">
        <v>28</v>
      </c>
      <c r="G292" t="s">
        <v>145</v>
      </c>
      <c r="H292" t="s">
        <v>154</v>
      </c>
      <c r="I292" t="s">
        <v>475</v>
      </c>
      <c r="J292" t="s">
        <v>32</v>
      </c>
      <c r="K292" s="15">
        <v>45958</v>
      </c>
      <c r="L292" t="s">
        <v>38</v>
      </c>
      <c r="M292" t="str">
        <f>IF(COUNTIFS(PRO_LT_SCORECARD_FLEX_VALIDATIO!$K:$K, _xlfn.CONCAT(C292,D292), PRO_LT_SCORECARD_FLEX_VALIDATIO!$G:$G, "KO") &gt; 0, "NOK", "OK")</f>
        <v>NOK</v>
      </c>
      <c r="O292" s="15">
        <v>45958</v>
      </c>
      <c r="Q292" t="s">
        <v>39</v>
      </c>
      <c r="R292" t="s">
        <v>131</v>
      </c>
      <c r="S292" t="s">
        <v>132</v>
      </c>
      <c r="T292" t="s">
        <v>132</v>
      </c>
      <c r="U292" t="s">
        <v>132</v>
      </c>
      <c r="V292" t="s">
        <v>132</v>
      </c>
      <c r="W292" t="s">
        <v>131</v>
      </c>
      <c r="X292" t="s">
        <v>136</v>
      </c>
      <c r="Y292" t="str">
        <f>_xlfn.IFNA(_xlfn.XLOOKUP(D292,[1]Especificação!$G:$G,[1]Especificação!$C:$C),0)</f>
        <v xml:space="preserve">E. Campos com outras possíveis alterações - Dependente de decisões OSI </v>
      </c>
    </row>
    <row r="293" spans="1:25" ht="15" hidden="1">
      <c r="A293" s="40" t="str">
        <f t="shared" si="4"/>
        <v>INSTRUMENT_RCRS</v>
      </c>
      <c r="B293" s="40"/>
      <c r="C293" t="s">
        <v>127</v>
      </c>
      <c r="D293" t="s">
        <v>476</v>
      </c>
      <c r="E293" t="s">
        <v>14</v>
      </c>
      <c r="F293" t="s">
        <v>38</v>
      </c>
      <c r="G293" t="s">
        <v>129</v>
      </c>
      <c r="H293" t="s">
        <v>130</v>
      </c>
      <c r="J293" t="s">
        <v>26</v>
      </c>
      <c r="K293" s="15">
        <v>45450</v>
      </c>
      <c r="L293" t="s">
        <v>38</v>
      </c>
      <c r="M293" t="str">
        <f>IF(COUNTIFS(PRO_LT_SCORECARD_FLEX_VALIDATIO!$K:$K, _xlfn.CONCAT(C293,D293), PRO_LT_SCORECARD_FLEX_VALIDATIO!$G:$G, "KO") &gt; 0, "NOK", "OK")</f>
        <v>OK</v>
      </c>
      <c r="Q293" t="s">
        <v>30</v>
      </c>
      <c r="R293" t="s">
        <v>131</v>
      </c>
      <c r="S293" t="s">
        <v>132</v>
      </c>
      <c r="T293" t="s">
        <v>132</v>
      </c>
      <c r="U293" t="s">
        <v>132</v>
      </c>
      <c r="V293" t="s">
        <v>132</v>
      </c>
      <c r="W293" t="s">
        <v>132</v>
      </c>
      <c r="X293" t="s">
        <v>5</v>
      </c>
      <c r="Y293">
        <f>_xlfn.IFNA(_xlfn.XLOOKUP(D293,[1]Especificação!$G:$G,[1]Especificação!$C:$C),0)</f>
        <v>0</v>
      </c>
    </row>
    <row r="294" spans="1:25" ht="15" hidden="1">
      <c r="A294" s="40" t="str">
        <f t="shared" si="4"/>
        <v>INSTRUMENT_RCVD_AMRTSTN_12M</v>
      </c>
      <c r="B294" s="40"/>
      <c r="C294" t="s">
        <v>127</v>
      </c>
      <c r="D294" t="s">
        <v>477</v>
      </c>
      <c r="E294" t="s">
        <v>14</v>
      </c>
      <c r="F294" t="s">
        <v>36</v>
      </c>
      <c r="G294" t="s">
        <v>145</v>
      </c>
      <c r="H294" t="s">
        <v>158</v>
      </c>
      <c r="J294" t="s">
        <v>29</v>
      </c>
      <c r="K294" s="15">
        <v>45958</v>
      </c>
      <c r="L294" t="s">
        <v>38</v>
      </c>
      <c r="M294" t="str">
        <f>IF(COUNTIFS(PRO_LT_SCORECARD_FLEX_VALIDATIO!$K:$K, _xlfn.CONCAT(C294,D294), PRO_LT_SCORECARD_FLEX_VALIDATIO!$G:$G, "KO") &gt; 0, "NOK", "OK")</f>
        <v>NOK</v>
      </c>
      <c r="P294" s="15">
        <v>45958</v>
      </c>
      <c r="Q294" t="s">
        <v>8</v>
      </c>
      <c r="R294" t="s">
        <v>131</v>
      </c>
      <c r="S294" t="s">
        <v>132</v>
      </c>
      <c r="T294" t="s">
        <v>132</v>
      </c>
      <c r="U294" t="s">
        <v>132</v>
      </c>
      <c r="V294" t="s">
        <v>132</v>
      </c>
      <c r="W294" t="s">
        <v>131</v>
      </c>
      <c r="X294" t="s">
        <v>136</v>
      </c>
      <c r="Y294" t="str">
        <f>_xlfn.IFNA(_xlfn.XLOOKUP(D294,[1]Especificação!$G:$G,[1]Especificação!$C:$C),0)</f>
        <v>D. Campos com NOK controlos Corporativos</v>
      </c>
    </row>
    <row r="295" spans="1:25" ht="15" hidden="1">
      <c r="A295" s="40" t="str">
        <f t="shared" si="4"/>
        <v>INSTRUMENT_RCVD_AMRTSTN_24M</v>
      </c>
      <c r="B295" s="40"/>
      <c r="C295" t="s">
        <v>127</v>
      </c>
      <c r="D295" t="s">
        <v>478</v>
      </c>
      <c r="E295" t="s">
        <v>14</v>
      </c>
      <c r="F295" t="s">
        <v>38</v>
      </c>
      <c r="G295" t="s">
        <v>129</v>
      </c>
      <c r="H295" t="s">
        <v>130</v>
      </c>
      <c r="J295" t="s">
        <v>26</v>
      </c>
      <c r="K295" s="15">
        <v>45450</v>
      </c>
      <c r="L295" t="s">
        <v>38</v>
      </c>
      <c r="M295" t="str">
        <f>IF(COUNTIFS(PRO_LT_SCORECARD_FLEX_VALIDATIO!$K:$K, _xlfn.CONCAT(C295,D295), PRO_LT_SCORECARD_FLEX_VALIDATIO!$G:$G, "KO") &gt; 0, "NOK", "OK")</f>
        <v>NOK</v>
      </c>
      <c r="Q295" t="s">
        <v>30</v>
      </c>
      <c r="R295" t="s">
        <v>131</v>
      </c>
      <c r="S295" t="s">
        <v>132</v>
      </c>
      <c r="T295" t="s">
        <v>132</v>
      </c>
      <c r="U295" t="s">
        <v>132</v>
      </c>
      <c r="V295" t="s">
        <v>132</v>
      </c>
      <c r="W295" t="s">
        <v>131</v>
      </c>
      <c r="X295" t="s">
        <v>5</v>
      </c>
      <c r="Y295" t="str">
        <f>_xlfn.IFNA(_xlfn.XLOOKUP(D295,[1]Especificação!$G:$G,[1]Especificação!$C:$C),0)</f>
        <v>F1. Fora âmbito | Campos concluídos - Sem necessidade de espec.</v>
      </c>
    </row>
    <row r="296" spans="1:25" ht="15" hidden="1">
      <c r="A296" s="40" t="str">
        <f t="shared" si="4"/>
        <v>PROTECTION_DT_CNSTRCTN_STTS</v>
      </c>
      <c r="B296" s="40"/>
      <c r="C296" t="s">
        <v>156</v>
      </c>
      <c r="D296" s="11" t="s">
        <v>67</v>
      </c>
      <c r="E296" t="s">
        <v>6</v>
      </c>
      <c r="F296" t="s">
        <v>25</v>
      </c>
      <c r="G296" t="s">
        <v>145</v>
      </c>
      <c r="H296" t="s">
        <v>248</v>
      </c>
      <c r="I296" t="s">
        <v>479</v>
      </c>
      <c r="J296" t="s">
        <v>32</v>
      </c>
      <c r="K296" s="15">
        <v>45568</v>
      </c>
      <c r="L296" t="s">
        <v>25</v>
      </c>
      <c r="M296" t="str">
        <f>IF(COUNTIFS(PRO_LT_SCORECARD_FLEX_VALIDATIO!$K:$K, _xlfn.CONCAT(C296,D296), PRO_LT_SCORECARD_FLEX_VALIDATIO!$G:$G, "KO") &gt; 0, "NOK", "OK")</f>
        <v>NOK</v>
      </c>
      <c r="Q296" t="s">
        <v>24</v>
      </c>
      <c r="R296" t="s">
        <v>131</v>
      </c>
      <c r="S296" t="s">
        <v>132</v>
      </c>
      <c r="T296" t="s">
        <v>132</v>
      </c>
      <c r="U296" t="s">
        <v>132</v>
      </c>
      <c r="V296" t="s">
        <v>132</v>
      </c>
      <c r="W296" t="s">
        <v>132</v>
      </c>
      <c r="X296" t="s">
        <v>5</v>
      </c>
      <c r="Y296">
        <f>_xlfn.IFNA(_xlfn.XLOOKUP(D296,[1]Especificação!$G:$G,[1]Especificação!$C:$C),0)</f>
        <v>0</v>
      </c>
    </row>
    <row r="297" spans="1:25" ht="15" hidden="1">
      <c r="A297" s="40" t="str">
        <f t="shared" si="4"/>
        <v>INSTRUMENT_DFLT_STTS_INSTRMNT</v>
      </c>
      <c r="B297" s="40"/>
      <c r="C297" t="s">
        <v>127</v>
      </c>
      <c r="D297" s="11" t="s">
        <v>480</v>
      </c>
      <c r="E297" t="s">
        <v>14</v>
      </c>
      <c r="F297" t="s">
        <v>25</v>
      </c>
      <c r="G297" t="s">
        <v>145</v>
      </c>
      <c r="H297" t="s">
        <v>481</v>
      </c>
      <c r="J297" t="s">
        <v>32</v>
      </c>
      <c r="K297" s="15">
        <v>45957</v>
      </c>
      <c r="L297" t="s">
        <v>55</v>
      </c>
      <c r="M297" t="str">
        <f>IF(COUNTIFS(PRO_LT_SCORECARD_FLEX_VALIDATIO!$K:$K, _xlfn.CONCAT(C297,D297), PRO_LT_SCORECARD_FLEX_VALIDATIO!$G:$G, "KO") &gt; 0, "NOK", "OK")</f>
        <v>NOK</v>
      </c>
      <c r="O297" s="15">
        <v>45957</v>
      </c>
      <c r="P297" s="15"/>
      <c r="Q297" t="s">
        <v>24</v>
      </c>
      <c r="R297" t="s">
        <v>131</v>
      </c>
      <c r="S297" t="s">
        <v>131</v>
      </c>
      <c r="T297" t="s">
        <v>131</v>
      </c>
      <c r="U297" t="s">
        <v>132</v>
      </c>
      <c r="V297" t="s">
        <v>132</v>
      </c>
      <c r="W297" t="s">
        <v>131</v>
      </c>
      <c r="X297" t="s">
        <v>136</v>
      </c>
      <c r="Y297" t="str">
        <f>_xlfn.IFNA(_xlfn.XLOOKUP(D297,[1]Especificação!$G:$G,[1]Especificação!$C:$C),0)</f>
        <v>B2. Re-especificação de campos complexos - Resto</v>
      </c>
    </row>
    <row r="298" spans="1:25" ht="15" hidden="1">
      <c r="A298" s="40" t="str">
        <f t="shared" si="4"/>
        <v>INSTRUMENT_CMMTMNT_INSTRMNT</v>
      </c>
      <c r="B298" s="40"/>
      <c r="C298" t="s">
        <v>127</v>
      </c>
      <c r="D298" t="s">
        <v>482</v>
      </c>
      <c r="E298" t="s">
        <v>14</v>
      </c>
      <c r="F298" t="s">
        <v>25</v>
      </c>
      <c r="G298" t="s">
        <v>129</v>
      </c>
      <c r="H298" t="s">
        <v>483</v>
      </c>
      <c r="I298" t="s">
        <v>484</v>
      </c>
      <c r="J298" t="s">
        <v>29</v>
      </c>
      <c r="K298" s="15">
        <v>45450</v>
      </c>
      <c r="L298" t="s">
        <v>25</v>
      </c>
      <c r="M298" t="str">
        <f>IF(COUNTIFS(PRO_LT_SCORECARD_FLEX_VALIDATIO!$K:$K, _xlfn.CONCAT(C298,D298), PRO_LT_SCORECARD_FLEX_VALIDATIO!$G:$G, "KO") &gt; 0, "NOK", "OK")</f>
        <v>OK</v>
      </c>
      <c r="Q298" t="s">
        <v>13</v>
      </c>
      <c r="R298" t="s">
        <v>131</v>
      </c>
      <c r="S298" t="s">
        <v>132</v>
      </c>
      <c r="T298" t="s">
        <v>132</v>
      </c>
      <c r="U298" t="s">
        <v>132</v>
      </c>
      <c r="V298" t="s">
        <v>132</v>
      </c>
      <c r="W298" t="s">
        <v>132</v>
      </c>
      <c r="X298" t="s">
        <v>5</v>
      </c>
      <c r="Y298">
        <f>_xlfn.IFNA(_xlfn.XLOOKUP(D298,[1]Especificação!$G:$G,[1]Especificação!$C:$C),0)</f>
        <v>0</v>
      </c>
    </row>
    <row r="299" spans="1:25" ht="15" hidden="1">
      <c r="A299" s="40" t="str">
        <f t="shared" si="4"/>
        <v>INSTRUMENT_RFRNC_RT</v>
      </c>
      <c r="B299" s="40"/>
      <c r="C299" t="s">
        <v>127</v>
      </c>
      <c r="D299" t="s">
        <v>485</v>
      </c>
      <c r="E299" t="s">
        <v>6</v>
      </c>
      <c r="F299" t="s">
        <v>38</v>
      </c>
      <c r="G299" t="s">
        <v>129</v>
      </c>
      <c r="H299" t="s">
        <v>130</v>
      </c>
      <c r="J299" t="s">
        <v>26</v>
      </c>
      <c r="K299" s="15">
        <v>45450</v>
      </c>
      <c r="L299" t="s">
        <v>38</v>
      </c>
      <c r="M299" t="str">
        <f>IF(COUNTIFS(PRO_LT_SCORECARD_FLEX_VALIDATIO!$K:$K, _xlfn.CONCAT(C299,D299), PRO_LT_SCORECARD_FLEX_VALIDATIO!$G:$G, "KO") &gt; 0, "NOK", "OK")</f>
        <v>NOK</v>
      </c>
      <c r="Q299" t="s">
        <v>30</v>
      </c>
      <c r="R299" t="s">
        <v>131</v>
      </c>
      <c r="S299" t="s">
        <v>132</v>
      </c>
      <c r="T299" t="s">
        <v>132</v>
      </c>
      <c r="U299" t="s">
        <v>132</v>
      </c>
      <c r="V299" t="s">
        <v>132</v>
      </c>
      <c r="W299" t="s">
        <v>132</v>
      </c>
      <c r="X299" t="s">
        <v>5</v>
      </c>
      <c r="Y299">
        <f>_xlfn.IFNA(_xlfn.XLOOKUP(D299,[1]Especificação!$G:$G,[1]Especificação!$C:$C),0)</f>
        <v>0</v>
      </c>
    </row>
    <row r="300" spans="1:25" ht="15" hidden="1">
      <c r="A300" s="40" t="str">
        <f t="shared" si="4"/>
        <v>PROTECTION_RL_ESTT_ADDRSS</v>
      </c>
      <c r="B300" s="40"/>
      <c r="C300" t="s">
        <v>156</v>
      </c>
      <c r="D300" t="s">
        <v>486</v>
      </c>
      <c r="E300" t="s">
        <v>6</v>
      </c>
      <c r="F300" t="s">
        <v>36</v>
      </c>
      <c r="G300" t="s">
        <v>145</v>
      </c>
      <c r="H300" t="s">
        <v>158</v>
      </c>
      <c r="J300" t="s">
        <v>29</v>
      </c>
      <c r="K300" s="15">
        <v>45450</v>
      </c>
      <c r="L300" t="s">
        <v>36</v>
      </c>
      <c r="M300" t="str">
        <f>IF(COUNTIFS(PRO_LT_SCORECARD_FLEX_VALIDATIO!$K:$K, _xlfn.CONCAT(C300,D300), PRO_LT_SCORECARD_FLEX_VALIDATIO!$G:$G, "KO") &gt; 0, "NOK", "OK")</f>
        <v>OK</v>
      </c>
      <c r="Q300" t="s">
        <v>8</v>
      </c>
      <c r="R300" t="s">
        <v>131</v>
      </c>
      <c r="S300" t="s">
        <v>132</v>
      </c>
      <c r="T300" t="s">
        <v>132</v>
      </c>
      <c r="U300" t="s">
        <v>132</v>
      </c>
      <c r="V300" t="s">
        <v>131</v>
      </c>
      <c r="W300" t="s">
        <v>132</v>
      </c>
      <c r="X300" t="s">
        <v>5</v>
      </c>
      <c r="Y300">
        <f>_xlfn.IFNA(_xlfn.XLOOKUP(D300,[1]Especificação!$G:$G,[1]Especificação!$C:$C),0)</f>
        <v>0</v>
      </c>
    </row>
    <row r="301" spans="1:25" ht="15" hidden="1">
      <c r="A301" s="40" t="str">
        <f t="shared" si="4"/>
        <v>INSTRUMENT_CMLTV_RCVRS_SNC_DFLT_INSTRMNT</v>
      </c>
      <c r="B301" s="40"/>
      <c r="C301" t="s">
        <v>127</v>
      </c>
      <c r="D301" t="s">
        <v>487</v>
      </c>
      <c r="E301" t="s">
        <v>14</v>
      </c>
      <c r="F301" t="s">
        <v>25</v>
      </c>
      <c r="G301" t="s">
        <v>129</v>
      </c>
      <c r="H301" t="s">
        <v>164</v>
      </c>
      <c r="J301" t="s">
        <v>29</v>
      </c>
      <c r="K301" s="15">
        <v>45450</v>
      </c>
      <c r="L301" t="s">
        <v>25</v>
      </c>
      <c r="M301" t="str">
        <f>IF(COUNTIFS(PRO_LT_SCORECARD_FLEX_VALIDATIO!$K:$K, _xlfn.CONCAT(C301,D301), PRO_LT_SCORECARD_FLEX_VALIDATIO!$G:$G, "KO") &gt; 0, "NOK", "OK")</f>
        <v>OK</v>
      </c>
      <c r="Q301" t="s">
        <v>27</v>
      </c>
      <c r="R301" t="s">
        <v>131</v>
      </c>
      <c r="S301" t="s">
        <v>132</v>
      </c>
      <c r="T301" t="s">
        <v>132</v>
      </c>
      <c r="U301" t="s">
        <v>132</v>
      </c>
      <c r="V301" t="s">
        <v>132</v>
      </c>
      <c r="W301" t="s">
        <v>132</v>
      </c>
      <c r="X301" t="s">
        <v>5</v>
      </c>
      <c r="Y301">
        <f>_xlfn.IFNA(_xlfn.XLOOKUP(D301,[1]Especificação!$G:$G,[1]Especificação!$C:$C),0)</f>
        <v>0</v>
      </c>
    </row>
    <row r="302" spans="1:25" ht="15" hidden="1">
      <c r="A302" s="40" t="str">
        <f t="shared" si="4"/>
        <v>PROTECTION_RL_ESTT_CLLTRL_LCTN_INT</v>
      </c>
      <c r="B302" s="40"/>
      <c r="C302" t="s">
        <v>156</v>
      </c>
      <c r="D302" t="s">
        <v>488</v>
      </c>
      <c r="E302" t="s">
        <v>6</v>
      </c>
      <c r="F302" t="s">
        <v>36</v>
      </c>
      <c r="G302" t="s">
        <v>145</v>
      </c>
      <c r="H302" t="s">
        <v>158</v>
      </c>
      <c r="J302" t="s">
        <v>29</v>
      </c>
      <c r="K302" s="15">
        <v>45450</v>
      </c>
      <c r="L302" t="s">
        <v>36</v>
      </c>
      <c r="M302" t="str">
        <f>IF(COUNTIFS(PRO_LT_SCORECARD_FLEX_VALIDATIO!$K:$K, _xlfn.CONCAT(C302,D302), PRO_LT_SCORECARD_FLEX_VALIDATIO!$G:$G, "KO") &gt; 0, "NOK", "OK")</f>
        <v>OK</v>
      </c>
      <c r="Q302" t="s">
        <v>8</v>
      </c>
      <c r="R302" t="s">
        <v>131</v>
      </c>
      <c r="S302" t="s">
        <v>132</v>
      </c>
      <c r="T302" t="s">
        <v>132</v>
      </c>
      <c r="U302" t="s">
        <v>132</v>
      </c>
      <c r="V302" t="s">
        <v>131</v>
      </c>
      <c r="W302" t="s">
        <v>132</v>
      </c>
      <c r="X302" t="s">
        <v>5</v>
      </c>
      <c r="Y302">
        <f>_xlfn.IFNA(_xlfn.XLOOKUP(D302,[1]Especificação!$G:$G,[1]Especificação!$C:$C),0)</f>
        <v>0</v>
      </c>
    </row>
    <row r="303" spans="1:25" ht="15" hidden="1">
      <c r="A303" s="40" t="str">
        <f t="shared" si="4"/>
        <v>PROTECTION_RL_ESTT_CTY</v>
      </c>
      <c r="B303" s="40"/>
      <c r="C303" t="s">
        <v>156</v>
      </c>
      <c r="D303" t="s">
        <v>489</v>
      </c>
      <c r="E303" t="s">
        <v>6</v>
      </c>
      <c r="F303" t="s">
        <v>36</v>
      </c>
      <c r="G303" t="s">
        <v>145</v>
      </c>
      <c r="H303" t="s">
        <v>158</v>
      </c>
      <c r="J303" t="s">
        <v>29</v>
      </c>
      <c r="K303" s="15">
        <v>45450</v>
      </c>
      <c r="L303" t="s">
        <v>36</v>
      </c>
      <c r="M303" t="str">
        <f>IF(COUNTIFS(PRO_LT_SCORECARD_FLEX_VALIDATIO!$K:$K, _xlfn.CONCAT(C303,D303), PRO_LT_SCORECARD_FLEX_VALIDATIO!$G:$G, "KO") &gt; 0, "NOK", "OK")</f>
        <v>OK</v>
      </c>
      <c r="Q303" t="s">
        <v>8</v>
      </c>
      <c r="R303" t="s">
        <v>131</v>
      </c>
      <c r="S303" t="s">
        <v>132</v>
      </c>
      <c r="T303" t="s">
        <v>132</v>
      </c>
      <c r="U303" t="s">
        <v>132</v>
      </c>
      <c r="V303" t="s">
        <v>131</v>
      </c>
      <c r="W303" t="s">
        <v>132</v>
      </c>
      <c r="X303" t="s">
        <v>5</v>
      </c>
      <c r="Y303">
        <f>_xlfn.IFNA(_xlfn.XLOOKUP(D303,[1]Especificação!$G:$G,[1]Especificação!$C:$C),0)</f>
        <v>0</v>
      </c>
    </row>
    <row r="304" spans="1:25" ht="15" hidden="1">
      <c r="A304" s="40" t="str">
        <f t="shared" si="4"/>
        <v>PROTECTION_RL_ESTT_PST_CD</v>
      </c>
      <c r="B304" s="40"/>
      <c r="C304" t="s">
        <v>156</v>
      </c>
      <c r="D304" t="s">
        <v>490</v>
      </c>
      <c r="E304" t="s">
        <v>14</v>
      </c>
      <c r="F304" t="s">
        <v>36</v>
      </c>
      <c r="G304" t="s">
        <v>145</v>
      </c>
      <c r="H304" t="s">
        <v>158</v>
      </c>
      <c r="J304" t="s">
        <v>29</v>
      </c>
      <c r="K304" s="15">
        <v>45450</v>
      </c>
      <c r="L304" t="s">
        <v>36</v>
      </c>
      <c r="M304" t="str">
        <f>IF(COUNTIFS(PRO_LT_SCORECARD_FLEX_VALIDATIO!$K:$K, _xlfn.CONCAT(C304,D304), PRO_LT_SCORECARD_FLEX_VALIDATIO!$G:$G, "KO") &gt; 0, "NOK", "OK")</f>
        <v>OK</v>
      </c>
      <c r="Q304" t="s">
        <v>8</v>
      </c>
      <c r="R304" t="s">
        <v>131</v>
      </c>
      <c r="S304" t="s">
        <v>132</v>
      </c>
      <c r="T304" t="s">
        <v>131</v>
      </c>
      <c r="U304" t="s">
        <v>132</v>
      </c>
      <c r="V304" t="s">
        <v>131</v>
      </c>
      <c r="W304" t="s">
        <v>132</v>
      </c>
      <c r="X304" t="s">
        <v>5</v>
      </c>
      <c r="Y304">
        <f>_xlfn.IFNA(_xlfn.XLOOKUP(D304,[1]Especificação!$G:$G,[1]Especificação!$C:$C),0)</f>
        <v>0</v>
      </c>
    </row>
    <row r="305" spans="1:25" ht="15" hidden="1">
      <c r="A305" s="40" t="str">
        <f t="shared" si="4"/>
        <v>INSTRUMENT_RRE_FNRP18</v>
      </c>
      <c r="B305" s="40"/>
      <c r="C305" t="s">
        <v>127</v>
      </c>
      <c r="D305" t="s">
        <v>491</v>
      </c>
      <c r="E305" t="s">
        <v>6</v>
      </c>
      <c r="F305" t="s">
        <v>38</v>
      </c>
      <c r="G305" t="s">
        <v>129</v>
      </c>
      <c r="H305" t="s">
        <v>130</v>
      </c>
      <c r="J305" t="s">
        <v>26</v>
      </c>
      <c r="K305" s="15">
        <v>45952</v>
      </c>
      <c r="L305" t="s">
        <v>38</v>
      </c>
      <c r="M305" t="str">
        <f>IF(COUNTIFS(PRO_LT_SCORECARD_FLEX_VALIDATIO!$K:$K, _xlfn.CONCAT(C305,D305), PRO_LT_SCORECARD_FLEX_VALIDATIO!$G:$G, "KO") &gt; 0, "NOK", "OK")</f>
        <v>OK</v>
      </c>
      <c r="P305" s="15">
        <v>45952</v>
      </c>
      <c r="Q305" t="s">
        <v>30</v>
      </c>
      <c r="R305" t="s">
        <v>131</v>
      </c>
      <c r="S305" t="s">
        <v>132</v>
      </c>
      <c r="T305" t="s">
        <v>132</v>
      </c>
      <c r="U305" t="s">
        <v>132</v>
      </c>
      <c r="V305" t="s">
        <v>132</v>
      </c>
      <c r="W305" t="s">
        <v>132</v>
      </c>
      <c r="X305" t="s">
        <v>5</v>
      </c>
      <c r="Y305">
        <f>_xlfn.IFNA(_xlfn.XLOOKUP(D305,[1]Especificação!$G:$G,[1]Especificação!$C:$C),0)</f>
        <v>0</v>
      </c>
    </row>
    <row r="306" spans="1:25" ht="15" hidden="1">
      <c r="A306" s="40" t="str">
        <f t="shared" si="4"/>
        <v>ENTITY_RTNG_MTHD</v>
      </c>
      <c r="B306" s="40"/>
      <c r="C306" t="s">
        <v>139</v>
      </c>
      <c r="D306" s="10" t="s">
        <v>492</v>
      </c>
      <c r="E306" t="s">
        <v>14</v>
      </c>
      <c r="F306" t="s">
        <v>33</v>
      </c>
      <c r="G306" t="s">
        <v>145</v>
      </c>
      <c r="H306" t="s">
        <v>262</v>
      </c>
      <c r="J306" t="s">
        <v>32</v>
      </c>
      <c r="K306" s="15">
        <v>45958</v>
      </c>
      <c r="L306" t="s">
        <v>38</v>
      </c>
      <c r="M306" t="str">
        <f>IF(COUNTIFS(PRO_LT_SCORECARD_FLEX_VALIDATIO!$K:$K, _xlfn.CONCAT(C306,D306), PRO_LT_SCORECARD_FLEX_VALIDATIO!$G:$G, "KO") &gt; 0, "NOK", "OK")</f>
        <v>NOK</v>
      </c>
      <c r="O306" s="15"/>
      <c r="P306" s="15">
        <v>45958</v>
      </c>
      <c r="Q306" t="s">
        <v>34</v>
      </c>
      <c r="R306" t="s">
        <v>131</v>
      </c>
      <c r="S306" t="s">
        <v>132</v>
      </c>
      <c r="T306" t="s">
        <v>132</v>
      </c>
      <c r="U306" t="s">
        <v>132</v>
      </c>
      <c r="V306" t="s">
        <v>132</v>
      </c>
      <c r="W306" t="s">
        <v>131</v>
      </c>
      <c r="X306" t="s">
        <v>136</v>
      </c>
      <c r="Y306" t="str">
        <f>_xlfn.IFNA(_xlfn.XLOOKUP(D306,[1]Especificação!$G:$G,[1]Especificação!$C:$C),0)</f>
        <v>C. Campos em testes ou c/ incidências</v>
      </c>
    </row>
    <row r="307" spans="1:25" ht="15" hidden="1">
      <c r="A307" s="40" t="str">
        <f t="shared" si="4"/>
        <v>INSTRUMENT_RTNG_MTHD</v>
      </c>
      <c r="B307" s="40"/>
      <c r="C307" t="s">
        <v>127</v>
      </c>
      <c r="D307" s="10" t="s">
        <v>492</v>
      </c>
      <c r="E307" t="s">
        <v>14</v>
      </c>
      <c r="F307" t="s">
        <v>33</v>
      </c>
      <c r="G307" t="s">
        <v>145</v>
      </c>
      <c r="H307" t="s">
        <v>262</v>
      </c>
      <c r="J307" t="s">
        <v>32</v>
      </c>
      <c r="K307" s="15">
        <v>45958</v>
      </c>
      <c r="L307" t="s">
        <v>38</v>
      </c>
      <c r="M307" t="str">
        <f>IF(COUNTIFS(PRO_LT_SCORECARD_FLEX_VALIDATIO!$K:$K, _xlfn.CONCAT(C307,D307), PRO_LT_SCORECARD_FLEX_VALIDATIO!$G:$G, "KO") &gt; 0, "NOK", "OK")</f>
        <v>NOK</v>
      </c>
      <c r="O307" s="15"/>
      <c r="P307" s="15">
        <v>45958</v>
      </c>
      <c r="Q307" t="s">
        <v>34</v>
      </c>
      <c r="R307" t="s">
        <v>131</v>
      </c>
      <c r="S307" t="s">
        <v>132</v>
      </c>
      <c r="T307" t="s">
        <v>132</v>
      </c>
      <c r="U307" t="s">
        <v>132</v>
      </c>
      <c r="V307" t="s">
        <v>132</v>
      </c>
      <c r="W307" t="s">
        <v>131</v>
      </c>
      <c r="X307" t="s">
        <v>136</v>
      </c>
      <c r="Y307" t="str">
        <f>_xlfn.IFNA(_xlfn.XLOOKUP(D307,[1]Especificação!$G:$G,[1]Especificação!$C:$C),0)</f>
        <v>C. Campos em testes ou c/ incidências</v>
      </c>
    </row>
    <row r="308" spans="1:25" ht="15" hidden="1">
      <c r="A308" s="40" t="str">
        <f t="shared" si="4"/>
        <v>ENTITY_RTNG_SCL</v>
      </c>
      <c r="B308" s="40"/>
      <c r="C308" t="s">
        <v>139</v>
      </c>
      <c r="D308" t="s">
        <v>493</v>
      </c>
      <c r="E308" t="s">
        <v>14</v>
      </c>
      <c r="F308" t="s">
        <v>38</v>
      </c>
      <c r="G308" t="s">
        <v>129</v>
      </c>
      <c r="H308" t="s">
        <v>130</v>
      </c>
      <c r="J308" t="s">
        <v>26</v>
      </c>
      <c r="K308" s="15">
        <v>45958</v>
      </c>
      <c r="L308" t="s">
        <v>38</v>
      </c>
      <c r="M308" t="str">
        <f>IF(COUNTIFS(PRO_LT_SCORECARD_FLEX_VALIDATIO!$K:$K, _xlfn.CONCAT(C308,D308), PRO_LT_SCORECARD_FLEX_VALIDATIO!$G:$G, "KO") &gt; 0, "NOK", "OK")</f>
        <v>OK</v>
      </c>
      <c r="P308" s="15">
        <v>45958</v>
      </c>
      <c r="Q308" t="s">
        <v>30</v>
      </c>
      <c r="R308" t="s">
        <v>131</v>
      </c>
      <c r="S308" t="s">
        <v>132</v>
      </c>
      <c r="T308" t="s">
        <v>132</v>
      </c>
      <c r="U308" t="s">
        <v>132</v>
      </c>
      <c r="V308" t="s">
        <v>132</v>
      </c>
      <c r="W308" t="s">
        <v>131</v>
      </c>
      <c r="X308" t="s">
        <v>5</v>
      </c>
      <c r="Y308" t="str">
        <f>_xlfn.IFNA(_xlfn.XLOOKUP(D308,[1]Especificação!$G:$G,[1]Especificação!$C:$C),0)</f>
        <v>B2. Re-especificação de campos complexos - Resto</v>
      </c>
    </row>
    <row r="309" spans="1:25" ht="15" hidden="1">
      <c r="A309" s="40" t="str">
        <f t="shared" si="4"/>
        <v>INSTRUMENT_RTNG_SCL</v>
      </c>
      <c r="B309" s="40"/>
      <c r="C309" t="s">
        <v>127</v>
      </c>
      <c r="D309" t="s">
        <v>493</v>
      </c>
      <c r="E309" t="s">
        <v>14</v>
      </c>
      <c r="F309" t="s">
        <v>38</v>
      </c>
      <c r="G309" t="s">
        <v>129</v>
      </c>
      <c r="H309" t="s">
        <v>130</v>
      </c>
      <c r="J309" t="s">
        <v>26</v>
      </c>
      <c r="K309" s="15">
        <v>45958</v>
      </c>
      <c r="L309" t="s">
        <v>38</v>
      </c>
      <c r="M309" t="str">
        <f>IF(COUNTIFS(PRO_LT_SCORECARD_FLEX_VALIDATIO!$K:$K, _xlfn.CONCAT(C309,D309), PRO_LT_SCORECARD_FLEX_VALIDATIO!$G:$G, "KO") &gt; 0, "NOK", "OK")</f>
        <v>OK</v>
      </c>
      <c r="P309" s="15">
        <v>45958</v>
      </c>
      <c r="Q309" t="s">
        <v>30</v>
      </c>
      <c r="R309" t="s">
        <v>131</v>
      </c>
      <c r="S309" t="s">
        <v>132</v>
      </c>
      <c r="T309" t="s">
        <v>132</v>
      </c>
      <c r="U309" t="s">
        <v>132</v>
      </c>
      <c r="V309" t="s">
        <v>132</v>
      </c>
      <c r="W309" t="s">
        <v>131</v>
      </c>
      <c r="X309" t="s">
        <v>5</v>
      </c>
      <c r="Y309" t="str">
        <f>_xlfn.IFNA(_xlfn.XLOOKUP(D309,[1]Especificação!$G:$G,[1]Especificação!$C:$C),0)</f>
        <v>B2. Re-especificação de campos complexos - Resto</v>
      </c>
    </row>
    <row r="310" spans="1:25" ht="15" hidden="1">
      <c r="A310" s="40" t="str">
        <f t="shared" si="4"/>
        <v>INSTRUMENT_RTNTN_SHR</v>
      </c>
      <c r="B310" s="40"/>
      <c r="C310" t="s">
        <v>127</v>
      </c>
      <c r="D310" t="s">
        <v>494</v>
      </c>
      <c r="E310" t="s">
        <v>6</v>
      </c>
      <c r="F310" t="s">
        <v>56</v>
      </c>
      <c r="G310" t="s">
        <v>129</v>
      </c>
      <c r="H310" t="s">
        <v>319</v>
      </c>
      <c r="I310" t="s">
        <v>320</v>
      </c>
      <c r="J310" t="s">
        <v>29</v>
      </c>
      <c r="K310" s="15">
        <v>45953</v>
      </c>
      <c r="L310" t="s">
        <v>38</v>
      </c>
      <c r="M310" t="str">
        <f>IF(COUNTIFS(PRO_LT_SCORECARD_FLEX_VALIDATIO!$K:$K, _xlfn.CONCAT(C310,D310), PRO_LT_SCORECARD_FLEX_VALIDATIO!$G:$G, "KO") &gt; 0, "NOK", "OK")</f>
        <v>OK</v>
      </c>
      <c r="P310" s="15">
        <v>45952</v>
      </c>
      <c r="Q310" t="s">
        <v>13</v>
      </c>
      <c r="R310" t="s">
        <v>131</v>
      </c>
      <c r="S310" t="s">
        <v>132</v>
      </c>
      <c r="T310" t="s">
        <v>132</v>
      </c>
      <c r="U310" t="s">
        <v>132</v>
      </c>
      <c r="V310" t="s">
        <v>132</v>
      </c>
      <c r="W310" t="s">
        <v>131</v>
      </c>
      <c r="X310" t="s">
        <v>136</v>
      </c>
      <c r="Y310" t="str">
        <f>_xlfn.IFNA(_xlfn.XLOOKUP(D310,[1]Especificação!$G:$G,[1]Especificação!$C:$C),0)</f>
        <v>B1. Re-especificação de campos complexos | Sindicados</v>
      </c>
    </row>
    <row r="311" spans="1:25" ht="15" hidden="1">
      <c r="A311" s="40" t="str">
        <f t="shared" si="4"/>
        <v>INSTRUMENT_RWA</v>
      </c>
      <c r="B311" s="40"/>
      <c r="C311" t="s">
        <v>127</v>
      </c>
      <c r="D311" s="10" t="s">
        <v>495</v>
      </c>
      <c r="E311" t="s">
        <v>14</v>
      </c>
      <c r="F311" t="s">
        <v>33</v>
      </c>
      <c r="G311" t="s">
        <v>129</v>
      </c>
      <c r="H311" t="s">
        <v>290</v>
      </c>
      <c r="J311" t="s">
        <v>32</v>
      </c>
      <c r="K311" s="15">
        <v>45958</v>
      </c>
      <c r="L311" t="s">
        <v>38</v>
      </c>
      <c r="M311" t="str">
        <f>IF(COUNTIFS(PRO_LT_SCORECARD_FLEX_VALIDATIO!$K:$K, _xlfn.CONCAT(C311,D311), PRO_LT_SCORECARD_FLEX_VALIDATIO!$G:$G, "KO") &gt; 0, "NOK", "OK")</f>
        <v>OK</v>
      </c>
      <c r="O311" s="15"/>
      <c r="P311" s="15">
        <v>45958</v>
      </c>
      <c r="Q311" t="s">
        <v>24</v>
      </c>
      <c r="R311" t="s">
        <v>131</v>
      </c>
      <c r="S311" t="s">
        <v>131</v>
      </c>
      <c r="T311" t="s">
        <v>132</v>
      </c>
      <c r="U311" t="s">
        <v>132</v>
      </c>
      <c r="V311" t="s">
        <v>132</v>
      </c>
      <c r="W311" t="s">
        <v>131</v>
      </c>
      <c r="X311" t="s">
        <v>136</v>
      </c>
      <c r="Y311" t="str">
        <f>_xlfn.IFNA(_xlfn.XLOOKUP(D311,[1]Especificação!$G:$G,[1]Especificação!$C:$C),0)</f>
        <v>C. Campos em testes ou c/ incidências</v>
      </c>
    </row>
    <row r="312" spans="1:25" ht="15" hidden="1">
      <c r="A312" s="40" t="str">
        <f t="shared" si="4"/>
        <v>INSTRUMENT_DT_LGL_FNL_MTRTY</v>
      </c>
      <c r="B312" s="40"/>
      <c r="C312" t="s">
        <v>127</v>
      </c>
      <c r="D312" s="10" t="s">
        <v>496</v>
      </c>
      <c r="E312" t="s">
        <v>14</v>
      </c>
      <c r="F312" t="s">
        <v>35</v>
      </c>
      <c r="G312" t="s">
        <v>145</v>
      </c>
      <c r="H312" s="76" t="s">
        <v>497</v>
      </c>
      <c r="I312" t="s">
        <v>498</v>
      </c>
      <c r="J312" t="s">
        <v>32</v>
      </c>
      <c r="K312" s="15">
        <v>45958</v>
      </c>
      <c r="L312" t="s">
        <v>38</v>
      </c>
      <c r="M312" t="str">
        <f>IF(COUNTIFS(PRO_LT_SCORECARD_FLEX_VALIDATIO!$K:$K, _xlfn.CONCAT(C312,D312), PRO_LT_SCORECARD_FLEX_VALIDATIO!$G:$G, "KO") &gt; 0, "NOK", "OK")</f>
        <v>NOK</v>
      </c>
      <c r="O312" s="15"/>
      <c r="P312" s="15">
        <v>45958</v>
      </c>
      <c r="Q312" t="s">
        <v>24</v>
      </c>
      <c r="R312" t="s">
        <v>131</v>
      </c>
      <c r="S312" t="s">
        <v>132</v>
      </c>
      <c r="T312" t="s">
        <v>131</v>
      </c>
      <c r="U312" t="s">
        <v>132</v>
      </c>
      <c r="V312" t="s">
        <v>132</v>
      </c>
      <c r="W312" t="s">
        <v>131</v>
      </c>
      <c r="X312" t="s">
        <v>136</v>
      </c>
      <c r="Y312" t="str">
        <f>_xlfn.IFNA(_xlfn.XLOOKUP(D312,[1]Especificação!$G:$G,[1]Especificação!$C:$C),0)</f>
        <v>C. Campos em testes ou c/ incidências</v>
      </c>
    </row>
    <row r="313" spans="1:25" ht="15" hidden="1">
      <c r="A313" s="40" t="str">
        <f t="shared" si="4"/>
        <v>INSTRUMENT_SBJCT_PBLC_GRNT_SCHM_C19</v>
      </c>
      <c r="B313" s="40"/>
      <c r="C313" t="s">
        <v>127</v>
      </c>
      <c r="D313" t="s">
        <v>499</v>
      </c>
      <c r="E313" t="s">
        <v>6</v>
      </c>
      <c r="F313" t="s">
        <v>38</v>
      </c>
      <c r="G313" t="s">
        <v>129</v>
      </c>
      <c r="H313" t="s">
        <v>130</v>
      </c>
      <c r="J313" t="s">
        <v>26</v>
      </c>
      <c r="K313" s="15">
        <v>45450</v>
      </c>
      <c r="L313" t="s">
        <v>38</v>
      </c>
      <c r="M313" t="str">
        <f>IF(COUNTIFS(PRO_LT_SCORECARD_FLEX_VALIDATIO!$K:$K, _xlfn.CONCAT(C313,D313), PRO_LT_SCORECARD_FLEX_VALIDATIO!$G:$G, "KO") &gt; 0, "NOK", "OK")</f>
        <v>OK</v>
      </c>
      <c r="Q313" t="s">
        <v>30</v>
      </c>
      <c r="R313" t="s">
        <v>131</v>
      </c>
      <c r="S313" t="s">
        <v>132</v>
      </c>
      <c r="T313" t="s">
        <v>132</v>
      </c>
      <c r="U313" t="s">
        <v>132</v>
      </c>
      <c r="V313" t="s">
        <v>132</v>
      </c>
      <c r="W313" t="s">
        <v>132</v>
      </c>
      <c r="X313" t="s">
        <v>5</v>
      </c>
      <c r="Y313">
        <f>_xlfn.IFNA(_xlfn.XLOOKUP(D313,[1]Especificação!$G:$G,[1]Especificação!$C:$C),0)</f>
        <v>0</v>
      </c>
    </row>
    <row r="314" spans="1:25" ht="15" hidden="1">
      <c r="A314" s="40" t="str">
        <f t="shared" si="4"/>
        <v>INSTRUMENT_DT_NXT_INTRST_RT_RST</v>
      </c>
      <c r="B314" s="40"/>
      <c r="C314" t="s">
        <v>127</v>
      </c>
      <c r="D314" s="10" t="s">
        <v>500</v>
      </c>
      <c r="E314" t="s">
        <v>14</v>
      </c>
      <c r="F314" t="s">
        <v>35</v>
      </c>
      <c r="G314" t="s">
        <v>145</v>
      </c>
      <c r="H314" t="s">
        <v>501</v>
      </c>
      <c r="I314" t="s">
        <v>502</v>
      </c>
      <c r="J314" t="s">
        <v>32</v>
      </c>
      <c r="K314" s="15">
        <v>45450</v>
      </c>
      <c r="L314" t="s">
        <v>35</v>
      </c>
      <c r="M314" t="str">
        <f>IF(COUNTIFS(PRO_LT_SCORECARD_FLEX_VALIDATIO!$K:$K, _xlfn.CONCAT(C314,D314), PRO_LT_SCORECARD_FLEX_VALIDATIO!$G:$G, "KO") &gt; 0, "NOK", "OK")</f>
        <v>NOK</v>
      </c>
      <c r="Q314" t="s">
        <v>24</v>
      </c>
      <c r="R314" t="s">
        <v>131</v>
      </c>
      <c r="S314" t="s">
        <v>132</v>
      </c>
      <c r="T314" t="s">
        <v>132</v>
      </c>
      <c r="U314" t="s">
        <v>132</v>
      </c>
      <c r="V314" t="s">
        <v>132</v>
      </c>
      <c r="W314" t="s">
        <v>132</v>
      </c>
      <c r="X314" t="s">
        <v>5</v>
      </c>
      <c r="Y314">
        <f>_xlfn.IFNA(_xlfn.XLOOKUP(D314,[1]Especificação!$G:$G,[1]Especificação!$C:$C),0)</f>
        <v>0</v>
      </c>
    </row>
    <row r="315" spans="1:25" ht="15" hidden="1">
      <c r="A315" s="40" t="str">
        <f t="shared" si="4"/>
        <v>INSTRUMENT_SME_FNRP18</v>
      </c>
      <c r="B315" s="40"/>
      <c r="C315" t="s">
        <v>127</v>
      </c>
      <c r="D315" t="s">
        <v>503</v>
      </c>
      <c r="E315" t="s">
        <v>14</v>
      </c>
      <c r="F315" t="s">
        <v>38</v>
      </c>
      <c r="G315" t="s">
        <v>129</v>
      </c>
      <c r="H315" t="s">
        <v>130</v>
      </c>
      <c r="J315" t="s">
        <v>26</v>
      </c>
      <c r="K315" s="15">
        <v>45952</v>
      </c>
      <c r="L315" t="s">
        <v>38</v>
      </c>
      <c r="M315" t="str">
        <f>IF(COUNTIFS(PRO_LT_SCORECARD_FLEX_VALIDATIO!$K:$K, _xlfn.CONCAT(C315,D315), PRO_LT_SCORECARD_FLEX_VALIDATIO!$G:$G, "KO") &gt; 0, "NOK", "OK")</f>
        <v>OK</v>
      </c>
      <c r="P315" s="15">
        <v>45952</v>
      </c>
      <c r="Q315" t="s">
        <v>30</v>
      </c>
      <c r="R315" t="s">
        <v>131</v>
      </c>
      <c r="S315" t="s">
        <v>132</v>
      </c>
      <c r="T315" t="s">
        <v>132</v>
      </c>
      <c r="U315" t="s">
        <v>132</v>
      </c>
      <c r="V315" t="s">
        <v>132</v>
      </c>
      <c r="W315" t="s">
        <v>132</v>
      </c>
      <c r="X315" t="s">
        <v>5</v>
      </c>
      <c r="Y315">
        <f>_xlfn.IFNA(_xlfn.XLOOKUP(D315,[1]Especificação!$G:$G,[1]Especificação!$C:$C),0)</f>
        <v>0</v>
      </c>
    </row>
    <row r="316" spans="1:25" ht="15" hidden="1">
      <c r="A316" s="40" t="str">
        <f t="shared" si="4"/>
        <v>ENTITY_SNGL_PRPS_VHCL</v>
      </c>
      <c r="B316" s="40"/>
      <c r="C316" t="s">
        <v>139</v>
      </c>
      <c r="D316" t="s">
        <v>504</v>
      </c>
      <c r="E316" t="s">
        <v>6</v>
      </c>
      <c r="F316" t="s">
        <v>38</v>
      </c>
      <c r="G316" t="s">
        <v>129</v>
      </c>
      <c r="H316" t="s">
        <v>130</v>
      </c>
      <c r="J316" t="s">
        <v>26</v>
      </c>
      <c r="K316" s="15">
        <v>45450</v>
      </c>
      <c r="L316" t="s">
        <v>38</v>
      </c>
      <c r="M316" t="str">
        <f>IF(COUNTIFS(PRO_LT_SCORECARD_FLEX_VALIDATIO!$K:$K, _xlfn.CONCAT(C316,D316), PRO_LT_SCORECARD_FLEX_VALIDATIO!$G:$G, "KO") &gt; 0, "NOK", "OK")</f>
        <v>NOK</v>
      </c>
      <c r="Q316" t="s">
        <v>30</v>
      </c>
      <c r="R316" t="s">
        <v>131</v>
      </c>
      <c r="S316" t="s">
        <v>132</v>
      </c>
      <c r="T316" t="s">
        <v>132</v>
      </c>
      <c r="U316" t="s">
        <v>132</v>
      </c>
      <c r="V316" t="s">
        <v>132</v>
      </c>
      <c r="W316" t="s">
        <v>132</v>
      </c>
      <c r="X316" t="s">
        <v>5</v>
      </c>
      <c r="Y316">
        <f>_xlfn.IFNA(_xlfn.XLOOKUP(D316,[1]Especificação!$G:$G,[1]Especificação!$C:$C),0)</f>
        <v>0</v>
      </c>
    </row>
    <row r="317" spans="1:25" ht="15" hidden="1">
      <c r="A317" s="40" t="str">
        <f t="shared" si="4"/>
        <v>INSTRUMENT_SPCLTV_LNDNG</v>
      </c>
      <c r="B317" s="40"/>
      <c r="C317" t="s">
        <v>127</v>
      </c>
      <c r="D317" t="s">
        <v>505</v>
      </c>
      <c r="E317" t="s">
        <v>6</v>
      </c>
      <c r="F317" t="s">
        <v>36</v>
      </c>
      <c r="G317" t="s">
        <v>145</v>
      </c>
      <c r="H317" t="s">
        <v>158</v>
      </c>
      <c r="J317" t="s">
        <v>29</v>
      </c>
      <c r="K317" s="15">
        <v>45450</v>
      </c>
      <c r="L317" t="s">
        <v>36</v>
      </c>
      <c r="M317" t="str">
        <f>IF(COUNTIFS(PRO_LT_SCORECARD_FLEX_VALIDATIO!$K:$K, _xlfn.CONCAT(C317,D317), PRO_LT_SCORECARD_FLEX_VALIDATIO!$G:$G, "KO") &gt; 0, "NOK", "OK")</f>
        <v>NOK</v>
      </c>
      <c r="Q317" t="s">
        <v>8</v>
      </c>
      <c r="R317" t="s">
        <v>131</v>
      </c>
      <c r="S317" t="s">
        <v>132</v>
      </c>
      <c r="T317" t="s">
        <v>132</v>
      </c>
      <c r="U317" t="s">
        <v>132</v>
      </c>
      <c r="V317" t="s">
        <v>132</v>
      </c>
      <c r="W317" t="s">
        <v>132</v>
      </c>
      <c r="X317" t="s">
        <v>5</v>
      </c>
      <c r="Y317">
        <f>_xlfn.IFNA(_xlfn.XLOOKUP(D317,[1]Especificação!$G:$G,[1]Especificação!$C:$C),0)</f>
        <v>0</v>
      </c>
    </row>
    <row r="318" spans="1:25" ht="15" hidden="1">
      <c r="A318" s="40" t="str">
        <f t="shared" si="4"/>
        <v>INSTRUMENT_SPNSR_NM</v>
      </c>
      <c r="B318" s="40"/>
      <c r="C318" t="s">
        <v>127</v>
      </c>
      <c r="D318" t="s">
        <v>506</v>
      </c>
      <c r="E318" t="s">
        <v>6</v>
      </c>
      <c r="F318" t="s">
        <v>37</v>
      </c>
      <c r="G318" t="s">
        <v>129</v>
      </c>
      <c r="H318" t="s">
        <v>164</v>
      </c>
      <c r="J318" t="s">
        <v>26</v>
      </c>
      <c r="K318" s="15">
        <v>45450</v>
      </c>
      <c r="L318" t="s">
        <v>37</v>
      </c>
      <c r="M318" t="str">
        <f>IF(COUNTIFS(PRO_LT_SCORECARD_FLEX_VALIDATIO!$K:$K, _xlfn.CONCAT(C318,D318), PRO_LT_SCORECARD_FLEX_VALIDATIO!$G:$G, "KO") &gt; 0, "NOK", "OK")</f>
        <v>OK</v>
      </c>
      <c r="Q318" t="s">
        <v>27</v>
      </c>
      <c r="R318" t="s">
        <v>131</v>
      </c>
      <c r="S318" t="s">
        <v>132</v>
      </c>
      <c r="T318" t="s">
        <v>132</v>
      </c>
      <c r="U318" t="s">
        <v>132</v>
      </c>
      <c r="V318" t="s">
        <v>132</v>
      </c>
      <c r="W318" t="s">
        <v>131</v>
      </c>
      <c r="X318" t="s">
        <v>143</v>
      </c>
      <c r="Y318" t="str">
        <f>_xlfn.IFNA(_xlfn.XLOOKUP(D318,[1]Especificação!$G:$G,[1]Especificação!$C:$C),0)</f>
        <v>F3. Fora âmbito | Fonte Manual LF</v>
      </c>
    </row>
    <row r="319" spans="1:25" ht="15" hidden="1">
      <c r="A319" s="40" t="str">
        <f t="shared" si="4"/>
        <v>INSTRUMENT_SPRD</v>
      </c>
      <c r="B319" s="40"/>
      <c r="C319" t="s">
        <v>127</v>
      </c>
      <c r="D319" t="s">
        <v>507</v>
      </c>
      <c r="E319" t="s">
        <v>6</v>
      </c>
      <c r="F319" t="s">
        <v>38</v>
      </c>
      <c r="G319" t="s">
        <v>129</v>
      </c>
      <c r="H319" t="s">
        <v>130</v>
      </c>
      <c r="J319" t="s">
        <v>26</v>
      </c>
      <c r="K319" s="15">
        <v>45450</v>
      </c>
      <c r="L319" t="s">
        <v>38</v>
      </c>
      <c r="M319" t="str">
        <f>IF(COUNTIFS(PRO_LT_SCORECARD_FLEX_VALIDATIO!$K:$K, _xlfn.CONCAT(C319,D319), PRO_LT_SCORECARD_FLEX_VALIDATIO!$G:$G, "KO") &gt; 0, "NOK", "OK")</f>
        <v>NOK</v>
      </c>
      <c r="Q319" t="s">
        <v>30</v>
      </c>
      <c r="R319" t="s">
        <v>131</v>
      </c>
      <c r="S319" t="s">
        <v>132</v>
      </c>
      <c r="T319" t="s">
        <v>132</v>
      </c>
      <c r="U319" t="s">
        <v>132</v>
      </c>
      <c r="V319" t="s">
        <v>132</v>
      </c>
      <c r="W319" t="s">
        <v>132</v>
      </c>
      <c r="X319" t="s">
        <v>5</v>
      </c>
      <c r="Y319">
        <f>_xlfn.IFNA(_xlfn.XLOOKUP(D319,[1]Especificação!$G:$G,[1]Especificação!$C:$C),0)</f>
        <v>0</v>
      </c>
    </row>
    <row r="320" spans="1:25" ht="15" hidden="1">
      <c r="A320" s="40" t="str">
        <f t="shared" si="4"/>
        <v>INSTRUMENT_SRCS_ENCMBRNC</v>
      </c>
      <c r="B320" s="40"/>
      <c r="C320" t="s">
        <v>127</v>
      </c>
      <c r="D320" t="s">
        <v>508</v>
      </c>
      <c r="E320" t="s">
        <v>6</v>
      </c>
      <c r="F320" t="s">
        <v>38</v>
      </c>
      <c r="G320" t="s">
        <v>129</v>
      </c>
      <c r="H320" t="s">
        <v>130</v>
      </c>
      <c r="J320" t="s">
        <v>26</v>
      </c>
      <c r="K320" s="15">
        <v>45450</v>
      </c>
      <c r="L320" t="s">
        <v>38</v>
      </c>
      <c r="M320" t="str">
        <f>IF(COUNTIFS(PRO_LT_SCORECARD_FLEX_VALIDATIO!$K:$K, _xlfn.CONCAT(C320,D320), PRO_LT_SCORECARD_FLEX_VALIDATIO!$G:$G, "KO") &gt; 0, "NOK", "OK")</f>
        <v>OK</v>
      </c>
      <c r="Q320" t="s">
        <v>30</v>
      </c>
      <c r="R320" t="s">
        <v>131</v>
      </c>
      <c r="S320" t="s">
        <v>132</v>
      </c>
      <c r="T320" t="s">
        <v>132</v>
      </c>
      <c r="U320" t="s">
        <v>132</v>
      </c>
      <c r="V320" t="s">
        <v>132</v>
      </c>
      <c r="W320" t="s">
        <v>132</v>
      </c>
      <c r="X320" t="s">
        <v>5</v>
      </c>
      <c r="Y320">
        <f>_xlfn.IFNA(_xlfn.XLOOKUP(D320,[1]Especificação!$G:$G,[1]Especificação!$C:$C),0)</f>
        <v>0</v>
      </c>
    </row>
    <row r="321" spans="1:25" ht="15" hidden="1">
      <c r="A321" s="40" t="str">
        <f t="shared" si="4"/>
        <v>INSTRUMENT_STTS_UNDRWRTTN_TRNSCTN</v>
      </c>
      <c r="B321" s="40"/>
      <c r="C321" t="s">
        <v>127</v>
      </c>
      <c r="D321" t="s">
        <v>509</v>
      </c>
      <c r="E321" t="s">
        <v>6</v>
      </c>
      <c r="F321" t="s">
        <v>56</v>
      </c>
      <c r="G321" t="s">
        <v>129</v>
      </c>
      <c r="H321" t="s">
        <v>319</v>
      </c>
      <c r="I321" t="s">
        <v>320</v>
      </c>
      <c r="J321" t="s">
        <v>29</v>
      </c>
      <c r="K321" s="15">
        <v>45953</v>
      </c>
      <c r="L321" t="s">
        <v>38</v>
      </c>
      <c r="M321" t="str">
        <f>IF(COUNTIFS(PRO_LT_SCORECARD_FLEX_VALIDATIO!$K:$K, _xlfn.CONCAT(C321,D321), PRO_LT_SCORECARD_FLEX_VALIDATIO!$G:$G, "KO") &gt; 0, "NOK", "OK")</f>
        <v>NOK</v>
      </c>
      <c r="P321" s="15">
        <v>45952</v>
      </c>
      <c r="Q321" t="s">
        <v>13</v>
      </c>
      <c r="R321" t="s">
        <v>131</v>
      </c>
      <c r="S321" t="s">
        <v>132</v>
      </c>
      <c r="T321" t="s">
        <v>132</v>
      </c>
      <c r="U321" t="s">
        <v>132</v>
      </c>
      <c r="V321" t="s">
        <v>132</v>
      </c>
      <c r="W321" t="s">
        <v>131</v>
      </c>
      <c r="X321" t="s">
        <v>136</v>
      </c>
      <c r="Y321" t="str">
        <f>_xlfn.IFNA(_xlfn.XLOOKUP(D321,[1]Especificação!$G:$G,[1]Especificação!$C:$C),0)</f>
        <v>B1. Re-especificação de campos complexos | Sindicados</v>
      </c>
    </row>
    <row r="322" spans="1:25" ht="15" hidden="1">
      <c r="A322" s="40" t="str">
        <f t="shared" si="4"/>
        <v>INSTRUMENT_SUBPORTFOLIO_ID</v>
      </c>
      <c r="B322" s="40"/>
      <c r="C322" t="s">
        <v>127</v>
      </c>
      <c r="D322" t="s">
        <v>510</v>
      </c>
      <c r="E322" t="s">
        <v>14</v>
      </c>
      <c r="F322" t="s">
        <v>38</v>
      </c>
      <c r="G322" t="s">
        <v>129</v>
      </c>
      <c r="H322" t="s">
        <v>130</v>
      </c>
      <c r="J322" t="s">
        <v>26</v>
      </c>
      <c r="K322" s="15">
        <v>45450</v>
      </c>
      <c r="L322" t="s">
        <v>38</v>
      </c>
      <c r="M322" t="str">
        <f>IF(COUNTIFS(PRO_LT_SCORECARD_FLEX_VALIDATIO!$K:$K, _xlfn.CONCAT(C322,D322), PRO_LT_SCORECARD_FLEX_VALIDATIO!$G:$G, "KO") &gt; 0, "NOK", "OK")</f>
        <v>NOK</v>
      </c>
      <c r="Q322" t="s">
        <v>30</v>
      </c>
      <c r="R322" t="s">
        <v>131</v>
      </c>
      <c r="S322" t="s">
        <v>131</v>
      </c>
      <c r="T322" t="s">
        <v>131</v>
      </c>
      <c r="U322" t="s">
        <v>132</v>
      </c>
      <c r="V322" t="s">
        <v>131</v>
      </c>
      <c r="W322" t="s">
        <v>131</v>
      </c>
      <c r="X322" t="s">
        <v>5</v>
      </c>
      <c r="Y322" t="str">
        <f>_xlfn.IFNA(_xlfn.XLOOKUP(D322,[1]Especificação!$G:$G,[1]Especificação!$C:$C),0)</f>
        <v>F1. Fora âmbito | Campos concluídos - Sem necessidade de espec.</v>
      </c>
    </row>
    <row r="323" spans="1:25" ht="15" hidden="1">
      <c r="A323" s="40" t="str">
        <f t="shared" si="4"/>
        <v>INSTRUMENT_SYNDCT_RL</v>
      </c>
      <c r="B323" s="40"/>
      <c r="C323" t="s">
        <v>127</v>
      </c>
      <c r="D323" t="s">
        <v>511</v>
      </c>
      <c r="E323" t="s">
        <v>6</v>
      </c>
      <c r="F323" t="s">
        <v>56</v>
      </c>
      <c r="G323" t="s">
        <v>129</v>
      </c>
      <c r="H323" t="s">
        <v>319</v>
      </c>
      <c r="I323" t="s">
        <v>320</v>
      </c>
      <c r="J323" t="s">
        <v>29</v>
      </c>
      <c r="K323" s="15">
        <v>45953</v>
      </c>
      <c r="L323" t="s">
        <v>38</v>
      </c>
      <c r="M323" t="str">
        <f>IF(COUNTIFS(PRO_LT_SCORECARD_FLEX_VALIDATIO!$K:$K, _xlfn.CONCAT(C323,D323), PRO_LT_SCORECARD_FLEX_VALIDATIO!$G:$G, "KO") &gt; 0, "NOK", "OK")</f>
        <v>OK</v>
      </c>
      <c r="P323" s="15">
        <v>45952</v>
      </c>
      <c r="Q323" t="s">
        <v>13</v>
      </c>
      <c r="R323" t="s">
        <v>131</v>
      </c>
      <c r="S323" t="s">
        <v>132</v>
      </c>
      <c r="T323" t="s">
        <v>132</v>
      </c>
      <c r="U323" t="s">
        <v>132</v>
      </c>
      <c r="V323" t="s">
        <v>132</v>
      </c>
      <c r="W323" t="s">
        <v>131</v>
      </c>
      <c r="X323" t="s">
        <v>136</v>
      </c>
      <c r="Y323" t="str">
        <f>_xlfn.IFNA(_xlfn.XLOOKUP(D323,[1]Especificação!$G:$G,[1]Especificação!$C:$C),0)</f>
        <v>B1. Re-especificação de campos complexos | Sindicados</v>
      </c>
    </row>
    <row r="324" spans="1:25" ht="15" hidden="1">
      <c r="A324" s="40" t="str">
        <f t="shared" si="4"/>
        <v>INSTRUMENT_SYNDCTD_AGNT</v>
      </c>
      <c r="B324" s="40"/>
      <c r="C324" t="s">
        <v>127</v>
      </c>
      <c r="D324" t="s">
        <v>512</v>
      </c>
      <c r="E324" t="s">
        <v>14</v>
      </c>
      <c r="F324" t="s">
        <v>56</v>
      </c>
      <c r="G324" t="s">
        <v>129</v>
      </c>
      <c r="H324" t="s">
        <v>319</v>
      </c>
      <c r="I324" t="s">
        <v>320</v>
      </c>
      <c r="J324" t="s">
        <v>29</v>
      </c>
      <c r="K324" s="15">
        <v>45953</v>
      </c>
      <c r="L324" t="s">
        <v>38</v>
      </c>
      <c r="M324" t="str">
        <f>IF(COUNTIFS(PRO_LT_SCORECARD_FLEX_VALIDATIO!$K:$K, _xlfn.CONCAT(C324,D324), PRO_LT_SCORECARD_FLEX_VALIDATIO!$G:$G, "KO") &gt; 0, "NOK", "OK")</f>
        <v>OK</v>
      </c>
      <c r="P324" s="15">
        <v>45952</v>
      </c>
      <c r="Q324" t="s">
        <v>13</v>
      </c>
      <c r="R324" t="s">
        <v>131</v>
      </c>
      <c r="S324" t="s">
        <v>132</v>
      </c>
      <c r="T324" t="s">
        <v>132</v>
      </c>
      <c r="U324" t="s">
        <v>132</v>
      </c>
      <c r="V324" t="s">
        <v>132</v>
      </c>
      <c r="W324" t="s">
        <v>131</v>
      </c>
      <c r="X324" t="s">
        <v>136</v>
      </c>
      <c r="Y324" t="str">
        <f>_xlfn.IFNA(_xlfn.XLOOKUP(D324,[1]Especificação!$G:$G,[1]Especificação!$C:$C),0)</f>
        <v>B1. Re-especificação de campos complexos | Sindicados</v>
      </c>
    </row>
    <row r="325" spans="1:25" ht="15" hidden="1">
      <c r="A325" s="40" t="str">
        <f t="shared" ref="A325:A385" si="5">C325&amp;"_"&amp;D325</f>
        <v>INSTRUMENT_SYNDCTD_CNTRCT_ID</v>
      </c>
      <c r="B325" s="40"/>
      <c r="C325" t="s">
        <v>127</v>
      </c>
      <c r="D325" t="s">
        <v>513</v>
      </c>
      <c r="E325" t="s">
        <v>14</v>
      </c>
      <c r="F325" t="s">
        <v>56</v>
      </c>
      <c r="G325" t="s">
        <v>129</v>
      </c>
      <c r="H325" t="s">
        <v>319</v>
      </c>
      <c r="I325" t="s">
        <v>320</v>
      </c>
      <c r="J325" t="s">
        <v>29</v>
      </c>
      <c r="K325" s="15">
        <v>45953</v>
      </c>
      <c r="L325" t="s">
        <v>38</v>
      </c>
      <c r="M325" t="str">
        <f>IF(COUNTIFS(PRO_LT_SCORECARD_FLEX_VALIDATIO!$K:$K, _xlfn.CONCAT(C325,D325), PRO_LT_SCORECARD_FLEX_VALIDATIO!$G:$G, "KO") &gt; 0, "NOK", "OK")</f>
        <v>OK</v>
      </c>
      <c r="P325" s="15">
        <v>45952</v>
      </c>
      <c r="Q325" t="s">
        <v>13</v>
      </c>
      <c r="R325" t="s">
        <v>131</v>
      </c>
      <c r="S325" t="s">
        <v>132</v>
      </c>
      <c r="T325" t="s">
        <v>132</v>
      </c>
      <c r="U325" t="s">
        <v>132</v>
      </c>
      <c r="V325" t="s">
        <v>132</v>
      </c>
      <c r="W325" t="s">
        <v>131</v>
      </c>
      <c r="X325" t="s">
        <v>136</v>
      </c>
      <c r="Y325" t="str">
        <f>_xlfn.IFNA(_xlfn.XLOOKUP(D325,[1]Especificação!$G:$G,[1]Especificação!$C:$C),0)</f>
        <v>B1. Re-especificação de campos complexos | Sindicados</v>
      </c>
    </row>
    <row r="326" spans="1:25" ht="15" hidden="1">
      <c r="A326" s="40" t="str">
        <f t="shared" si="5"/>
        <v>INSTRUMENT_SYNDCTD_LNDRS</v>
      </c>
      <c r="B326" s="40"/>
      <c r="C326" t="s">
        <v>127</v>
      </c>
      <c r="D326" t="s">
        <v>514</v>
      </c>
      <c r="E326" t="s">
        <v>14</v>
      </c>
      <c r="F326" t="s">
        <v>56</v>
      </c>
      <c r="G326" t="s">
        <v>129</v>
      </c>
      <c r="H326" t="s">
        <v>319</v>
      </c>
      <c r="I326" t="s">
        <v>320</v>
      </c>
      <c r="J326" t="s">
        <v>29</v>
      </c>
      <c r="K326" s="15">
        <v>45953</v>
      </c>
      <c r="L326" t="s">
        <v>38</v>
      </c>
      <c r="M326" t="str">
        <f>IF(COUNTIFS(PRO_LT_SCORECARD_FLEX_VALIDATIO!$K:$K, _xlfn.CONCAT(C326,D326), PRO_LT_SCORECARD_FLEX_VALIDATIO!$G:$G, "KO") &gt; 0, "NOK", "OK")</f>
        <v>OK</v>
      </c>
      <c r="P326" s="15">
        <v>45952</v>
      </c>
      <c r="Q326" t="s">
        <v>13</v>
      </c>
      <c r="R326" t="s">
        <v>131</v>
      </c>
      <c r="S326" t="s">
        <v>132</v>
      </c>
      <c r="T326" t="s">
        <v>132</v>
      </c>
      <c r="U326" t="s">
        <v>132</v>
      </c>
      <c r="V326" t="s">
        <v>132</v>
      </c>
      <c r="W326" t="s">
        <v>131</v>
      </c>
      <c r="X326" t="s">
        <v>136</v>
      </c>
      <c r="Y326" t="str">
        <f>_xlfn.IFNA(_xlfn.XLOOKUP(D326,[1]Especificação!$G:$G,[1]Especificação!$C:$C),0)</f>
        <v>B1. Re-especificação de campos complexos | Sindicados</v>
      </c>
    </row>
    <row r="327" spans="1:25" ht="15" hidden="1">
      <c r="A327" s="40" t="str">
        <f t="shared" si="5"/>
        <v>INSTRUMENT_SYNDCTD_SHR</v>
      </c>
      <c r="B327" s="40"/>
      <c r="C327" t="s">
        <v>127</v>
      </c>
      <c r="D327" t="s">
        <v>515</v>
      </c>
      <c r="E327" t="s">
        <v>14</v>
      </c>
      <c r="F327" t="s">
        <v>56</v>
      </c>
      <c r="G327" t="s">
        <v>129</v>
      </c>
      <c r="H327" t="s">
        <v>319</v>
      </c>
      <c r="I327" t="s">
        <v>320</v>
      </c>
      <c r="J327" t="s">
        <v>29</v>
      </c>
      <c r="K327" s="15">
        <v>45953</v>
      </c>
      <c r="L327" t="s">
        <v>38</v>
      </c>
      <c r="M327" t="str">
        <f>IF(COUNTIFS(PRO_LT_SCORECARD_FLEX_VALIDATIO!$K:$K, _xlfn.CONCAT(C327,D327), PRO_LT_SCORECARD_FLEX_VALIDATIO!$G:$G, "KO") &gt; 0, "NOK", "OK")</f>
        <v>OK</v>
      </c>
      <c r="P327" s="15">
        <v>45952</v>
      </c>
      <c r="Q327" t="s">
        <v>13</v>
      </c>
      <c r="R327" t="s">
        <v>131</v>
      </c>
      <c r="S327" t="s">
        <v>132</v>
      </c>
      <c r="T327" t="s">
        <v>132</v>
      </c>
      <c r="U327" t="s">
        <v>132</v>
      </c>
      <c r="V327" t="s">
        <v>132</v>
      </c>
      <c r="W327" t="s">
        <v>131</v>
      </c>
      <c r="X327" t="s">
        <v>136</v>
      </c>
      <c r="Y327" t="str">
        <f>_xlfn.IFNA(_xlfn.XLOOKUP(D327,[1]Especificação!$G:$G,[1]Especificação!$C:$C),0)</f>
        <v>B1. Re-especificação de campos complexos | Sindicados</v>
      </c>
    </row>
    <row r="328" spans="1:25" ht="15" hidden="1">
      <c r="A328" s="40" t="str">
        <f t="shared" si="5"/>
        <v>INSTRUMENT_SYNDCTN_TYP</v>
      </c>
      <c r="B328" s="40"/>
      <c r="C328" t="s">
        <v>127</v>
      </c>
      <c r="D328" t="s">
        <v>516</v>
      </c>
      <c r="E328" t="s">
        <v>6</v>
      </c>
      <c r="F328" t="s">
        <v>56</v>
      </c>
      <c r="G328" t="s">
        <v>129</v>
      </c>
      <c r="H328" t="s">
        <v>319</v>
      </c>
      <c r="I328" t="s">
        <v>320</v>
      </c>
      <c r="J328" t="s">
        <v>29</v>
      </c>
      <c r="K328" s="15">
        <v>45953</v>
      </c>
      <c r="L328" t="s">
        <v>38</v>
      </c>
      <c r="M328" t="str">
        <f>IF(COUNTIFS(PRO_LT_SCORECARD_FLEX_VALIDATIO!$K:$K, _xlfn.CONCAT(C328,D328), PRO_LT_SCORECARD_FLEX_VALIDATIO!$G:$G, "KO") &gt; 0, "NOK", "OK")</f>
        <v>OK</v>
      </c>
      <c r="P328" s="15">
        <v>45952</v>
      </c>
      <c r="Q328" t="s">
        <v>13</v>
      </c>
      <c r="R328" t="s">
        <v>131</v>
      </c>
      <c r="S328" t="s">
        <v>132</v>
      </c>
      <c r="T328" t="s">
        <v>132</v>
      </c>
      <c r="U328" t="s">
        <v>132</v>
      </c>
      <c r="V328" t="s">
        <v>132</v>
      </c>
      <c r="W328" t="s">
        <v>131</v>
      </c>
      <c r="X328" t="s">
        <v>136</v>
      </c>
      <c r="Y328" t="str">
        <f>_xlfn.IFNA(_xlfn.XLOOKUP(D328,[1]Especificação!$G:$G,[1]Especificação!$C:$C),0)</f>
        <v>B1. Re-especificação de campos complexos | Sindicados</v>
      </c>
    </row>
    <row r="329" spans="1:25" ht="15" hidden="1">
      <c r="A329" s="40" t="str">
        <f t="shared" si="5"/>
        <v>ENTITY_TAX_ID</v>
      </c>
      <c r="B329" s="40"/>
      <c r="C329" t="s">
        <v>139</v>
      </c>
      <c r="D329" t="s">
        <v>517</v>
      </c>
      <c r="E329" t="s">
        <v>6</v>
      </c>
      <c r="F329" t="s">
        <v>36</v>
      </c>
      <c r="G329" t="s">
        <v>145</v>
      </c>
      <c r="H329" t="s">
        <v>518</v>
      </c>
      <c r="J329" t="s">
        <v>29</v>
      </c>
      <c r="K329" s="15">
        <v>45450</v>
      </c>
      <c r="L329" t="s">
        <v>36</v>
      </c>
      <c r="M329" t="str">
        <f>IF(COUNTIFS(PRO_LT_SCORECARD_FLEX_VALIDATIO!$K:$K, _xlfn.CONCAT(C329,D329), PRO_LT_SCORECARD_FLEX_VALIDATIO!$G:$G, "KO") &gt; 0, "NOK", "OK")</f>
        <v>NOK</v>
      </c>
      <c r="Q329" t="s">
        <v>8</v>
      </c>
      <c r="R329" t="s">
        <v>131</v>
      </c>
      <c r="S329" t="s">
        <v>132</v>
      </c>
      <c r="T329" t="s">
        <v>132</v>
      </c>
      <c r="U329" t="s">
        <v>132</v>
      </c>
      <c r="V329" t="s">
        <v>132</v>
      </c>
      <c r="W329" t="s">
        <v>132</v>
      </c>
      <c r="X329" t="s">
        <v>5</v>
      </c>
      <c r="Y329">
        <f>_xlfn.IFNA(_xlfn.XLOOKUP(D329,[1]Especificação!$G:$G,[1]Especificação!$C:$C),0)</f>
        <v>0</v>
      </c>
    </row>
    <row r="330" spans="1:25" ht="15" hidden="1">
      <c r="A330" s="40" t="str">
        <f t="shared" si="5"/>
        <v>PROTECTION_TAX_ID</v>
      </c>
      <c r="B330" s="40"/>
      <c r="C330" t="s">
        <v>156</v>
      </c>
      <c r="D330" t="s">
        <v>517</v>
      </c>
      <c r="E330" t="s">
        <v>6</v>
      </c>
      <c r="F330" t="s">
        <v>36</v>
      </c>
      <c r="G330" t="s">
        <v>145</v>
      </c>
      <c r="H330" t="s">
        <v>519</v>
      </c>
      <c r="J330" t="s">
        <v>29</v>
      </c>
      <c r="K330" s="15">
        <v>45450</v>
      </c>
      <c r="L330" t="s">
        <v>36</v>
      </c>
      <c r="M330" t="str">
        <f>IF(COUNTIFS(PRO_LT_SCORECARD_FLEX_VALIDATIO!$K:$K, _xlfn.CONCAT(C330,D330), PRO_LT_SCORECARD_FLEX_VALIDATIO!$G:$G, "KO") &gt; 0, "NOK", "OK")</f>
        <v>NOK</v>
      </c>
      <c r="Q330" t="s">
        <v>8</v>
      </c>
      <c r="R330" t="s">
        <v>131</v>
      </c>
      <c r="S330" t="s">
        <v>132</v>
      </c>
      <c r="T330" t="s">
        <v>132</v>
      </c>
      <c r="U330" t="s">
        <v>132</v>
      </c>
      <c r="V330" t="s">
        <v>132</v>
      </c>
      <c r="W330" t="s">
        <v>132</v>
      </c>
      <c r="X330" t="s">
        <v>5</v>
      </c>
      <c r="Y330">
        <f>_xlfn.IFNA(_xlfn.XLOOKUP(D330,[1]Especificação!$G:$G,[1]Especificação!$C:$C),0)</f>
        <v>0</v>
      </c>
    </row>
    <row r="331" spans="1:25" ht="15" hidden="1">
      <c r="A331" s="40" t="str">
        <f t="shared" si="5"/>
        <v>INSTR_PROTECTION_THRD_PRTY_PRRTY_CLMS</v>
      </c>
      <c r="B331" s="40"/>
      <c r="C331" t="s">
        <v>188</v>
      </c>
      <c r="D331" t="s">
        <v>520</v>
      </c>
      <c r="E331" t="s">
        <v>14</v>
      </c>
      <c r="F331" t="s">
        <v>38</v>
      </c>
      <c r="G331" t="s">
        <v>129</v>
      </c>
      <c r="H331" t="s">
        <v>130</v>
      </c>
      <c r="J331" t="s">
        <v>26</v>
      </c>
      <c r="K331" s="15">
        <v>45450</v>
      </c>
      <c r="L331" t="s">
        <v>38</v>
      </c>
      <c r="M331" t="str">
        <f>IF(COUNTIFS(PRO_LT_SCORECARD_FLEX_VALIDATIO!$K:$K, _xlfn.CONCAT(C331,D331), PRO_LT_SCORECARD_FLEX_VALIDATIO!$G:$G, "KO") &gt; 0, "NOK", "OK")</f>
        <v>OK</v>
      </c>
      <c r="Q331" t="s">
        <v>30</v>
      </c>
      <c r="R331" t="s">
        <v>131</v>
      </c>
      <c r="S331" t="s">
        <v>132</v>
      </c>
      <c r="T331" t="s">
        <v>132</v>
      </c>
      <c r="U331" t="s">
        <v>132</v>
      </c>
      <c r="V331" t="s">
        <v>132</v>
      </c>
      <c r="W331" t="s">
        <v>132</v>
      </c>
      <c r="X331" t="s">
        <v>5</v>
      </c>
      <c r="Y331">
        <f>_xlfn.IFNA(_xlfn.XLOOKUP(D331,[1]Especificação!$G:$G,[1]Especificação!$C:$C),0)</f>
        <v>0</v>
      </c>
    </row>
    <row r="332" spans="1:25" ht="15" hidden="1">
      <c r="A332" s="40" t="str">
        <f t="shared" si="5"/>
        <v>INSTRUMENT_TRNCH</v>
      </c>
      <c r="B332" s="40"/>
      <c r="C332" t="s">
        <v>127</v>
      </c>
      <c r="D332" t="s">
        <v>521</v>
      </c>
      <c r="E332" t="s">
        <v>6</v>
      </c>
      <c r="F332" t="s">
        <v>56</v>
      </c>
      <c r="G332" t="s">
        <v>129</v>
      </c>
      <c r="H332" t="s">
        <v>319</v>
      </c>
      <c r="I332" t="s">
        <v>320</v>
      </c>
      <c r="J332" t="s">
        <v>29</v>
      </c>
      <c r="K332" s="15">
        <v>45953</v>
      </c>
      <c r="L332" t="s">
        <v>38</v>
      </c>
      <c r="M332" t="str">
        <f>IF(COUNTIFS(PRO_LT_SCORECARD_FLEX_VALIDATIO!$K:$K, _xlfn.CONCAT(C332,D332), PRO_LT_SCORECARD_FLEX_VALIDATIO!$G:$G, "KO") &gt; 0, "NOK", "OK")</f>
        <v>OK</v>
      </c>
      <c r="P332" s="15">
        <v>45952</v>
      </c>
      <c r="Q332" t="s">
        <v>13</v>
      </c>
      <c r="R332" t="s">
        <v>131</v>
      </c>
      <c r="S332" t="s">
        <v>132</v>
      </c>
      <c r="T332" t="s">
        <v>132</v>
      </c>
      <c r="U332" t="s">
        <v>132</v>
      </c>
      <c r="V332" t="s">
        <v>132</v>
      </c>
      <c r="W332" t="s">
        <v>131</v>
      </c>
      <c r="X332" t="s">
        <v>136</v>
      </c>
      <c r="Y332" t="str">
        <f>_xlfn.IFNA(_xlfn.XLOOKUP(D332,[1]Especificação!$G:$G,[1]Especificação!$C:$C),0)</f>
        <v>B1. Re-especificação de campos complexos | Sindicados</v>
      </c>
    </row>
    <row r="333" spans="1:25" ht="15" hidden="1">
      <c r="A333" s="40" t="str">
        <f t="shared" si="5"/>
        <v>ENTITY_TTL_DBT</v>
      </c>
      <c r="B333" s="40"/>
      <c r="C333" t="s">
        <v>139</v>
      </c>
      <c r="D333" t="s">
        <v>522</v>
      </c>
      <c r="E333" t="s">
        <v>14</v>
      </c>
      <c r="F333" t="s">
        <v>25</v>
      </c>
      <c r="G333" t="s">
        <v>129</v>
      </c>
      <c r="H333" t="s">
        <v>141</v>
      </c>
      <c r="I333" t="s">
        <v>142</v>
      </c>
      <c r="J333" t="s">
        <v>29</v>
      </c>
      <c r="K333" s="15">
        <v>45450</v>
      </c>
      <c r="L333" t="s">
        <v>25</v>
      </c>
      <c r="M333" t="str">
        <f>IF(COUNTIFS(PRO_LT_SCORECARD_FLEX_VALIDATIO!$K:$K, _xlfn.CONCAT(C333,D333), PRO_LT_SCORECARD_FLEX_VALIDATIO!$G:$G, "KO") &gt; 0, "NOK", "OK")</f>
        <v>NOK</v>
      </c>
      <c r="Q333" t="s">
        <v>13</v>
      </c>
      <c r="R333" t="s">
        <v>131</v>
      </c>
      <c r="S333" t="s">
        <v>132</v>
      </c>
      <c r="T333" t="s">
        <v>131</v>
      </c>
      <c r="U333" t="s">
        <v>132</v>
      </c>
      <c r="V333" t="s">
        <v>132</v>
      </c>
      <c r="W333" t="s">
        <v>131</v>
      </c>
      <c r="X333" t="s">
        <v>143</v>
      </c>
      <c r="Y333" t="str">
        <f>_xlfn.IFNA(_xlfn.XLOOKUP(D333,[1]Especificação!$G:$G,[1]Especificação!$C:$C),0)</f>
        <v>F4. Fora âmbito | Re-especificação de campos complexos - Dem. Fin. CIB</v>
      </c>
    </row>
    <row r="334" spans="1:25" ht="15" hidden="1">
      <c r="A334" s="40" t="str">
        <f t="shared" si="5"/>
        <v>ENTITY_TTL_DBT_PRVS</v>
      </c>
      <c r="B334" s="40"/>
      <c r="C334" t="s">
        <v>139</v>
      </c>
      <c r="D334" t="s">
        <v>523</v>
      </c>
      <c r="E334" t="s">
        <v>14</v>
      </c>
      <c r="F334" t="s">
        <v>25</v>
      </c>
      <c r="G334" t="s">
        <v>129</v>
      </c>
      <c r="H334" t="s">
        <v>141</v>
      </c>
      <c r="I334" t="s">
        <v>142</v>
      </c>
      <c r="J334" t="s">
        <v>29</v>
      </c>
      <c r="K334" s="15">
        <v>45450</v>
      </c>
      <c r="L334" t="s">
        <v>25</v>
      </c>
      <c r="M334" t="str">
        <f>IF(COUNTIFS(PRO_LT_SCORECARD_FLEX_VALIDATIO!$K:$K, _xlfn.CONCAT(C334,D334), PRO_LT_SCORECARD_FLEX_VALIDATIO!$G:$G, "KO") &gt; 0, "NOK", "OK")</f>
        <v>NOK</v>
      </c>
      <c r="Q334" t="s">
        <v>13</v>
      </c>
      <c r="R334" t="s">
        <v>131</v>
      </c>
      <c r="S334" t="s">
        <v>132</v>
      </c>
      <c r="T334" t="s">
        <v>132</v>
      </c>
      <c r="U334" t="s">
        <v>132</v>
      </c>
      <c r="V334" t="s">
        <v>132</v>
      </c>
      <c r="W334" t="s">
        <v>131</v>
      </c>
      <c r="X334" t="s">
        <v>143</v>
      </c>
      <c r="Y334" t="str">
        <f>_xlfn.IFNA(_xlfn.XLOOKUP(D334,[1]Especificação!$G:$G,[1]Especificação!$C:$C),0)</f>
        <v>F4. Fora âmbito | Re-especificação de campos complexos - Dem. Fin. CIB</v>
      </c>
    </row>
    <row r="335" spans="1:25" ht="15" hidden="1">
      <c r="A335" s="40" t="str">
        <f t="shared" si="5"/>
        <v>INSTRUMENT_ACCRD_INTRST_INSTRMNT</v>
      </c>
      <c r="B335" s="40"/>
      <c r="C335" t="s">
        <v>127</v>
      </c>
      <c r="D335" t="s">
        <v>524</v>
      </c>
      <c r="E335" t="s">
        <v>14</v>
      </c>
      <c r="F335" t="s">
        <v>25</v>
      </c>
      <c r="G335" t="s">
        <v>129</v>
      </c>
      <c r="H335" t="s">
        <v>483</v>
      </c>
      <c r="J335" t="s">
        <v>29</v>
      </c>
      <c r="K335" s="15">
        <v>45958</v>
      </c>
      <c r="L335" t="s">
        <v>38</v>
      </c>
      <c r="M335" t="str">
        <f>IF(COUNTIFS(PRO_LT_SCORECARD_FLEX_VALIDATIO!$K:$K, _xlfn.CONCAT(C335,D335), PRO_LT_SCORECARD_FLEX_VALIDATIO!$G:$G, "KO") &gt; 0, "NOK", "OK")</f>
        <v>NOK</v>
      </c>
      <c r="P335" s="15">
        <v>45958</v>
      </c>
      <c r="Q335" t="s">
        <v>13</v>
      </c>
      <c r="R335" t="s">
        <v>131</v>
      </c>
      <c r="S335" t="s">
        <v>132</v>
      </c>
      <c r="T335" t="s">
        <v>132</v>
      </c>
      <c r="U335" t="s">
        <v>132</v>
      </c>
      <c r="V335" t="s">
        <v>132</v>
      </c>
      <c r="W335" t="s">
        <v>131</v>
      </c>
      <c r="X335" t="s">
        <v>136</v>
      </c>
      <c r="Y335" t="str">
        <f>_xlfn.IFNA(_xlfn.XLOOKUP(D335,[1]Especificação!$G:$G,[1]Especificação!$C:$C),0)</f>
        <v>B2. Re-especificação de campos complexos - Resto</v>
      </c>
    </row>
    <row r="336" spans="1:25" ht="15" hidden="1">
      <c r="A336" s="40" t="str">
        <f t="shared" si="5"/>
        <v>ENTITY_TTL_LVRG_RT</v>
      </c>
      <c r="B336" s="40"/>
      <c r="C336" t="s">
        <v>139</v>
      </c>
      <c r="D336" t="s">
        <v>525</v>
      </c>
      <c r="E336" t="s">
        <v>6</v>
      </c>
      <c r="F336" t="s">
        <v>38</v>
      </c>
      <c r="G336" t="s">
        <v>129</v>
      </c>
      <c r="H336" t="s">
        <v>130</v>
      </c>
      <c r="J336" t="s">
        <v>26</v>
      </c>
      <c r="K336" s="15">
        <v>45450</v>
      </c>
      <c r="L336" t="s">
        <v>38</v>
      </c>
      <c r="M336" t="str">
        <f>IF(COUNTIFS(PRO_LT_SCORECARD_FLEX_VALIDATIO!$K:$K, _xlfn.CONCAT(C336,D336), PRO_LT_SCORECARD_FLEX_VALIDATIO!$G:$G, "KO") &gt; 0, "NOK", "OK")</f>
        <v>NOK</v>
      </c>
      <c r="Q336" t="s">
        <v>30</v>
      </c>
      <c r="R336" t="s">
        <v>131</v>
      </c>
      <c r="S336" t="s">
        <v>132</v>
      </c>
      <c r="T336" t="s">
        <v>132</v>
      </c>
      <c r="U336" t="s">
        <v>132</v>
      </c>
      <c r="V336" t="s">
        <v>132</v>
      </c>
      <c r="W336" t="s">
        <v>131</v>
      </c>
      <c r="X336" t="s">
        <v>5</v>
      </c>
      <c r="Y336" t="str">
        <f>_xlfn.IFNA(_xlfn.XLOOKUP(D336,[1]Especificação!$G:$G,[1]Especificação!$C:$C),0)</f>
        <v>F1. Fora âmbito | Campos concluídos - Sem necessidade de espec.</v>
      </c>
    </row>
    <row r="337" spans="1:25" ht="15" hidden="1">
      <c r="A337" s="40" t="str">
        <f t="shared" si="5"/>
        <v>ENTITY_TTL_LVRG_RT_PRVS</v>
      </c>
      <c r="B337" s="40"/>
      <c r="C337" t="s">
        <v>139</v>
      </c>
      <c r="D337" t="s">
        <v>526</v>
      </c>
      <c r="E337" t="s">
        <v>6</v>
      </c>
      <c r="F337" t="s">
        <v>38</v>
      </c>
      <c r="G337" t="s">
        <v>129</v>
      </c>
      <c r="H337" t="s">
        <v>130</v>
      </c>
      <c r="J337" t="s">
        <v>26</v>
      </c>
      <c r="K337" s="15">
        <v>45450</v>
      </c>
      <c r="L337" t="s">
        <v>38</v>
      </c>
      <c r="M337" t="str">
        <f>IF(COUNTIFS(PRO_LT_SCORECARD_FLEX_VALIDATIO!$K:$K, _xlfn.CONCAT(C337,D337), PRO_LT_SCORECARD_FLEX_VALIDATIO!$G:$G, "KO") &gt; 0, "NOK", "OK")</f>
        <v>NOK</v>
      </c>
      <c r="Q337" t="s">
        <v>30</v>
      </c>
      <c r="R337" t="s">
        <v>131</v>
      </c>
      <c r="S337" t="s">
        <v>132</v>
      </c>
      <c r="T337" t="s">
        <v>132</v>
      </c>
      <c r="U337" t="s">
        <v>132</v>
      </c>
      <c r="V337" t="s">
        <v>132</v>
      </c>
      <c r="W337" t="s">
        <v>131</v>
      </c>
      <c r="X337" t="s">
        <v>5</v>
      </c>
      <c r="Y337" t="str">
        <f>_xlfn.IFNA(_xlfn.XLOOKUP(D337,[1]Especificação!$G:$G,[1]Especificação!$C:$C),0)</f>
        <v>F1. Fora âmbito | Campos concluídos - Sem necessidade de espec.</v>
      </c>
    </row>
    <row r="338" spans="1:25" ht="15" hidden="1">
      <c r="A338" s="40" t="str">
        <f t="shared" si="5"/>
        <v>INSTRUMENT_TYP_AMRTSTN</v>
      </c>
      <c r="B338" s="40"/>
      <c r="C338" t="s">
        <v>127</v>
      </c>
      <c r="D338" s="11" t="s">
        <v>527</v>
      </c>
      <c r="E338" t="s">
        <v>14</v>
      </c>
      <c r="F338" t="s">
        <v>28</v>
      </c>
      <c r="G338" t="s">
        <v>145</v>
      </c>
      <c r="H338" t="s">
        <v>154</v>
      </c>
      <c r="I338" t="s">
        <v>475</v>
      </c>
      <c r="J338" t="s">
        <v>32</v>
      </c>
      <c r="K338" s="15">
        <v>45958</v>
      </c>
      <c r="L338" t="s">
        <v>38</v>
      </c>
      <c r="M338" t="str">
        <f>IF(COUNTIFS(PRO_LT_SCORECARD_FLEX_VALIDATIO!$K:$K, _xlfn.CONCAT(C338,D338), PRO_LT_SCORECARD_FLEX_VALIDATIO!$G:$G, "KO") &gt; 0, "NOK", "OK")</f>
        <v>NOK</v>
      </c>
      <c r="O338" s="15">
        <v>45958</v>
      </c>
      <c r="Q338" t="s">
        <v>39</v>
      </c>
      <c r="R338" t="s">
        <v>131</v>
      </c>
      <c r="S338" t="s">
        <v>132</v>
      </c>
      <c r="T338" t="s">
        <v>132</v>
      </c>
      <c r="U338" t="s">
        <v>132</v>
      </c>
      <c r="V338" t="s">
        <v>132</v>
      </c>
      <c r="W338" t="s">
        <v>131</v>
      </c>
      <c r="X338" t="s">
        <v>136</v>
      </c>
      <c r="Y338" t="str">
        <f>_xlfn.IFNA(_xlfn.XLOOKUP(D338,[1]Especificação!$G:$G,[1]Especificação!$C:$C),0)</f>
        <v xml:space="preserve">E. Campos com outras possíveis alterações - Dependente de decisões OSI </v>
      </c>
    </row>
    <row r="339" spans="1:25" ht="15" hidden="1">
      <c r="A339" s="40" t="str">
        <f t="shared" si="5"/>
        <v>INSTRUMENT_TYP_CMPLNT_MRTR_C19</v>
      </c>
      <c r="B339" s="40"/>
      <c r="C339" t="s">
        <v>127</v>
      </c>
      <c r="D339" t="s">
        <v>528</v>
      </c>
      <c r="E339" t="s">
        <v>6</v>
      </c>
      <c r="F339" t="s">
        <v>38</v>
      </c>
      <c r="G339" t="s">
        <v>129</v>
      </c>
      <c r="H339" t="s">
        <v>130</v>
      </c>
      <c r="J339" t="s">
        <v>26</v>
      </c>
      <c r="K339" s="15">
        <v>45450</v>
      </c>
      <c r="L339" t="s">
        <v>38</v>
      </c>
      <c r="M339" t="str">
        <f>IF(COUNTIFS(PRO_LT_SCORECARD_FLEX_VALIDATIO!$K:$K, _xlfn.CONCAT(C339,D339), PRO_LT_SCORECARD_FLEX_VALIDATIO!$G:$G, "KO") &gt; 0, "NOK", "OK")</f>
        <v>OK</v>
      </c>
      <c r="Q339" t="s">
        <v>30</v>
      </c>
      <c r="R339" t="s">
        <v>131</v>
      </c>
      <c r="S339" t="s">
        <v>132</v>
      </c>
      <c r="T339" t="s">
        <v>132</v>
      </c>
      <c r="U339" t="s">
        <v>132</v>
      </c>
      <c r="V339" t="s">
        <v>132</v>
      </c>
      <c r="W339" t="s">
        <v>132</v>
      </c>
      <c r="X339" t="s">
        <v>5</v>
      </c>
      <c r="Y339">
        <f>_xlfn.IFNA(_xlfn.XLOOKUP(D339,[1]Especificação!$G:$G,[1]Especificação!$C:$C),0)</f>
        <v>0</v>
      </c>
    </row>
    <row r="340" spans="1:25" ht="15" hidden="1">
      <c r="A340" s="40" t="str">
        <f t="shared" si="5"/>
        <v>INSTRUMENT_TYP_CRE_OPRTN</v>
      </c>
      <c r="B340" s="40"/>
      <c r="C340" t="s">
        <v>127</v>
      </c>
      <c r="D340" t="s">
        <v>529</v>
      </c>
      <c r="E340" t="s">
        <v>6</v>
      </c>
      <c r="F340" t="s">
        <v>36</v>
      </c>
      <c r="G340" t="s">
        <v>145</v>
      </c>
      <c r="H340" t="s">
        <v>158</v>
      </c>
      <c r="J340" t="s">
        <v>29</v>
      </c>
      <c r="K340" s="15">
        <v>45450</v>
      </c>
      <c r="L340" t="s">
        <v>36</v>
      </c>
      <c r="M340" t="str">
        <f>IF(COUNTIFS(PRO_LT_SCORECARD_FLEX_VALIDATIO!$K:$K, _xlfn.CONCAT(C340,D340), PRO_LT_SCORECARD_FLEX_VALIDATIO!$G:$G, "KO") &gt; 0, "NOK", "OK")</f>
        <v>NOK</v>
      </c>
      <c r="Q340" t="s">
        <v>8</v>
      </c>
      <c r="R340" t="s">
        <v>131</v>
      </c>
      <c r="S340" t="s">
        <v>132</v>
      </c>
      <c r="T340" t="s">
        <v>132</v>
      </c>
      <c r="U340" t="s">
        <v>132</v>
      </c>
      <c r="V340" t="s">
        <v>132</v>
      </c>
      <c r="W340" t="s">
        <v>132</v>
      </c>
      <c r="X340" t="s">
        <v>5</v>
      </c>
      <c r="Y340">
        <f>_xlfn.IFNA(_xlfn.XLOOKUP(D340,[1]Especificação!$G:$G,[1]Especificação!$C:$C),0)</f>
        <v>0</v>
      </c>
    </row>
    <row r="341" spans="1:25" ht="15" hidden="1">
      <c r="A341" s="40" t="str">
        <f t="shared" si="5"/>
        <v>INSTRUMENT_TYP_INSTRMNT</v>
      </c>
      <c r="B341" s="40"/>
      <c r="C341" t="s">
        <v>127</v>
      </c>
      <c r="D341" t="s">
        <v>530</v>
      </c>
      <c r="E341" t="s">
        <v>14</v>
      </c>
      <c r="F341" t="s">
        <v>38</v>
      </c>
      <c r="G341" t="s">
        <v>129</v>
      </c>
      <c r="H341" t="s">
        <v>130</v>
      </c>
      <c r="J341" t="s">
        <v>26</v>
      </c>
      <c r="K341" s="15">
        <v>45958</v>
      </c>
      <c r="L341" t="s">
        <v>38</v>
      </c>
      <c r="M341" t="str">
        <f>IF(COUNTIFS(PRO_LT_SCORECARD_FLEX_VALIDATIO!$K:$K, _xlfn.CONCAT(C341,D341), PRO_LT_SCORECARD_FLEX_VALIDATIO!$G:$G, "KO") &gt; 0, "NOK", "OK")</f>
        <v>NOK</v>
      </c>
      <c r="P341" s="15">
        <v>45958</v>
      </c>
      <c r="Q341" t="s">
        <v>30</v>
      </c>
      <c r="R341" t="s">
        <v>131</v>
      </c>
      <c r="S341" t="s">
        <v>131</v>
      </c>
      <c r="T341" t="s">
        <v>131</v>
      </c>
      <c r="U341" t="s">
        <v>132</v>
      </c>
      <c r="V341" t="s">
        <v>132</v>
      </c>
      <c r="W341" t="s">
        <v>131</v>
      </c>
      <c r="X341" t="s">
        <v>5</v>
      </c>
      <c r="Y341" t="str">
        <f>_xlfn.IFNA(_xlfn.XLOOKUP(D341,[1]Especificação!$G:$G,[1]Especificação!$C:$C),0)</f>
        <v>B2. Re-especificação de campos complexos - Resto</v>
      </c>
    </row>
    <row r="342" spans="1:25" ht="15" hidden="1">
      <c r="A342" s="40" t="str">
        <f t="shared" si="5"/>
        <v>INSTRUMENT_TYP_INTRST_RT</v>
      </c>
      <c r="B342" s="40"/>
      <c r="C342" t="s">
        <v>127</v>
      </c>
      <c r="D342" t="s">
        <v>531</v>
      </c>
      <c r="E342" t="s">
        <v>14</v>
      </c>
      <c r="F342" t="s">
        <v>38</v>
      </c>
      <c r="G342" t="s">
        <v>129</v>
      </c>
      <c r="H342" t="s">
        <v>130</v>
      </c>
      <c r="J342" t="s">
        <v>26</v>
      </c>
      <c r="K342" s="15">
        <v>45450</v>
      </c>
      <c r="L342" t="s">
        <v>38</v>
      </c>
      <c r="M342" t="str">
        <f>IF(COUNTIFS(PRO_LT_SCORECARD_FLEX_VALIDATIO!$K:$K, _xlfn.CONCAT(C342,D342), PRO_LT_SCORECARD_FLEX_VALIDATIO!$G:$G, "KO") &gt; 0, "NOK", "OK")</f>
        <v>OK</v>
      </c>
      <c r="Q342" t="s">
        <v>30</v>
      </c>
      <c r="R342" t="s">
        <v>131</v>
      </c>
      <c r="S342" t="s">
        <v>132</v>
      </c>
      <c r="T342" t="s">
        <v>132</v>
      </c>
      <c r="U342" t="s">
        <v>132</v>
      </c>
      <c r="V342" t="s">
        <v>132</v>
      </c>
      <c r="W342" t="s">
        <v>132</v>
      </c>
      <c r="X342" t="s">
        <v>5</v>
      </c>
      <c r="Y342">
        <f>_xlfn.IFNA(_xlfn.XLOOKUP(D342,[1]Especificação!$G:$G,[1]Especificação!$C:$C),0)</f>
        <v>0</v>
      </c>
    </row>
    <row r="343" spans="1:25" ht="15" hidden="1">
      <c r="A343" s="40" t="str">
        <f t="shared" si="5"/>
        <v>PROTECTION_PRTCTN_VL</v>
      </c>
      <c r="B343" s="40"/>
      <c r="C343" t="s">
        <v>156</v>
      </c>
      <c r="D343" s="10" t="s">
        <v>78</v>
      </c>
      <c r="E343" t="s">
        <v>14</v>
      </c>
      <c r="F343" t="s">
        <v>35</v>
      </c>
      <c r="G343" t="s">
        <v>129</v>
      </c>
      <c r="H343" t="s">
        <v>293</v>
      </c>
      <c r="I343" t="s">
        <v>532</v>
      </c>
      <c r="J343" t="s">
        <v>32</v>
      </c>
      <c r="K343" s="15">
        <v>45562</v>
      </c>
      <c r="L343" t="s">
        <v>35</v>
      </c>
      <c r="M343" t="str">
        <f>IF(COUNTIFS(PRO_LT_SCORECARD_FLEX_VALIDATIO!$K:$K, _xlfn.CONCAT(C343,D343), PRO_LT_SCORECARD_FLEX_VALIDATIO!$G:$G, "KO") &gt; 0, "NOK", "OK")</f>
        <v>NOK</v>
      </c>
      <c r="N343" t="s">
        <v>533</v>
      </c>
      <c r="Q343" t="s">
        <v>24</v>
      </c>
      <c r="R343" t="s">
        <v>131</v>
      </c>
      <c r="S343" t="s">
        <v>131</v>
      </c>
      <c r="T343" t="s">
        <v>131</v>
      </c>
      <c r="U343" t="s">
        <v>132</v>
      </c>
      <c r="V343" t="s">
        <v>132</v>
      </c>
      <c r="W343" t="s">
        <v>132</v>
      </c>
      <c r="X343" t="s">
        <v>5</v>
      </c>
      <c r="Y343">
        <f>_xlfn.IFNA(_xlfn.XLOOKUP(D343,[1]Especificação!$G:$G,[1]Especificação!$C:$C),0)</f>
        <v>0</v>
      </c>
    </row>
    <row r="344" spans="1:25" ht="15" hidden="1">
      <c r="A344" s="40" t="str">
        <f t="shared" si="5"/>
        <v>PROTECTION_PRTCTN_VL_NPE</v>
      </c>
      <c r="B344" s="40"/>
      <c r="C344" t="s">
        <v>156</v>
      </c>
      <c r="D344" s="11" t="s">
        <v>534</v>
      </c>
      <c r="E344" t="s">
        <v>14</v>
      </c>
      <c r="F344" t="s">
        <v>33</v>
      </c>
      <c r="G344" t="s">
        <v>129</v>
      </c>
      <c r="H344" t="s">
        <v>535</v>
      </c>
      <c r="J344" t="s">
        <v>32</v>
      </c>
      <c r="K344" s="15">
        <v>45568</v>
      </c>
      <c r="L344" t="s">
        <v>33</v>
      </c>
      <c r="M344" t="str">
        <f>IF(COUNTIFS(PRO_LT_SCORECARD_FLEX_VALIDATIO!$K:$K, _xlfn.CONCAT(C344,D344), PRO_LT_SCORECARD_FLEX_VALIDATIO!$G:$G, "KO") &gt; 0, "NOK", "OK")</f>
        <v>OK</v>
      </c>
      <c r="Q344" t="s">
        <v>39</v>
      </c>
      <c r="R344" t="s">
        <v>131</v>
      </c>
      <c r="S344" t="s">
        <v>132</v>
      </c>
      <c r="T344" t="s">
        <v>132</v>
      </c>
      <c r="U344" t="s">
        <v>132</v>
      </c>
      <c r="V344" t="s">
        <v>132</v>
      </c>
      <c r="W344" t="s">
        <v>132</v>
      </c>
      <c r="X344" t="s">
        <v>5</v>
      </c>
      <c r="Y344">
        <f>_xlfn.IFNA(_xlfn.XLOOKUP(D344,[1]Especificação!$G:$G,[1]Especificação!$C:$C),0)</f>
        <v>0</v>
      </c>
    </row>
    <row r="345" spans="1:25" ht="15" hidden="1">
      <c r="A345" s="40" t="str">
        <f t="shared" si="5"/>
        <v>PROTECTION_TYP_PRTCTN_INTRNL</v>
      </c>
      <c r="B345" s="40"/>
      <c r="C345" t="s">
        <v>156</v>
      </c>
      <c r="D345" t="s">
        <v>536</v>
      </c>
      <c r="E345" t="s">
        <v>14</v>
      </c>
      <c r="F345" t="s">
        <v>36</v>
      </c>
      <c r="G345" t="s">
        <v>145</v>
      </c>
      <c r="H345" t="s">
        <v>158</v>
      </c>
      <c r="J345" t="s">
        <v>29</v>
      </c>
      <c r="K345" s="15">
        <v>45450</v>
      </c>
      <c r="L345" t="s">
        <v>36</v>
      </c>
      <c r="M345" t="str">
        <f>IF(COUNTIFS(PRO_LT_SCORECARD_FLEX_VALIDATIO!$K:$K, _xlfn.CONCAT(C345,D345), PRO_LT_SCORECARD_FLEX_VALIDATIO!$G:$G, "KO") &gt; 0, "NOK", "OK")</f>
        <v>OK</v>
      </c>
      <c r="Q345" t="s">
        <v>8</v>
      </c>
      <c r="R345" t="s">
        <v>131</v>
      </c>
      <c r="S345" t="s">
        <v>132</v>
      </c>
      <c r="T345" t="s">
        <v>132</v>
      </c>
      <c r="U345" t="s">
        <v>132</v>
      </c>
      <c r="V345" t="s">
        <v>132</v>
      </c>
      <c r="W345" t="s">
        <v>132</v>
      </c>
      <c r="X345" t="s">
        <v>5</v>
      </c>
      <c r="Y345">
        <f>_xlfn.IFNA(_xlfn.XLOOKUP(D345,[1]Especificação!$G:$G,[1]Especificação!$C:$C),0)</f>
        <v>0</v>
      </c>
    </row>
    <row r="346" spans="1:25" ht="15" hidden="1">
      <c r="A346" s="40" t="str">
        <f t="shared" si="5"/>
        <v>PROTECTION_TYP_PRTCTN_VL</v>
      </c>
      <c r="B346" s="40"/>
      <c r="C346" t="s">
        <v>156</v>
      </c>
      <c r="D346" t="s">
        <v>537</v>
      </c>
      <c r="E346" t="s">
        <v>14</v>
      </c>
      <c r="F346" t="s">
        <v>36</v>
      </c>
      <c r="G346" t="s">
        <v>145</v>
      </c>
      <c r="H346" t="s">
        <v>158</v>
      </c>
      <c r="J346" t="s">
        <v>29</v>
      </c>
      <c r="K346" s="15">
        <v>45450</v>
      </c>
      <c r="L346" t="s">
        <v>36</v>
      </c>
      <c r="M346" t="str">
        <f>IF(COUNTIFS(PRO_LT_SCORECARD_FLEX_VALIDATIO!$K:$K, _xlfn.CONCAT(C346,D346), PRO_LT_SCORECARD_FLEX_VALIDATIO!$G:$G, "KO") &gt; 0, "NOK", "OK")</f>
        <v>OK</v>
      </c>
      <c r="Q346" t="s">
        <v>8</v>
      </c>
      <c r="R346" t="s">
        <v>131</v>
      </c>
      <c r="S346" t="s">
        <v>132</v>
      </c>
      <c r="T346" t="s">
        <v>132</v>
      </c>
      <c r="U346" t="s">
        <v>132</v>
      </c>
      <c r="V346" t="s">
        <v>132</v>
      </c>
      <c r="W346" t="s">
        <v>132</v>
      </c>
      <c r="X346" t="s">
        <v>5</v>
      </c>
      <c r="Y346">
        <f>_xlfn.IFNA(_xlfn.XLOOKUP(D346,[1]Especificação!$G:$G,[1]Especificação!$C:$C),0)</f>
        <v>0</v>
      </c>
    </row>
    <row r="347" spans="1:25" ht="15" hidden="1">
      <c r="A347" s="40" t="str">
        <f t="shared" si="5"/>
        <v>INSTRUMENT_TYPE_OF_PLCMNT</v>
      </c>
      <c r="B347" s="40"/>
      <c r="C347" t="s">
        <v>127</v>
      </c>
      <c r="D347" t="s">
        <v>538</v>
      </c>
      <c r="E347" t="s">
        <v>6</v>
      </c>
      <c r="F347" t="s">
        <v>38</v>
      </c>
      <c r="G347" t="s">
        <v>129</v>
      </c>
      <c r="H347" t="s">
        <v>130</v>
      </c>
      <c r="J347" t="s">
        <v>26</v>
      </c>
      <c r="K347" s="15">
        <v>45450</v>
      </c>
      <c r="L347" t="s">
        <v>38</v>
      </c>
      <c r="M347" t="str">
        <f>IF(COUNTIFS(PRO_LT_SCORECARD_FLEX_VALIDATIO!$K:$K, _xlfn.CONCAT(C347,D347), PRO_LT_SCORECARD_FLEX_VALIDATIO!$G:$G, "KO") &gt; 0, "NOK", "OK")</f>
        <v>OK</v>
      </c>
      <c r="Q347" t="s">
        <v>30</v>
      </c>
      <c r="R347" t="s">
        <v>131</v>
      </c>
      <c r="S347" t="s">
        <v>132</v>
      </c>
      <c r="T347" t="s">
        <v>132</v>
      </c>
      <c r="U347" t="s">
        <v>132</v>
      </c>
      <c r="V347" t="s">
        <v>132</v>
      </c>
      <c r="W347" t="s">
        <v>132</v>
      </c>
      <c r="X347" t="s">
        <v>5</v>
      </c>
      <c r="Y347">
        <f>_xlfn.IFNA(_xlfn.XLOOKUP(D347,[1]Especificação!$G:$G,[1]Especificação!$C:$C),0)</f>
        <v>0</v>
      </c>
    </row>
    <row r="348" spans="1:25" ht="15" hidden="1">
      <c r="A348" s="40" t="str">
        <f t="shared" si="5"/>
        <v>INSTRUMENT_VLTN_CRRNCY</v>
      </c>
      <c r="B348" s="40"/>
      <c r="C348" t="s">
        <v>127</v>
      </c>
      <c r="D348" t="s">
        <v>539</v>
      </c>
      <c r="E348" t="s">
        <v>6</v>
      </c>
      <c r="F348" t="s">
        <v>38</v>
      </c>
      <c r="G348" t="s">
        <v>129</v>
      </c>
      <c r="H348" t="s">
        <v>130</v>
      </c>
      <c r="J348" t="s">
        <v>26</v>
      </c>
      <c r="K348" s="15">
        <v>45450</v>
      </c>
      <c r="L348" t="s">
        <v>38</v>
      </c>
      <c r="M348" t="str">
        <f>IF(COUNTIFS(PRO_LT_SCORECARD_FLEX_VALIDATIO!$K:$K, _xlfn.CONCAT(C348,D348), PRO_LT_SCORECARD_FLEX_VALIDATIO!$G:$G, "KO") &gt; 0, "NOK", "OK")</f>
        <v>OK</v>
      </c>
      <c r="Q348" t="s">
        <v>30</v>
      </c>
      <c r="R348" t="s">
        <v>131</v>
      </c>
      <c r="S348" t="s">
        <v>132</v>
      </c>
      <c r="T348" t="s">
        <v>132</v>
      </c>
      <c r="U348" t="s">
        <v>132</v>
      </c>
      <c r="V348" t="s">
        <v>132</v>
      </c>
      <c r="W348" t="s">
        <v>132</v>
      </c>
      <c r="X348" t="s">
        <v>5</v>
      </c>
      <c r="Y348">
        <f>_xlfn.IFNA(_xlfn.XLOOKUP(D348,[1]Especificação!$G:$G,[1]Especificação!$C:$C),0)</f>
        <v>0</v>
      </c>
    </row>
    <row r="349" spans="1:25" ht="15" hidden="1">
      <c r="A349" s="40" t="str">
        <f t="shared" si="5"/>
        <v>INSTRUMENT_VLTN_TYP</v>
      </c>
      <c r="B349" s="40"/>
      <c r="C349" t="s">
        <v>127</v>
      </c>
      <c r="D349" t="s">
        <v>540</v>
      </c>
      <c r="E349" t="s">
        <v>6</v>
      </c>
      <c r="F349" t="s">
        <v>38</v>
      </c>
      <c r="G349" t="s">
        <v>129</v>
      </c>
      <c r="H349" t="s">
        <v>130</v>
      </c>
      <c r="J349" t="s">
        <v>26</v>
      </c>
      <c r="K349" s="15">
        <v>45450</v>
      </c>
      <c r="L349" t="s">
        <v>38</v>
      </c>
      <c r="M349" t="str">
        <f>IF(COUNTIFS(PRO_LT_SCORECARD_FLEX_VALIDATIO!$K:$K, _xlfn.CONCAT(C349,D349), PRO_LT_SCORECARD_FLEX_VALIDATIO!$G:$G, "KO") &gt; 0, "NOK", "OK")</f>
        <v>OK</v>
      </c>
      <c r="Q349" t="s">
        <v>30</v>
      </c>
      <c r="R349" t="s">
        <v>131</v>
      </c>
      <c r="S349" t="s">
        <v>132</v>
      </c>
      <c r="T349" t="s">
        <v>132</v>
      </c>
      <c r="U349" t="s">
        <v>132</v>
      </c>
      <c r="V349" t="s">
        <v>132</v>
      </c>
      <c r="W349" t="s">
        <v>132</v>
      </c>
      <c r="X349" t="s">
        <v>5</v>
      </c>
      <c r="Y349">
        <f>_xlfn.IFNA(_xlfn.XLOOKUP(D349,[1]Especificação!$G:$G,[1]Especificação!$C:$C),0)</f>
        <v>0</v>
      </c>
    </row>
    <row r="350" spans="1:25" ht="15" hidden="1">
      <c r="A350" s="40" t="str">
        <f t="shared" si="5"/>
        <v>ENTITY_WTCH_LST</v>
      </c>
      <c r="B350" s="40"/>
      <c r="C350" t="s">
        <v>139</v>
      </c>
      <c r="D350" t="s">
        <v>541</v>
      </c>
      <c r="E350" t="s">
        <v>14</v>
      </c>
      <c r="F350" t="s">
        <v>38</v>
      </c>
      <c r="G350" t="s">
        <v>129</v>
      </c>
      <c r="H350" t="s">
        <v>130</v>
      </c>
      <c r="J350" t="s">
        <v>26</v>
      </c>
      <c r="K350" s="15">
        <v>45450</v>
      </c>
      <c r="L350" t="s">
        <v>38</v>
      </c>
      <c r="M350" t="str">
        <f>IF(COUNTIFS(PRO_LT_SCORECARD_FLEX_VALIDATIO!$K:$K, _xlfn.CONCAT(C350,D350), PRO_LT_SCORECARD_FLEX_VALIDATIO!$G:$G, "KO") &gt; 0, "NOK", "OK")</f>
        <v>OK</v>
      </c>
      <c r="Q350" t="s">
        <v>30</v>
      </c>
      <c r="R350" t="s">
        <v>131</v>
      </c>
      <c r="S350" t="s">
        <v>132</v>
      </c>
      <c r="T350" t="s">
        <v>132</v>
      </c>
      <c r="U350" t="s">
        <v>132</v>
      </c>
      <c r="V350" t="s">
        <v>132</v>
      </c>
      <c r="W350" t="s">
        <v>131</v>
      </c>
      <c r="X350" t="s">
        <v>5</v>
      </c>
      <c r="Y350" t="str">
        <f>_xlfn.IFNA(_xlfn.XLOOKUP(D350,[1]Especificação!$G:$G,[1]Especificação!$C:$C),0)</f>
        <v>F1. Fora âmbito | Campos concluídos - Sem necessidade de espec.</v>
      </c>
    </row>
    <row r="351" spans="1:25" ht="15" hidden="1">
      <c r="A351" s="40" t="str">
        <f t="shared" si="5"/>
        <v>PROTECTION_YR_CNSTRCTN</v>
      </c>
      <c r="B351" s="40"/>
      <c r="C351" t="s">
        <v>156</v>
      </c>
      <c r="D351" t="s">
        <v>542</v>
      </c>
      <c r="E351" t="s">
        <v>6</v>
      </c>
      <c r="F351" t="s">
        <v>20</v>
      </c>
      <c r="G351" t="s">
        <v>129</v>
      </c>
      <c r="H351" t="s">
        <v>227</v>
      </c>
      <c r="J351" t="s">
        <v>29</v>
      </c>
      <c r="K351" s="15">
        <v>45450</v>
      </c>
      <c r="L351" t="s">
        <v>20</v>
      </c>
      <c r="M351" t="str">
        <f>IF(COUNTIFS(PRO_LT_SCORECARD_FLEX_VALIDATIO!$K:$K, _xlfn.CONCAT(C351,D351), PRO_LT_SCORECARD_FLEX_VALIDATIO!$G:$G, "KO") &gt; 0, "NOK", "OK")</f>
        <v>NOK</v>
      </c>
      <c r="Q351" t="s">
        <v>19</v>
      </c>
      <c r="R351" t="s">
        <v>131</v>
      </c>
      <c r="S351" t="s">
        <v>132</v>
      </c>
      <c r="T351" t="s">
        <v>131</v>
      </c>
      <c r="U351" t="s">
        <v>132</v>
      </c>
      <c r="V351" t="s">
        <v>131</v>
      </c>
      <c r="W351" t="s">
        <v>132</v>
      </c>
      <c r="X351" t="s">
        <v>5</v>
      </c>
      <c r="Y351">
        <f>_xlfn.IFNA(_xlfn.XLOOKUP(D351,[1]Especificação!$G:$G,[1]Especificação!$C:$C),0)</f>
        <v>0</v>
      </c>
    </row>
    <row r="352" spans="1:25" ht="15">
      <c r="A352" s="40" t="str">
        <f t="shared" si="5"/>
        <v>ENTITY_ADDRSS_CTY</v>
      </c>
      <c r="B352" s="40"/>
      <c r="C352" t="s">
        <v>139</v>
      </c>
      <c r="D352" t="s">
        <v>543</v>
      </c>
      <c r="E352" t="s">
        <v>6</v>
      </c>
      <c r="F352" t="s">
        <v>20</v>
      </c>
      <c r="J352" t="s">
        <v>29</v>
      </c>
      <c r="K352" s="15">
        <v>45667</v>
      </c>
      <c r="L352" t="s">
        <v>20</v>
      </c>
      <c r="M352" t="str">
        <f>IF(COUNTIFS(PRO_LT_SCORECARD_FLEX_VALIDATIO!$K:$K, _xlfn.CONCAT(C352,D352), PRO_LT_SCORECARD_FLEX_VALIDATIO!$G:$G, "KO") &gt; 0, "NOK", "OK")</f>
        <v>NOK</v>
      </c>
      <c r="R352" t="s">
        <v>131</v>
      </c>
      <c r="S352" t="s">
        <v>132</v>
      </c>
      <c r="T352" t="s">
        <v>132</v>
      </c>
      <c r="U352" t="s">
        <v>132</v>
      </c>
      <c r="V352" t="s">
        <v>132</v>
      </c>
      <c r="W352" t="s">
        <v>132</v>
      </c>
      <c r="X352" t="s">
        <v>544</v>
      </c>
      <c r="Y352">
        <f>_xlfn.IFNA(_xlfn.XLOOKUP(D352,[1]Especificação!$G:$G,[1]Especificação!$C:$C),0)</f>
        <v>0</v>
      </c>
    </row>
    <row r="353" spans="1:25" ht="15">
      <c r="A353" s="40" t="str">
        <f t="shared" si="5"/>
        <v>ENTITY_ADDRSS_STRT</v>
      </c>
      <c r="B353" s="40"/>
      <c r="C353" t="s">
        <v>139</v>
      </c>
      <c r="D353" t="s">
        <v>545</v>
      </c>
      <c r="E353" t="s">
        <v>6</v>
      </c>
      <c r="F353" t="s">
        <v>20</v>
      </c>
      <c r="J353" t="s">
        <v>29</v>
      </c>
      <c r="K353" s="15">
        <v>45667</v>
      </c>
      <c r="L353" t="s">
        <v>20</v>
      </c>
      <c r="M353" t="str">
        <f>IF(COUNTIFS(PRO_LT_SCORECARD_FLEX_VALIDATIO!$K:$K, _xlfn.CONCAT(C353,D353), PRO_LT_SCORECARD_FLEX_VALIDATIO!$G:$G, "KO") &gt; 0, "NOK", "OK")</f>
        <v>NOK</v>
      </c>
      <c r="R353" t="s">
        <v>131</v>
      </c>
      <c r="S353" t="s">
        <v>132</v>
      </c>
      <c r="T353" t="s">
        <v>132</v>
      </c>
      <c r="U353" t="s">
        <v>132</v>
      </c>
      <c r="V353" t="s">
        <v>132</v>
      </c>
      <c r="W353" t="s">
        <v>132</v>
      </c>
      <c r="X353" t="s">
        <v>544</v>
      </c>
      <c r="Y353">
        <f>_xlfn.IFNA(_xlfn.XLOOKUP(D353,[1]Especificação!$G:$G,[1]Especificação!$C:$C),0)</f>
        <v>0</v>
      </c>
    </row>
    <row r="354" spans="1:25" ht="15">
      <c r="A354" s="40" t="str">
        <f t="shared" si="5"/>
        <v>ENTITY_DT_ENTRPRS_SZ</v>
      </c>
      <c r="B354" s="40"/>
      <c r="C354" t="s">
        <v>139</v>
      </c>
      <c r="D354" t="s">
        <v>546</v>
      </c>
      <c r="E354" t="s">
        <v>6</v>
      </c>
      <c r="F354" t="s">
        <v>20</v>
      </c>
      <c r="J354" t="s">
        <v>29</v>
      </c>
      <c r="K354" s="15">
        <v>45667</v>
      </c>
      <c r="L354" t="s">
        <v>20</v>
      </c>
      <c r="M354" t="str">
        <f>IF(COUNTIFS(PRO_LT_SCORECARD_FLEX_VALIDATIO!$K:$K, _xlfn.CONCAT(C354,D354), PRO_LT_SCORECARD_FLEX_VALIDATIO!$G:$G, "KO") &gt; 0, "NOK", "OK")</f>
        <v>NOK</v>
      </c>
      <c r="R354" t="s">
        <v>131</v>
      </c>
      <c r="S354" t="s">
        <v>132</v>
      </c>
      <c r="T354" t="s">
        <v>132</v>
      </c>
      <c r="U354" t="s">
        <v>132</v>
      </c>
      <c r="V354" t="s">
        <v>132</v>
      </c>
      <c r="W354" t="s">
        <v>132</v>
      </c>
      <c r="X354" t="s">
        <v>544</v>
      </c>
      <c r="Y354">
        <f>_xlfn.IFNA(_xlfn.XLOOKUP(D354,[1]Especificação!$G:$G,[1]Especificação!$C:$C),0)</f>
        <v>0</v>
      </c>
    </row>
    <row r="355" spans="1:25" ht="15">
      <c r="A355" s="40" t="str">
        <f t="shared" si="5"/>
        <v>ENTITY_NMBR_EMPLYS</v>
      </c>
      <c r="B355" s="40"/>
      <c r="C355" t="s">
        <v>139</v>
      </c>
      <c r="D355" t="s">
        <v>547</v>
      </c>
      <c r="E355" t="s">
        <v>6</v>
      </c>
      <c r="F355" t="s">
        <v>20</v>
      </c>
      <c r="J355" t="s">
        <v>29</v>
      </c>
      <c r="K355" s="15">
        <v>45667</v>
      </c>
      <c r="L355" t="s">
        <v>20</v>
      </c>
      <c r="M355" t="str">
        <f>IF(COUNTIFS(PRO_LT_SCORECARD_FLEX_VALIDATIO!$K:$K, _xlfn.CONCAT(C355,D355), PRO_LT_SCORECARD_FLEX_VALIDATIO!$G:$G, "KO") &gt; 0, "NOK", "OK")</f>
        <v>NOK</v>
      </c>
      <c r="R355" t="s">
        <v>131</v>
      </c>
      <c r="S355" t="s">
        <v>132</v>
      </c>
      <c r="T355" t="s">
        <v>132</v>
      </c>
      <c r="U355" t="s">
        <v>132</v>
      </c>
      <c r="V355" t="s">
        <v>132</v>
      </c>
      <c r="W355" t="s">
        <v>132</v>
      </c>
      <c r="X355" t="s">
        <v>544</v>
      </c>
      <c r="Y355">
        <f>_xlfn.IFNA(_xlfn.XLOOKUP(D355,[1]Especificação!$G:$G,[1]Especificação!$C:$C),0)</f>
        <v>0</v>
      </c>
    </row>
    <row r="356" spans="1:25" ht="15">
      <c r="A356" s="40" t="str">
        <f t="shared" si="5"/>
        <v>ENTITY_LGL_FRM</v>
      </c>
      <c r="B356" s="40"/>
      <c r="C356" t="s">
        <v>139</v>
      </c>
      <c r="D356" t="s">
        <v>548</v>
      </c>
      <c r="E356" t="s">
        <v>6</v>
      </c>
      <c r="F356" t="s">
        <v>20</v>
      </c>
      <c r="J356" t="s">
        <v>29</v>
      </c>
      <c r="K356" s="15">
        <v>45667</v>
      </c>
      <c r="L356" t="s">
        <v>20</v>
      </c>
      <c r="M356" t="str">
        <f>IF(COUNTIFS(PRO_LT_SCORECARD_FLEX_VALIDATIO!$K:$K, _xlfn.CONCAT(C356,D356), PRO_LT_SCORECARD_FLEX_VALIDATIO!$G:$G, "KO") &gt; 0, "NOK", "OK")</f>
        <v>NOK</v>
      </c>
      <c r="R356" t="s">
        <v>131</v>
      </c>
      <c r="S356" t="s">
        <v>132</v>
      </c>
      <c r="T356" t="s">
        <v>132</v>
      </c>
      <c r="U356" t="s">
        <v>132</v>
      </c>
      <c r="V356" t="s">
        <v>132</v>
      </c>
      <c r="W356" t="s">
        <v>132</v>
      </c>
      <c r="X356" t="s">
        <v>544</v>
      </c>
      <c r="Y356">
        <f>_xlfn.IFNA(_xlfn.XLOOKUP(D356,[1]Especificação!$G:$G,[1]Especificação!$C:$C),0)</f>
        <v>0</v>
      </c>
    </row>
    <row r="357" spans="1:25" ht="15">
      <c r="A357" s="40" t="str">
        <f t="shared" si="5"/>
        <v>ENTITY_HD_OFFC_UNDRTKNG_ID</v>
      </c>
      <c r="B357" s="40"/>
      <c r="C357" t="s">
        <v>139</v>
      </c>
      <c r="D357" t="s">
        <v>549</v>
      </c>
      <c r="E357" t="s">
        <v>6</v>
      </c>
      <c r="F357" t="s">
        <v>20</v>
      </c>
      <c r="J357" t="s">
        <v>29</v>
      </c>
      <c r="K357" s="15">
        <v>45667</v>
      </c>
      <c r="L357" t="s">
        <v>20</v>
      </c>
      <c r="M357" t="str">
        <f>IF(COUNTIFS(PRO_LT_SCORECARD_FLEX_VALIDATIO!$K:$K, _xlfn.CONCAT(C357,D357), PRO_LT_SCORECARD_FLEX_VALIDATIO!$G:$G, "KO") &gt; 0, "NOK", "OK")</f>
        <v>NOK</v>
      </c>
      <c r="R357" t="s">
        <v>131</v>
      </c>
      <c r="S357" t="s">
        <v>132</v>
      </c>
      <c r="T357" t="s">
        <v>132</v>
      </c>
      <c r="U357" t="s">
        <v>132</v>
      </c>
      <c r="V357" t="s">
        <v>132</v>
      </c>
      <c r="W357" t="s">
        <v>132</v>
      </c>
      <c r="X357" t="s">
        <v>544</v>
      </c>
      <c r="Y357">
        <f>_xlfn.IFNA(_xlfn.XLOOKUP(D357,[1]Especificação!$G:$G,[1]Especificação!$C:$C),0)</f>
        <v>0</v>
      </c>
    </row>
    <row r="358" spans="1:25" ht="15">
      <c r="A358" s="40" t="str">
        <f t="shared" si="5"/>
        <v>ENTITY_IMMDT_PRNT_UNDRTKNG_ID</v>
      </c>
      <c r="B358" s="40"/>
      <c r="C358" t="s">
        <v>139</v>
      </c>
      <c r="D358" t="s">
        <v>550</v>
      </c>
      <c r="E358" t="s">
        <v>6</v>
      </c>
      <c r="F358" t="s">
        <v>20</v>
      </c>
      <c r="J358" t="s">
        <v>29</v>
      </c>
      <c r="K358" s="15">
        <v>45667</v>
      </c>
      <c r="L358" t="s">
        <v>20</v>
      </c>
      <c r="M358" t="str">
        <f>IF(COUNTIFS(PRO_LT_SCORECARD_FLEX_VALIDATIO!$K:$K, _xlfn.CONCAT(C358,D358), PRO_LT_SCORECARD_FLEX_VALIDATIO!$G:$G, "KO") &gt; 0, "NOK", "OK")</f>
        <v>NOK</v>
      </c>
      <c r="R358" t="s">
        <v>131</v>
      </c>
      <c r="S358" t="s">
        <v>132</v>
      </c>
      <c r="T358" t="s">
        <v>132</v>
      </c>
      <c r="U358" t="s">
        <v>132</v>
      </c>
      <c r="V358" t="s">
        <v>132</v>
      </c>
      <c r="W358" t="s">
        <v>132</v>
      </c>
      <c r="X358" t="s">
        <v>544</v>
      </c>
      <c r="Y358">
        <f>_xlfn.IFNA(_xlfn.XLOOKUP(D358,[1]Especificação!$G:$G,[1]Especificação!$C:$C),0)</f>
        <v>0</v>
      </c>
    </row>
    <row r="359" spans="1:25" ht="15">
      <c r="A359" s="40" t="str">
        <f t="shared" si="5"/>
        <v>ENTITY_ULTMT_PRNT_UNDRTKNG_ID</v>
      </c>
      <c r="B359" s="40"/>
      <c r="C359" t="s">
        <v>139</v>
      </c>
      <c r="D359" t="s">
        <v>551</v>
      </c>
      <c r="E359" t="s">
        <v>6</v>
      </c>
      <c r="F359" t="s">
        <v>20</v>
      </c>
      <c r="J359" t="s">
        <v>29</v>
      </c>
      <c r="K359" s="15">
        <v>45667</v>
      </c>
      <c r="L359" t="s">
        <v>20</v>
      </c>
      <c r="M359" t="str">
        <f>IF(COUNTIFS(PRO_LT_SCORECARD_FLEX_VALIDATIO!$K:$K, _xlfn.CONCAT(C359,D359), PRO_LT_SCORECARD_FLEX_VALIDATIO!$G:$G, "KO") &gt; 0, "NOK", "OK")</f>
        <v>NOK</v>
      </c>
      <c r="R359" t="s">
        <v>131</v>
      </c>
      <c r="S359" t="s">
        <v>132</v>
      </c>
      <c r="T359" t="s">
        <v>132</v>
      </c>
      <c r="U359" t="s">
        <v>132</v>
      </c>
      <c r="V359" t="s">
        <v>132</v>
      </c>
      <c r="W359" t="s">
        <v>132</v>
      </c>
      <c r="X359" t="s">
        <v>544</v>
      </c>
      <c r="Y359">
        <f>_xlfn.IFNA(_xlfn.XLOOKUP(D359,[1]Especificação!$G:$G,[1]Especificação!$C:$C),0)</f>
        <v>0</v>
      </c>
    </row>
    <row r="360" spans="1:25" ht="15">
      <c r="A360" s="40" t="str">
        <f t="shared" si="5"/>
        <v>ENTITY_TTL_ASSTS</v>
      </c>
      <c r="B360" s="40"/>
      <c r="C360" t="s">
        <v>139</v>
      </c>
      <c r="D360" t="s">
        <v>552</v>
      </c>
      <c r="E360" t="s">
        <v>6</v>
      </c>
      <c r="F360" t="s">
        <v>20</v>
      </c>
      <c r="J360" t="s">
        <v>29</v>
      </c>
      <c r="K360" s="15">
        <v>45667</v>
      </c>
      <c r="L360" t="s">
        <v>20</v>
      </c>
      <c r="M360" t="str">
        <f>IF(COUNTIFS(PRO_LT_SCORECARD_FLEX_VALIDATIO!$K:$K, _xlfn.CONCAT(C360,D360), PRO_LT_SCORECARD_FLEX_VALIDATIO!$G:$G, "KO") &gt; 0, "NOK", "OK")</f>
        <v>NOK</v>
      </c>
      <c r="R360" t="s">
        <v>131</v>
      </c>
      <c r="S360" t="s">
        <v>132</v>
      </c>
      <c r="T360" t="s">
        <v>132</v>
      </c>
      <c r="U360" t="s">
        <v>132</v>
      </c>
      <c r="V360" t="s">
        <v>132</v>
      </c>
      <c r="W360" t="s">
        <v>132</v>
      </c>
      <c r="X360" t="s">
        <v>544</v>
      </c>
      <c r="Y360">
        <f>_xlfn.IFNA(_xlfn.XLOOKUP(D360,[1]Especificação!$G:$G,[1]Especificação!$C:$C),0)</f>
        <v>0</v>
      </c>
    </row>
    <row r="361" spans="1:25" ht="15">
      <c r="A361" s="40" t="str">
        <f t="shared" si="5"/>
        <v>ENTITY_ENTTY_ID_BDR</v>
      </c>
      <c r="B361" s="40"/>
      <c r="C361" t="s">
        <v>139</v>
      </c>
      <c r="D361" t="s">
        <v>553</v>
      </c>
      <c r="E361" t="s">
        <v>6</v>
      </c>
      <c r="F361" t="s">
        <v>20</v>
      </c>
      <c r="J361" t="s">
        <v>29</v>
      </c>
      <c r="K361" s="15">
        <v>45667</v>
      </c>
      <c r="L361" t="s">
        <v>20</v>
      </c>
      <c r="M361" t="str">
        <f>IF(COUNTIFS(PRO_LT_SCORECARD_FLEX_VALIDATIO!$K:$K, _xlfn.CONCAT(C361,D361), PRO_LT_SCORECARD_FLEX_VALIDATIO!$G:$G, "KO") &gt; 0, "NOK", "OK")</f>
        <v>NOK</v>
      </c>
      <c r="R361" t="s">
        <v>131</v>
      </c>
      <c r="S361" t="s">
        <v>132</v>
      </c>
      <c r="T361" t="s">
        <v>132</v>
      </c>
      <c r="U361" t="s">
        <v>132</v>
      </c>
      <c r="V361" t="s">
        <v>132</v>
      </c>
      <c r="W361" t="s">
        <v>132</v>
      </c>
      <c r="X361" t="s">
        <v>544</v>
      </c>
      <c r="Y361">
        <f>_xlfn.IFNA(_xlfn.XLOOKUP(D361,[1]Especificação!$G:$G,[1]Especificação!$C:$C),0)</f>
        <v>0</v>
      </c>
    </row>
    <row r="362" spans="1:25" ht="15">
      <c r="A362" s="40" t="str">
        <f t="shared" si="5"/>
        <v>INSTRUMENT_CPN_RT_FLTNG</v>
      </c>
      <c r="B362" s="40"/>
      <c r="C362" t="s">
        <v>127</v>
      </c>
      <c r="D362" t="s">
        <v>554</v>
      </c>
      <c r="E362" t="s">
        <v>6</v>
      </c>
      <c r="F362" t="s">
        <v>20</v>
      </c>
      <c r="J362" t="s">
        <v>29</v>
      </c>
      <c r="K362" s="15">
        <v>45667</v>
      </c>
      <c r="L362" t="s">
        <v>20</v>
      </c>
      <c r="M362" t="str">
        <f>IF(COUNTIFS(PRO_LT_SCORECARD_FLEX_VALIDATIO!$K:$K, _xlfn.CONCAT(C362,D362), PRO_LT_SCORECARD_FLEX_VALIDATIO!$G:$G, "KO") &gt; 0, "NOK", "OK")</f>
        <v>NOK</v>
      </c>
      <c r="R362" t="s">
        <v>131</v>
      </c>
      <c r="S362" t="s">
        <v>132</v>
      </c>
      <c r="T362" t="s">
        <v>132</v>
      </c>
      <c r="U362" t="s">
        <v>132</v>
      </c>
      <c r="V362" t="s">
        <v>132</v>
      </c>
      <c r="W362" t="s">
        <v>132</v>
      </c>
      <c r="X362" t="s">
        <v>544</v>
      </c>
      <c r="Y362">
        <f>_xlfn.IFNA(_xlfn.XLOOKUP(D362,[1]Especificação!$G:$G,[1]Especificação!$C:$C),0)</f>
        <v>0</v>
      </c>
    </row>
    <row r="363" spans="1:25" ht="15">
      <c r="A363" s="40" t="str">
        <f t="shared" si="5"/>
        <v>INSTRUMENT_INTRST_RT_CP</v>
      </c>
      <c r="B363" s="40"/>
      <c r="C363" t="s">
        <v>127</v>
      </c>
      <c r="D363" t="s">
        <v>555</v>
      </c>
      <c r="E363" t="s">
        <v>6</v>
      </c>
      <c r="F363" t="s">
        <v>20</v>
      </c>
      <c r="J363" t="s">
        <v>29</v>
      </c>
      <c r="K363" s="15">
        <v>45667</v>
      </c>
      <c r="L363" t="s">
        <v>20</v>
      </c>
      <c r="M363" t="str">
        <f>IF(COUNTIFS(PRO_LT_SCORECARD_FLEX_VALIDATIO!$K:$K, _xlfn.CONCAT(C363,D363), PRO_LT_SCORECARD_FLEX_VALIDATIO!$G:$G, "KO") &gt; 0, "NOK", "OK")</f>
        <v>NOK</v>
      </c>
      <c r="R363" t="s">
        <v>131</v>
      </c>
      <c r="S363" t="s">
        <v>132</v>
      </c>
      <c r="T363" t="s">
        <v>132</v>
      </c>
      <c r="U363" t="s">
        <v>132</v>
      </c>
      <c r="V363" t="s">
        <v>132</v>
      </c>
      <c r="W363" t="s">
        <v>132</v>
      </c>
      <c r="X363" t="s">
        <v>544</v>
      </c>
      <c r="Y363">
        <f>_xlfn.IFNA(_xlfn.XLOOKUP(D363,[1]Especificação!$G:$G,[1]Especificação!$C:$C),0)</f>
        <v>0</v>
      </c>
    </row>
    <row r="364" spans="1:25" ht="15">
      <c r="A364" s="40" t="str">
        <f t="shared" si="5"/>
        <v>INSTRUMENT_INTRST_RT_FLR</v>
      </c>
      <c r="B364" s="40"/>
      <c r="C364" t="s">
        <v>127</v>
      </c>
      <c r="D364" t="s">
        <v>556</v>
      </c>
      <c r="E364" t="s">
        <v>6</v>
      </c>
      <c r="F364" t="s">
        <v>20</v>
      </c>
      <c r="J364" t="s">
        <v>29</v>
      </c>
      <c r="K364" s="15">
        <v>45667</v>
      </c>
      <c r="L364" t="s">
        <v>20</v>
      </c>
      <c r="M364" t="str">
        <f>IF(COUNTIFS(PRO_LT_SCORECARD_FLEX_VALIDATIO!$K:$K, _xlfn.CONCAT(C364,D364), PRO_LT_SCORECARD_FLEX_VALIDATIO!$G:$G, "KO") &gt; 0, "NOK", "OK")</f>
        <v>NOK</v>
      </c>
      <c r="R364" t="s">
        <v>131</v>
      </c>
      <c r="S364" t="s">
        <v>132</v>
      </c>
      <c r="T364" t="s">
        <v>132</v>
      </c>
      <c r="U364" t="s">
        <v>132</v>
      </c>
      <c r="V364" t="s">
        <v>132</v>
      </c>
      <c r="W364" t="s">
        <v>132</v>
      </c>
      <c r="X364" t="s">
        <v>544</v>
      </c>
      <c r="Y364">
        <f>_xlfn.IFNA(_xlfn.XLOOKUP(D364,[1]Especificação!$G:$G,[1]Especificação!$C:$C),0)</f>
        <v>0</v>
      </c>
    </row>
    <row r="365" spans="1:25" ht="15">
      <c r="A365" s="40" t="str">
        <f t="shared" si="5"/>
        <v>INSTRUMENT_NMNL_INTRST_RT_FEE</v>
      </c>
      <c r="B365" s="40"/>
      <c r="C365" t="s">
        <v>127</v>
      </c>
      <c r="D365" t="s">
        <v>557</v>
      </c>
      <c r="E365" t="s">
        <v>6</v>
      </c>
      <c r="F365" t="s">
        <v>20</v>
      </c>
      <c r="J365" t="s">
        <v>29</v>
      </c>
      <c r="K365" s="15">
        <v>45667</v>
      </c>
      <c r="L365" t="s">
        <v>20</v>
      </c>
      <c r="M365" t="str">
        <f>IF(COUNTIFS(PRO_LT_SCORECARD_FLEX_VALIDATIO!$K:$K, _xlfn.CONCAT(C365,D365), PRO_LT_SCORECARD_FLEX_VALIDATIO!$G:$G, "KO") &gt; 0, "NOK", "OK")</f>
        <v>NOK</v>
      </c>
      <c r="R365" t="s">
        <v>131</v>
      </c>
      <c r="S365" t="s">
        <v>132</v>
      </c>
      <c r="T365" t="s">
        <v>132</v>
      </c>
      <c r="U365" t="s">
        <v>132</v>
      </c>
      <c r="V365" t="s">
        <v>132</v>
      </c>
      <c r="W365" t="s">
        <v>132</v>
      </c>
      <c r="X365" t="s">
        <v>544</v>
      </c>
      <c r="Y365">
        <f>_xlfn.IFNA(_xlfn.XLOOKUP(D365,[1]Especificação!$G:$G,[1]Especificação!$C:$C),0)</f>
        <v>0</v>
      </c>
    </row>
    <row r="366" spans="1:25" ht="15">
      <c r="A366" s="40" t="str">
        <f t="shared" si="5"/>
        <v>INSTRUMENT_DT_STTLMNT</v>
      </c>
      <c r="B366" s="40"/>
      <c r="C366" t="s">
        <v>127</v>
      </c>
      <c r="D366" t="s">
        <v>558</v>
      </c>
      <c r="E366" t="s">
        <v>6</v>
      </c>
      <c r="F366" t="s">
        <v>20</v>
      </c>
      <c r="J366" t="s">
        <v>29</v>
      </c>
      <c r="K366" s="15">
        <v>45667</v>
      </c>
      <c r="L366" t="s">
        <v>20</v>
      </c>
      <c r="M366" t="str">
        <f>IF(COUNTIFS(PRO_LT_SCORECARD_FLEX_VALIDATIO!$K:$K, _xlfn.CONCAT(C366,D366), PRO_LT_SCORECARD_FLEX_VALIDATIO!$G:$G, "KO") &gt; 0, "NOK", "OK")</f>
        <v>NOK</v>
      </c>
      <c r="R366" t="s">
        <v>131</v>
      </c>
      <c r="S366" t="s">
        <v>132</v>
      </c>
      <c r="T366" t="s">
        <v>132</v>
      </c>
      <c r="U366" t="s">
        <v>132</v>
      </c>
      <c r="V366" t="s">
        <v>132</v>
      </c>
      <c r="W366" t="s">
        <v>132</v>
      </c>
      <c r="X366" t="s">
        <v>544</v>
      </c>
      <c r="Y366">
        <f>_xlfn.IFNA(_xlfn.XLOOKUP(D366,[1]Especificação!$G:$G,[1]Especificação!$C:$C),0)</f>
        <v>0</v>
      </c>
    </row>
    <row r="367" spans="1:25" ht="15">
      <c r="A367" s="40" t="str">
        <f t="shared" si="5"/>
        <v>INSTRUMENT_TRNSFRRD_AMNT</v>
      </c>
      <c r="B367" s="40"/>
      <c r="C367" t="s">
        <v>127</v>
      </c>
      <c r="D367" t="s">
        <v>559</v>
      </c>
      <c r="E367" t="s">
        <v>6</v>
      </c>
      <c r="F367" t="s">
        <v>20</v>
      </c>
      <c r="J367" t="s">
        <v>29</v>
      </c>
      <c r="K367" s="15">
        <v>45667</v>
      </c>
      <c r="L367" t="s">
        <v>20</v>
      </c>
      <c r="M367" t="str">
        <f>IF(COUNTIFS(PRO_LT_SCORECARD_FLEX_VALIDATIO!$K:$K, _xlfn.CONCAT(C367,D367), PRO_LT_SCORECARD_FLEX_VALIDATIO!$G:$G, "KO") &gt; 0, "NOK", "OK")</f>
        <v>NOK</v>
      </c>
      <c r="R367" t="s">
        <v>131</v>
      </c>
      <c r="S367" t="s">
        <v>132</v>
      </c>
      <c r="T367" t="s">
        <v>132</v>
      </c>
      <c r="U367" t="s">
        <v>132</v>
      </c>
      <c r="V367" t="s">
        <v>132</v>
      </c>
      <c r="W367" t="s">
        <v>132</v>
      </c>
      <c r="X367" t="s">
        <v>544</v>
      </c>
      <c r="Y367">
        <f>_xlfn.IFNA(_xlfn.XLOOKUP(D367,[1]Especificação!$G:$G,[1]Especificação!$C:$C),0)</f>
        <v>0</v>
      </c>
    </row>
    <row r="368" spans="1:25" ht="15">
      <c r="A368" s="40" t="str">
        <f t="shared" si="5"/>
        <v>INSTRUMENT_TYP_SCRTZTN</v>
      </c>
      <c r="B368" s="40"/>
      <c r="C368" t="s">
        <v>127</v>
      </c>
      <c r="D368" t="s">
        <v>560</v>
      </c>
      <c r="E368" t="s">
        <v>6</v>
      </c>
      <c r="F368" t="s">
        <v>20</v>
      </c>
      <c r="J368" t="s">
        <v>29</v>
      </c>
      <c r="K368" s="15">
        <v>45667</v>
      </c>
      <c r="L368" t="s">
        <v>20</v>
      </c>
      <c r="M368" t="str">
        <f>IF(COUNTIFS(PRO_LT_SCORECARD_FLEX_VALIDATIO!$K:$K, _xlfn.CONCAT(C368,D368), PRO_LT_SCORECARD_FLEX_VALIDATIO!$G:$G, "KO") &gt; 0, "NOK", "OK")</f>
        <v>NOK</v>
      </c>
      <c r="R368" t="s">
        <v>131</v>
      </c>
      <c r="S368" t="s">
        <v>132</v>
      </c>
      <c r="T368" t="s">
        <v>132</v>
      </c>
      <c r="U368" t="s">
        <v>132</v>
      </c>
      <c r="V368" t="s">
        <v>132</v>
      </c>
      <c r="W368" t="s">
        <v>132</v>
      </c>
      <c r="X368" t="s">
        <v>544</v>
      </c>
      <c r="Y368">
        <f>_xlfn.IFNA(_xlfn.XLOOKUP(D368,[1]Especificação!$G:$G,[1]Especificação!$C:$C),0)</f>
        <v>0</v>
      </c>
    </row>
    <row r="369" spans="1:25" ht="15" hidden="1">
      <c r="A369" s="40" t="str">
        <f t="shared" si="5"/>
        <v>INSTRUMENT_TYP_OFF_BLNC_PRDCT</v>
      </c>
      <c r="B369" s="40"/>
      <c r="C369" t="s">
        <v>127</v>
      </c>
      <c r="D369" t="s">
        <v>561</v>
      </c>
      <c r="E369" t="s">
        <v>6</v>
      </c>
      <c r="F369" t="s">
        <v>20</v>
      </c>
      <c r="J369" t="s">
        <v>29</v>
      </c>
      <c r="K369" s="15">
        <v>45667</v>
      </c>
      <c r="L369" t="s">
        <v>20</v>
      </c>
      <c r="M369" t="str">
        <f>IF(COUNTIFS(PRO_LT_SCORECARD_FLEX_VALIDATIO!$K:$K, _xlfn.CONCAT(C369,D369), PRO_LT_SCORECARD_FLEX_VALIDATIO!$G:$G, "KO") &gt; 0, "NOK", "OK")</f>
        <v>NOK</v>
      </c>
      <c r="R369" t="s">
        <v>131</v>
      </c>
      <c r="S369" t="s">
        <v>131</v>
      </c>
      <c r="T369" t="s">
        <v>131</v>
      </c>
      <c r="U369" t="s">
        <v>132</v>
      </c>
      <c r="V369" t="s">
        <v>132</v>
      </c>
      <c r="W369" t="s">
        <v>131</v>
      </c>
      <c r="X369" t="s">
        <v>136</v>
      </c>
      <c r="Y369" t="str">
        <f>_xlfn.IFNA(_xlfn.XLOOKUP(D369,[1]Especificação!$G:$G,[1]Especificação!$C:$C),0)</f>
        <v>A. Novos Campos</v>
      </c>
    </row>
    <row r="370" spans="1:25" ht="15">
      <c r="A370" s="40" t="str">
        <f t="shared" si="5"/>
        <v>INSTRUMENT_BLNC_SHT_RCGNTN</v>
      </c>
      <c r="B370" s="40"/>
      <c r="C370" t="s">
        <v>127</v>
      </c>
      <c r="D370" t="s">
        <v>562</v>
      </c>
      <c r="E370" t="s">
        <v>6</v>
      </c>
      <c r="F370" t="s">
        <v>20</v>
      </c>
      <c r="J370" t="s">
        <v>29</v>
      </c>
      <c r="K370" s="15">
        <v>45667</v>
      </c>
      <c r="L370" t="s">
        <v>20</v>
      </c>
      <c r="M370" t="str">
        <f>IF(COUNTIFS(PRO_LT_SCORECARD_FLEX_VALIDATIO!$K:$K, _xlfn.CONCAT(C370,D370), PRO_LT_SCORECARD_FLEX_VALIDATIO!$G:$G, "KO") &gt; 0, "NOK", "OK")</f>
        <v>NOK</v>
      </c>
      <c r="R370" t="s">
        <v>131</v>
      </c>
      <c r="S370" t="s">
        <v>132</v>
      </c>
      <c r="T370" t="s">
        <v>132</v>
      </c>
      <c r="U370" t="s">
        <v>132</v>
      </c>
      <c r="V370" t="s">
        <v>132</v>
      </c>
      <c r="W370" t="s">
        <v>132</v>
      </c>
      <c r="X370" t="s">
        <v>544</v>
      </c>
      <c r="Y370">
        <f>_xlfn.IFNA(_xlfn.XLOOKUP(D370,[1]Especificação!$G:$G,[1]Especificação!$C:$C),0)</f>
        <v>0</v>
      </c>
    </row>
    <row r="371" spans="1:25" ht="15">
      <c r="A371" s="40" t="str">
        <f t="shared" si="5"/>
        <v>INSTRUMENT_FLG_DFLT</v>
      </c>
      <c r="B371" s="40"/>
      <c r="C371" t="s">
        <v>127</v>
      </c>
      <c r="D371" t="s">
        <v>563</v>
      </c>
      <c r="E371" t="s">
        <v>6</v>
      </c>
      <c r="F371" t="s">
        <v>20</v>
      </c>
      <c r="J371" t="s">
        <v>29</v>
      </c>
      <c r="K371" s="15">
        <v>45667</v>
      </c>
      <c r="L371" t="s">
        <v>20</v>
      </c>
      <c r="M371" t="str">
        <f>IF(COUNTIFS(PRO_LT_SCORECARD_FLEX_VALIDATIO!$K:$K, _xlfn.CONCAT(C371,D371), PRO_LT_SCORECARD_FLEX_VALIDATIO!$G:$G, "KO") &gt; 0, "NOK", "OK")</f>
        <v>NOK</v>
      </c>
      <c r="R371" t="s">
        <v>131</v>
      </c>
      <c r="S371" t="s">
        <v>132</v>
      </c>
      <c r="T371" t="s">
        <v>132</v>
      </c>
      <c r="U371" t="s">
        <v>132</v>
      </c>
      <c r="V371" t="s">
        <v>132</v>
      </c>
      <c r="W371" t="s">
        <v>132</v>
      </c>
      <c r="X371" t="s">
        <v>544</v>
      </c>
      <c r="Y371">
        <f>_xlfn.IFNA(_xlfn.XLOOKUP(D371,[1]Especificação!$G:$G,[1]Especificação!$C:$C),0)</f>
        <v>0</v>
      </c>
    </row>
    <row r="372" spans="1:25" ht="15">
      <c r="A372" s="40" t="str">
        <f t="shared" si="5"/>
        <v>INSTRUMENT_FLG_HGH_RSK</v>
      </c>
      <c r="B372" s="40"/>
      <c r="C372" t="s">
        <v>127</v>
      </c>
      <c r="D372" t="s">
        <v>564</v>
      </c>
      <c r="E372" t="s">
        <v>6</v>
      </c>
      <c r="F372" t="s">
        <v>20</v>
      </c>
      <c r="J372" t="s">
        <v>29</v>
      </c>
      <c r="K372" s="15">
        <v>45667</v>
      </c>
      <c r="L372" t="s">
        <v>20</v>
      </c>
      <c r="M372" t="str">
        <f>IF(COUNTIFS(PRO_LT_SCORECARD_FLEX_VALIDATIO!$K:$K, _xlfn.CONCAT(C372,D372), PRO_LT_SCORECARD_FLEX_VALIDATIO!$G:$G, "KO") &gt; 0, "NOK", "OK")</f>
        <v>NOK</v>
      </c>
      <c r="R372" t="s">
        <v>131</v>
      </c>
      <c r="S372" t="s">
        <v>132</v>
      </c>
      <c r="T372" t="s">
        <v>132</v>
      </c>
      <c r="U372" t="s">
        <v>132</v>
      </c>
      <c r="V372" t="s">
        <v>132</v>
      </c>
      <c r="W372" t="s">
        <v>132</v>
      </c>
      <c r="X372" t="s">
        <v>544</v>
      </c>
      <c r="Y372">
        <f>_xlfn.IFNA(_xlfn.XLOOKUP(D372,[1]Especificação!$G:$G,[1]Especificação!$C:$C),0)</f>
        <v>0</v>
      </c>
    </row>
    <row r="373" spans="1:25" ht="15">
      <c r="A373" s="40" t="str">
        <f t="shared" si="5"/>
        <v>INSTRUMENT_PRTNR</v>
      </c>
      <c r="B373" s="40"/>
      <c r="C373" t="s">
        <v>127</v>
      </c>
      <c r="D373" t="s">
        <v>565</v>
      </c>
      <c r="E373" t="s">
        <v>6</v>
      </c>
      <c r="F373" t="s">
        <v>20</v>
      </c>
      <c r="J373" t="s">
        <v>29</v>
      </c>
      <c r="K373" s="15">
        <v>45667</v>
      </c>
      <c r="L373" t="s">
        <v>20</v>
      </c>
      <c r="M373" t="str">
        <f>IF(COUNTIFS(PRO_LT_SCORECARD_FLEX_VALIDATIO!$K:$K, _xlfn.CONCAT(C373,D373), PRO_LT_SCORECARD_FLEX_VALIDATIO!$G:$G, "KO") &gt; 0, "NOK", "OK")</f>
        <v>NOK</v>
      </c>
      <c r="R373" t="s">
        <v>131</v>
      </c>
      <c r="S373" t="s">
        <v>132</v>
      </c>
      <c r="T373" t="s">
        <v>132</v>
      </c>
      <c r="U373" t="s">
        <v>131</v>
      </c>
      <c r="V373" t="s">
        <v>132</v>
      </c>
      <c r="W373" t="s">
        <v>132</v>
      </c>
      <c r="X373" t="s">
        <v>544</v>
      </c>
      <c r="Y373">
        <f>_xlfn.IFNA(_xlfn.XLOOKUP(D373,[1]Especificação!$G:$G,[1]Especificação!$C:$C),0)</f>
        <v>0</v>
      </c>
    </row>
    <row r="374" spans="1:25" ht="15">
      <c r="A374" s="40" t="str">
        <f t="shared" si="5"/>
        <v>INSTRUMENT_INCNTVS</v>
      </c>
      <c r="B374" s="40"/>
      <c r="C374" t="s">
        <v>127</v>
      </c>
      <c r="D374" t="s">
        <v>566</v>
      </c>
      <c r="E374" t="s">
        <v>6</v>
      </c>
      <c r="F374" t="s">
        <v>20</v>
      </c>
      <c r="J374" t="s">
        <v>29</v>
      </c>
      <c r="K374" s="15">
        <v>45667</v>
      </c>
      <c r="L374" t="s">
        <v>20</v>
      </c>
      <c r="M374" t="str">
        <f>IF(COUNTIFS(PRO_LT_SCORECARD_FLEX_VALIDATIO!$K:$K, _xlfn.CONCAT(C374,D374), PRO_LT_SCORECARD_FLEX_VALIDATIO!$G:$G, "KO") &gt; 0, "NOK", "OK")</f>
        <v>NOK</v>
      </c>
      <c r="R374" t="s">
        <v>131</v>
      </c>
      <c r="S374" t="s">
        <v>132</v>
      </c>
      <c r="T374" t="s">
        <v>132</v>
      </c>
      <c r="U374" t="s">
        <v>131</v>
      </c>
      <c r="V374" t="s">
        <v>132</v>
      </c>
      <c r="W374" t="s">
        <v>132</v>
      </c>
      <c r="X374" t="s">
        <v>544</v>
      </c>
      <c r="Y374">
        <f>_xlfn.IFNA(_xlfn.XLOOKUP(D374,[1]Especificação!$G:$G,[1]Especificação!$C:$C),0)</f>
        <v>0</v>
      </c>
    </row>
    <row r="375" spans="1:25" ht="15">
      <c r="A375" s="40" t="str">
        <f t="shared" si="5"/>
        <v>INSTRUMENT_OTHR_OPRTNG_INCM</v>
      </c>
      <c r="B375" s="40"/>
      <c r="C375" t="s">
        <v>127</v>
      </c>
      <c r="D375" t="s">
        <v>567</v>
      </c>
      <c r="E375" t="s">
        <v>6</v>
      </c>
      <c r="F375" t="s">
        <v>20</v>
      </c>
      <c r="J375" t="s">
        <v>29</v>
      </c>
      <c r="K375" s="15">
        <v>45667</v>
      </c>
      <c r="L375" t="s">
        <v>20</v>
      </c>
      <c r="M375" t="str">
        <f>IF(COUNTIFS(PRO_LT_SCORECARD_FLEX_VALIDATIO!$K:$K, _xlfn.CONCAT(C375,D375), PRO_LT_SCORECARD_FLEX_VALIDATIO!$G:$G, "KO") &gt; 0, "NOK", "OK")</f>
        <v>NOK</v>
      </c>
      <c r="R375" t="s">
        <v>131</v>
      </c>
      <c r="S375" t="s">
        <v>132</v>
      </c>
      <c r="T375" t="s">
        <v>132</v>
      </c>
      <c r="U375" t="s">
        <v>131</v>
      </c>
      <c r="V375" t="s">
        <v>132</v>
      </c>
      <c r="W375" t="s">
        <v>132</v>
      </c>
      <c r="X375" t="s">
        <v>544</v>
      </c>
      <c r="Y375">
        <f>_xlfn.IFNA(_xlfn.XLOOKUP(D375,[1]Especificação!$G:$G,[1]Especificação!$C:$C),0)</f>
        <v>0</v>
      </c>
    </row>
    <row r="376" spans="1:25" ht="15">
      <c r="A376" s="40" t="str">
        <f t="shared" si="5"/>
        <v>INSTRUMENT_RFRRL_FS</v>
      </c>
      <c r="B376" s="40"/>
      <c r="C376" t="s">
        <v>127</v>
      </c>
      <c r="D376" t="s">
        <v>568</v>
      </c>
      <c r="E376" t="s">
        <v>6</v>
      </c>
      <c r="F376" t="s">
        <v>20</v>
      </c>
      <c r="J376" t="s">
        <v>29</v>
      </c>
      <c r="K376" s="15">
        <v>45667</v>
      </c>
      <c r="L376" t="s">
        <v>20</v>
      </c>
      <c r="M376" t="str">
        <f>IF(COUNTIFS(PRO_LT_SCORECARD_FLEX_VALIDATIO!$K:$K, _xlfn.CONCAT(C376,D376), PRO_LT_SCORECARD_FLEX_VALIDATIO!$G:$G, "KO") &gt; 0, "NOK", "OK")</f>
        <v>NOK</v>
      </c>
      <c r="R376" t="s">
        <v>131</v>
      </c>
      <c r="S376" t="s">
        <v>132</v>
      </c>
      <c r="T376" t="s">
        <v>132</v>
      </c>
      <c r="U376" t="s">
        <v>131</v>
      </c>
      <c r="V376" t="s">
        <v>132</v>
      </c>
      <c r="W376" t="s">
        <v>132</v>
      </c>
      <c r="X376" t="s">
        <v>544</v>
      </c>
      <c r="Y376">
        <f>_xlfn.IFNA(_xlfn.XLOOKUP(D376,[1]Especificação!$G:$G,[1]Especificação!$C:$C),0)</f>
        <v>0</v>
      </c>
    </row>
    <row r="377" spans="1:25" ht="15">
      <c r="A377" s="40" t="str">
        <f t="shared" si="5"/>
        <v>INSTRUMENT_INSRNC_CMSSNS</v>
      </c>
      <c r="B377" s="40"/>
      <c r="C377" t="s">
        <v>127</v>
      </c>
      <c r="D377" t="s">
        <v>569</v>
      </c>
      <c r="E377" t="s">
        <v>6</v>
      </c>
      <c r="F377" t="s">
        <v>20</v>
      </c>
      <c r="J377" t="s">
        <v>29</v>
      </c>
      <c r="K377" s="15">
        <v>45667</v>
      </c>
      <c r="L377" t="s">
        <v>20</v>
      </c>
      <c r="M377" t="str">
        <f>IF(COUNTIFS(PRO_LT_SCORECARD_FLEX_VALIDATIO!$K:$K, _xlfn.CONCAT(C377,D377), PRO_LT_SCORECARD_FLEX_VALIDATIO!$G:$G, "KO") &gt; 0, "NOK", "OK")</f>
        <v>NOK</v>
      </c>
      <c r="R377" t="s">
        <v>131</v>
      </c>
      <c r="S377" t="s">
        <v>132</v>
      </c>
      <c r="T377" t="s">
        <v>132</v>
      </c>
      <c r="U377" t="s">
        <v>131</v>
      </c>
      <c r="V377" t="s">
        <v>132</v>
      </c>
      <c r="W377" t="s">
        <v>132</v>
      </c>
      <c r="X377" t="s">
        <v>544</v>
      </c>
      <c r="Y377">
        <f>_xlfn.IFNA(_xlfn.XLOOKUP(D377,[1]Especificação!$G:$G,[1]Especificação!$C:$C),0)</f>
        <v>0</v>
      </c>
    </row>
    <row r="378" spans="1:25" ht="15">
      <c r="A378" s="40" t="str">
        <f t="shared" si="5"/>
        <v>INSTRUMENT_OTHR_INCM_AND_CHRGS</v>
      </c>
      <c r="B378" s="40"/>
      <c r="C378" t="s">
        <v>127</v>
      </c>
      <c r="D378" t="s">
        <v>570</v>
      </c>
      <c r="E378" t="s">
        <v>6</v>
      </c>
      <c r="F378" t="s">
        <v>20</v>
      </c>
      <c r="J378" t="s">
        <v>29</v>
      </c>
      <c r="K378" s="15">
        <v>45667</v>
      </c>
      <c r="L378" t="s">
        <v>20</v>
      </c>
      <c r="M378" t="str">
        <f>IF(COUNTIFS(PRO_LT_SCORECARD_FLEX_VALIDATIO!$K:$K, _xlfn.CONCAT(C378,D378), PRO_LT_SCORECARD_FLEX_VALIDATIO!$G:$G, "KO") &gt; 0, "NOK", "OK")</f>
        <v>NOK</v>
      </c>
      <c r="R378" t="s">
        <v>131</v>
      </c>
      <c r="S378" t="s">
        <v>132</v>
      </c>
      <c r="T378" t="s">
        <v>132</v>
      </c>
      <c r="U378" t="s">
        <v>131</v>
      </c>
      <c r="V378" t="s">
        <v>132</v>
      </c>
      <c r="W378" t="s">
        <v>132</v>
      </c>
      <c r="X378" t="s">
        <v>544</v>
      </c>
      <c r="Y378">
        <f>_xlfn.IFNA(_xlfn.XLOOKUP(D378,[1]Especificação!$G:$G,[1]Especificação!$C:$C),0)</f>
        <v>0</v>
      </c>
    </row>
    <row r="379" spans="1:25" ht="15">
      <c r="A379" s="40" t="str">
        <f t="shared" si="5"/>
        <v>INSTRUMENT_TX_ON_PRFT</v>
      </c>
      <c r="B379" s="40"/>
      <c r="C379" t="s">
        <v>127</v>
      </c>
      <c r="D379" t="s">
        <v>571</v>
      </c>
      <c r="E379" t="s">
        <v>6</v>
      </c>
      <c r="F379" t="s">
        <v>20</v>
      </c>
      <c r="J379" t="s">
        <v>29</v>
      </c>
      <c r="K379" s="15">
        <v>45667</v>
      </c>
      <c r="L379" t="s">
        <v>20</v>
      </c>
      <c r="M379" t="str">
        <f>IF(COUNTIFS(PRO_LT_SCORECARD_FLEX_VALIDATIO!$K:$K, _xlfn.CONCAT(C379,D379), PRO_LT_SCORECARD_FLEX_VALIDATIO!$G:$G, "KO") &gt; 0, "NOK", "OK")</f>
        <v>NOK</v>
      </c>
      <c r="R379" t="s">
        <v>131</v>
      </c>
      <c r="S379" t="s">
        <v>132</v>
      </c>
      <c r="T379" t="s">
        <v>132</v>
      </c>
      <c r="U379" t="s">
        <v>131</v>
      </c>
      <c r="V379" t="s">
        <v>132</v>
      </c>
      <c r="W379" t="s">
        <v>132</v>
      </c>
      <c r="X379" t="s">
        <v>544</v>
      </c>
      <c r="Y379">
        <f>_xlfn.IFNA(_xlfn.XLOOKUP(D379,[1]Especificação!$G:$G,[1]Especificação!$C:$C),0)</f>
        <v>0</v>
      </c>
    </row>
    <row r="380" spans="1:25" ht="15">
      <c r="A380" s="40" t="str">
        <f t="shared" si="5"/>
        <v>PROTECTION_LND_AR</v>
      </c>
      <c r="B380" s="40"/>
      <c r="C380" t="s">
        <v>156</v>
      </c>
      <c r="D380" t="s">
        <v>572</v>
      </c>
      <c r="E380" t="s">
        <v>6</v>
      </c>
      <c r="F380" t="s">
        <v>20</v>
      </c>
      <c r="J380" t="s">
        <v>29</v>
      </c>
      <c r="K380" s="15">
        <v>45667</v>
      </c>
      <c r="L380" t="s">
        <v>20</v>
      </c>
      <c r="M380" t="str">
        <f>IF(COUNTIFS(PRO_LT_SCORECARD_FLEX_VALIDATIO!$K:$K, _xlfn.CONCAT(C380,D380), PRO_LT_SCORECARD_FLEX_VALIDATIO!$G:$G, "KO") &gt; 0, "NOK", "OK")</f>
        <v>NOK</v>
      </c>
      <c r="R380" t="s">
        <v>131</v>
      </c>
      <c r="S380" t="s">
        <v>132</v>
      </c>
      <c r="T380" t="s">
        <v>132</v>
      </c>
      <c r="U380" t="s">
        <v>132</v>
      </c>
      <c r="V380" t="s">
        <v>132</v>
      </c>
      <c r="W380" t="s">
        <v>132</v>
      </c>
      <c r="X380" t="s">
        <v>544</v>
      </c>
      <c r="Y380">
        <f>_xlfn.IFNA(_xlfn.XLOOKUP(D380,[1]Especificação!$G:$G,[1]Especificação!$C:$C),0)</f>
        <v>0</v>
      </c>
    </row>
    <row r="381" spans="1:25" ht="15">
      <c r="A381" s="40" t="str">
        <f t="shared" si="5"/>
        <v>PROTECTION_LN_PSTN</v>
      </c>
      <c r="B381" s="40"/>
      <c r="C381" t="s">
        <v>156</v>
      </c>
      <c r="D381" t="s">
        <v>573</v>
      </c>
      <c r="E381" t="s">
        <v>6</v>
      </c>
      <c r="F381" t="s">
        <v>20</v>
      </c>
      <c r="J381" t="s">
        <v>29</v>
      </c>
      <c r="K381" s="15">
        <v>45667</v>
      </c>
      <c r="L381" t="s">
        <v>20</v>
      </c>
      <c r="M381" t="str">
        <f>IF(COUNTIFS(PRO_LT_SCORECARD_FLEX_VALIDATIO!$K:$K, _xlfn.CONCAT(C381,D381), PRO_LT_SCORECARD_FLEX_VALIDATIO!$G:$G, "KO") &gt; 0, "NOK", "OK")</f>
        <v>NOK</v>
      </c>
      <c r="R381" t="s">
        <v>131</v>
      </c>
      <c r="S381" t="s">
        <v>132</v>
      </c>
      <c r="T381" t="s">
        <v>132</v>
      </c>
      <c r="U381" t="s">
        <v>132</v>
      </c>
      <c r="V381" t="s">
        <v>132</v>
      </c>
      <c r="W381" t="s">
        <v>132</v>
      </c>
      <c r="X381" t="s">
        <v>544</v>
      </c>
      <c r="Y381">
        <f>_xlfn.IFNA(_xlfn.XLOOKUP(D381,[1]Especificação!$G:$G,[1]Especificação!$C:$C),0)</f>
        <v>0</v>
      </c>
    </row>
    <row r="382" spans="1:25" ht="15">
      <c r="A382" s="40" t="str">
        <f t="shared" si="5"/>
        <v>PROTECTION_RL_ESTT_LNGTD</v>
      </c>
      <c r="B382" s="40"/>
      <c r="C382" t="s">
        <v>156</v>
      </c>
      <c r="D382" t="s">
        <v>574</v>
      </c>
      <c r="E382" t="s">
        <v>6</v>
      </c>
      <c r="F382" t="s">
        <v>20</v>
      </c>
      <c r="J382" t="s">
        <v>29</v>
      </c>
      <c r="K382" s="15">
        <v>45667</v>
      </c>
      <c r="L382" t="s">
        <v>20</v>
      </c>
      <c r="M382" t="str">
        <f>IF(COUNTIFS(PRO_LT_SCORECARD_FLEX_VALIDATIO!$K:$K, _xlfn.CONCAT(C382,D382), PRO_LT_SCORECARD_FLEX_VALIDATIO!$G:$G, "KO") &gt; 0, "NOK", "OK")</f>
        <v>NOK</v>
      </c>
      <c r="R382" t="s">
        <v>131</v>
      </c>
      <c r="S382" t="s">
        <v>132</v>
      </c>
      <c r="T382" t="s">
        <v>132</v>
      </c>
      <c r="U382" t="s">
        <v>132</v>
      </c>
      <c r="V382" t="s">
        <v>132</v>
      </c>
      <c r="W382" t="s">
        <v>132</v>
      </c>
      <c r="X382" t="s">
        <v>544</v>
      </c>
      <c r="Y382">
        <f>_xlfn.IFNA(_xlfn.XLOOKUP(D382,[1]Especificação!$G:$G,[1]Especificação!$C:$C),0)</f>
        <v>0</v>
      </c>
    </row>
    <row r="383" spans="1:25" ht="15">
      <c r="A383" s="40" t="str">
        <f t="shared" si="5"/>
        <v>PROTECTION_RL_ESTT_LTTD</v>
      </c>
      <c r="B383" s="40"/>
      <c r="C383" t="s">
        <v>156</v>
      </c>
      <c r="D383" t="s">
        <v>575</v>
      </c>
      <c r="E383" t="s">
        <v>6</v>
      </c>
      <c r="F383" t="s">
        <v>20</v>
      </c>
      <c r="J383" t="s">
        <v>29</v>
      </c>
      <c r="K383" s="15">
        <v>45667</v>
      </c>
      <c r="L383" t="s">
        <v>20</v>
      </c>
      <c r="M383" t="str">
        <f>IF(COUNTIFS(PRO_LT_SCORECARD_FLEX_VALIDATIO!$K:$K, _xlfn.CONCAT(C383,D383), PRO_LT_SCORECARD_FLEX_VALIDATIO!$G:$G, "KO") &gt; 0, "NOK", "OK")</f>
        <v>NOK</v>
      </c>
      <c r="R383" t="s">
        <v>131</v>
      </c>
      <c r="S383" t="s">
        <v>132</v>
      </c>
      <c r="T383" t="s">
        <v>132</v>
      </c>
      <c r="U383" t="s">
        <v>132</v>
      </c>
      <c r="V383" t="s">
        <v>132</v>
      </c>
      <c r="W383" t="s">
        <v>132</v>
      </c>
      <c r="X383" t="s">
        <v>544</v>
      </c>
      <c r="Y383">
        <f>_xlfn.IFNA(_xlfn.XLOOKUP(D383,[1]Especificação!$G:$G,[1]Especificação!$C:$C),0)</f>
        <v>0</v>
      </c>
    </row>
    <row r="384" spans="1:25" ht="15">
      <c r="A384" s="40" t="str">
        <f t="shared" si="5"/>
        <v>INSTR_ACTIVITY_PRCNTG_ACTVTY</v>
      </c>
      <c r="B384" s="40"/>
      <c r="C384" t="s">
        <v>576</v>
      </c>
      <c r="D384" t="s">
        <v>577</v>
      </c>
      <c r="E384" t="s">
        <v>6</v>
      </c>
      <c r="F384" t="s">
        <v>20</v>
      </c>
      <c r="J384" t="s">
        <v>29</v>
      </c>
      <c r="K384" s="15">
        <v>45667</v>
      </c>
      <c r="L384" t="s">
        <v>20</v>
      </c>
      <c r="M384" t="str">
        <f>IF(COUNTIFS(PRO_LT_SCORECARD_FLEX_VALIDATIO!$K:$K, _xlfn.CONCAT(C384,D384), PRO_LT_SCORECARD_FLEX_VALIDATIO!$G:$G, "KO") &gt; 0, "NOK", "OK")</f>
        <v>NOK</v>
      </c>
      <c r="R384" t="s">
        <v>131</v>
      </c>
      <c r="S384" t="s">
        <v>131</v>
      </c>
      <c r="T384" t="s">
        <v>131</v>
      </c>
      <c r="U384" t="s">
        <v>132</v>
      </c>
      <c r="V384" t="s">
        <v>132</v>
      </c>
      <c r="W384" t="s">
        <v>132</v>
      </c>
      <c r="X384" t="s">
        <v>544</v>
      </c>
      <c r="Y384">
        <f>_xlfn.IFNA(_xlfn.XLOOKUP(D384,[1]Especificação!$G:$G,[1]Especificação!$C:$C),0)</f>
        <v>0</v>
      </c>
    </row>
    <row r="385" spans="1:25" ht="15" hidden="1">
      <c r="A385" s="40" t="str">
        <f t="shared" si="5"/>
        <v>INSTRUMENT_PD_EC_INCPTN</v>
      </c>
      <c r="B385" s="40"/>
      <c r="C385" t="s">
        <v>127</v>
      </c>
      <c r="D385" t="s">
        <v>1132</v>
      </c>
      <c r="E385" t="s">
        <v>6</v>
      </c>
      <c r="F385" t="s">
        <v>20</v>
      </c>
      <c r="J385" t="s">
        <v>29</v>
      </c>
      <c r="K385" s="15">
        <v>45952</v>
      </c>
      <c r="L385" t="s">
        <v>38</v>
      </c>
      <c r="M385" t="str">
        <f>IF(COUNTIFS(PRO_LT_SCORECARD_FLEX_VALIDATIO!$K:$K, _xlfn.CONCAT(C385,D385), PRO_LT_SCORECARD_FLEX_VALIDATIO!$G:$G, "KO") &gt; 0, "NOK", "OK")</f>
        <v>OK</v>
      </c>
      <c r="P385" s="15">
        <v>45952</v>
      </c>
      <c r="R385" t="s">
        <v>132</v>
      </c>
      <c r="S385" t="s">
        <v>132</v>
      </c>
      <c r="T385" t="s">
        <v>132</v>
      </c>
      <c r="U385" t="s">
        <v>132</v>
      </c>
      <c r="V385" t="s">
        <v>132</v>
      </c>
      <c r="W385" t="s">
        <v>131</v>
      </c>
      <c r="X385" t="s">
        <v>136</v>
      </c>
      <c r="Y385" t="str">
        <f>_xlfn.IFNA(_xlfn.XLOOKUP(D385,[1]Especificação!$G:$G,[1]Especificação!$C:$C),0)</f>
        <v>A. Novos Campos</v>
      </c>
    </row>
    <row r="386" spans="1:25" ht="15" hidden="1">
      <c r="A386" s="40" t="str">
        <f t="shared" ref="A386:A408" si="6">C386&amp;"_"&amp;D386</f>
        <v>INSTRUMENT_PD_EC_RD</v>
      </c>
      <c r="B386" s="40"/>
      <c r="C386" t="s">
        <v>127</v>
      </c>
      <c r="D386" t="s">
        <v>1131</v>
      </c>
      <c r="E386" t="s">
        <v>6</v>
      </c>
      <c r="F386" t="s">
        <v>20</v>
      </c>
      <c r="J386" t="s">
        <v>29</v>
      </c>
      <c r="K386" s="15">
        <v>45952</v>
      </c>
      <c r="L386" t="s">
        <v>36</v>
      </c>
      <c r="M386" t="str">
        <f>IF(COUNTIFS(PRO_LT_SCORECARD_FLEX_VALIDATIO!$K:$K, _xlfn.CONCAT(C386,D386), PRO_LT_SCORECARD_FLEX_VALIDATIO!$G:$G, "KO") &gt; 0, "NOK", "OK")</f>
        <v>NOK</v>
      </c>
      <c r="N386" t="s">
        <v>1144</v>
      </c>
      <c r="O386" s="15"/>
      <c r="P386" s="15">
        <v>45952</v>
      </c>
      <c r="R386" t="s">
        <v>131</v>
      </c>
      <c r="S386" t="s">
        <v>132</v>
      </c>
      <c r="T386" t="s">
        <v>132</v>
      </c>
      <c r="U386" t="s">
        <v>132</v>
      </c>
      <c r="V386" t="s">
        <v>132</v>
      </c>
      <c r="W386" t="s">
        <v>131</v>
      </c>
      <c r="X386" t="s">
        <v>136</v>
      </c>
      <c r="Y386" t="str">
        <f>_xlfn.IFNA(_xlfn.XLOOKUP(D386,[1]Especificação!$G:$G,[1]Especificação!$C:$C),0)</f>
        <v>A. Novos Campos</v>
      </c>
    </row>
    <row r="387" spans="1:25" ht="15" hidden="1">
      <c r="A387" s="40" t="str">
        <f t="shared" si="6"/>
        <v>INSTRUMENT_US_PRCDS</v>
      </c>
      <c r="B387" s="40"/>
      <c r="C387" t="s">
        <v>127</v>
      </c>
      <c r="D387" t="s">
        <v>1174</v>
      </c>
      <c r="E387" t="s">
        <v>6</v>
      </c>
      <c r="F387" t="s">
        <v>20</v>
      </c>
      <c r="J387" t="s">
        <v>29</v>
      </c>
      <c r="K387" s="15">
        <v>45952</v>
      </c>
      <c r="L387" t="s">
        <v>38</v>
      </c>
      <c r="M387" t="str">
        <f>IF(COUNTIFS(PRO_LT_SCORECARD_FLEX_VALIDATIO!$K:$K, _xlfn.CONCAT(C387,D387), PRO_LT_SCORECARD_FLEX_VALIDATIO!$G:$G, "KO") &gt; 0, "NOK", "OK")</f>
        <v>OK</v>
      </c>
      <c r="P387" s="15">
        <v>45952</v>
      </c>
      <c r="R387" t="str">
        <f>_xlfn.XLOOKUP(D387,[2]Overview!$E:$E,[2]Overview!$Z:$Z)</f>
        <v>N</v>
      </c>
      <c r="S387" t="str">
        <f>_xlfn.XLOOKUP(D387,[2]Overview!$E:$E,[2]Overview!$AA:$AA)</f>
        <v>N</v>
      </c>
      <c r="T387" t="str">
        <f>_xlfn.XLOOKUP(D387,[2]Overview!$E:$E,[2]Overview!$AB:$AB)</f>
        <v>N</v>
      </c>
      <c r="U387" t="str">
        <f>_xlfn.XLOOKUP(D387,[2]Overview!$E:$E,[2]Overview!$AC:$AC)</f>
        <v>N</v>
      </c>
      <c r="V387" t="str">
        <f>_xlfn.XLOOKUP(D387,[2]Overview!$E:$E,[2]Overview!$AD:$AD)</f>
        <v>N</v>
      </c>
      <c r="W387" t="str">
        <f>_xlfn.XLOOKUP(D387,[2]Overview!$E:$E,[2]Overview!$AE:$AE)</f>
        <v>Y</v>
      </c>
      <c r="X387" t="s">
        <v>136</v>
      </c>
      <c r="Y387" t="str">
        <f>_xlfn.IFNA(_xlfn.XLOOKUP(D387,[1]Especificação!$G:$G,[1]Especificação!$C:$C),0)</f>
        <v>A. Novos Campos</v>
      </c>
    </row>
    <row r="388" spans="1:25" ht="15" hidden="1">
      <c r="A388" s="40" t="str">
        <f t="shared" si="6"/>
        <v>INSTRUMENT_TYP_FCLTY</v>
      </c>
      <c r="B388" s="40"/>
      <c r="C388" t="s">
        <v>127</v>
      </c>
      <c r="D388" t="s">
        <v>1175</v>
      </c>
      <c r="E388" t="s">
        <v>6</v>
      </c>
      <c r="F388" t="s">
        <v>20</v>
      </c>
      <c r="J388" t="s">
        <v>29</v>
      </c>
      <c r="K388" s="15">
        <v>45952</v>
      </c>
      <c r="L388" t="s">
        <v>38</v>
      </c>
      <c r="M388" t="str">
        <f>IF(COUNTIFS(PRO_LT_SCORECARD_FLEX_VALIDATIO!$K:$K, _xlfn.CONCAT(C388,D388), PRO_LT_SCORECARD_FLEX_VALIDATIO!$G:$G, "KO") &gt; 0, "NOK", "OK")</f>
        <v>OK</v>
      </c>
      <c r="P388" s="15">
        <v>45952</v>
      </c>
      <c r="R388" t="str">
        <f>_xlfn.XLOOKUP(D388,[2]Overview!$E:$E,[2]Overview!$Z:$Z)</f>
        <v>N</v>
      </c>
      <c r="S388" t="str">
        <f>_xlfn.XLOOKUP(D388,[2]Overview!$E:$E,[2]Overview!$AA:$AA)</f>
        <v>N</v>
      </c>
      <c r="T388" t="str">
        <f>_xlfn.XLOOKUP(D388,[2]Overview!$E:$E,[2]Overview!$AB:$AB)</f>
        <v>N</v>
      </c>
      <c r="U388" t="str">
        <f>_xlfn.XLOOKUP(D388,[2]Overview!$E:$E,[2]Overview!$AC:$AC)</f>
        <v>N</v>
      </c>
      <c r="V388" t="str">
        <f>_xlfn.XLOOKUP(D388,[2]Overview!$E:$E,[2]Overview!$AD:$AD)</f>
        <v>N</v>
      </c>
      <c r="W388" t="str">
        <f>_xlfn.XLOOKUP(D388,[2]Overview!$E:$E,[2]Overview!$AE:$AE)</f>
        <v>Y</v>
      </c>
      <c r="X388" t="s">
        <v>136</v>
      </c>
      <c r="Y388" t="str">
        <f>_xlfn.IFNA(_xlfn.XLOOKUP(D388,[1]Especificação!$G:$G,[1]Especificação!$C:$C),0)</f>
        <v>A. Novos Campos</v>
      </c>
    </row>
    <row r="389" spans="1:25" ht="15" hidden="1">
      <c r="A389" s="40" t="str">
        <f t="shared" si="6"/>
        <v>INSTRUMENT_TYP_DL</v>
      </c>
      <c r="B389" s="40"/>
      <c r="C389" t="s">
        <v>127</v>
      </c>
      <c r="D389" t="s">
        <v>1176</v>
      </c>
      <c r="E389" t="s">
        <v>6</v>
      </c>
      <c r="F389" t="s">
        <v>20</v>
      </c>
      <c r="J389" t="s">
        <v>29</v>
      </c>
      <c r="K389" s="15">
        <v>45952</v>
      </c>
      <c r="L389" t="s">
        <v>38</v>
      </c>
      <c r="M389" t="str">
        <f>IF(COUNTIFS(PRO_LT_SCORECARD_FLEX_VALIDATIO!$K:$K, _xlfn.CONCAT(C389,D389), PRO_LT_SCORECARD_FLEX_VALIDATIO!$G:$G, "KO") &gt; 0, "NOK", "OK")</f>
        <v>NOK</v>
      </c>
      <c r="P389" s="15">
        <v>45952</v>
      </c>
      <c r="R389" t="str">
        <f>_xlfn.XLOOKUP(D389,[2]Overview!$E:$E,[2]Overview!$Z:$Z)</f>
        <v>N</v>
      </c>
      <c r="S389" t="str">
        <f>_xlfn.XLOOKUP(D389,[2]Overview!$E:$E,[2]Overview!$AA:$AA)</f>
        <v>N</v>
      </c>
      <c r="T389" t="str">
        <f>_xlfn.XLOOKUP(D389,[2]Overview!$E:$E,[2]Overview!$AB:$AB)</f>
        <v>N</v>
      </c>
      <c r="U389" t="str">
        <f>_xlfn.XLOOKUP(D389,[2]Overview!$E:$E,[2]Overview!$AC:$AC)</f>
        <v>N</v>
      </c>
      <c r="V389" t="str">
        <f>_xlfn.XLOOKUP(D389,[2]Overview!$E:$E,[2]Overview!$AD:$AD)</f>
        <v>N</v>
      </c>
      <c r="W389" t="str">
        <f>_xlfn.XLOOKUP(D389,[2]Overview!$E:$E,[2]Overview!$AE:$AE)</f>
        <v>Y</v>
      </c>
      <c r="X389" t="s">
        <v>136</v>
      </c>
      <c r="Y389" t="str">
        <f>_xlfn.IFNA(_xlfn.XLOOKUP(D389,[1]Especificação!$G:$G,[1]Especificação!$C:$C),0)</f>
        <v>A. Novos Campos</v>
      </c>
    </row>
    <row r="390" spans="1:25" ht="15" hidden="1">
      <c r="A390" s="40" t="str">
        <f t="shared" si="6"/>
        <v>INSTRUMENT_TYP_CL</v>
      </c>
      <c r="B390" s="40"/>
      <c r="C390" t="s">
        <v>127</v>
      </c>
      <c r="D390" t="s">
        <v>1177</v>
      </c>
      <c r="E390" t="s">
        <v>6</v>
      </c>
      <c r="F390" t="s">
        <v>20</v>
      </c>
      <c r="J390" t="s">
        <v>29</v>
      </c>
      <c r="K390" s="15">
        <v>45952</v>
      </c>
      <c r="L390" t="s">
        <v>38</v>
      </c>
      <c r="M390" t="str">
        <f>IF(COUNTIFS(PRO_LT_SCORECARD_FLEX_VALIDATIO!$K:$K, _xlfn.CONCAT(C390,D390), PRO_LT_SCORECARD_FLEX_VALIDATIO!$G:$G, "KO") &gt; 0, "NOK", "OK")</f>
        <v>OK</v>
      </c>
      <c r="P390" s="15">
        <v>45952</v>
      </c>
      <c r="R390" t="str">
        <f>_xlfn.XLOOKUP(D390,[2]Overview!$E:$E,[2]Overview!$Z:$Z)</f>
        <v>N</v>
      </c>
      <c r="S390" t="str">
        <f>_xlfn.XLOOKUP(D390,[2]Overview!$E:$E,[2]Overview!$AA:$AA)</f>
        <v>N</v>
      </c>
      <c r="T390" t="str">
        <f>_xlfn.XLOOKUP(D390,[2]Overview!$E:$E,[2]Overview!$AB:$AB)</f>
        <v>N</v>
      </c>
      <c r="U390" t="str">
        <f>_xlfn.XLOOKUP(D390,[2]Overview!$E:$E,[2]Overview!$AC:$AC)</f>
        <v>N</v>
      </c>
      <c r="V390" t="str">
        <f>_xlfn.XLOOKUP(D390,[2]Overview!$E:$E,[2]Overview!$AD:$AD)</f>
        <v>N</v>
      </c>
      <c r="W390" t="str">
        <f>_xlfn.XLOOKUP(D390,[2]Overview!$E:$E,[2]Overview!$AE:$AE)</f>
        <v>Y</v>
      </c>
      <c r="X390" t="s">
        <v>136</v>
      </c>
      <c r="Y390" t="str">
        <f>_xlfn.IFNA(_xlfn.XLOOKUP(D390,[1]Especificação!$G:$G,[1]Especificação!$C:$C),0)</f>
        <v>A. Novos Campos</v>
      </c>
    </row>
    <row r="391" spans="1:25" ht="15" hidden="1">
      <c r="A391" s="40" t="str">
        <f t="shared" si="6"/>
        <v>ENTITY_TTL_PRMSSBL_DBT_BLNC</v>
      </c>
      <c r="B391" s="40"/>
      <c r="C391" t="s">
        <v>139</v>
      </c>
      <c r="D391" t="s">
        <v>1178</v>
      </c>
      <c r="E391" t="s">
        <v>6</v>
      </c>
      <c r="F391" t="s">
        <v>20</v>
      </c>
      <c r="J391" t="s">
        <v>29</v>
      </c>
      <c r="K391" s="15">
        <v>45952</v>
      </c>
      <c r="L391" t="s">
        <v>38</v>
      </c>
      <c r="M391" t="str">
        <f>IF(COUNTIFS(PRO_LT_SCORECARD_FLEX_VALIDATIO!$K:$K, _xlfn.CONCAT(C391,D391), PRO_LT_SCORECARD_FLEX_VALIDATIO!$G:$G, "KO") &gt; 0, "NOK", "OK")</f>
        <v>NOK</v>
      </c>
      <c r="P391" s="15">
        <v>45952</v>
      </c>
      <c r="R391" t="str">
        <f>_xlfn.XLOOKUP(D391,[2]Overview!$E:$E,[2]Overview!$Z:$Z)</f>
        <v>N</v>
      </c>
      <c r="S391" t="str">
        <f>_xlfn.XLOOKUP(D391,[2]Overview!$E:$E,[2]Overview!$AA:$AA)</f>
        <v>N</v>
      </c>
      <c r="T391" t="str">
        <f>_xlfn.XLOOKUP(D391,[2]Overview!$E:$E,[2]Overview!$AB:$AB)</f>
        <v>N</v>
      </c>
      <c r="U391" t="str">
        <f>_xlfn.XLOOKUP(D391,[2]Overview!$E:$E,[2]Overview!$AC:$AC)</f>
        <v>N</v>
      </c>
      <c r="V391" t="str">
        <f>_xlfn.XLOOKUP(D391,[2]Overview!$E:$E,[2]Overview!$AD:$AD)</f>
        <v>N</v>
      </c>
      <c r="W391" t="str">
        <f>_xlfn.XLOOKUP(D391,[2]Overview!$E:$E,[2]Overview!$AE:$AE)</f>
        <v>Y</v>
      </c>
      <c r="X391" t="s">
        <v>136</v>
      </c>
      <c r="Y391" t="str">
        <f>_xlfn.IFNA(_xlfn.XLOOKUP(D391,[1]Especificação!$G:$G,[1]Especificação!$C:$C),0)</f>
        <v>A. Novos Campos</v>
      </c>
    </row>
    <row r="392" spans="1:25" ht="15" hidden="1">
      <c r="A392" s="40" t="str">
        <f t="shared" si="6"/>
        <v>INSTRUMENT_TTL_LVRG_RT_INCPTN_HLT</v>
      </c>
      <c r="B392" s="40"/>
      <c r="C392" t="s">
        <v>127</v>
      </c>
      <c r="D392" t="s">
        <v>1179</v>
      </c>
      <c r="E392" t="s">
        <v>6</v>
      </c>
      <c r="F392" t="s">
        <v>20</v>
      </c>
      <c r="J392" t="s">
        <v>29</v>
      </c>
      <c r="K392" s="15">
        <v>45952</v>
      </c>
      <c r="L392" t="s">
        <v>38</v>
      </c>
      <c r="M392" t="str">
        <f>IF(COUNTIFS(PRO_LT_SCORECARD_FLEX_VALIDATIO!$K:$K, _xlfn.CONCAT(C392,D392), PRO_LT_SCORECARD_FLEX_VALIDATIO!$G:$G, "KO") &gt; 0, "NOK", "OK")</f>
        <v>NOK</v>
      </c>
      <c r="P392" s="15">
        <v>45952</v>
      </c>
      <c r="R392" t="str">
        <f>_xlfn.XLOOKUP(D392,[2]Overview!$E:$E,[2]Overview!$Z:$Z)</f>
        <v>N</v>
      </c>
      <c r="S392" t="str">
        <f>_xlfn.XLOOKUP(D392,[2]Overview!$E:$E,[2]Overview!$AA:$AA)</f>
        <v>N</v>
      </c>
      <c r="T392" t="str">
        <f>_xlfn.XLOOKUP(D392,[2]Overview!$E:$E,[2]Overview!$AB:$AB)</f>
        <v>N</v>
      </c>
      <c r="U392" t="str">
        <f>_xlfn.XLOOKUP(D392,[2]Overview!$E:$E,[2]Overview!$AC:$AC)</f>
        <v>N</v>
      </c>
      <c r="V392" t="str">
        <f>_xlfn.XLOOKUP(D392,[2]Overview!$E:$E,[2]Overview!$AD:$AD)</f>
        <v>N</v>
      </c>
      <c r="W392" t="str">
        <f>_xlfn.XLOOKUP(D392,[2]Overview!$E:$E,[2]Overview!$AE:$AE)</f>
        <v>Y</v>
      </c>
      <c r="X392" t="s">
        <v>136</v>
      </c>
      <c r="Y392" t="str">
        <f>_xlfn.IFNA(_xlfn.XLOOKUP(D392,[1]Especificação!$G:$G,[1]Especificação!$C:$C),0)</f>
        <v>A. Novos Campos</v>
      </c>
    </row>
    <row r="393" spans="1:25" ht="15" hidden="1">
      <c r="A393" s="40" t="str">
        <f t="shared" si="6"/>
        <v>INSTRUMENT_TTL_LVRG_RT_INCPTN</v>
      </c>
      <c r="B393" s="40"/>
      <c r="C393" t="s">
        <v>127</v>
      </c>
      <c r="D393" t="s">
        <v>1180</v>
      </c>
      <c r="E393" t="s">
        <v>6</v>
      </c>
      <c r="F393" t="s">
        <v>20</v>
      </c>
      <c r="J393" t="s">
        <v>29</v>
      </c>
      <c r="K393" s="15">
        <v>45952</v>
      </c>
      <c r="L393" t="s">
        <v>38</v>
      </c>
      <c r="M393" t="str">
        <f>IF(COUNTIFS(PRO_LT_SCORECARD_FLEX_VALIDATIO!$K:$K, _xlfn.CONCAT(C393,D393), PRO_LT_SCORECARD_FLEX_VALIDATIO!$G:$G, "KO") &gt; 0, "NOK", "OK")</f>
        <v>NOK</v>
      </c>
      <c r="P393" s="15">
        <v>45952</v>
      </c>
      <c r="R393" t="str">
        <f>_xlfn.XLOOKUP(D393,[2]Overview!$E:$E,[2]Overview!$Z:$Z)</f>
        <v>N</v>
      </c>
      <c r="S393" t="str">
        <f>_xlfn.XLOOKUP(D393,[2]Overview!$E:$E,[2]Overview!$AA:$AA)</f>
        <v>N</v>
      </c>
      <c r="T393" t="str">
        <f>_xlfn.XLOOKUP(D393,[2]Overview!$E:$E,[2]Overview!$AB:$AB)</f>
        <v>N</v>
      </c>
      <c r="U393" t="str">
        <f>_xlfn.XLOOKUP(D393,[2]Overview!$E:$E,[2]Overview!$AC:$AC)</f>
        <v>N</v>
      </c>
      <c r="V393" t="str">
        <f>_xlfn.XLOOKUP(D393,[2]Overview!$E:$E,[2]Overview!$AD:$AD)</f>
        <v>N</v>
      </c>
      <c r="W393" t="str">
        <f>_xlfn.XLOOKUP(D393,[2]Overview!$E:$E,[2]Overview!$AE:$AE)</f>
        <v>Y</v>
      </c>
      <c r="X393" t="s">
        <v>136</v>
      </c>
      <c r="Y393" t="str">
        <f>_xlfn.IFNA(_xlfn.XLOOKUP(D393,[1]Especificação!$G:$G,[1]Especificação!$C:$C),0)</f>
        <v>A. Novos Campos</v>
      </c>
    </row>
    <row r="394" spans="1:25" ht="15" hidden="1">
      <c r="A394" s="40" t="str">
        <f t="shared" si="6"/>
        <v>ENTITY_SCAN</v>
      </c>
      <c r="B394" s="40"/>
      <c r="C394" t="s">
        <v>139</v>
      </c>
      <c r="D394" t="s">
        <v>1181</v>
      </c>
      <c r="E394" t="s">
        <v>6</v>
      </c>
      <c r="F394" t="s">
        <v>20</v>
      </c>
      <c r="J394" t="s">
        <v>29</v>
      </c>
      <c r="K394" s="15">
        <v>45952</v>
      </c>
      <c r="L394" t="s">
        <v>38</v>
      </c>
      <c r="M394" t="str">
        <f>IF(COUNTIFS(PRO_LT_SCORECARD_FLEX_VALIDATIO!$K:$K, _xlfn.CONCAT(C394,D394), PRO_LT_SCORECARD_FLEX_VALIDATIO!$G:$G, "KO") &gt; 0, "NOK", "OK")</f>
        <v>OK</v>
      </c>
      <c r="P394" s="15">
        <v>45952</v>
      </c>
      <c r="R394" t="str">
        <f>_xlfn.XLOOKUP(D394,[2]Overview!$E:$E,[2]Overview!$Z:$Z)</f>
        <v>N</v>
      </c>
      <c r="S394" t="str">
        <f>_xlfn.XLOOKUP(D394,[2]Overview!$E:$E,[2]Overview!$AA:$AA)</f>
        <v>N</v>
      </c>
      <c r="T394" t="str">
        <f>_xlfn.XLOOKUP(D394,[2]Overview!$E:$E,[2]Overview!$AB:$AB)</f>
        <v>N</v>
      </c>
      <c r="U394" t="str">
        <f>_xlfn.XLOOKUP(D394,[2]Overview!$E:$E,[2]Overview!$AC:$AC)</f>
        <v>N</v>
      </c>
      <c r="V394" t="str">
        <f>_xlfn.XLOOKUP(D394,[2]Overview!$E:$E,[2]Overview!$AD:$AD)</f>
        <v>N</v>
      </c>
      <c r="W394" t="str">
        <f>_xlfn.XLOOKUP(D394,[2]Overview!$E:$E,[2]Overview!$AE:$AE)</f>
        <v>Y</v>
      </c>
      <c r="X394" t="s">
        <v>136</v>
      </c>
      <c r="Y394" t="str">
        <f>_xlfn.IFNA(_xlfn.XLOOKUP(D394,[1]Especificação!$G:$G,[1]Especificação!$C:$C),0)</f>
        <v>A. Novos Campos</v>
      </c>
    </row>
    <row r="395" spans="1:25" ht="15" hidden="1">
      <c r="A395" s="40" t="str">
        <f t="shared" si="6"/>
        <v>INSTRUMENT_RWA_PRMTGTN</v>
      </c>
      <c r="B395" s="40"/>
      <c r="C395" t="s">
        <v>127</v>
      </c>
      <c r="D395" t="s">
        <v>1182</v>
      </c>
      <c r="E395" t="s">
        <v>6</v>
      </c>
      <c r="F395" t="s">
        <v>20</v>
      </c>
      <c r="J395" t="s">
        <v>29</v>
      </c>
      <c r="K395" s="15">
        <v>45952</v>
      </c>
      <c r="L395" t="s">
        <v>38</v>
      </c>
      <c r="M395" t="str">
        <f>IF(COUNTIFS(PRO_LT_SCORECARD_FLEX_VALIDATIO!$K:$K, _xlfn.CONCAT(C395,D395), PRO_LT_SCORECARD_FLEX_VALIDATIO!$G:$G, "KO") &gt; 0, "NOK", "OK")</f>
        <v>NOK</v>
      </c>
      <c r="P395" s="15">
        <v>45952</v>
      </c>
      <c r="R395" t="str">
        <f>_xlfn.XLOOKUP(D395,[2]Overview!$E:$E,[2]Overview!$Z:$Z)</f>
        <v>N</v>
      </c>
      <c r="S395" t="str">
        <f>_xlfn.XLOOKUP(D395,[2]Overview!$E:$E,[2]Overview!$AA:$AA)</f>
        <v>N</v>
      </c>
      <c r="T395" t="str">
        <f>_xlfn.XLOOKUP(D395,[2]Overview!$E:$E,[2]Overview!$AB:$AB)</f>
        <v>N</v>
      </c>
      <c r="U395" t="str">
        <f>_xlfn.XLOOKUP(D395,[2]Overview!$E:$E,[2]Overview!$AC:$AC)</f>
        <v>N</v>
      </c>
      <c r="V395" t="str">
        <f>_xlfn.XLOOKUP(D395,[2]Overview!$E:$E,[2]Overview!$AD:$AD)</f>
        <v>N</v>
      </c>
      <c r="W395" t="str">
        <f>_xlfn.XLOOKUP(D395,[2]Overview!$E:$E,[2]Overview!$AE:$AE)</f>
        <v>Y</v>
      </c>
      <c r="X395" t="s">
        <v>136</v>
      </c>
      <c r="Y395" t="str">
        <f>_xlfn.IFNA(_xlfn.XLOOKUP(D395,[1]Especificação!$G:$G,[1]Especificação!$C:$C),0)</f>
        <v>A. Novos Campos</v>
      </c>
    </row>
    <row r="396" spans="1:25" ht="15" hidden="1">
      <c r="A396" s="40" t="str">
        <f t="shared" si="6"/>
        <v>INSTRUMENT_RWA_MTGTN</v>
      </c>
      <c r="B396" s="40"/>
      <c r="C396" t="s">
        <v>127</v>
      </c>
      <c r="D396" t="s">
        <v>1183</v>
      </c>
      <c r="E396" t="s">
        <v>6</v>
      </c>
      <c r="F396" t="s">
        <v>20</v>
      </c>
      <c r="J396" t="s">
        <v>29</v>
      </c>
      <c r="K396" s="15">
        <v>45952</v>
      </c>
      <c r="L396" t="s">
        <v>38</v>
      </c>
      <c r="M396" t="str">
        <f>IF(COUNTIFS(PRO_LT_SCORECARD_FLEX_VALIDATIO!$K:$K, _xlfn.CONCAT(C396,D396), PRO_LT_SCORECARD_FLEX_VALIDATIO!$G:$G, "KO") &gt; 0, "NOK", "OK")</f>
        <v>OK</v>
      </c>
      <c r="P396" s="15">
        <v>45952</v>
      </c>
      <c r="R396" t="str">
        <f>_xlfn.XLOOKUP(D396,[2]Overview!$E:$E,[2]Overview!$Z:$Z)</f>
        <v>N</v>
      </c>
      <c r="S396" t="str">
        <f>_xlfn.XLOOKUP(D396,[2]Overview!$E:$E,[2]Overview!$AA:$AA)</f>
        <v>N</v>
      </c>
      <c r="T396" t="str">
        <f>_xlfn.XLOOKUP(D396,[2]Overview!$E:$E,[2]Overview!$AB:$AB)</f>
        <v>N</v>
      </c>
      <c r="U396" t="str">
        <f>_xlfn.XLOOKUP(D396,[2]Overview!$E:$E,[2]Overview!$AC:$AC)</f>
        <v>N</v>
      </c>
      <c r="V396" t="str">
        <f>_xlfn.XLOOKUP(D396,[2]Overview!$E:$E,[2]Overview!$AD:$AD)</f>
        <v>N</v>
      </c>
      <c r="W396" t="str">
        <f>_xlfn.XLOOKUP(D396,[2]Overview!$E:$E,[2]Overview!$AE:$AE)</f>
        <v>Y</v>
      </c>
      <c r="X396" t="s">
        <v>136</v>
      </c>
      <c r="Y396" t="str">
        <f>_xlfn.IFNA(_xlfn.XLOOKUP(D396,[1]Especificação!$G:$G,[1]Especificação!$C:$C),0)</f>
        <v>A. Novos Campos</v>
      </c>
    </row>
    <row r="397" spans="1:25" ht="15" hidden="1">
      <c r="A397" s="40" t="str">
        <f t="shared" si="6"/>
        <v>ENTITY_RORWA</v>
      </c>
      <c r="B397" s="40"/>
      <c r="C397" t="s">
        <v>139</v>
      </c>
      <c r="D397" t="s">
        <v>1184</v>
      </c>
      <c r="E397" t="s">
        <v>6</v>
      </c>
      <c r="F397" t="s">
        <v>20</v>
      </c>
      <c r="J397" t="s">
        <v>29</v>
      </c>
      <c r="K397" s="15">
        <v>45952</v>
      </c>
      <c r="L397" t="s">
        <v>38</v>
      </c>
      <c r="M397" t="str">
        <f>IF(COUNTIFS(PRO_LT_SCORECARD_FLEX_VALIDATIO!$K:$K, _xlfn.CONCAT(C397,D397), PRO_LT_SCORECARD_FLEX_VALIDATIO!$G:$G, "KO") &gt; 0, "NOK", "OK")</f>
        <v>NOK</v>
      </c>
      <c r="P397" s="15">
        <v>45952</v>
      </c>
      <c r="R397" t="str">
        <f>_xlfn.XLOOKUP(D397,[2]Overview!$E:$E,[2]Overview!$Z:$Z)</f>
        <v>N</v>
      </c>
      <c r="S397" t="str">
        <f>_xlfn.XLOOKUP(D397,[2]Overview!$E:$E,[2]Overview!$AA:$AA)</f>
        <v>N</v>
      </c>
      <c r="T397" t="str">
        <f>_xlfn.XLOOKUP(D397,[2]Overview!$E:$E,[2]Overview!$AB:$AB)</f>
        <v>N</v>
      </c>
      <c r="U397" t="str">
        <f>_xlfn.XLOOKUP(D397,[2]Overview!$E:$E,[2]Overview!$AC:$AC)</f>
        <v>N</v>
      </c>
      <c r="V397" t="str">
        <f>_xlfn.XLOOKUP(D397,[2]Overview!$E:$E,[2]Overview!$AD:$AD)</f>
        <v>N</v>
      </c>
      <c r="W397" t="str">
        <f>_xlfn.XLOOKUP(D397,[2]Overview!$E:$E,[2]Overview!$AE:$AE)</f>
        <v>Y</v>
      </c>
      <c r="X397" t="s">
        <v>136</v>
      </c>
      <c r="Y397" t="str">
        <f>_xlfn.IFNA(_xlfn.XLOOKUP(D397,[1]Especificação!$G:$G,[1]Especificação!$C:$C),0)</f>
        <v>A. Novos Campos</v>
      </c>
    </row>
    <row r="398" spans="1:25" ht="15" hidden="1">
      <c r="A398" s="40" t="str">
        <f t="shared" si="6"/>
        <v>INSTRUMENT_RORWA</v>
      </c>
      <c r="B398" s="40"/>
      <c r="C398" t="s">
        <v>127</v>
      </c>
      <c r="D398" t="s">
        <v>1184</v>
      </c>
      <c r="E398" t="s">
        <v>6</v>
      </c>
      <c r="F398" t="s">
        <v>20</v>
      </c>
      <c r="J398" t="s">
        <v>29</v>
      </c>
      <c r="K398" s="15">
        <v>45952</v>
      </c>
      <c r="L398" t="s">
        <v>38</v>
      </c>
      <c r="M398" t="str">
        <f>IF(COUNTIFS(PRO_LT_SCORECARD_FLEX_VALIDATIO!$K:$K, _xlfn.CONCAT(C398,D398), PRO_LT_SCORECARD_FLEX_VALIDATIO!$G:$G, "KO") &gt; 0, "NOK", "OK")</f>
        <v>NOK</v>
      </c>
      <c r="P398" s="15">
        <v>45952</v>
      </c>
      <c r="R398" t="str">
        <f>_xlfn.XLOOKUP(D398,[2]Overview!$E:$E,[2]Overview!$Z:$Z)</f>
        <v>N</v>
      </c>
      <c r="S398" t="str">
        <f>_xlfn.XLOOKUP(D398,[2]Overview!$E:$E,[2]Overview!$AA:$AA)</f>
        <v>N</v>
      </c>
      <c r="T398" t="str">
        <f>_xlfn.XLOOKUP(D398,[2]Overview!$E:$E,[2]Overview!$AB:$AB)</f>
        <v>N</v>
      </c>
      <c r="U398" t="str">
        <f>_xlfn.XLOOKUP(D398,[2]Overview!$E:$E,[2]Overview!$AC:$AC)</f>
        <v>N</v>
      </c>
      <c r="V398" t="str">
        <f>_xlfn.XLOOKUP(D398,[2]Overview!$E:$E,[2]Overview!$AD:$AD)</f>
        <v>N</v>
      </c>
      <c r="W398" t="str">
        <f>_xlfn.XLOOKUP(D398,[2]Overview!$E:$E,[2]Overview!$AE:$AE)</f>
        <v>Y</v>
      </c>
      <c r="X398" t="s">
        <v>136</v>
      </c>
      <c r="Y398" t="str">
        <f>_xlfn.IFNA(_xlfn.XLOOKUP(D398,[1]Especificação!$G:$G,[1]Especificação!$C:$C),0)</f>
        <v>A. Novos Campos</v>
      </c>
    </row>
    <row r="399" spans="1:25" ht="15" hidden="1">
      <c r="A399" s="40" t="str">
        <f t="shared" si="6"/>
        <v>ENTITY_RORAC</v>
      </c>
      <c r="B399" s="40"/>
      <c r="C399" t="s">
        <v>139</v>
      </c>
      <c r="D399" t="s">
        <v>1185</v>
      </c>
      <c r="E399" t="s">
        <v>6</v>
      </c>
      <c r="F399" t="s">
        <v>20</v>
      </c>
      <c r="J399" t="s">
        <v>29</v>
      </c>
      <c r="K399" s="15">
        <v>45952</v>
      </c>
      <c r="L399" t="s">
        <v>55</v>
      </c>
      <c r="M399" t="str">
        <f>IF(COUNTIFS(PRO_LT_SCORECARD_FLEX_VALIDATIO!$K:$K, _xlfn.CONCAT(C399,D399), PRO_LT_SCORECARD_FLEX_VALIDATIO!$G:$G, "KO") &gt; 0, "NOK", "OK")</f>
        <v>NOK</v>
      </c>
      <c r="P399" s="15">
        <v>45952</v>
      </c>
      <c r="R399" t="str">
        <f>_xlfn.XLOOKUP(D399,[2]Overview!$E:$E,[2]Overview!$Z:$Z)</f>
        <v>N</v>
      </c>
      <c r="S399" t="str">
        <f>_xlfn.XLOOKUP(D399,[2]Overview!$E:$E,[2]Overview!$AA:$AA)</f>
        <v>N</v>
      </c>
      <c r="T399" t="str">
        <f>_xlfn.XLOOKUP(D399,[2]Overview!$E:$E,[2]Overview!$AB:$AB)</f>
        <v>N</v>
      </c>
      <c r="U399" t="str">
        <f>_xlfn.XLOOKUP(D399,[2]Overview!$E:$E,[2]Overview!$AC:$AC)</f>
        <v>N</v>
      </c>
      <c r="V399" t="str">
        <f>_xlfn.XLOOKUP(D399,[2]Overview!$E:$E,[2]Overview!$AD:$AD)</f>
        <v>N</v>
      </c>
      <c r="W399" t="str">
        <f>_xlfn.XLOOKUP(D399,[2]Overview!$E:$E,[2]Overview!$AE:$AE)</f>
        <v>Y</v>
      </c>
      <c r="X399" t="s">
        <v>136</v>
      </c>
      <c r="Y399" t="str">
        <f>_xlfn.IFNA(_xlfn.XLOOKUP(D399,[1]Especificação!$G:$G,[1]Especificação!$C:$C),0)</f>
        <v>A. Novos Campos</v>
      </c>
    </row>
    <row r="400" spans="1:25" ht="15" hidden="1">
      <c r="A400" s="40" t="str">
        <f t="shared" si="6"/>
        <v>INSTRUMENT_RORAC</v>
      </c>
      <c r="B400" s="40"/>
      <c r="C400" t="s">
        <v>127</v>
      </c>
      <c r="D400" t="s">
        <v>1185</v>
      </c>
      <c r="E400" t="s">
        <v>6</v>
      </c>
      <c r="F400" t="s">
        <v>20</v>
      </c>
      <c r="J400" t="s">
        <v>29</v>
      </c>
      <c r="K400" s="15">
        <v>45952</v>
      </c>
      <c r="L400" t="s">
        <v>38</v>
      </c>
      <c r="M400" t="str">
        <f>IF(COUNTIFS(PRO_LT_SCORECARD_FLEX_VALIDATIO!$K:$K, _xlfn.CONCAT(C400,D400), PRO_LT_SCORECARD_FLEX_VALIDATIO!$G:$G, "KO") &gt; 0, "NOK", "OK")</f>
        <v>NOK</v>
      </c>
      <c r="P400" s="15">
        <v>45952</v>
      </c>
      <c r="R400" t="str">
        <f>_xlfn.XLOOKUP(D400,[2]Overview!$E:$E,[2]Overview!$Z:$Z)</f>
        <v>N</v>
      </c>
      <c r="S400" t="str">
        <f>_xlfn.XLOOKUP(D400,[2]Overview!$E:$E,[2]Overview!$AA:$AA)</f>
        <v>N</v>
      </c>
      <c r="T400" t="str">
        <f>_xlfn.XLOOKUP(D400,[2]Overview!$E:$E,[2]Overview!$AB:$AB)</f>
        <v>N</v>
      </c>
      <c r="U400" t="str">
        <f>_xlfn.XLOOKUP(D400,[2]Overview!$E:$E,[2]Overview!$AC:$AC)</f>
        <v>N</v>
      </c>
      <c r="V400" t="str">
        <f>_xlfn.XLOOKUP(D400,[2]Overview!$E:$E,[2]Overview!$AD:$AD)</f>
        <v>N</v>
      </c>
      <c r="W400" t="str">
        <f>_xlfn.XLOOKUP(D400,[2]Overview!$E:$E,[2]Overview!$AE:$AE)</f>
        <v>Y</v>
      </c>
      <c r="X400" t="s">
        <v>136</v>
      </c>
      <c r="Y400" t="str">
        <f>_xlfn.IFNA(_xlfn.XLOOKUP(D400,[1]Especificação!$G:$G,[1]Especificação!$C:$C),0)</f>
        <v>A. Novos Campos</v>
      </c>
    </row>
    <row r="401" spans="1:25" ht="15" hidden="1">
      <c r="A401" s="40" t="str">
        <f t="shared" si="6"/>
        <v>INSTR_PROT_GRP_SPPRT</v>
      </c>
      <c r="B401" s="40"/>
      <c r="C401" t="s">
        <v>1193</v>
      </c>
      <c r="D401" t="s">
        <v>1186</v>
      </c>
      <c r="E401" t="s">
        <v>6</v>
      </c>
      <c r="F401" t="s">
        <v>20</v>
      </c>
      <c r="J401" t="s">
        <v>29</v>
      </c>
      <c r="K401" s="15">
        <v>45952</v>
      </c>
      <c r="L401" t="s">
        <v>38</v>
      </c>
      <c r="M401" t="str">
        <f>IF(COUNTIFS(PRO_LT_SCORECARD_FLEX_VALIDATIO!$K:$K, _xlfn.CONCAT(C401,D401), PRO_LT_SCORECARD_FLEX_VALIDATIO!$G:$G, "KO") &gt; 0, "NOK", "OK")</f>
        <v>OK</v>
      </c>
      <c r="P401" s="15">
        <v>45952</v>
      </c>
      <c r="R401" t="str">
        <f>_xlfn.XLOOKUP(D401,[2]Overview!$E:$E,[2]Overview!$Z:$Z)</f>
        <v>Y</v>
      </c>
      <c r="S401" t="str">
        <f>_xlfn.XLOOKUP(D401,[2]Overview!$E:$E,[2]Overview!$AA:$AA)</f>
        <v>N</v>
      </c>
      <c r="T401" t="str">
        <f>_xlfn.XLOOKUP(D401,[2]Overview!$E:$E,[2]Overview!$AB:$AB)</f>
        <v>N</v>
      </c>
      <c r="U401" t="str">
        <f>_xlfn.XLOOKUP(D401,[2]Overview!$E:$E,[2]Overview!$AC:$AC)</f>
        <v>N</v>
      </c>
      <c r="V401" t="str">
        <f>_xlfn.XLOOKUP(D401,[2]Overview!$E:$E,[2]Overview!$AD:$AD)</f>
        <v>N</v>
      </c>
      <c r="W401" t="str">
        <f>_xlfn.XLOOKUP(D401,[2]Overview!$E:$E,[2]Overview!$AE:$AE)</f>
        <v>Y</v>
      </c>
      <c r="X401" t="s">
        <v>136</v>
      </c>
      <c r="Y401" t="str">
        <f>_xlfn.IFNA(_xlfn.XLOOKUP(D401,[1]Especificação!$G:$G,[1]Especificação!$C:$C),0)</f>
        <v>A. Novos Campos</v>
      </c>
    </row>
    <row r="402" spans="1:25" ht="15" hidden="1">
      <c r="A402" s="40" t="str">
        <f t="shared" si="6"/>
        <v>ENTITY_GRP_RORWA</v>
      </c>
      <c r="B402" s="40"/>
      <c r="C402" t="s">
        <v>139</v>
      </c>
      <c r="D402" t="s">
        <v>1187</v>
      </c>
      <c r="E402" t="s">
        <v>6</v>
      </c>
      <c r="F402" t="s">
        <v>20</v>
      </c>
      <c r="J402" t="s">
        <v>29</v>
      </c>
      <c r="K402" s="15">
        <v>45952</v>
      </c>
      <c r="L402" t="s">
        <v>38</v>
      </c>
      <c r="M402" t="str">
        <f>IF(COUNTIFS(PRO_LT_SCORECARD_FLEX_VALIDATIO!$K:$K, _xlfn.CONCAT(C402,D402), PRO_LT_SCORECARD_FLEX_VALIDATIO!$G:$G, "KO") &gt; 0, "NOK", "OK")</f>
        <v>NOK</v>
      </c>
      <c r="P402" s="15">
        <v>45952</v>
      </c>
      <c r="R402" t="str">
        <f>_xlfn.XLOOKUP(D402,[2]Overview!$E:$E,[2]Overview!$Z:$Z)</f>
        <v>N</v>
      </c>
      <c r="S402" t="str">
        <f>_xlfn.XLOOKUP(D402,[2]Overview!$E:$E,[2]Overview!$AA:$AA)</f>
        <v>N</v>
      </c>
      <c r="T402" t="str">
        <f>_xlfn.XLOOKUP(D402,[2]Overview!$E:$E,[2]Overview!$AB:$AB)</f>
        <v>N</v>
      </c>
      <c r="U402" t="str">
        <f>_xlfn.XLOOKUP(D402,[2]Overview!$E:$E,[2]Overview!$AC:$AC)</f>
        <v>N</v>
      </c>
      <c r="V402" t="str">
        <f>_xlfn.XLOOKUP(D402,[2]Overview!$E:$E,[2]Overview!$AD:$AD)</f>
        <v>N</v>
      </c>
      <c r="W402" t="str">
        <f>_xlfn.XLOOKUP(D402,[2]Overview!$E:$E,[2]Overview!$AE:$AE)</f>
        <v>Y</v>
      </c>
      <c r="X402" t="s">
        <v>136</v>
      </c>
      <c r="Y402" t="str">
        <f>_xlfn.IFNA(_xlfn.XLOOKUP(D402,[1]Especificação!$G:$G,[1]Especificação!$C:$C),0)</f>
        <v>A. Novos Campos</v>
      </c>
    </row>
    <row r="403" spans="1:25" ht="15" hidden="1">
      <c r="A403" s="40" t="str">
        <f t="shared" si="6"/>
        <v>ENTITY_GRP_RORAC</v>
      </c>
      <c r="B403" s="40"/>
      <c r="C403" t="s">
        <v>139</v>
      </c>
      <c r="D403" t="s">
        <v>1188</v>
      </c>
      <c r="E403" t="s">
        <v>6</v>
      </c>
      <c r="F403" t="s">
        <v>20</v>
      </c>
      <c r="J403" t="s">
        <v>29</v>
      </c>
      <c r="K403" s="15">
        <v>45952</v>
      </c>
      <c r="L403" t="s">
        <v>55</v>
      </c>
      <c r="M403" t="str">
        <f>IF(COUNTIFS(PRO_LT_SCORECARD_FLEX_VALIDATIO!$K:$K, _xlfn.CONCAT(C403,D403), PRO_LT_SCORECARD_FLEX_VALIDATIO!$G:$G, "KO") &gt; 0, "NOK", "OK")</f>
        <v>NOK</v>
      </c>
      <c r="P403" s="15">
        <v>45952</v>
      </c>
      <c r="R403" t="str">
        <f>_xlfn.XLOOKUP(D403,[2]Overview!$E:$E,[2]Overview!$Z:$Z)</f>
        <v>N</v>
      </c>
      <c r="S403" t="str">
        <f>_xlfn.XLOOKUP(D403,[2]Overview!$E:$E,[2]Overview!$AA:$AA)</f>
        <v>N</v>
      </c>
      <c r="T403" t="str">
        <f>_xlfn.XLOOKUP(D403,[2]Overview!$E:$E,[2]Overview!$AB:$AB)</f>
        <v>N</v>
      </c>
      <c r="U403" t="str">
        <f>_xlfn.XLOOKUP(D403,[2]Overview!$E:$E,[2]Overview!$AC:$AC)</f>
        <v>N</v>
      </c>
      <c r="V403" t="str">
        <f>_xlfn.XLOOKUP(D403,[2]Overview!$E:$E,[2]Overview!$AD:$AD)</f>
        <v>N</v>
      </c>
      <c r="W403" t="str">
        <f>_xlfn.XLOOKUP(D403,[2]Overview!$E:$E,[2]Overview!$AE:$AE)</f>
        <v>Y</v>
      </c>
      <c r="X403" t="s">
        <v>136</v>
      </c>
      <c r="Y403" t="str">
        <f>_xlfn.IFNA(_xlfn.XLOOKUP(D403,[1]Especificação!$G:$G,[1]Especificação!$C:$C),0)</f>
        <v>A. Novos Campos</v>
      </c>
    </row>
    <row r="404" spans="1:25" ht="15" hidden="1">
      <c r="A404" s="40" t="str">
        <f t="shared" si="6"/>
        <v>ENTITY_FLLN_ANGL_NRRW_DFNTN</v>
      </c>
      <c r="B404" s="40"/>
      <c r="C404" t="s">
        <v>139</v>
      </c>
      <c r="D404" t="s">
        <v>1189</v>
      </c>
      <c r="E404" t="s">
        <v>6</v>
      </c>
      <c r="F404" t="s">
        <v>20</v>
      </c>
      <c r="J404" t="s">
        <v>29</v>
      </c>
      <c r="K404" s="15">
        <v>45952</v>
      </c>
      <c r="L404" t="s">
        <v>38</v>
      </c>
      <c r="M404" t="str">
        <f>IF(COUNTIFS(PRO_LT_SCORECARD_FLEX_VALIDATIO!$K:$K, _xlfn.CONCAT(C404,D404), PRO_LT_SCORECARD_FLEX_VALIDATIO!$G:$G, "KO") &gt; 0, "NOK", "OK")</f>
        <v>NOK</v>
      </c>
      <c r="P404" s="15">
        <v>45952</v>
      </c>
      <c r="R404" t="str">
        <f>_xlfn.XLOOKUP(D404,[2]Overview!$E:$E,[2]Overview!$Z:$Z)</f>
        <v>N</v>
      </c>
      <c r="S404" t="str">
        <f>_xlfn.XLOOKUP(D404,[2]Overview!$E:$E,[2]Overview!$AA:$AA)</f>
        <v>N</v>
      </c>
      <c r="T404" t="str">
        <f>_xlfn.XLOOKUP(D404,[2]Overview!$E:$E,[2]Overview!$AB:$AB)</f>
        <v>N</v>
      </c>
      <c r="U404" t="str">
        <f>_xlfn.XLOOKUP(D404,[2]Overview!$E:$E,[2]Overview!$AC:$AC)</f>
        <v>N</v>
      </c>
      <c r="V404" t="str">
        <f>_xlfn.XLOOKUP(D404,[2]Overview!$E:$E,[2]Overview!$AD:$AD)</f>
        <v>N</v>
      </c>
      <c r="W404" t="str">
        <f>_xlfn.XLOOKUP(D404,[2]Overview!$E:$E,[2]Overview!$AE:$AE)</f>
        <v>Y</v>
      </c>
      <c r="X404" t="s">
        <v>136</v>
      </c>
      <c r="Y404" t="str">
        <f>_xlfn.IFNA(_xlfn.XLOOKUP(D404,[1]Especificação!$G:$G,[1]Especificação!$C:$C),0)</f>
        <v>A. Novos Campos</v>
      </c>
    </row>
    <row r="405" spans="1:25" ht="15" hidden="1">
      <c r="A405" s="40" t="str">
        <f t="shared" si="6"/>
        <v>ENTITY_FLLN_ANGL_EXTNDD_DFNTN</v>
      </c>
      <c r="B405" s="40"/>
      <c r="C405" t="s">
        <v>139</v>
      </c>
      <c r="D405" t="s">
        <v>1190</v>
      </c>
      <c r="E405" t="s">
        <v>6</v>
      </c>
      <c r="F405" t="s">
        <v>20</v>
      </c>
      <c r="J405" t="s">
        <v>29</v>
      </c>
      <c r="K405" s="15">
        <v>45952</v>
      </c>
      <c r="L405" t="s">
        <v>38</v>
      </c>
      <c r="M405" t="str">
        <f>IF(COUNTIFS(PRO_LT_SCORECARD_FLEX_VALIDATIO!$K:$K, _xlfn.CONCAT(C405,D405), PRO_LT_SCORECARD_FLEX_VALIDATIO!$G:$G, "KO") &gt; 0, "NOK", "OK")</f>
        <v>NOK</v>
      </c>
      <c r="P405" s="15">
        <v>45952</v>
      </c>
      <c r="R405" t="str">
        <f>_xlfn.XLOOKUP(D405,[2]Overview!$E:$E,[2]Overview!$Z:$Z)</f>
        <v>N</v>
      </c>
      <c r="S405" t="str">
        <f>_xlfn.XLOOKUP(D405,[2]Overview!$E:$E,[2]Overview!$AA:$AA)</f>
        <v>N</v>
      </c>
      <c r="T405" t="str">
        <f>_xlfn.XLOOKUP(D405,[2]Overview!$E:$E,[2]Overview!$AB:$AB)</f>
        <v>N</v>
      </c>
      <c r="U405" t="str">
        <f>_xlfn.XLOOKUP(D405,[2]Overview!$E:$E,[2]Overview!$AC:$AC)</f>
        <v>N</v>
      </c>
      <c r="V405" t="str">
        <f>_xlfn.XLOOKUP(D405,[2]Overview!$E:$E,[2]Overview!$AD:$AD)</f>
        <v>N</v>
      </c>
      <c r="W405" t="str">
        <f>_xlfn.XLOOKUP(D405,[2]Overview!$E:$E,[2]Overview!$AE:$AE)</f>
        <v>Y</v>
      </c>
      <c r="X405" t="s">
        <v>136</v>
      </c>
      <c r="Y405" t="str">
        <f>_xlfn.IFNA(_xlfn.XLOOKUP(D405,[1]Especificação!$G:$G,[1]Especificação!$C:$C),0)</f>
        <v>A. Novos Campos</v>
      </c>
    </row>
    <row r="406" spans="1:25" ht="15" hidden="1">
      <c r="A406" s="40" t="str">
        <f t="shared" si="6"/>
        <v>INSTRUMENT_EXCLDD_LF</v>
      </c>
      <c r="B406" s="40"/>
      <c r="C406" t="s">
        <v>127</v>
      </c>
      <c r="D406" t="s">
        <v>1130</v>
      </c>
      <c r="E406" t="s">
        <v>6</v>
      </c>
      <c r="F406" t="s">
        <v>20</v>
      </c>
      <c r="J406" t="s">
        <v>29</v>
      </c>
      <c r="K406" s="15">
        <v>45952</v>
      </c>
      <c r="L406" t="s">
        <v>55</v>
      </c>
      <c r="M406" t="str">
        <f>IF(COUNTIFS(PRO_LT_SCORECARD_FLEX_VALIDATIO!$K:$K, _xlfn.CONCAT(C406,D406), PRO_LT_SCORECARD_FLEX_VALIDATIO!$G:$G, "KO") &gt; 0, "NOK", "OK")</f>
        <v>NOK</v>
      </c>
      <c r="R406" t="str">
        <f>_xlfn.XLOOKUP(D406,[2]Overview!$E:$E,[2]Overview!$Z:$Z)</f>
        <v>N</v>
      </c>
      <c r="S406" t="str">
        <f>_xlfn.XLOOKUP(D406,[2]Overview!$E:$E,[2]Overview!$AA:$AA)</f>
        <v>N</v>
      </c>
      <c r="T406" t="str">
        <f>_xlfn.XLOOKUP(D406,[2]Overview!$E:$E,[2]Overview!$AB:$AB)</f>
        <v>N</v>
      </c>
      <c r="U406" t="str">
        <f>_xlfn.XLOOKUP(D406,[2]Overview!$E:$E,[2]Overview!$AC:$AC)</f>
        <v>N</v>
      </c>
      <c r="V406" t="str">
        <f>_xlfn.XLOOKUP(D406,[2]Overview!$E:$E,[2]Overview!$AD:$AD)</f>
        <v>N</v>
      </c>
      <c r="W406" t="str">
        <f>_xlfn.XLOOKUP(D406,[2]Overview!$E:$E,[2]Overview!$AE:$AE)</f>
        <v>Y</v>
      </c>
      <c r="X406" t="s">
        <v>136</v>
      </c>
      <c r="Y406" t="str">
        <f>_xlfn.IFNA(_xlfn.XLOOKUP(D406,[1]Especificação!$G:$G,[1]Especificação!$C:$C),0)</f>
        <v>A. Novos Campos</v>
      </c>
    </row>
    <row r="407" spans="1:25" ht="15" hidden="1">
      <c r="A407" s="40" t="str">
        <f t="shared" si="6"/>
        <v>INSTRUMENT_DT_MDFCTN</v>
      </c>
      <c r="B407" s="40"/>
      <c r="C407" t="s">
        <v>127</v>
      </c>
      <c r="D407" t="s">
        <v>1191</v>
      </c>
      <c r="E407" t="s">
        <v>6</v>
      </c>
      <c r="F407" t="s">
        <v>20</v>
      </c>
      <c r="J407" t="s">
        <v>29</v>
      </c>
      <c r="K407" s="15">
        <v>45952</v>
      </c>
      <c r="L407" t="s">
        <v>38</v>
      </c>
      <c r="M407" t="str">
        <f>IF(COUNTIFS(PRO_LT_SCORECARD_FLEX_VALIDATIO!$K:$K, _xlfn.CONCAT(C407,D407), PRO_LT_SCORECARD_FLEX_VALIDATIO!$G:$G, "KO") &gt; 0, "NOK", "OK")</f>
        <v>NOK</v>
      </c>
      <c r="P407" s="15">
        <v>45952</v>
      </c>
      <c r="R407" t="str">
        <f>_xlfn.XLOOKUP(D407,[2]Overview!$E:$E,[2]Overview!$Z:$Z)</f>
        <v>Y</v>
      </c>
      <c r="S407" t="str">
        <f>_xlfn.XLOOKUP(D407,[2]Overview!$E:$E,[2]Overview!$AA:$AA)</f>
        <v>N</v>
      </c>
      <c r="T407" t="str">
        <f>_xlfn.XLOOKUP(D407,[2]Overview!$E:$E,[2]Overview!$AB:$AB)</f>
        <v>N</v>
      </c>
      <c r="U407" t="str">
        <f>_xlfn.XLOOKUP(D407,[2]Overview!$E:$E,[2]Overview!$AC:$AC)</f>
        <v>N</v>
      </c>
      <c r="V407" t="str">
        <f>_xlfn.XLOOKUP(D407,[2]Overview!$E:$E,[2]Overview!$AD:$AD)</f>
        <v>N</v>
      </c>
      <c r="W407" t="str">
        <f>_xlfn.XLOOKUP(D407,[2]Overview!$E:$E,[2]Overview!$AE:$AE)</f>
        <v>Y</v>
      </c>
      <c r="X407" t="s">
        <v>136</v>
      </c>
      <c r="Y407" t="str">
        <f>_xlfn.IFNA(_xlfn.XLOOKUP(D407,[1]Especificação!$G:$G,[1]Especificação!$C:$C),0)</f>
        <v>A. Novos Campos</v>
      </c>
    </row>
    <row r="408" spans="1:25" ht="15" hidden="1">
      <c r="A408" s="40" t="str">
        <f t="shared" si="6"/>
        <v>INSTRUMENT_DSTNTN_FNDS</v>
      </c>
      <c r="B408" s="40"/>
      <c r="C408" t="s">
        <v>127</v>
      </c>
      <c r="D408" t="s">
        <v>1192</v>
      </c>
      <c r="E408" t="s">
        <v>6</v>
      </c>
      <c r="F408" t="s">
        <v>20</v>
      </c>
      <c r="J408" t="s">
        <v>29</v>
      </c>
      <c r="K408" s="15">
        <v>45952</v>
      </c>
      <c r="L408" t="s">
        <v>38</v>
      </c>
      <c r="M408" t="str">
        <f>IF(COUNTIFS(PRO_LT_SCORECARD_FLEX_VALIDATIO!$K:$K, _xlfn.CONCAT(C408,D408), PRO_LT_SCORECARD_FLEX_VALIDATIO!$G:$G, "KO") &gt; 0, "NOK", "OK")</f>
        <v>OK</v>
      </c>
      <c r="P408" s="15">
        <v>45952</v>
      </c>
      <c r="R408" t="str">
        <f>_xlfn.XLOOKUP(D408,[2]Overview!$E:$E,[2]Overview!$Z:$Z)</f>
        <v>N</v>
      </c>
      <c r="S408" t="str">
        <f>_xlfn.XLOOKUP(D408,[2]Overview!$E:$E,[2]Overview!$AA:$AA)</f>
        <v>N</v>
      </c>
      <c r="T408" t="str">
        <f>_xlfn.XLOOKUP(D408,[2]Overview!$E:$E,[2]Overview!$AB:$AB)</f>
        <v>N</v>
      </c>
      <c r="U408" t="str">
        <f>_xlfn.XLOOKUP(D408,[2]Overview!$E:$E,[2]Overview!$AC:$AC)</f>
        <v>N</v>
      </c>
      <c r="V408" t="str">
        <f>_xlfn.XLOOKUP(D408,[2]Overview!$E:$E,[2]Overview!$AD:$AD)</f>
        <v>N</v>
      </c>
      <c r="W408" t="str">
        <f>_xlfn.XLOOKUP(D408,[2]Overview!$E:$E,[2]Overview!$AE:$AE)</f>
        <v>Y</v>
      </c>
      <c r="X408" t="s">
        <v>136</v>
      </c>
      <c r="Y408" t="str">
        <f>_xlfn.IFNA(_xlfn.XLOOKUP(D408,[1]Especificação!$G:$G,[1]Especificação!$C:$C),0)</f>
        <v>A. Novos Campos</v>
      </c>
    </row>
  </sheetData>
  <autoFilter ref="C5:Y408" xr:uid="{00000000-0001-0000-0200-000000000000}">
    <filterColumn colId="21">
      <filters>
        <filter val="PM - Novos Campos"/>
      </filters>
    </filterColumn>
  </autoFilter>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05452-0B58-48DE-975B-13BCDADD59FD}">
  <dimension ref="A1:AQ75"/>
  <sheetViews>
    <sheetView showGridLines="0" zoomScale="51" zoomScaleNormal="85" workbookViewId="0">
      <selection activeCell="D309" sqref="D309"/>
    </sheetView>
  </sheetViews>
  <sheetFormatPr defaultColWidth="0" defaultRowHeight="18.75"/>
  <cols>
    <col min="1" max="1" width="3.625" style="122" customWidth="1"/>
    <col min="2" max="2" width="15.5" style="122" customWidth="1"/>
    <col min="3" max="3" width="50.5" style="121" bestFit="1" customWidth="1"/>
    <col min="4" max="4" width="67.375" style="121" customWidth="1"/>
    <col min="5" max="5" width="24" style="121" customWidth="1"/>
    <col min="6" max="6" width="34.25" style="121" bestFit="1" customWidth="1"/>
    <col min="7" max="7" width="28.25" style="121" bestFit="1" customWidth="1"/>
    <col min="8" max="8" width="118.5" style="121" customWidth="1"/>
    <col min="9" max="9" width="43.875" style="121" customWidth="1"/>
    <col min="10" max="10" width="3.75" style="121" customWidth="1"/>
    <col min="11" max="11" width="121.625" style="121" hidden="1" customWidth="1"/>
    <col min="12" max="12" width="26.875" style="121" hidden="1" customWidth="1"/>
    <col min="13" max="13" width="19.125" style="121" hidden="1" customWidth="1"/>
    <col min="14" max="14" width="25.375" style="121" hidden="1" customWidth="1"/>
    <col min="15" max="15" width="22.625" style="121" hidden="1" customWidth="1"/>
    <col min="16" max="16" width="32.375" style="121" hidden="1" customWidth="1"/>
    <col min="17" max="43" width="0" style="121" hidden="1" customWidth="1"/>
    <col min="44" max="16384" width="8.875" style="121" hidden="1"/>
  </cols>
  <sheetData>
    <row r="1" spans="1:43" ht="48" customHeight="1" thickBot="1">
      <c r="A1" s="120"/>
      <c r="B1" s="120"/>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row>
    <row r="2" spans="1:43" ht="19.5" thickTop="1">
      <c r="A2" s="121"/>
      <c r="B2" s="121"/>
    </row>
    <row r="3" spans="1:43" s="122" customFormat="1" ht="19.5">
      <c r="C3" s="123" t="s">
        <v>986</v>
      </c>
      <c r="D3" s="124">
        <f ca="1">TODAY()</f>
        <v>46086</v>
      </c>
      <c r="K3" s="121"/>
    </row>
    <row r="4" spans="1:43" s="122" customFormat="1">
      <c r="K4" s="121"/>
    </row>
    <row r="5" spans="1:43" s="122" customFormat="1" ht="19.5">
      <c r="C5" s="191" t="s">
        <v>988</v>
      </c>
      <c r="D5" s="191"/>
      <c r="E5" s="191"/>
      <c r="F5" s="191"/>
      <c r="K5" s="121"/>
    </row>
    <row r="6" spans="1:43" s="122" customFormat="1" ht="19.5">
      <c r="C6" s="125" t="s">
        <v>1106</v>
      </c>
      <c r="D6" s="126" t="s">
        <v>22</v>
      </c>
      <c r="E6" s="126" t="s">
        <v>23</v>
      </c>
      <c r="F6" s="126" t="s">
        <v>1165</v>
      </c>
      <c r="K6" s="121"/>
    </row>
    <row r="7" spans="1:43" s="122" customFormat="1">
      <c r="B7" s="146">
        <v>23</v>
      </c>
      <c r="C7" s="145" t="s">
        <v>26</v>
      </c>
      <c r="D7" s="127">
        <f>COUNTIF($G$18:$G$1048576,C7)</f>
        <v>23</v>
      </c>
      <c r="E7" s="128">
        <f t="shared" ref="E7:E12" si="0">D7/$D$12</f>
        <v>0.65714285714285714</v>
      </c>
      <c r="F7" s="127">
        <f>D7-B7</f>
        <v>0</v>
      </c>
      <c r="K7" s="121"/>
    </row>
    <row r="8" spans="1:43" s="122" customFormat="1">
      <c r="B8" s="146">
        <v>0</v>
      </c>
      <c r="C8" s="145" t="s">
        <v>1049</v>
      </c>
      <c r="D8" s="127">
        <f>COUNTIF($G$18:$G$1048576,C8)</f>
        <v>0</v>
      </c>
      <c r="E8" s="128">
        <f t="shared" si="0"/>
        <v>0</v>
      </c>
      <c r="F8" s="127">
        <f>D8-B8</f>
        <v>0</v>
      </c>
      <c r="K8" s="121"/>
    </row>
    <row r="9" spans="1:43" s="122" customFormat="1">
      <c r="B9" s="146">
        <v>8</v>
      </c>
      <c r="C9" s="145" t="s">
        <v>1099</v>
      </c>
      <c r="D9" s="127">
        <f>COUNTIF($G$18:$G$1048576,C9)</f>
        <v>8</v>
      </c>
      <c r="E9" s="128">
        <f t="shared" si="0"/>
        <v>0.22857142857142856</v>
      </c>
      <c r="F9" s="127">
        <f>D9-B9</f>
        <v>0</v>
      </c>
      <c r="K9" s="121"/>
    </row>
    <row r="10" spans="1:43" s="122" customFormat="1">
      <c r="B10" s="146">
        <v>3</v>
      </c>
      <c r="C10" s="145" t="s">
        <v>1100</v>
      </c>
      <c r="D10" s="127">
        <f>COUNTIF($G$18:$G$1048576,C10)</f>
        <v>3</v>
      </c>
      <c r="E10" s="128">
        <f t="shared" si="0"/>
        <v>8.5714285714285715E-2</v>
      </c>
      <c r="F10" s="127">
        <f>D10-B10</f>
        <v>0</v>
      </c>
      <c r="K10" s="121"/>
    </row>
    <row r="11" spans="1:43" s="122" customFormat="1">
      <c r="B11" s="146">
        <v>1</v>
      </c>
      <c r="C11" s="145" t="s">
        <v>1045</v>
      </c>
      <c r="D11" s="127">
        <f>COUNTIF($G$18:$G$1048576,C11)</f>
        <v>1</v>
      </c>
      <c r="E11" s="128">
        <f t="shared" si="0"/>
        <v>2.8571428571428571E-2</v>
      </c>
      <c r="F11" s="127">
        <f>D11-B11</f>
        <v>0</v>
      </c>
      <c r="K11" s="121"/>
    </row>
    <row r="12" spans="1:43" ht="19.5">
      <c r="A12" s="121"/>
      <c r="B12" s="144"/>
      <c r="C12" s="125" t="s">
        <v>987</v>
      </c>
      <c r="D12" s="129">
        <f>COUNTA(C19:C53)</f>
        <v>35</v>
      </c>
      <c r="E12" s="126">
        <f t="shared" si="0"/>
        <v>1</v>
      </c>
      <c r="F12" s="126"/>
    </row>
    <row r="13" spans="1:43">
      <c r="A13" s="121"/>
      <c r="B13" s="121"/>
      <c r="C13" s="130"/>
      <c r="D13" s="130"/>
      <c r="E13" s="130"/>
      <c r="F13" s="130"/>
    </row>
    <row r="14" spans="1:43" ht="19.5">
      <c r="C14" s="123" t="s">
        <v>989</v>
      </c>
      <c r="D14" s="124">
        <v>45838</v>
      </c>
    </row>
    <row r="15" spans="1:43" ht="19.5">
      <c r="C15" s="123" t="s">
        <v>1109</v>
      </c>
      <c r="D15" s="124" t="s">
        <v>1108</v>
      </c>
    </row>
    <row r="16" spans="1:43">
      <c r="D16" s="131"/>
    </row>
    <row r="17" spans="2:9" ht="19.5">
      <c r="E17" s="190" t="s">
        <v>1167</v>
      </c>
      <c r="F17" s="190"/>
    </row>
    <row r="18" spans="2:9" ht="39">
      <c r="B18" s="143" t="s">
        <v>1102</v>
      </c>
      <c r="C18" s="143" t="s">
        <v>579</v>
      </c>
      <c r="D18" s="123" t="s">
        <v>958</v>
      </c>
      <c r="E18" s="147" t="s">
        <v>959</v>
      </c>
      <c r="F18" s="147" t="s">
        <v>960</v>
      </c>
      <c r="G18" s="123" t="s">
        <v>993</v>
      </c>
      <c r="H18" s="143" t="s">
        <v>985</v>
      </c>
      <c r="I18" s="143" t="s">
        <v>992</v>
      </c>
    </row>
    <row r="19" spans="2:9">
      <c r="B19" s="132">
        <v>1</v>
      </c>
      <c r="C19" s="133" t="s">
        <v>1082</v>
      </c>
      <c r="D19" s="136" t="s">
        <v>1055</v>
      </c>
      <c r="E19" s="135" t="s">
        <v>129</v>
      </c>
      <c r="F19" s="135" t="s">
        <v>1135</v>
      </c>
      <c r="G19" s="140" t="s">
        <v>26</v>
      </c>
      <c r="H19" s="138" t="s">
        <v>273</v>
      </c>
      <c r="I19" s="138" t="s">
        <v>273</v>
      </c>
    </row>
    <row r="20" spans="2:9">
      <c r="B20" s="132">
        <v>2</v>
      </c>
      <c r="C20" s="133" t="s">
        <v>1083</v>
      </c>
      <c r="D20" s="136" t="s">
        <v>1055</v>
      </c>
      <c r="E20" s="135" t="s">
        <v>129</v>
      </c>
      <c r="F20" s="135" t="s">
        <v>1135</v>
      </c>
      <c r="G20" s="140" t="s">
        <v>26</v>
      </c>
      <c r="H20" s="138" t="s">
        <v>273</v>
      </c>
      <c r="I20" s="138" t="s">
        <v>273</v>
      </c>
    </row>
    <row r="21" spans="2:9">
      <c r="B21" s="132">
        <v>3</v>
      </c>
      <c r="C21" s="133" t="s">
        <v>1133</v>
      </c>
      <c r="D21" s="134" t="s">
        <v>1134</v>
      </c>
      <c r="E21" s="135" t="s">
        <v>129</v>
      </c>
      <c r="F21" s="135" t="s">
        <v>1135</v>
      </c>
      <c r="G21" s="140" t="s">
        <v>26</v>
      </c>
      <c r="H21" s="138" t="s">
        <v>273</v>
      </c>
      <c r="I21" s="138"/>
    </row>
    <row r="22" spans="2:9">
      <c r="B22" s="132">
        <v>4</v>
      </c>
      <c r="C22" s="133" t="s">
        <v>427</v>
      </c>
      <c r="D22" s="134" t="s">
        <v>1095</v>
      </c>
      <c r="E22" s="135" t="s">
        <v>129</v>
      </c>
      <c r="F22" s="135" t="s">
        <v>129</v>
      </c>
      <c r="G22" s="140" t="s">
        <v>26</v>
      </c>
      <c r="H22" s="138" t="s">
        <v>273</v>
      </c>
      <c r="I22" s="138" t="s">
        <v>273</v>
      </c>
    </row>
    <row r="23" spans="2:9">
      <c r="B23" s="132">
        <v>4</v>
      </c>
      <c r="C23" s="133" t="s">
        <v>299</v>
      </c>
      <c r="D23" s="134" t="s">
        <v>1134</v>
      </c>
      <c r="E23" s="135" t="s">
        <v>129</v>
      </c>
      <c r="F23" s="135" t="s">
        <v>129</v>
      </c>
      <c r="G23" s="140" t="s">
        <v>26</v>
      </c>
      <c r="H23" s="138" t="s">
        <v>273</v>
      </c>
      <c r="I23" s="138"/>
    </row>
    <row r="24" spans="2:9">
      <c r="B24" s="132">
        <v>5</v>
      </c>
      <c r="C24" s="133" t="s">
        <v>1132</v>
      </c>
      <c r="D24" s="134" t="s">
        <v>1134</v>
      </c>
      <c r="E24" s="135" t="s">
        <v>129</v>
      </c>
      <c r="F24" s="135" t="s">
        <v>129</v>
      </c>
      <c r="G24" s="140" t="s">
        <v>26</v>
      </c>
      <c r="H24" s="138" t="s">
        <v>273</v>
      </c>
      <c r="I24" s="138" t="s">
        <v>273</v>
      </c>
    </row>
    <row r="25" spans="2:9" ht="37.5">
      <c r="B25" s="132">
        <v>6</v>
      </c>
      <c r="C25" s="133" t="s">
        <v>49</v>
      </c>
      <c r="D25" s="134" t="s">
        <v>961</v>
      </c>
      <c r="E25" s="135" t="s">
        <v>129</v>
      </c>
      <c r="F25" s="135" t="s">
        <v>129</v>
      </c>
      <c r="G25" s="140" t="s">
        <v>26</v>
      </c>
      <c r="H25" s="139" t="s">
        <v>1042</v>
      </c>
      <c r="I25" s="139" t="s">
        <v>273</v>
      </c>
    </row>
    <row r="26" spans="2:9" ht="37.5">
      <c r="B26" s="132">
        <v>7</v>
      </c>
      <c r="C26" s="133" t="s">
        <v>50</v>
      </c>
      <c r="D26" s="134" t="s">
        <v>961</v>
      </c>
      <c r="E26" s="135" t="s">
        <v>129</v>
      </c>
      <c r="F26" s="135" t="s">
        <v>129</v>
      </c>
      <c r="G26" s="140" t="s">
        <v>26</v>
      </c>
      <c r="H26" s="139" t="s">
        <v>1042</v>
      </c>
      <c r="I26" s="139" t="s">
        <v>273</v>
      </c>
    </row>
    <row r="27" spans="2:9">
      <c r="B27" s="132">
        <v>8</v>
      </c>
      <c r="C27" s="133" t="s">
        <v>47</v>
      </c>
      <c r="D27" s="134" t="s">
        <v>961</v>
      </c>
      <c r="E27" s="135" t="s">
        <v>129</v>
      </c>
      <c r="F27" s="135" t="s">
        <v>129</v>
      </c>
      <c r="G27" s="140" t="s">
        <v>26</v>
      </c>
      <c r="H27" s="139" t="s">
        <v>1056</v>
      </c>
      <c r="I27" s="138" t="s">
        <v>273</v>
      </c>
    </row>
    <row r="28" spans="2:9" ht="75">
      <c r="B28" s="132">
        <v>9</v>
      </c>
      <c r="C28" s="133" t="s">
        <v>503</v>
      </c>
      <c r="D28" s="136" t="s">
        <v>1055</v>
      </c>
      <c r="E28" s="135" t="s">
        <v>129</v>
      </c>
      <c r="F28" s="137" t="s">
        <v>129</v>
      </c>
      <c r="G28" s="140" t="s">
        <v>26</v>
      </c>
      <c r="H28" s="139" t="s">
        <v>1103</v>
      </c>
      <c r="I28" s="138" t="s">
        <v>273</v>
      </c>
    </row>
    <row r="29" spans="2:9">
      <c r="B29" s="132">
        <v>10</v>
      </c>
      <c r="C29" s="133" t="s">
        <v>451</v>
      </c>
      <c r="D29" s="134" t="s">
        <v>1096</v>
      </c>
      <c r="E29" s="135" t="s">
        <v>129</v>
      </c>
      <c r="F29" s="135" t="s">
        <v>129</v>
      </c>
      <c r="G29" s="140" t="s">
        <v>26</v>
      </c>
      <c r="H29" s="138" t="s">
        <v>273</v>
      </c>
      <c r="I29" s="138" t="s">
        <v>273</v>
      </c>
    </row>
    <row r="30" spans="2:9">
      <c r="B30" s="132">
        <v>11</v>
      </c>
      <c r="C30" s="133" t="s">
        <v>48</v>
      </c>
      <c r="D30" s="134" t="s">
        <v>961</v>
      </c>
      <c r="E30" s="135" t="s">
        <v>129</v>
      </c>
      <c r="F30" s="135" t="s">
        <v>129</v>
      </c>
      <c r="G30" s="140" t="s">
        <v>26</v>
      </c>
      <c r="H30" s="139" t="s">
        <v>1129</v>
      </c>
      <c r="I30" s="139" t="s">
        <v>273</v>
      </c>
    </row>
    <row r="31" spans="2:9" ht="56.25">
      <c r="B31" s="132">
        <v>12</v>
      </c>
      <c r="C31" s="133" t="s">
        <v>491</v>
      </c>
      <c r="D31" s="136" t="s">
        <v>1084</v>
      </c>
      <c r="E31" s="135" t="s">
        <v>129</v>
      </c>
      <c r="F31" s="135" t="s">
        <v>129</v>
      </c>
      <c r="G31" s="140" t="s">
        <v>26</v>
      </c>
      <c r="H31" s="139" t="s">
        <v>273</v>
      </c>
      <c r="I31" s="139"/>
    </row>
    <row r="32" spans="2:9">
      <c r="B32" s="132">
        <v>14</v>
      </c>
      <c r="C32" s="133" t="s">
        <v>292</v>
      </c>
      <c r="D32" s="134" t="s">
        <v>1095</v>
      </c>
      <c r="E32" s="135" t="s">
        <v>129</v>
      </c>
      <c r="F32" s="137" t="s">
        <v>1105</v>
      </c>
      <c r="G32" s="140" t="s">
        <v>26</v>
      </c>
      <c r="H32" s="139" t="s">
        <v>1164</v>
      </c>
      <c r="I32" s="138" t="s">
        <v>273</v>
      </c>
    </row>
    <row r="33" spans="2:9">
      <c r="B33" s="132">
        <v>15</v>
      </c>
      <c r="C33" s="133" t="s">
        <v>401</v>
      </c>
      <c r="D33" s="134" t="s">
        <v>1096</v>
      </c>
      <c r="E33" s="135" t="s">
        <v>129</v>
      </c>
      <c r="F33" s="137" t="s">
        <v>1105</v>
      </c>
      <c r="G33" s="140" t="s">
        <v>26</v>
      </c>
      <c r="H33" s="138" t="s">
        <v>1166</v>
      </c>
      <c r="I33" s="138" t="s">
        <v>273</v>
      </c>
    </row>
    <row r="34" spans="2:9">
      <c r="B34" s="132">
        <v>16</v>
      </c>
      <c r="C34" s="133" t="s">
        <v>52</v>
      </c>
      <c r="D34" s="134" t="s">
        <v>961</v>
      </c>
      <c r="E34" s="135" t="s">
        <v>129</v>
      </c>
      <c r="F34" s="137" t="s">
        <v>1105</v>
      </c>
      <c r="G34" s="140" t="s">
        <v>26</v>
      </c>
      <c r="H34" s="139" t="s">
        <v>1113</v>
      </c>
      <c r="I34" s="139" t="s">
        <v>273</v>
      </c>
    </row>
    <row r="35" spans="2:9">
      <c r="B35" s="132">
        <v>17</v>
      </c>
      <c r="C35" s="133" t="s">
        <v>51</v>
      </c>
      <c r="D35" s="134" t="s">
        <v>961</v>
      </c>
      <c r="E35" s="135" t="s">
        <v>129</v>
      </c>
      <c r="F35" s="137" t="s">
        <v>1105</v>
      </c>
      <c r="G35" s="140" t="s">
        <v>26</v>
      </c>
      <c r="H35" s="139" t="s">
        <v>1114</v>
      </c>
      <c r="I35" s="139" t="s">
        <v>273</v>
      </c>
    </row>
    <row r="36" spans="2:9">
      <c r="B36" s="132">
        <v>18</v>
      </c>
      <c r="C36" s="133" t="s">
        <v>54</v>
      </c>
      <c r="D36" s="134" t="s">
        <v>961</v>
      </c>
      <c r="E36" s="135" t="s">
        <v>129</v>
      </c>
      <c r="F36" s="137" t="s">
        <v>1105</v>
      </c>
      <c r="G36" s="140" t="s">
        <v>26</v>
      </c>
      <c r="H36" s="139" t="s">
        <v>1115</v>
      </c>
      <c r="I36" s="139" t="s">
        <v>273</v>
      </c>
    </row>
    <row r="37" spans="2:9" ht="112.5">
      <c r="B37" s="132">
        <v>19</v>
      </c>
      <c r="C37" s="133" t="s">
        <v>193</v>
      </c>
      <c r="D37" s="139" t="s">
        <v>1084</v>
      </c>
      <c r="E37" s="135" t="s">
        <v>129</v>
      </c>
      <c r="F37" s="137" t="s">
        <v>1105</v>
      </c>
      <c r="G37" s="140" t="s">
        <v>26</v>
      </c>
      <c r="H37" s="139" t="s">
        <v>1098</v>
      </c>
      <c r="I37" s="138" t="s">
        <v>273</v>
      </c>
    </row>
    <row r="38" spans="2:9">
      <c r="B38" s="132">
        <v>20</v>
      </c>
      <c r="C38" s="133" t="s">
        <v>430</v>
      </c>
      <c r="D38" s="138" t="s">
        <v>1095</v>
      </c>
      <c r="E38" s="135" t="s">
        <v>129</v>
      </c>
      <c r="F38" s="137" t="s">
        <v>1105</v>
      </c>
      <c r="G38" s="140" t="s">
        <v>26</v>
      </c>
      <c r="H38" s="138" t="s">
        <v>1104</v>
      </c>
      <c r="I38" s="138" t="s">
        <v>273</v>
      </c>
    </row>
    <row r="39" spans="2:9" ht="37.5">
      <c r="B39" s="132">
        <v>21</v>
      </c>
      <c r="C39" s="133" t="s">
        <v>305</v>
      </c>
      <c r="D39" s="139" t="s">
        <v>1055</v>
      </c>
      <c r="E39" s="135" t="s">
        <v>129</v>
      </c>
      <c r="F39" s="137" t="s">
        <v>1105</v>
      </c>
      <c r="G39" s="140" t="s">
        <v>26</v>
      </c>
      <c r="H39" s="139" t="s">
        <v>1168</v>
      </c>
      <c r="I39" s="139" t="s">
        <v>1110</v>
      </c>
    </row>
    <row r="40" spans="2:9">
      <c r="B40" s="132">
        <v>22</v>
      </c>
      <c r="C40" s="133" t="s">
        <v>53</v>
      </c>
      <c r="D40" s="138" t="s">
        <v>961</v>
      </c>
      <c r="E40" s="135" t="s">
        <v>129</v>
      </c>
      <c r="F40" s="137" t="s">
        <v>1105</v>
      </c>
      <c r="G40" s="140" t="s">
        <v>26</v>
      </c>
      <c r="H40" s="139" t="s">
        <v>1116</v>
      </c>
      <c r="I40" s="139" t="s">
        <v>273</v>
      </c>
    </row>
    <row r="41" spans="2:9" ht="37.5">
      <c r="B41" s="132">
        <v>23</v>
      </c>
      <c r="C41" s="133" t="s">
        <v>41</v>
      </c>
      <c r="D41" s="134" t="s">
        <v>961</v>
      </c>
      <c r="E41" s="135" t="s">
        <v>129</v>
      </c>
      <c r="F41" s="135" t="s">
        <v>145</v>
      </c>
      <c r="G41" s="141" t="s">
        <v>1099</v>
      </c>
      <c r="H41" s="138" t="s">
        <v>990</v>
      </c>
      <c r="I41" s="139" t="s">
        <v>1101</v>
      </c>
    </row>
    <row r="42" spans="2:9" ht="56.25">
      <c r="B42" s="132">
        <v>24</v>
      </c>
      <c r="C42" s="133" t="s">
        <v>44</v>
      </c>
      <c r="D42" s="134" t="s">
        <v>961</v>
      </c>
      <c r="E42" s="135" t="s">
        <v>129</v>
      </c>
      <c r="F42" s="135" t="s">
        <v>145</v>
      </c>
      <c r="G42" s="141" t="s">
        <v>1099</v>
      </c>
      <c r="H42" s="139" t="s">
        <v>1128</v>
      </c>
      <c r="I42" s="139" t="s">
        <v>273</v>
      </c>
    </row>
    <row r="43" spans="2:9" ht="56.25">
      <c r="B43" s="132">
        <v>25</v>
      </c>
      <c r="C43" s="133" t="s">
        <v>45</v>
      </c>
      <c r="D43" s="134" t="s">
        <v>961</v>
      </c>
      <c r="E43" s="135" t="s">
        <v>129</v>
      </c>
      <c r="F43" s="135" t="s">
        <v>145</v>
      </c>
      <c r="G43" s="141" t="s">
        <v>1099</v>
      </c>
      <c r="H43" s="139" t="s">
        <v>1043</v>
      </c>
      <c r="I43" s="139" t="s">
        <v>273</v>
      </c>
    </row>
    <row r="44" spans="2:9">
      <c r="B44" s="132">
        <v>26</v>
      </c>
      <c r="C44" s="133" t="s">
        <v>46</v>
      </c>
      <c r="D44" s="134" t="s">
        <v>961</v>
      </c>
      <c r="E44" s="135" t="s">
        <v>129</v>
      </c>
      <c r="F44" s="135" t="s">
        <v>145</v>
      </c>
      <c r="G44" s="141" t="s">
        <v>1099</v>
      </c>
      <c r="H44" s="138" t="s">
        <v>1127</v>
      </c>
      <c r="I44" s="138" t="s">
        <v>273</v>
      </c>
    </row>
    <row r="45" spans="2:9">
      <c r="B45" s="132">
        <v>27</v>
      </c>
      <c r="C45" s="133" t="s">
        <v>134</v>
      </c>
      <c r="D45" s="134" t="s">
        <v>1095</v>
      </c>
      <c r="E45" s="135" t="s">
        <v>129</v>
      </c>
      <c r="F45" s="135" t="s">
        <v>145</v>
      </c>
      <c r="G45" s="141" t="s">
        <v>1099</v>
      </c>
      <c r="H45" s="138" t="s">
        <v>1127</v>
      </c>
      <c r="I45" s="138" t="s">
        <v>273</v>
      </c>
    </row>
    <row r="46" spans="2:9">
      <c r="B46" s="132">
        <v>28</v>
      </c>
      <c r="C46" s="133" t="s">
        <v>415</v>
      </c>
      <c r="D46" s="134" t="s">
        <v>1096</v>
      </c>
      <c r="E46" s="135" t="s">
        <v>129</v>
      </c>
      <c r="F46" s="135" t="s">
        <v>145</v>
      </c>
      <c r="G46" s="141" t="s">
        <v>1099</v>
      </c>
      <c r="H46" s="138" t="s">
        <v>1136</v>
      </c>
      <c r="I46" s="138" t="s">
        <v>273</v>
      </c>
    </row>
    <row r="47" spans="2:9">
      <c r="B47" s="132">
        <v>29</v>
      </c>
      <c r="C47" s="133" t="s">
        <v>192</v>
      </c>
      <c r="D47" s="134" t="s">
        <v>1096</v>
      </c>
      <c r="E47" s="135" t="s">
        <v>129</v>
      </c>
      <c r="F47" s="135" t="s">
        <v>145</v>
      </c>
      <c r="G47" s="141" t="s">
        <v>1099</v>
      </c>
      <c r="H47" s="138" t="s">
        <v>1145</v>
      </c>
      <c r="I47" s="138" t="s">
        <v>273</v>
      </c>
    </row>
    <row r="48" spans="2:9">
      <c r="B48" s="132">
        <v>30</v>
      </c>
      <c r="C48" s="133" t="s">
        <v>1131</v>
      </c>
      <c r="D48" s="134" t="s">
        <v>1134</v>
      </c>
      <c r="E48" s="135" t="s">
        <v>129</v>
      </c>
      <c r="F48" s="135" t="s">
        <v>145</v>
      </c>
      <c r="G48" s="141" t="s">
        <v>1099</v>
      </c>
      <c r="H48" s="138" t="s">
        <v>1144</v>
      </c>
      <c r="I48" s="138" t="s">
        <v>273</v>
      </c>
    </row>
    <row r="49" spans="1:10">
      <c r="B49" s="132">
        <v>31</v>
      </c>
      <c r="C49" s="133" t="s">
        <v>1130</v>
      </c>
      <c r="D49" s="134" t="s">
        <v>1134</v>
      </c>
      <c r="E49" s="135" t="s">
        <v>145</v>
      </c>
      <c r="F49" s="135" t="s">
        <v>145</v>
      </c>
      <c r="G49" s="141" t="s">
        <v>1100</v>
      </c>
      <c r="H49" s="138" t="s">
        <v>1149</v>
      </c>
      <c r="I49" s="138" t="s">
        <v>273</v>
      </c>
    </row>
    <row r="50" spans="1:10">
      <c r="B50" s="132">
        <v>32</v>
      </c>
      <c r="C50" s="133" t="s">
        <v>442</v>
      </c>
      <c r="D50" s="134" t="s">
        <v>1096</v>
      </c>
      <c r="E50" s="135" t="s">
        <v>145</v>
      </c>
      <c r="F50" s="135" t="s">
        <v>145</v>
      </c>
      <c r="G50" s="141" t="s">
        <v>1100</v>
      </c>
      <c r="H50" s="138" t="s">
        <v>1150</v>
      </c>
      <c r="I50" s="138" t="s">
        <v>1146</v>
      </c>
      <c r="J50" s="121" t="s">
        <v>4871</v>
      </c>
    </row>
    <row r="51" spans="1:10">
      <c r="B51" s="132">
        <v>33</v>
      </c>
      <c r="C51" s="133" t="s">
        <v>438</v>
      </c>
      <c r="D51" s="134" t="s">
        <v>1096</v>
      </c>
      <c r="E51" s="135" t="s">
        <v>145</v>
      </c>
      <c r="F51" s="135" t="s">
        <v>145</v>
      </c>
      <c r="G51" s="141" t="s">
        <v>1100</v>
      </c>
      <c r="H51" s="138" t="s">
        <v>1151</v>
      </c>
      <c r="I51" s="138" t="s">
        <v>273</v>
      </c>
    </row>
    <row r="52" spans="1:10">
      <c r="B52" s="132">
        <v>34</v>
      </c>
      <c r="C52" s="133" t="s">
        <v>295</v>
      </c>
      <c r="D52" s="134" t="s">
        <v>961</v>
      </c>
      <c r="E52" s="135" t="s">
        <v>273</v>
      </c>
      <c r="F52" s="135" t="s">
        <v>273</v>
      </c>
      <c r="G52" s="141" t="s">
        <v>1045</v>
      </c>
      <c r="H52" s="138" t="s">
        <v>273</v>
      </c>
      <c r="I52" s="138" t="s">
        <v>1107</v>
      </c>
    </row>
    <row r="53" spans="1:10" s="115" customFormat="1">
      <c r="A53" s="116"/>
      <c r="B53" s="132">
        <v>35</v>
      </c>
      <c r="C53" s="133" t="s">
        <v>278</v>
      </c>
      <c r="D53" s="134" t="s">
        <v>961</v>
      </c>
      <c r="E53" s="119" t="s">
        <v>129</v>
      </c>
      <c r="F53" s="119" t="s">
        <v>129</v>
      </c>
      <c r="G53" s="140" t="s">
        <v>26</v>
      </c>
      <c r="H53" s="117" t="s">
        <v>273</v>
      </c>
      <c r="I53" s="118" t="s">
        <v>273</v>
      </c>
    </row>
    <row r="54" spans="1:10" ht="72" customHeight="1"/>
    <row r="56" spans="1:10" ht="19.5">
      <c r="C56" s="142"/>
    </row>
    <row r="57" spans="1:10" ht="19.5">
      <c r="C57" s="142"/>
    </row>
    <row r="58" spans="1:10" ht="19.5">
      <c r="C58" s="142"/>
    </row>
    <row r="59" spans="1:10" ht="19.5">
      <c r="C59" s="142"/>
    </row>
    <row r="74" ht="14.45" customHeight="1"/>
    <row r="75" ht="15.6" customHeight="1"/>
  </sheetData>
  <autoFilter ref="B18:I53" xr:uid="{E2A05452-0B58-48DE-975B-13BCDADD59FD}">
    <sortState xmlns:xlrd2="http://schemas.microsoft.com/office/spreadsheetml/2017/richdata2" ref="B19:I53">
      <sortCondition ref="B18:B53"/>
    </sortState>
  </autoFilter>
  <mergeCells count="2">
    <mergeCell ref="E17:F17"/>
    <mergeCell ref="C5:F5"/>
  </mergeCells>
  <conditionalFormatting sqref="E17:E28 E30 E23:F23 G14:G15 E44:F53">
    <cfRule type="cellIs" dxfId="57" priority="108" operator="equal">
      <formula>"NOK"</formula>
    </cfRule>
  </conditionalFormatting>
  <conditionalFormatting sqref="E25:E26 E30">
    <cfRule type="cellIs" dxfId="56" priority="107" operator="equal">
      <formula>"NOK"</formula>
    </cfRule>
  </conditionalFormatting>
  <conditionalFormatting sqref="E32:E43 E42:F42">
    <cfRule type="cellIs" dxfId="55" priority="30" operator="equal">
      <formula>"NOK"</formula>
    </cfRule>
    <cfRule type="cellIs" dxfId="54" priority="31" operator="equal">
      <formula>"NOK"</formula>
    </cfRule>
  </conditionalFormatting>
  <conditionalFormatting sqref="E18:F53">
    <cfRule type="cellIs" dxfId="53" priority="1" operator="equal">
      <formula>"OK"</formula>
    </cfRule>
  </conditionalFormatting>
  <conditionalFormatting sqref="E23:F23 E31:F31 E44:F53">
    <cfRule type="cellIs" dxfId="52" priority="111" operator="equal">
      <formula>"NOK"</formula>
    </cfRule>
  </conditionalFormatting>
  <conditionalFormatting sqref="E25:F26 E29:E30 F20:F31 F18">
    <cfRule type="cellIs" dxfId="51" priority="110" operator="equal">
      <formula>"NOK"</formula>
    </cfRule>
  </conditionalFormatting>
  <conditionalFormatting sqref="E29:F29 G1 G65:G1048576">
    <cfRule type="cellIs" dxfId="50" priority="175" operator="equal">
      <formula>"NOK"</formula>
    </cfRule>
  </conditionalFormatting>
  <conditionalFormatting sqref="E29:F29">
    <cfRule type="cellIs" dxfId="49" priority="163" operator="equal">
      <formula>"NOK"</formula>
    </cfRule>
    <cfRule type="cellIs" dxfId="48" priority="164" operator="equal">
      <formula>"NOK"</formula>
    </cfRule>
  </conditionalFormatting>
  <conditionalFormatting sqref="F19">
    <cfRule type="cellIs" dxfId="47" priority="61" operator="equal">
      <formula>"NOK"</formula>
    </cfRule>
  </conditionalFormatting>
  <conditionalFormatting sqref="F21:F28">
    <cfRule type="cellIs" dxfId="46" priority="98" operator="equal">
      <formula>"NOK"</formula>
    </cfRule>
  </conditionalFormatting>
  <conditionalFormatting sqref="F23:F25">
    <cfRule type="cellIs" dxfId="45" priority="97" operator="equal">
      <formula>"NOK"</formula>
    </cfRule>
  </conditionalFormatting>
  <conditionalFormatting sqref="F28">
    <cfRule type="cellIs" dxfId="44" priority="114" operator="equal">
      <formula>"NOK"</formula>
    </cfRule>
  </conditionalFormatting>
  <conditionalFormatting sqref="F30">
    <cfRule type="cellIs" dxfId="43" priority="41" operator="equal">
      <formula>"NOK"</formula>
    </cfRule>
    <cfRule type="cellIs" dxfId="42" priority="43" operator="equal">
      <formula>"NOK"</formula>
    </cfRule>
  </conditionalFormatting>
  <conditionalFormatting sqref="F30:F31">
    <cfRule type="cellIs" dxfId="41" priority="42" operator="equal">
      <formula>"NOK"</formula>
    </cfRule>
  </conditionalFormatting>
  <conditionalFormatting sqref="F32">
    <cfRule type="cellIs" dxfId="40" priority="2" operator="equal">
      <formula>"NOK"</formula>
    </cfRule>
  </conditionalFormatting>
  <conditionalFormatting sqref="F32:F40">
    <cfRule type="cellIs" dxfId="39" priority="16" operator="equal">
      <formula>"NOK"</formula>
    </cfRule>
  </conditionalFormatting>
  <conditionalFormatting sqref="F34:F39">
    <cfRule type="cellIs" dxfId="38" priority="15" operator="equal">
      <formula>"NOK"</formula>
    </cfRule>
    <cfRule type="cellIs" dxfId="37" priority="17" operator="equal">
      <formula>"NOK"</formula>
    </cfRule>
  </conditionalFormatting>
  <conditionalFormatting sqref="F41:F43">
    <cfRule type="cellIs" dxfId="36" priority="4" operator="equal">
      <formula>"NOK"</formula>
    </cfRule>
    <cfRule type="cellIs" dxfId="35" priority="5" operator="equal">
      <formula>"NOK"</formula>
    </cfRule>
  </conditionalFormatting>
  <conditionalFormatting sqref="G17">
    <cfRule type="cellIs" dxfId="34" priority="66" operator="equal">
      <formula>"NOK"</formula>
    </cfRule>
    <cfRule type="cellIs" dxfId="33" priority="67" operator="equal">
      <formula>"OK"</formula>
    </cfRule>
  </conditionalFormatting>
  <conditionalFormatting sqref="G19:G53">
    <cfRule type="cellIs" dxfId="32" priority="20" operator="equal">
      <formula>"Reaberto"</formula>
    </cfRule>
  </conditionalFormatting>
  <conditionalFormatting sqref="G1:H1 G65:H1048576">
    <cfRule type="cellIs" dxfId="31" priority="168" operator="equal">
      <formula>"OK"</formula>
    </cfRule>
  </conditionalFormatting>
  <conditionalFormatting sqref="G14:H15 E17">
    <cfRule type="cellIs" dxfId="30" priority="121" operator="equal">
      <formula>"OK"</formula>
    </cfRule>
  </conditionalFormatting>
  <conditionalFormatting sqref="H1 H14:H17 H65:H1048576">
    <cfRule type="cellIs" dxfId="29" priority="169" operator="equal">
      <formula>"NOK"</formula>
    </cfRule>
  </conditionalFormatting>
  <conditionalFormatting sqref="H16:H17">
    <cfRule type="cellIs" dxfId="28" priority="96" operator="equal">
      <formula>"OK"</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87"/>
  <sheetViews>
    <sheetView topLeftCell="B1" zoomScale="70" zoomScaleNormal="70" workbookViewId="0">
      <pane ySplit="1" topLeftCell="A281" activePane="bottomLeft" state="frozen"/>
      <selection activeCell="D309" sqref="D309"/>
      <selection pane="bottomLeft" activeCell="D309" sqref="D309"/>
    </sheetView>
  </sheetViews>
  <sheetFormatPr defaultRowHeight="14.25"/>
  <cols>
    <col min="1" max="1" width="12.5" customWidth="1"/>
    <col min="2" max="2" width="45" bestFit="1" customWidth="1"/>
    <col min="3" max="3" width="15.625" bestFit="1" customWidth="1"/>
    <col min="4" max="4" width="119.375" customWidth="1"/>
    <col min="5" max="5" width="15.375" bestFit="1" customWidth="1"/>
    <col min="6" max="6" width="15.375" customWidth="1"/>
    <col min="8" max="8" width="45.5" customWidth="1"/>
  </cols>
  <sheetData>
    <row r="1" spans="1:9" ht="15">
      <c r="A1" s="2" t="s">
        <v>578</v>
      </c>
      <c r="B1" s="2" t="s">
        <v>579</v>
      </c>
      <c r="C1" s="2" t="s">
        <v>580</v>
      </c>
      <c r="D1" s="2" t="s">
        <v>581</v>
      </c>
      <c r="E1" s="2" t="s">
        <v>582</v>
      </c>
      <c r="F1" s="2" t="s">
        <v>583</v>
      </c>
      <c r="G1" s="2" t="s">
        <v>110</v>
      </c>
      <c r="H1" s="2" t="s">
        <v>584</v>
      </c>
      <c r="I1" s="2" t="s">
        <v>585</v>
      </c>
    </row>
    <row r="2" spans="1:9">
      <c r="A2" t="s">
        <v>586</v>
      </c>
      <c r="B2" t="s">
        <v>421</v>
      </c>
      <c r="C2" t="s">
        <v>587</v>
      </c>
      <c r="D2" t="s">
        <v>588</v>
      </c>
      <c r="E2" s="15">
        <v>45460</v>
      </c>
      <c r="F2" s="15">
        <v>45443</v>
      </c>
      <c r="G2" t="s">
        <v>129</v>
      </c>
      <c r="I2" t="s">
        <v>589</v>
      </c>
    </row>
    <row r="3" spans="1:9">
      <c r="A3" t="s">
        <v>586</v>
      </c>
      <c r="B3" t="s">
        <v>421</v>
      </c>
      <c r="C3" t="s">
        <v>590</v>
      </c>
      <c r="D3" t="s">
        <v>591</v>
      </c>
      <c r="E3" s="15">
        <v>45460</v>
      </c>
      <c r="F3" s="15">
        <v>45443</v>
      </c>
      <c r="G3" t="s">
        <v>129</v>
      </c>
      <c r="I3" t="s">
        <v>592</v>
      </c>
    </row>
    <row r="4" spans="1:9">
      <c r="A4" t="s">
        <v>586</v>
      </c>
      <c r="B4" t="s">
        <v>421</v>
      </c>
      <c r="C4" t="s">
        <v>590</v>
      </c>
      <c r="D4" t="s">
        <v>593</v>
      </c>
      <c r="E4" s="15">
        <v>45460</v>
      </c>
      <c r="F4" s="15">
        <v>45443</v>
      </c>
      <c r="G4" t="s">
        <v>129</v>
      </c>
      <c r="I4" t="s">
        <v>594</v>
      </c>
    </row>
    <row r="5" spans="1:9">
      <c r="A5" t="s">
        <v>586</v>
      </c>
      <c r="B5" t="s">
        <v>421</v>
      </c>
      <c r="C5" t="s">
        <v>595</v>
      </c>
      <c r="D5" t="s">
        <v>596</v>
      </c>
      <c r="E5" s="15">
        <v>45460</v>
      </c>
      <c r="F5" s="15">
        <v>45443</v>
      </c>
      <c r="G5" t="s">
        <v>129</v>
      </c>
      <c r="I5" t="s">
        <v>597</v>
      </c>
    </row>
    <row r="6" spans="1:9">
      <c r="A6" t="s">
        <v>586</v>
      </c>
      <c r="B6" t="s">
        <v>421</v>
      </c>
      <c r="C6" t="s">
        <v>595</v>
      </c>
      <c r="D6" t="s">
        <v>598</v>
      </c>
      <c r="E6" s="15">
        <v>45460</v>
      </c>
      <c r="F6" s="15">
        <v>45443</v>
      </c>
      <c r="G6" t="s">
        <v>129</v>
      </c>
      <c r="I6" t="s">
        <v>599</v>
      </c>
    </row>
    <row r="7" spans="1:9">
      <c r="A7" t="s">
        <v>586</v>
      </c>
      <c r="B7" t="s">
        <v>421</v>
      </c>
      <c r="C7" t="s">
        <v>595</v>
      </c>
      <c r="D7" t="s">
        <v>600</v>
      </c>
      <c r="E7" s="15">
        <v>45460</v>
      </c>
      <c r="F7" s="15">
        <v>45443</v>
      </c>
      <c r="G7" t="s">
        <v>129</v>
      </c>
      <c r="I7" t="s">
        <v>592</v>
      </c>
    </row>
    <row r="8" spans="1:9">
      <c r="A8" t="s">
        <v>586</v>
      </c>
      <c r="B8" t="s">
        <v>495</v>
      </c>
      <c r="C8" t="s">
        <v>587</v>
      </c>
      <c r="D8" t="s">
        <v>588</v>
      </c>
      <c r="E8" s="15">
        <v>45460</v>
      </c>
      <c r="F8" s="15">
        <v>45443</v>
      </c>
      <c r="G8" t="s">
        <v>129</v>
      </c>
      <c r="I8" t="s">
        <v>601</v>
      </c>
    </row>
    <row r="9" spans="1:9">
      <c r="A9" t="s">
        <v>586</v>
      </c>
      <c r="B9" t="s">
        <v>495</v>
      </c>
      <c r="C9" t="s">
        <v>590</v>
      </c>
      <c r="D9" t="s">
        <v>593</v>
      </c>
      <c r="E9" s="15">
        <v>45460</v>
      </c>
      <c r="F9" s="15">
        <v>45443</v>
      </c>
      <c r="G9" t="s">
        <v>129</v>
      </c>
      <c r="I9" t="s">
        <v>594</v>
      </c>
    </row>
    <row r="10" spans="1:9">
      <c r="A10" t="s">
        <v>586</v>
      </c>
      <c r="B10" t="s">
        <v>495</v>
      </c>
      <c r="C10" t="s">
        <v>595</v>
      </c>
      <c r="D10" t="s">
        <v>602</v>
      </c>
      <c r="E10" s="15">
        <v>45460</v>
      </c>
      <c r="F10" s="15">
        <v>45443</v>
      </c>
      <c r="G10" t="s">
        <v>129</v>
      </c>
      <c r="I10" t="s">
        <v>603</v>
      </c>
    </row>
    <row r="11" spans="1:9">
      <c r="A11" t="s">
        <v>586</v>
      </c>
      <c r="B11" t="s">
        <v>495</v>
      </c>
      <c r="C11" t="s">
        <v>595</v>
      </c>
      <c r="D11" t="s">
        <v>604</v>
      </c>
      <c r="E11" s="15">
        <v>45460</v>
      </c>
      <c r="F11" s="15">
        <v>45443</v>
      </c>
      <c r="G11" t="s">
        <v>145</v>
      </c>
      <c r="H11" t="s">
        <v>605</v>
      </c>
      <c r="I11" t="s">
        <v>606</v>
      </c>
    </row>
    <row r="12" spans="1:9">
      <c r="A12" t="s">
        <v>586</v>
      </c>
      <c r="B12" t="s">
        <v>495</v>
      </c>
      <c r="C12" t="s">
        <v>595</v>
      </c>
      <c r="D12" s="17" t="s">
        <v>607</v>
      </c>
      <c r="E12" s="15">
        <v>45462</v>
      </c>
      <c r="F12" s="15">
        <v>45443</v>
      </c>
      <c r="G12" t="s">
        <v>129</v>
      </c>
      <c r="H12" t="s">
        <v>608</v>
      </c>
      <c r="I12" t="s">
        <v>609</v>
      </c>
    </row>
    <row r="13" spans="1:9">
      <c r="A13" t="s">
        <v>586</v>
      </c>
      <c r="B13" t="s">
        <v>495</v>
      </c>
      <c r="C13" t="s">
        <v>595</v>
      </c>
      <c r="D13" s="17" t="s">
        <v>610</v>
      </c>
      <c r="E13" s="15">
        <v>45462</v>
      </c>
      <c r="F13" s="15">
        <v>45443</v>
      </c>
      <c r="G13" t="s">
        <v>129</v>
      </c>
      <c r="I13" t="s">
        <v>611</v>
      </c>
    </row>
    <row r="14" spans="1:9">
      <c r="A14" t="s">
        <v>586</v>
      </c>
      <c r="B14" t="s">
        <v>289</v>
      </c>
      <c r="C14" t="s">
        <v>587</v>
      </c>
      <c r="D14" t="s">
        <v>588</v>
      </c>
      <c r="E14" s="15">
        <v>45460</v>
      </c>
      <c r="F14" s="15">
        <v>45443</v>
      </c>
      <c r="G14" t="s">
        <v>129</v>
      </c>
      <c r="I14" t="s">
        <v>612</v>
      </c>
    </row>
    <row r="15" spans="1:9">
      <c r="A15" t="s">
        <v>586</v>
      </c>
      <c r="B15" t="s">
        <v>289</v>
      </c>
      <c r="C15" t="s">
        <v>590</v>
      </c>
      <c r="D15" t="s">
        <v>593</v>
      </c>
      <c r="E15" s="15">
        <v>45460</v>
      </c>
      <c r="F15" s="15">
        <v>45443</v>
      </c>
      <c r="G15" t="s">
        <v>129</v>
      </c>
      <c r="I15" t="s">
        <v>594</v>
      </c>
    </row>
    <row r="16" spans="1:9">
      <c r="A16" t="s">
        <v>586</v>
      </c>
      <c r="B16" t="s">
        <v>289</v>
      </c>
      <c r="C16" t="s">
        <v>595</v>
      </c>
      <c r="D16" t="s">
        <v>602</v>
      </c>
      <c r="E16" s="15">
        <v>45460</v>
      </c>
      <c r="F16" s="15">
        <v>45443</v>
      </c>
      <c r="G16" t="s">
        <v>129</v>
      </c>
      <c r="I16" t="s">
        <v>603</v>
      </c>
    </row>
    <row r="17" spans="1:9">
      <c r="A17" t="s">
        <v>586</v>
      </c>
      <c r="B17" t="s">
        <v>289</v>
      </c>
      <c r="C17" t="s">
        <v>595</v>
      </c>
      <c r="D17" t="s">
        <v>604</v>
      </c>
      <c r="E17" s="15">
        <v>45460</v>
      </c>
      <c r="F17" s="15">
        <v>45443</v>
      </c>
      <c r="G17" t="s">
        <v>145</v>
      </c>
      <c r="H17" t="s">
        <v>605</v>
      </c>
      <c r="I17" t="s">
        <v>613</v>
      </c>
    </row>
    <row r="18" spans="1:9">
      <c r="A18" t="s">
        <v>586</v>
      </c>
      <c r="B18" t="s">
        <v>289</v>
      </c>
      <c r="C18" t="s">
        <v>595</v>
      </c>
      <c r="D18" s="17" t="s">
        <v>607</v>
      </c>
      <c r="E18" s="15">
        <v>45462</v>
      </c>
      <c r="F18" s="15">
        <v>45443</v>
      </c>
      <c r="G18" t="s">
        <v>129</v>
      </c>
      <c r="H18" t="s">
        <v>608</v>
      </c>
      <c r="I18" t="s">
        <v>609</v>
      </c>
    </row>
    <row r="19" spans="1:9">
      <c r="A19" t="s">
        <v>586</v>
      </c>
      <c r="B19" t="s">
        <v>289</v>
      </c>
      <c r="C19" t="s">
        <v>595</v>
      </c>
      <c r="D19" s="17" t="s">
        <v>610</v>
      </c>
      <c r="E19" s="15">
        <v>45462</v>
      </c>
      <c r="F19" s="15">
        <v>45443</v>
      </c>
      <c r="G19" t="s">
        <v>129</v>
      </c>
      <c r="I19" t="s">
        <v>611</v>
      </c>
    </row>
    <row r="20" spans="1:9">
      <c r="A20" t="s">
        <v>614</v>
      </c>
      <c r="B20" t="s">
        <v>453</v>
      </c>
      <c r="C20" t="s">
        <v>615</v>
      </c>
      <c r="D20" t="s">
        <v>616</v>
      </c>
      <c r="E20" s="15">
        <v>45464</v>
      </c>
      <c r="F20" s="15">
        <v>45443</v>
      </c>
      <c r="G20" t="s">
        <v>145</v>
      </c>
      <c r="H20" t="s">
        <v>454</v>
      </c>
      <c r="I20" t="s">
        <v>617</v>
      </c>
    </row>
    <row r="21" spans="1:9">
      <c r="A21" t="s">
        <v>614</v>
      </c>
      <c r="B21" t="s">
        <v>453</v>
      </c>
      <c r="C21" t="s">
        <v>590</v>
      </c>
      <c r="D21" t="s">
        <v>618</v>
      </c>
      <c r="E21" s="15">
        <v>45464</v>
      </c>
      <c r="F21" s="15">
        <v>45443</v>
      </c>
      <c r="G21" t="s">
        <v>145</v>
      </c>
      <c r="H21" t="s">
        <v>454</v>
      </c>
      <c r="I21" t="s">
        <v>619</v>
      </c>
    </row>
    <row r="22" spans="1:9">
      <c r="A22" t="s">
        <v>614</v>
      </c>
      <c r="B22" t="s">
        <v>453</v>
      </c>
      <c r="C22" t="s">
        <v>595</v>
      </c>
      <c r="D22" t="s">
        <v>620</v>
      </c>
      <c r="E22" s="15">
        <v>45464</v>
      </c>
      <c r="F22" s="15">
        <v>45443</v>
      </c>
      <c r="G22" t="s">
        <v>129</v>
      </c>
      <c r="I22" t="s">
        <v>621</v>
      </c>
    </row>
    <row r="23" spans="1:9">
      <c r="A23" t="s">
        <v>614</v>
      </c>
      <c r="B23" t="s">
        <v>453</v>
      </c>
      <c r="C23" t="s">
        <v>595</v>
      </c>
      <c r="D23" t="s">
        <v>622</v>
      </c>
      <c r="E23" s="15">
        <v>45468</v>
      </c>
      <c r="F23" s="15">
        <v>45443</v>
      </c>
      <c r="G23" t="s">
        <v>129</v>
      </c>
      <c r="H23" t="s">
        <v>623</v>
      </c>
      <c r="I23" t="s">
        <v>624</v>
      </c>
    </row>
    <row r="24" spans="1:9">
      <c r="A24" t="s">
        <v>614</v>
      </c>
      <c r="B24" t="s">
        <v>453</v>
      </c>
      <c r="C24" t="s">
        <v>595</v>
      </c>
      <c r="D24" t="s">
        <v>625</v>
      </c>
      <c r="E24" s="15">
        <v>45468</v>
      </c>
      <c r="F24" s="15">
        <v>45443</v>
      </c>
      <c r="G24" t="s">
        <v>129</v>
      </c>
      <c r="I24" t="s">
        <v>626</v>
      </c>
    </row>
    <row r="25" spans="1:9">
      <c r="A25" t="s">
        <v>586</v>
      </c>
      <c r="B25" t="s">
        <v>427</v>
      </c>
      <c r="C25" t="s">
        <v>590</v>
      </c>
      <c r="D25" t="s">
        <v>618</v>
      </c>
      <c r="E25" s="15">
        <v>45463</v>
      </c>
      <c r="F25" s="15">
        <v>45443</v>
      </c>
      <c r="G25" t="s">
        <v>145</v>
      </c>
      <c r="H25" t="s">
        <v>627</v>
      </c>
      <c r="I25" t="s">
        <v>628</v>
      </c>
    </row>
    <row r="26" spans="1:9">
      <c r="A26" t="s">
        <v>586</v>
      </c>
      <c r="B26" t="s">
        <v>292</v>
      </c>
      <c r="C26" t="s">
        <v>590</v>
      </c>
      <c r="D26" t="s">
        <v>618</v>
      </c>
      <c r="E26" s="15">
        <v>45463</v>
      </c>
      <c r="F26" s="15">
        <v>45443</v>
      </c>
      <c r="G26" t="s">
        <v>145</v>
      </c>
      <c r="I26" s="18"/>
    </row>
    <row r="27" spans="1:9">
      <c r="A27" t="s">
        <v>614</v>
      </c>
      <c r="B27" t="s">
        <v>267</v>
      </c>
      <c r="C27" t="s">
        <v>590</v>
      </c>
      <c r="D27" t="s">
        <v>618</v>
      </c>
      <c r="E27" s="15">
        <v>45468</v>
      </c>
      <c r="F27" s="15">
        <v>45443</v>
      </c>
      <c r="G27" t="s">
        <v>145</v>
      </c>
      <c r="H27" t="s">
        <v>268</v>
      </c>
      <c r="I27" t="s">
        <v>629</v>
      </c>
    </row>
    <row r="28" spans="1:9">
      <c r="A28" t="s">
        <v>614</v>
      </c>
      <c r="B28" t="s">
        <v>267</v>
      </c>
      <c r="C28" t="s">
        <v>615</v>
      </c>
      <c r="D28" s="24" t="s">
        <v>616</v>
      </c>
      <c r="E28" s="15">
        <v>45467</v>
      </c>
      <c r="F28" s="15">
        <v>45443</v>
      </c>
      <c r="G28" t="s">
        <v>129</v>
      </c>
      <c r="I28" t="s">
        <v>630</v>
      </c>
    </row>
    <row r="29" spans="1:9">
      <c r="A29" t="s">
        <v>614</v>
      </c>
      <c r="B29" t="s">
        <v>267</v>
      </c>
      <c r="C29" t="s">
        <v>595</v>
      </c>
      <c r="D29" t="s">
        <v>631</v>
      </c>
      <c r="E29" s="15">
        <v>45467</v>
      </c>
      <c r="F29" s="15">
        <v>45443</v>
      </c>
      <c r="G29" t="s">
        <v>129</v>
      </c>
      <c r="I29" t="s">
        <v>632</v>
      </c>
    </row>
    <row r="30" spans="1:9">
      <c r="A30" t="s">
        <v>614</v>
      </c>
      <c r="B30" t="s">
        <v>267</v>
      </c>
      <c r="C30" t="s">
        <v>595</v>
      </c>
      <c r="D30" t="s">
        <v>633</v>
      </c>
      <c r="E30" s="15">
        <v>45467</v>
      </c>
      <c r="F30" s="15">
        <v>45443</v>
      </c>
      <c r="G30" t="s">
        <v>129</v>
      </c>
      <c r="I30" t="s">
        <v>634</v>
      </c>
    </row>
    <row r="31" spans="1:9">
      <c r="A31" t="s">
        <v>614</v>
      </c>
      <c r="B31" t="s">
        <v>267</v>
      </c>
      <c r="C31" t="s">
        <v>595</v>
      </c>
      <c r="D31" t="s">
        <v>635</v>
      </c>
      <c r="E31" s="15">
        <v>45467</v>
      </c>
      <c r="F31" s="15">
        <v>45443</v>
      </c>
      <c r="G31" t="s">
        <v>129</v>
      </c>
      <c r="I31" t="s">
        <v>636</v>
      </c>
    </row>
    <row r="32" spans="1:9">
      <c r="A32" t="s">
        <v>614</v>
      </c>
      <c r="B32" t="s">
        <v>267</v>
      </c>
      <c r="C32" t="s">
        <v>595</v>
      </c>
      <c r="D32" t="s">
        <v>637</v>
      </c>
      <c r="E32" s="15">
        <v>45471</v>
      </c>
      <c r="F32" s="15">
        <v>45443</v>
      </c>
    </row>
    <row r="33" spans="1:9">
      <c r="A33" t="s">
        <v>586</v>
      </c>
      <c r="B33" t="s">
        <v>144</v>
      </c>
      <c r="C33" t="s">
        <v>590</v>
      </c>
      <c r="D33" t="s">
        <v>638</v>
      </c>
      <c r="E33" s="15">
        <v>45468</v>
      </c>
      <c r="F33" s="15">
        <v>45443</v>
      </c>
      <c r="G33" t="s">
        <v>145</v>
      </c>
      <c r="I33" t="s">
        <v>639</v>
      </c>
    </row>
    <row r="34" spans="1:9">
      <c r="A34" t="s">
        <v>586</v>
      </c>
      <c r="B34" t="s">
        <v>144</v>
      </c>
      <c r="C34" t="s">
        <v>595</v>
      </c>
      <c r="D34" t="s">
        <v>640</v>
      </c>
      <c r="E34" s="15">
        <v>45468</v>
      </c>
      <c r="F34" s="15">
        <v>45443</v>
      </c>
      <c r="G34" t="s">
        <v>145</v>
      </c>
      <c r="H34" t="s">
        <v>641</v>
      </c>
      <c r="I34" t="s">
        <v>642</v>
      </c>
    </row>
    <row r="35" spans="1:9">
      <c r="A35" t="s">
        <v>586</v>
      </c>
      <c r="B35" t="s">
        <v>144</v>
      </c>
      <c r="C35" t="s">
        <v>595</v>
      </c>
      <c r="D35" t="s">
        <v>643</v>
      </c>
      <c r="E35" s="15">
        <v>45468</v>
      </c>
      <c r="F35" s="15">
        <v>45443</v>
      </c>
      <c r="G35" t="s">
        <v>145</v>
      </c>
      <c r="H35" t="s">
        <v>644</v>
      </c>
      <c r="I35" t="s">
        <v>645</v>
      </c>
    </row>
    <row r="36" spans="1:9">
      <c r="A36" t="s">
        <v>586</v>
      </c>
      <c r="B36" t="s">
        <v>144</v>
      </c>
      <c r="C36" t="s">
        <v>595</v>
      </c>
      <c r="D36" t="s">
        <v>646</v>
      </c>
      <c r="E36" s="15">
        <v>45468</v>
      </c>
      <c r="F36" s="15">
        <v>45443</v>
      </c>
      <c r="G36" t="s">
        <v>145</v>
      </c>
      <c r="H36" t="s">
        <v>644</v>
      </c>
      <c r="I36" t="s">
        <v>647</v>
      </c>
    </row>
    <row r="37" spans="1:9">
      <c r="A37" t="s">
        <v>586</v>
      </c>
      <c r="B37" t="s">
        <v>144</v>
      </c>
      <c r="C37" t="s">
        <v>595</v>
      </c>
      <c r="D37" t="s">
        <v>646</v>
      </c>
      <c r="E37" s="15">
        <v>45469</v>
      </c>
      <c r="F37" s="15">
        <v>45443</v>
      </c>
      <c r="G37" t="s">
        <v>145</v>
      </c>
      <c r="H37" t="s">
        <v>641</v>
      </c>
      <c r="I37" t="s">
        <v>648</v>
      </c>
    </row>
    <row r="38" spans="1:9">
      <c r="A38" t="s">
        <v>586</v>
      </c>
      <c r="B38" t="s">
        <v>270</v>
      </c>
      <c r="C38" t="s">
        <v>595</v>
      </c>
      <c r="D38" t="s">
        <v>649</v>
      </c>
      <c r="E38" s="15">
        <v>45468</v>
      </c>
      <c r="F38" s="15">
        <v>45443</v>
      </c>
      <c r="G38" t="s">
        <v>129</v>
      </c>
      <c r="I38" t="s">
        <v>650</v>
      </c>
    </row>
    <row r="39" spans="1:9">
      <c r="A39" t="s">
        <v>586</v>
      </c>
      <c r="B39" t="s">
        <v>270</v>
      </c>
      <c r="C39" t="s">
        <v>595</v>
      </c>
      <c r="D39" t="s">
        <v>651</v>
      </c>
      <c r="E39" s="15">
        <v>45468</v>
      </c>
      <c r="F39" s="15">
        <v>45443</v>
      </c>
      <c r="G39" t="s">
        <v>129</v>
      </c>
      <c r="I39" t="s">
        <v>650</v>
      </c>
    </row>
    <row r="40" spans="1:9">
      <c r="A40" t="s">
        <v>586</v>
      </c>
      <c r="B40" t="s">
        <v>270</v>
      </c>
      <c r="C40" t="s">
        <v>595</v>
      </c>
      <c r="D40" t="s">
        <v>652</v>
      </c>
      <c r="E40" s="15">
        <v>45468</v>
      </c>
      <c r="F40" s="15">
        <v>45443</v>
      </c>
      <c r="G40" t="s">
        <v>129</v>
      </c>
      <c r="I40" t="s">
        <v>650</v>
      </c>
    </row>
    <row r="41" spans="1:9">
      <c r="A41" t="s">
        <v>614</v>
      </c>
      <c r="B41" t="s">
        <v>228</v>
      </c>
      <c r="C41" t="s">
        <v>590</v>
      </c>
      <c r="D41" t="s">
        <v>638</v>
      </c>
      <c r="E41" s="15">
        <v>45461</v>
      </c>
      <c r="F41" s="15">
        <v>45443</v>
      </c>
      <c r="G41" t="s">
        <v>129</v>
      </c>
      <c r="I41" t="s">
        <v>653</v>
      </c>
    </row>
    <row r="42" spans="1:9">
      <c r="A42" t="s">
        <v>614</v>
      </c>
      <c r="B42" t="s">
        <v>228</v>
      </c>
      <c r="C42" t="s">
        <v>595</v>
      </c>
      <c r="D42" t="s">
        <v>654</v>
      </c>
      <c r="E42" s="15">
        <v>45470</v>
      </c>
      <c r="F42" s="15">
        <v>45443</v>
      </c>
      <c r="G42" t="s">
        <v>129</v>
      </c>
      <c r="I42" t="s">
        <v>655</v>
      </c>
    </row>
    <row r="43" spans="1:9">
      <c r="A43" t="s">
        <v>614</v>
      </c>
      <c r="B43" t="s">
        <v>228</v>
      </c>
      <c r="C43" t="s">
        <v>595</v>
      </c>
      <c r="D43" t="s">
        <v>656</v>
      </c>
      <c r="E43" s="15">
        <v>45470</v>
      </c>
      <c r="F43" s="15">
        <v>45443</v>
      </c>
      <c r="G43" t="s">
        <v>129</v>
      </c>
      <c r="I43" t="s">
        <v>657</v>
      </c>
    </row>
    <row r="44" spans="1:9">
      <c r="A44" t="s">
        <v>614</v>
      </c>
      <c r="B44" t="s">
        <v>228</v>
      </c>
      <c r="C44" t="s">
        <v>595</v>
      </c>
      <c r="D44" t="s">
        <v>658</v>
      </c>
      <c r="E44" s="15">
        <v>45470</v>
      </c>
      <c r="F44" s="15">
        <v>45443</v>
      </c>
      <c r="G44" t="s">
        <v>129</v>
      </c>
      <c r="H44" t="s">
        <v>659</v>
      </c>
      <c r="I44" t="s">
        <v>660</v>
      </c>
    </row>
    <row r="45" spans="1:9">
      <c r="A45" t="s">
        <v>614</v>
      </c>
      <c r="B45" t="s">
        <v>228</v>
      </c>
      <c r="C45" t="s">
        <v>595</v>
      </c>
      <c r="D45" t="s">
        <v>661</v>
      </c>
      <c r="E45" s="15">
        <v>45470</v>
      </c>
      <c r="F45" s="15">
        <v>45443</v>
      </c>
      <c r="G45" t="s">
        <v>145</v>
      </c>
      <c r="H45" t="s">
        <v>662</v>
      </c>
      <c r="I45" t="s">
        <v>663</v>
      </c>
    </row>
    <row r="46" spans="1:9">
      <c r="A46" t="s">
        <v>614</v>
      </c>
      <c r="B46" t="s">
        <v>228</v>
      </c>
      <c r="C46" t="s">
        <v>595</v>
      </c>
      <c r="D46" t="s">
        <v>664</v>
      </c>
      <c r="E46" s="15">
        <v>45470</v>
      </c>
      <c r="F46" s="15">
        <v>45443</v>
      </c>
      <c r="G46" t="s">
        <v>129</v>
      </c>
      <c r="H46" t="s">
        <v>665</v>
      </c>
      <c r="I46" t="s">
        <v>666</v>
      </c>
    </row>
    <row r="47" spans="1:9">
      <c r="A47" t="s">
        <v>586</v>
      </c>
      <c r="B47" t="s">
        <v>270</v>
      </c>
      <c r="C47" t="s">
        <v>595</v>
      </c>
      <c r="D47" t="s">
        <v>618</v>
      </c>
      <c r="E47" s="15">
        <v>45468</v>
      </c>
      <c r="F47" s="15">
        <v>45443</v>
      </c>
      <c r="G47" t="s">
        <v>129</v>
      </c>
      <c r="I47" t="s">
        <v>650</v>
      </c>
    </row>
    <row r="48" spans="1:9">
      <c r="A48" t="s">
        <v>614</v>
      </c>
      <c r="B48" t="s">
        <v>228</v>
      </c>
      <c r="C48" t="s">
        <v>595</v>
      </c>
      <c r="D48" t="s">
        <v>667</v>
      </c>
      <c r="E48" s="15">
        <v>45477</v>
      </c>
      <c r="F48" s="15">
        <v>45443</v>
      </c>
      <c r="G48" t="s">
        <v>129</v>
      </c>
      <c r="I48" t="s">
        <v>668</v>
      </c>
    </row>
    <row r="49" spans="1:9">
      <c r="A49" t="s">
        <v>614</v>
      </c>
      <c r="B49" t="s">
        <v>179</v>
      </c>
      <c r="C49" t="s">
        <v>595</v>
      </c>
      <c r="D49" t="s">
        <v>669</v>
      </c>
      <c r="E49" s="15">
        <v>45478</v>
      </c>
      <c r="F49" s="15">
        <v>45443</v>
      </c>
      <c r="G49" t="s">
        <v>129</v>
      </c>
      <c r="I49" t="s">
        <v>670</v>
      </c>
    </row>
    <row r="50" spans="1:9">
      <c r="A50" t="s">
        <v>614</v>
      </c>
      <c r="B50" t="s">
        <v>179</v>
      </c>
      <c r="C50" t="s">
        <v>595</v>
      </c>
      <c r="D50" t="s">
        <v>671</v>
      </c>
      <c r="E50" s="15">
        <v>45478</v>
      </c>
      <c r="F50" s="15">
        <v>45443</v>
      </c>
      <c r="G50" t="s">
        <v>145</v>
      </c>
      <c r="H50" t="s">
        <v>672</v>
      </c>
      <c r="I50" t="s">
        <v>673</v>
      </c>
    </row>
    <row r="51" spans="1:9">
      <c r="A51" t="s">
        <v>614</v>
      </c>
      <c r="B51" t="s">
        <v>179</v>
      </c>
      <c r="C51" t="s">
        <v>595</v>
      </c>
      <c r="D51" t="s">
        <v>674</v>
      </c>
      <c r="E51" s="15">
        <v>45478</v>
      </c>
      <c r="F51" s="15">
        <v>45443</v>
      </c>
      <c r="G51" t="s">
        <v>129</v>
      </c>
      <c r="I51" t="s">
        <v>675</v>
      </c>
    </row>
    <row r="52" spans="1:9">
      <c r="A52" t="s">
        <v>614</v>
      </c>
      <c r="B52" t="s">
        <v>179</v>
      </c>
      <c r="C52" t="s">
        <v>595</v>
      </c>
      <c r="D52" t="s">
        <v>676</v>
      </c>
      <c r="E52" s="15">
        <v>45478</v>
      </c>
      <c r="F52" s="15">
        <v>45443</v>
      </c>
      <c r="G52" t="s">
        <v>145</v>
      </c>
      <c r="H52" t="s">
        <v>677</v>
      </c>
      <c r="I52" t="s">
        <v>678</v>
      </c>
    </row>
    <row r="53" spans="1:9">
      <c r="A53" t="s">
        <v>614</v>
      </c>
      <c r="B53" t="s">
        <v>179</v>
      </c>
      <c r="C53" t="s">
        <v>595</v>
      </c>
      <c r="D53" t="s">
        <v>679</v>
      </c>
      <c r="E53" s="15">
        <v>45478</v>
      </c>
      <c r="F53" s="15">
        <v>45443</v>
      </c>
      <c r="G53" t="s">
        <v>129</v>
      </c>
      <c r="I53" t="s">
        <v>680</v>
      </c>
    </row>
    <row r="54" spans="1:9">
      <c r="A54" t="s">
        <v>614</v>
      </c>
      <c r="B54" t="s">
        <v>179</v>
      </c>
      <c r="C54" t="s">
        <v>595</v>
      </c>
      <c r="D54" t="s">
        <v>681</v>
      </c>
      <c r="E54" s="15">
        <v>45478</v>
      </c>
      <c r="F54" s="15">
        <v>45443</v>
      </c>
      <c r="G54" t="s">
        <v>129</v>
      </c>
      <c r="I54" t="s">
        <v>682</v>
      </c>
    </row>
    <row r="55" spans="1:9">
      <c r="A55" t="s">
        <v>586</v>
      </c>
      <c r="B55" t="s">
        <v>44</v>
      </c>
      <c r="C55" t="s">
        <v>595</v>
      </c>
      <c r="D55" t="s">
        <v>683</v>
      </c>
      <c r="E55" s="15">
        <v>45481</v>
      </c>
      <c r="F55" s="15">
        <v>45443</v>
      </c>
      <c r="G55" t="s">
        <v>129</v>
      </c>
      <c r="I55" t="s">
        <v>684</v>
      </c>
    </row>
    <row r="56" spans="1:9">
      <c r="A56" t="s">
        <v>586</v>
      </c>
      <c r="B56" t="s">
        <v>44</v>
      </c>
      <c r="C56" t="s">
        <v>595</v>
      </c>
      <c r="D56" t="s">
        <v>685</v>
      </c>
      <c r="E56" s="15">
        <v>45481</v>
      </c>
      <c r="F56" s="15">
        <v>45443</v>
      </c>
      <c r="G56" t="s">
        <v>129</v>
      </c>
      <c r="I56" t="s">
        <v>684</v>
      </c>
    </row>
    <row r="57" spans="1:9">
      <c r="A57" t="s">
        <v>586</v>
      </c>
      <c r="B57" t="s">
        <v>44</v>
      </c>
      <c r="C57" t="s">
        <v>595</v>
      </c>
      <c r="D57" t="s">
        <v>686</v>
      </c>
      <c r="E57" s="15">
        <v>45481</v>
      </c>
      <c r="F57" s="15">
        <v>45443</v>
      </c>
      <c r="G57" t="s">
        <v>145</v>
      </c>
      <c r="H57" t="s">
        <v>687</v>
      </c>
      <c r="I57" t="s">
        <v>688</v>
      </c>
    </row>
    <row r="58" spans="1:9">
      <c r="A58" t="s">
        <v>586</v>
      </c>
      <c r="B58" t="s">
        <v>44</v>
      </c>
      <c r="C58" t="s">
        <v>595</v>
      </c>
      <c r="D58" t="s">
        <v>689</v>
      </c>
      <c r="E58" s="15">
        <v>45481</v>
      </c>
      <c r="F58" s="15">
        <v>45443</v>
      </c>
      <c r="G58" t="s">
        <v>145</v>
      </c>
      <c r="H58" t="s">
        <v>690</v>
      </c>
      <c r="I58" t="s">
        <v>691</v>
      </c>
    </row>
    <row r="59" spans="1:9">
      <c r="A59" t="s">
        <v>586</v>
      </c>
      <c r="B59" t="s">
        <v>44</v>
      </c>
      <c r="C59" t="s">
        <v>595</v>
      </c>
      <c r="D59" t="s">
        <v>692</v>
      </c>
      <c r="E59" s="15">
        <v>45481</v>
      </c>
      <c r="F59" s="15">
        <v>45443</v>
      </c>
      <c r="G59" t="s">
        <v>145</v>
      </c>
      <c r="H59" t="s">
        <v>693</v>
      </c>
      <c r="I59" t="s">
        <v>694</v>
      </c>
    </row>
    <row r="60" spans="1:9">
      <c r="A60" t="s">
        <v>586</v>
      </c>
      <c r="B60" t="s">
        <v>44</v>
      </c>
      <c r="C60" t="s">
        <v>595</v>
      </c>
      <c r="D60" t="s">
        <v>695</v>
      </c>
      <c r="E60" s="15">
        <v>45481</v>
      </c>
      <c r="F60" s="15">
        <v>45443</v>
      </c>
      <c r="G60" t="s">
        <v>129</v>
      </c>
      <c r="I60" t="s">
        <v>696</v>
      </c>
    </row>
    <row r="61" spans="1:9">
      <c r="A61" t="s">
        <v>614</v>
      </c>
      <c r="B61" t="s">
        <v>228</v>
      </c>
      <c r="C61" t="s">
        <v>595</v>
      </c>
      <c r="D61" t="s">
        <v>697</v>
      </c>
      <c r="E61" s="15">
        <v>45482</v>
      </c>
      <c r="F61" s="15">
        <v>45443</v>
      </c>
      <c r="G61" t="s">
        <v>129</v>
      </c>
      <c r="I61" t="s">
        <v>698</v>
      </c>
    </row>
    <row r="62" spans="1:9">
      <c r="A62" t="s">
        <v>614</v>
      </c>
      <c r="B62" t="s">
        <v>228</v>
      </c>
      <c r="C62" t="s">
        <v>595</v>
      </c>
      <c r="D62" t="s">
        <v>699</v>
      </c>
      <c r="E62" s="15">
        <v>45482</v>
      </c>
      <c r="F62" s="15">
        <v>45443</v>
      </c>
      <c r="G62" t="s">
        <v>129</v>
      </c>
      <c r="H62" t="s">
        <v>700</v>
      </c>
      <c r="I62" t="s">
        <v>701</v>
      </c>
    </row>
    <row r="63" spans="1:9">
      <c r="A63" t="s">
        <v>614</v>
      </c>
      <c r="B63" t="s">
        <v>228</v>
      </c>
      <c r="C63" t="s">
        <v>595</v>
      </c>
      <c r="D63" t="s">
        <v>702</v>
      </c>
      <c r="E63" s="15">
        <v>45482</v>
      </c>
      <c r="F63" s="15">
        <v>45443</v>
      </c>
      <c r="G63" t="s">
        <v>129</v>
      </c>
      <c r="I63" t="s">
        <v>703</v>
      </c>
    </row>
    <row r="64" spans="1:9">
      <c r="A64" t="s">
        <v>614</v>
      </c>
      <c r="B64" t="s">
        <v>228</v>
      </c>
      <c r="C64" t="s">
        <v>595</v>
      </c>
      <c r="D64" t="s">
        <v>704</v>
      </c>
      <c r="E64" s="15">
        <v>45482</v>
      </c>
      <c r="F64" s="15">
        <v>45443</v>
      </c>
      <c r="G64" t="s">
        <v>129</v>
      </c>
      <c r="I64" t="s">
        <v>705</v>
      </c>
    </row>
    <row r="65" spans="1:9">
      <c r="A65" t="s">
        <v>614</v>
      </c>
      <c r="B65" t="s">
        <v>228</v>
      </c>
      <c r="C65" t="s">
        <v>595</v>
      </c>
      <c r="D65" t="s">
        <v>706</v>
      </c>
      <c r="E65" s="15">
        <v>45482</v>
      </c>
      <c r="F65" s="15">
        <v>45443</v>
      </c>
      <c r="G65" t="s">
        <v>129</v>
      </c>
      <c r="I65" t="s">
        <v>707</v>
      </c>
    </row>
    <row r="66" spans="1:9">
      <c r="A66" t="s">
        <v>614</v>
      </c>
      <c r="B66" t="s">
        <v>228</v>
      </c>
      <c r="C66" t="s">
        <v>595</v>
      </c>
      <c r="D66" t="s">
        <v>708</v>
      </c>
      <c r="E66" s="15">
        <v>45482</v>
      </c>
      <c r="F66" s="15">
        <v>45443</v>
      </c>
      <c r="G66" t="s">
        <v>129</v>
      </c>
      <c r="I66" t="s">
        <v>709</v>
      </c>
    </row>
    <row r="67" spans="1:9">
      <c r="A67" t="s">
        <v>614</v>
      </c>
      <c r="B67" t="s">
        <v>228</v>
      </c>
      <c r="C67" t="s">
        <v>595</v>
      </c>
      <c r="D67" t="s">
        <v>710</v>
      </c>
      <c r="E67" s="15">
        <v>45482</v>
      </c>
      <c r="F67" s="15">
        <v>45443</v>
      </c>
      <c r="G67" t="s">
        <v>129</v>
      </c>
      <c r="I67" t="s">
        <v>711</v>
      </c>
    </row>
    <row r="68" spans="1:9">
      <c r="A68" t="s">
        <v>614</v>
      </c>
      <c r="B68" t="s">
        <v>228</v>
      </c>
      <c r="C68" t="s">
        <v>595</v>
      </c>
      <c r="D68" t="s">
        <v>712</v>
      </c>
      <c r="E68" s="15">
        <v>45482</v>
      </c>
      <c r="F68" s="15">
        <v>45443</v>
      </c>
      <c r="H68" t="s">
        <v>713</v>
      </c>
    </row>
    <row r="69" spans="1:9">
      <c r="A69" t="s">
        <v>614</v>
      </c>
      <c r="B69" t="s">
        <v>228</v>
      </c>
      <c r="C69" t="s">
        <v>595</v>
      </c>
      <c r="D69" t="s">
        <v>714</v>
      </c>
      <c r="E69" s="15">
        <v>45482</v>
      </c>
      <c r="F69" s="15">
        <v>45443</v>
      </c>
      <c r="H69" t="s">
        <v>715</v>
      </c>
    </row>
    <row r="70" spans="1:9">
      <c r="A70" t="s">
        <v>614</v>
      </c>
      <c r="B70" t="s">
        <v>228</v>
      </c>
      <c r="C70" t="s">
        <v>595</v>
      </c>
      <c r="D70" t="s">
        <v>716</v>
      </c>
      <c r="E70" s="15">
        <v>45482</v>
      </c>
      <c r="F70" s="15">
        <v>45443</v>
      </c>
      <c r="H70" t="s">
        <v>717</v>
      </c>
    </row>
    <row r="71" spans="1:9">
      <c r="A71" t="s">
        <v>614</v>
      </c>
      <c r="B71" t="s">
        <v>228</v>
      </c>
      <c r="C71" t="s">
        <v>595</v>
      </c>
      <c r="D71" t="s">
        <v>718</v>
      </c>
      <c r="E71" s="15">
        <v>45482</v>
      </c>
      <c r="F71" s="15">
        <v>45443</v>
      </c>
      <c r="H71" t="s">
        <v>719</v>
      </c>
    </row>
    <row r="72" spans="1:9">
      <c r="A72" t="s">
        <v>614</v>
      </c>
      <c r="B72" t="s">
        <v>228</v>
      </c>
      <c r="C72" t="s">
        <v>595</v>
      </c>
      <c r="D72" t="s">
        <v>720</v>
      </c>
      <c r="E72" s="15">
        <v>45482</v>
      </c>
      <c r="F72" s="15">
        <v>45443</v>
      </c>
      <c r="H72" t="s">
        <v>719</v>
      </c>
    </row>
    <row r="73" spans="1:9">
      <c r="A73" t="s">
        <v>614</v>
      </c>
      <c r="B73" t="s">
        <v>228</v>
      </c>
      <c r="C73" t="s">
        <v>595</v>
      </c>
      <c r="D73" t="s">
        <v>721</v>
      </c>
      <c r="E73" s="15">
        <v>45482</v>
      </c>
      <c r="F73" s="15">
        <v>45443</v>
      </c>
      <c r="H73" t="s">
        <v>719</v>
      </c>
    </row>
    <row r="74" spans="1:9">
      <c r="A74" t="s">
        <v>614</v>
      </c>
      <c r="B74" t="s">
        <v>235</v>
      </c>
      <c r="C74" t="s">
        <v>590</v>
      </c>
      <c r="D74" t="s">
        <v>722</v>
      </c>
      <c r="E74" s="15">
        <v>45482</v>
      </c>
      <c r="F74" s="15">
        <v>45443</v>
      </c>
      <c r="G74" t="s">
        <v>129</v>
      </c>
      <c r="I74" t="s">
        <v>723</v>
      </c>
    </row>
    <row r="75" spans="1:9">
      <c r="A75" t="s">
        <v>614</v>
      </c>
      <c r="B75" t="s">
        <v>235</v>
      </c>
      <c r="C75" t="s">
        <v>595</v>
      </c>
      <c r="D75" t="s">
        <v>724</v>
      </c>
      <c r="E75" s="15">
        <v>45482</v>
      </c>
      <c r="F75" s="15">
        <v>45443</v>
      </c>
      <c r="G75" t="s">
        <v>129</v>
      </c>
      <c r="I75" t="s">
        <v>725</v>
      </c>
    </row>
    <row r="76" spans="1:9">
      <c r="A76" t="s">
        <v>614</v>
      </c>
      <c r="B76" t="s">
        <v>235</v>
      </c>
      <c r="C76" t="s">
        <v>595</v>
      </c>
      <c r="D76" t="s">
        <v>726</v>
      </c>
      <c r="E76" s="15">
        <v>45482</v>
      </c>
      <c r="F76" s="15">
        <v>45443</v>
      </c>
      <c r="G76" t="s">
        <v>129</v>
      </c>
      <c r="I76" t="s">
        <v>727</v>
      </c>
    </row>
    <row r="77" spans="1:9">
      <c r="A77" t="s">
        <v>614</v>
      </c>
      <c r="B77" t="s">
        <v>235</v>
      </c>
      <c r="C77" t="s">
        <v>595</v>
      </c>
      <c r="D77" t="s">
        <v>728</v>
      </c>
      <c r="E77" s="15">
        <v>45482</v>
      </c>
      <c r="F77" s="15">
        <v>45443</v>
      </c>
      <c r="G77" t="s">
        <v>129</v>
      </c>
      <c r="H77" t="s">
        <v>729</v>
      </c>
      <c r="I77" t="s">
        <v>730</v>
      </c>
    </row>
    <row r="78" spans="1:9">
      <c r="A78" t="s">
        <v>614</v>
      </c>
      <c r="B78" t="s">
        <v>235</v>
      </c>
      <c r="C78" t="s">
        <v>595</v>
      </c>
      <c r="D78" t="s">
        <v>731</v>
      </c>
      <c r="E78" s="15">
        <v>45482</v>
      </c>
      <c r="F78" s="15">
        <v>45443</v>
      </c>
      <c r="G78" t="s">
        <v>129</v>
      </c>
      <c r="I78" t="s">
        <v>732</v>
      </c>
    </row>
    <row r="79" spans="1:9">
      <c r="A79" t="s">
        <v>614</v>
      </c>
      <c r="B79" t="s">
        <v>235</v>
      </c>
      <c r="C79" t="s">
        <v>595</v>
      </c>
      <c r="D79" t="s">
        <v>733</v>
      </c>
      <c r="E79" s="15">
        <v>45482</v>
      </c>
      <c r="F79" s="15">
        <v>45443</v>
      </c>
      <c r="G79" t="s">
        <v>129</v>
      </c>
      <c r="I79" t="s">
        <v>734</v>
      </c>
    </row>
    <row r="80" spans="1:9">
      <c r="A80" t="s">
        <v>614</v>
      </c>
      <c r="B80" t="s">
        <v>235</v>
      </c>
      <c r="C80" t="s">
        <v>595</v>
      </c>
      <c r="D80" t="s">
        <v>735</v>
      </c>
      <c r="E80" s="15">
        <v>45482</v>
      </c>
      <c r="F80" s="15">
        <v>45443</v>
      </c>
      <c r="G80" t="s">
        <v>129</v>
      </c>
      <c r="I80" t="s">
        <v>736</v>
      </c>
    </row>
    <row r="81" spans="1:9">
      <c r="A81" t="s">
        <v>614</v>
      </c>
      <c r="B81" t="s">
        <v>78</v>
      </c>
      <c r="C81" t="s">
        <v>590</v>
      </c>
      <c r="D81" t="s">
        <v>618</v>
      </c>
      <c r="E81" s="15">
        <v>45482</v>
      </c>
      <c r="F81" s="15">
        <v>45443</v>
      </c>
      <c r="G81" t="s">
        <v>129</v>
      </c>
      <c r="I81" t="s">
        <v>737</v>
      </c>
    </row>
    <row r="82" spans="1:9">
      <c r="A82" t="s">
        <v>614</v>
      </c>
      <c r="B82" t="s">
        <v>78</v>
      </c>
      <c r="C82" t="s">
        <v>595</v>
      </c>
      <c r="D82" t="s">
        <v>738</v>
      </c>
      <c r="E82" s="15">
        <v>45483</v>
      </c>
      <c r="F82" s="15">
        <v>45443</v>
      </c>
      <c r="G82" t="s">
        <v>129</v>
      </c>
      <c r="I82" t="s">
        <v>739</v>
      </c>
    </row>
    <row r="83" spans="1:9">
      <c r="A83" t="s">
        <v>614</v>
      </c>
      <c r="B83" t="s">
        <v>78</v>
      </c>
      <c r="C83" t="s">
        <v>595</v>
      </c>
      <c r="D83" t="s">
        <v>740</v>
      </c>
      <c r="E83" s="15">
        <v>45483</v>
      </c>
      <c r="F83" s="15">
        <v>45443</v>
      </c>
      <c r="G83" t="s">
        <v>129</v>
      </c>
      <c r="I83" t="s">
        <v>741</v>
      </c>
    </row>
    <row r="84" spans="1:9">
      <c r="A84" t="s">
        <v>614</v>
      </c>
      <c r="B84" t="s">
        <v>78</v>
      </c>
      <c r="C84" t="s">
        <v>595</v>
      </c>
      <c r="D84" t="s">
        <v>742</v>
      </c>
      <c r="E84" s="15">
        <v>45483</v>
      </c>
      <c r="F84" s="15">
        <v>45443</v>
      </c>
      <c r="G84" t="s">
        <v>129</v>
      </c>
      <c r="I84" t="s">
        <v>743</v>
      </c>
    </row>
    <row r="85" spans="1:9">
      <c r="A85" t="s">
        <v>614</v>
      </c>
      <c r="B85" t="s">
        <v>78</v>
      </c>
      <c r="C85" t="s">
        <v>595</v>
      </c>
      <c r="D85" t="s">
        <v>744</v>
      </c>
      <c r="E85" s="15">
        <v>45483</v>
      </c>
      <c r="F85" s="15">
        <v>45443</v>
      </c>
      <c r="G85" s="24" t="s">
        <v>145</v>
      </c>
      <c r="H85" t="s">
        <v>745</v>
      </c>
      <c r="I85" t="s">
        <v>746</v>
      </c>
    </row>
    <row r="86" spans="1:9">
      <c r="A86" t="s">
        <v>614</v>
      </c>
      <c r="B86" t="s">
        <v>78</v>
      </c>
      <c r="C86" t="s">
        <v>595</v>
      </c>
      <c r="D86" t="s">
        <v>747</v>
      </c>
      <c r="E86" s="15">
        <v>45489</v>
      </c>
      <c r="F86" s="15">
        <v>45443</v>
      </c>
      <c r="G86" t="s">
        <v>129</v>
      </c>
      <c r="I86" t="s">
        <v>748</v>
      </c>
    </row>
    <row r="87" spans="1:9">
      <c r="A87" t="s">
        <v>614</v>
      </c>
      <c r="B87" t="s">
        <v>78</v>
      </c>
      <c r="C87" t="s">
        <v>595</v>
      </c>
      <c r="D87" t="s">
        <v>749</v>
      </c>
      <c r="E87" s="15">
        <v>45483</v>
      </c>
      <c r="F87" s="15">
        <v>45443</v>
      </c>
      <c r="G87" t="s">
        <v>129</v>
      </c>
      <c r="I87" t="s">
        <v>750</v>
      </c>
    </row>
    <row r="88" spans="1:9">
      <c r="A88" t="s">
        <v>614</v>
      </c>
      <c r="B88" t="s">
        <v>275</v>
      </c>
      <c r="C88" t="s">
        <v>590</v>
      </c>
      <c r="D88" t="s">
        <v>751</v>
      </c>
      <c r="E88" s="15">
        <v>45484</v>
      </c>
      <c r="F88" s="15">
        <v>45443</v>
      </c>
      <c r="G88" t="s">
        <v>145</v>
      </c>
      <c r="H88" t="s">
        <v>752</v>
      </c>
      <c r="I88" t="s">
        <v>753</v>
      </c>
    </row>
    <row r="89" spans="1:9">
      <c r="A89" t="s">
        <v>586</v>
      </c>
      <c r="B89" t="s">
        <v>278</v>
      </c>
      <c r="C89" t="s">
        <v>595</v>
      </c>
      <c r="D89" t="s">
        <v>754</v>
      </c>
      <c r="E89" s="15">
        <v>45495</v>
      </c>
      <c r="F89" s="15">
        <v>45443</v>
      </c>
      <c r="G89" t="s">
        <v>129</v>
      </c>
      <c r="I89" t="s">
        <v>755</v>
      </c>
    </row>
    <row r="90" spans="1:9">
      <c r="A90" t="s">
        <v>586</v>
      </c>
      <c r="B90" t="s">
        <v>278</v>
      </c>
      <c r="C90" t="s">
        <v>595</v>
      </c>
      <c r="D90" t="s">
        <v>756</v>
      </c>
      <c r="E90" s="15">
        <v>45495</v>
      </c>
      <c r="F90" s="15">
        <v>45443</v>
      </c>
      <c r="G90" t="s">
        <v>129</v>
      </c>
      <c r="H90" t="s">
        <v>757</v>
      </c>
      <c r="I90" t="s">
        <v>758</v>
      </c>
    </row>
    <row r="91" spans="1:9">
      <c r="A91" t="s">
        <v>614</v>
      </c>
      <c r="B91" t="s">
        <v>275</v>
      </c>
      <c r="C91" t="s">
        <v>595</v>
      </c>
      <c r="D91" t="s">
        <v>759</v>
      </c>
      <c r="E91" s="15">
        <v>45502</v>
      </c>
      <c r="F91" s="15">
        <v>45443</v>
      </c>
      <c r="G91" t="s">
        <v>129</v>
      </c>
      <c r="H91" t="s">
        <v>760</v>
      </c>
      <c r="I91" t="s">
        <v>761</v>
      </c>
    </row>
    <row r="92" spans="1:9">
      <c r="A92" t="s">
        <v>614</v>
      </c>
      <c r="B92" t="s">
        <v>275</v>
      </c>
      <c r="C92" t="s">
        <v>595</v>
      </c>
      <c r="D92" t="s">
        <v>762</v>
      </c>
      <c r="E92" s="15">
        <v>45502</v>
      </c>
      <c r="F92" s="15">
        <v>45443</v>
      </c>
      <c r="G92" t="s">
        <v>145</v>
      </c>
      <c r="H92" t="s">
        <v>763</v>
      </c>
      <c r="I92" t="s">
        <v>764</v>
      </c>
    </row>
    <row r="93" spans="1:9">
      <c r="A93" t="s">
        <v>614</v>
      </c>
      <c r="B93" t="s">
        <v>275</v>
      </c>
      <c r="C93" t="s">
        <v>595</v>
      </c>
      <c r="D93" t="s">
        <v>765</v>
      </c>
      <c r="E93" s="15">
        <v>45502</v>
      </c>
      <c r="F93" s="15">
        <v>45443</v>
      </c>
      <c r="G93" t="s">
        <v>129</v>
      </c>
      <c r="H93" t="s">
        <v>760</v>
      </c>
      <c r="I93" t="s">
        <v>766</v>
      </c>
    </row>
    <row r="94" spans="1:9">
      <c r="A94" t="s">
        <v>614</v>
      </c>
      <c r="B94" t="s">
        <v>275</v>
      </c>
      <c r="C94" t="s">
        <v>595</v>
      </c>
      <c r="D94" t="s">
        <v>767</v>
      </c>
      <c r="E94" s="15">
        <v>45502</v>
      </c>
      <c r="F94" s="15">
        <v>45443</v>
      </c>
      <c r="G94" t="s">
        <v>129</v>
      </c>
      <c r="H94" t="s">
        <v>760</v>
      </c>
      <c r="I94" t="s">
        <v>768</v>
      </c>
    </row>
    <row r="95" spans="1:9">
      <c r="A95" t="s">
        <v>614</v>
      </c>
      <c r="B95" t="s">
        <v>275</v>
      </c>
      <c r="C95" t="s">
        <v>595</v>
      </c>
      <c r="D95" t="s">
        <v>769</v>
      </c>
      <c r="E95" s="15">
        <v>45502</v>
      </c>
      <c r="F95" s="15">
        <v>45443</v>
      </c>
      <c r="G95" t="s">
        <v>129</v>
      </c>
      <c r="H95" t="s">
        <v>760</v>
      </c>
      <c r="I95" t="s">
        <v>770</v>
      </c>
    </row>
    <row r="96" spans="1:9">
      <c r="A96" t="s">
        <v>614</v>
      </c>
      <c r="B96" t="s">
        <v>247</v>
      </c>
      <c r="C96" t="s">
        <v>595</v>
      </c>
      <c r="D96" t="s">
        <v>771</v>
      </c>
      <c r="E96" s="15">
        <v>45509</v>
      </c>
      <c r="F96" s="15">
        <v>45443</v>
      </c>
      <c r="G96" t="s">
        <v>129</v>
      </c>
      <c r="I96" t="s">
        <v>772</v>
      </c>
    </row>
    <row r="97" spans="1:9">
      <c r="A97" t="s">
        <v>614</v>
      </c>
      <c r="B97" t="s">
        <v>247</v>
      </c>
      <c r="C97" t="s">
        <v>595</v>
      </c>
      <c r="D97" t="s">
        <v>773</v>
      </c>
      <c r="E97" s="15">
        <v>45509</v>
      </c>
      <c r="F97" s="15">
        <v>45443</v>
      </c>
      <c r="G97" t="s">
        <v>129</v>
      </c>
      <c r="I97" t="s">
        <v>774</v>
      </c>
    </row>
    <row r="98" spans="1:9">
      <c r="A98" t="s">
        <v>614</v>
      </c>
      <c r="B98" t="s">
        <v>247</v>
      </c>
      <c r="C98" t="s">
        <v>595</v>
      </c>
      <c r="D98" t="s">
        <v>775</v>
      </c>
      <c r="E98" s="15">
        <v>45509</v>
      </c>
      <c r="F98" s="15">
        <v>45443</v>
      </c>
      <c r="G98" t="s">
        <v>129</v>
      </c>
      <c r="I98" t="s">
        <v>776</v>
      </c>
    </row>
    <row r="99" spans="1:9">
      <c r="A99" t="s">
        <v>614</v>
      </c>
      <c r="B99" t="s">
        <v>247</v>
      </c>
      <c r="C99" t="s">
        <v>595</v>
      </c>
      <c r="D99" t="s">
        <v>777</v>
      </c>
      <c r="E99" s="15">
        <v>45509</v>
      </c>
      <c r="F99" s="15">
        <v>45443</v>
      </c>
      <c r="G99" t="s">
        <v>129</v>
      </c>
      <c r="I99" t="s">
        <v>778</v>
      </c>
    </row>
    <row r="100" spans="1:9">
      <c r="A100" t="s">
        <v>614</v>
      </c>
      <c r="B100" t="s">
        <v>247</v>
      </c>
      <c r="C100" t="s">
        <v>595</v>
      </c>
      <c r="D100" t="s">
        <v>779</v>
      </c>
      <c r="E100" s="15">
        <v>45509</v>
      </c>
      <c r="F100" s="15">
        <v>45443</v>
      </c>
      <c r="G100" t="s">
        <v>129</v>
      </c>
      <c r="I100" t="s">
        <v>780</v>
      </c>
    </row>
    <row r="101" spans="1:9">
      <c r="A101" t="s">
        <v>614</v>
      </c>
      <c r="B101" t="s">
        <v>247</v>
      </c>
      <c r="C101" t="s">
        <v>595</v>
      </c>
      <c r="D101" t="s">
        <v>781</v>
      </c>
      <c r="E101" s="15">
        <v>45509</v>
      </c>
      <c r="F101" s="15">
        <v>45443</v>
      </c>
      <c r="G101" t="s">
        <v>129</v>
      </c>
      <c r="I101" t="s">
        <v>782</v>
      </c>
    </row>
    <row r="102" spans="1:9">
      <c r="A102" t="s">
        <v>614</v>
      </c>
      <c r="B102" t="s">
        <v>247</v>
      </c>
      <c r="C102" t="s">
        <v>595</v>
      </c>
      <c r="D102" t="s">
        <v>783</v>
      </c>
      <c r="E102" s="15">
        <v>45509</v>
      </c>
      <c r="F102" s="15">
        <v>45443</v>
      </c>
      <c r="G102" t="s">
        <v>129</v>
      </c>
      <c r="H102" t="s">
        <v>784</v>
      </c>
      <c r="I102" t="s">
        <v>785</v>
      </c>
    </row>
    <row r="103" spans="1:9">
      <c r="A103" t="s">
        <v>614</v>
      </c>
      <c r="B103" t="s">
        <v>247</v>
      </c>
      <c r="C103" t="s">
        <v>595</v>
      </c>
      <c r="D103" t="s">
        <v>786</v>
      </c>
      <c r="E103" s="15">
        <v>45509</v>
      </c>
      <c r="F103" s="15">
        <v>45443</v>
      </c>
      <c r="G103" t="s">
        <v>129</v>
      </c>
      <c r="I103" t="s">
        <v>787</v>
      </c>
    </row>
    <row r="104" spans="1:9">
      <c r="A104" t="s">
        <v>614</v>
      </c>
      <c r="B104" t="s">
        <v>247</v>
      </c>
      <c r="C104" t="s">
        <v>595</v>
      </c>
      <c r="D104" t="s">
        <v>788</v>
      </c>
      <c r="H104" t="s">
        <v>789</v>
      </c>
    </row>
    <row r="105" spans="1:9">
      <c r="A105" t="s">
        <v>614</v>
      </c>
      <c r="B105" t="s">
        <v>264</v>
      </c>
      <c r="C105" t="s">
        <v>595</v>
      </c>
      <c r="D105" t="s">
        <v>790</v>
      </c>
      <c r="E105" s="15">
        <v>45509</v>
      </c>
      <c r="F105" s="15">
        <v>45443</v>
      </c>
      <c r="G105" t="s">
        <v>129</v>
      </c>
      <c r="I105" t="s">
        <v>791</v>
      </c>
    </row>
    <row r="106" spans="1:9">
      <c r="A106" t="s">
        <v>614</v>
      </c>
      <c r="B106" t="s">
        <v>264</v>
      </c>
      <c r="C106" t="s">
        <v>595</v>
      </c>
      <c r="D106" t="s">
        <v>792</v>
      </c>
      <c r="E106" s="15">
        <v>45509</v>
      </c>
      <c r="F106" s="15">
        <v>45443</v>
      </c>
      <c r="G106" t="s">
        <v>129</v>
      </c>
      <c r="I106" t="s">
        <v>793</v>
      </c>
    </row>
    <row r="107" spans="1:9">
      <c r="A107" t="s">
        <v>614</v>
      </c>
      <c r="B107" t="s">
        <v>264</v>
      </c>
      <c r="C107" t="s">
        <v>595</v>
      </c>
      <c r="D107" t="s">
        <v>794</v>
      </c>
      <c r="E107" s="15">
        <v>45509</v>
      </c>
      <c r="F107" s="15">
        <v>45443</v>
      </c>
      <c r="G107" t="s">
        <v>129</v>
      </c>
      <c r="I107" t="s">
        <v>795</v>
      </c>
    </row>
    <row r="108" spans="1:9">
      <c r="A108" t="s">
        <v>614</v>
      </c>
      <c r="B108" t="s">
        <v>43</v>
      </c>
      <c r="C108" t="s">
        <v>595</v>
      </c>
      <c r="D108" t="s">
        <v>796</v>
      </c>
      <c r="E108" s="15">
        <v>45541</v>
      </c>
      <c r="F108" s="15">
        <v>45443</v>
      </c>
      <c r="G108" t="s">
        <v>129</v>
      </c>
      <c r="I108" t="s">
        <v>797</v>
      </c>
    </row>
    <row r="109" spans="1:9">
      <c r="A109" t="s">
        <v>614</v>
      </c>
      <c r="B109" t="s">
        <v>43</v>
      </c>
      <c r="C109" t="s">
        <v>595</v>
      </c>
      <c r="D109" t="s">
        <v>798</v>
      </c>
      <c r="E109" s="15">
        <v>45541</v>
      </c>
      <c r="F109" s="15">
        <v>45443</v>
      </c>
      <c r="G109" t="s">
        <v>129</v>
      </c>
      <c r="I109" t="s">
        <v>799</v>
      </c>
    </row>
    <row r="110" spans="1:9">
      <c r="A110" t="s">
        <v>614</v>
      </c>
      <c r="B110" t="s">
        <v>43</v>
      </c>
      <c r="C110" t="s">
        <v>595</v>
      </c>
      <c r="D110" t="s">
        <v>800</v>
      </c>
      <c r="E110" s="15">
        <v>45541</v>
      </c>
      <c r="F110" s="15">
        <v>45443</v>
      </c>
      <c r="G110" t="s">
        <v>129</v>
      </c>
      <c r="H110" t="s">
        <v>801</v>
      </c>
      <c r="I110" t="s">
        <v>802</v>
      </c>
    </row>
    <row r="111" spans="1:9">
      <c r="A111" t="s">
        <v>614</v>
      </c>
      <c r="B111" t="s">
        <v>43</v>
      </c>
      <c r="C111" t="s">
        <v>595</v>
      </c>
      <c r="D111" t="s">
        <v>803</v>
      </c>
      <c r="E111" s="15">
        <v>45541</v>
      </c>
      <c r="F111" s="15">
        <v>45443</v>
      </c>
      <c r="G111" t="s">
        <v>129</v>
      </c>
      <c r="I111" t="s">
        <v>804</v>
      </c>
    </row>
    <row r="112" spans="1:9">
      <c r="A112" t="s">
        <v>614</v>
      </c>
      <c r="B112" t="s">
        <v>43</v>
      </c>
      <c r="C112" t="s">
        <v>595</v>
      </c>
      <c r="D112" t="s">
        <v>805</v>
      </c>
      <c r="E112" s="15">
        <v>45541</v>
      </c>
      <c r="F112" s="15">
        <v>45443</v>
      </c>
      <c r="G112" t="s">
        <v>129</v>
      </c>
      <c r="I112" t="s">
        <v>806</v>
      </c>
    </row>
    <row r="113" spans="1:12">
      <c r="A113" t="s">
        <v>614</v>
      </c>
      <c r="B113" t="s">
        <v>43</v>
      </c>
      <c r="C113" t="s">
        <v>595</v>
      </c>
      <c r="D113" t="s">
        <v>807</v>
      </c>
      <c r="E113" s="15">
        <v>45541</v>
      </c>
      <c r="F113" s="15">
        <v>45443</v>
      </c>
      <c r="G113" t="s">
        <v>129</v>
      </c>
      <c r="H113" t="s">
        <v>801</v>
      </c>
      <c r="I113" t="s">
        <v>808</v>
      </c>
    </row>
    <row r="114" spans="1:12">
      <c r="A114" t="s">
        <v>614</v>
      </c>
      <c r="B114" t="s">
        <v>41</v>
      </c>
      <c r="C114" t="s">
        <v>595</v>
      </c>
      <c r="D114" t="s">
        <v>809</v>
      </c>
      <c r="E114" s="15">
        <v>45544</v>
      </c>
      <c r="F114" s="15">
        <v>45443</v>
      </c>
      <c r="G114" t="s">
        <v>129</v>
      </c>
      <c r="I114" t="s">
        <v>810</v>
      </c>
    </row>
    <row r="115" spans="1:12">
      <c r="A115" t="s">
        <v>614</v>
      </c>
      <c r="B115" t="s">
        <v>41</v>
      </c>
      <c r="C115" t="s">
        <v>595</v>
      </c>
      <c r="D115" t="s">
        <v>811</v>
      </c>
      <c r="E115" s="15">
        <v>45544</v>
      </c>
      <c r="F115" s="15">
        <v>45443</v>
      </c>
      <c r="G115" t="s">
        <v>129</v>
      </c>
      <c r="I115" t="s">
        <v>812</v>
      </c>
    </row>
    <row r="116" spans="1:12">
      <c r="A116" t="s">
        <v>614</v>
      </c>
      <c r="B116" t="s">
        <v>41</v>
      </c>
      <c r="C116" t="s">
        <v>595</v>
      </c>
      <c r="D116" t="s">
        <v>813</v>
      </c>
      <c r="E116" s="15">
        <v>45544</v>
      </c>
      <c r="F116" s="15">
        <v>45443</v>
      </c>
      <c r="G116" t="s">
        <v>145</v>
      </c>
      <c r="H116" t="s">
        <v>467</v>
      </c>
      <c r="I116" t="s">
        <v>814</v>
      </c>
      <c r="L116" s="24"/>
    </row>
    <row r="117" spans="1:12">
      <c r="A117" t="s">
        <v>614</v>
      </c>
      <c r="B117" t="s">
        <v>41</v>
      </c>
      <c r="C117" t="s">
        <v>595</v>
      </c>
      <c r="D117" t="s">
        <v>815</v>
      </c>
      <c r="E117" s="15">
        <v>45544</v>
      </c>
      <c r="F117" s="15">
        <v>45443</v>
      </c>
      <c r="G117" t="s">
        <v>129</v>
      </c>
      <c r="I117" t="s">
        <v>816</v>
      </c>
    </row>
    <row r="118" spans="1:12">
      <c r="A118" t="s">
        <v>614</v>
      </c>
      <c r="B118" t="s">
        <v>41</v>
      </c>
      <c r="C118" t="s">
        <v>595</v>
      </c>
      <c r="D118" t="s">
        <v>817</v>
      </c>
      <c r="E118" s="15">
        <v>45544</v>
      </c>
      <c r="F118" s="15">
        <v>45443</v>
      </c>
      <c r="G118" t="s">
        <v>129</v>
      </c>
      <c r="I118" t="s">
        <v>818</v>
      </c>
    </row>
    <row r="119" spans="1:12">
      <c r="A119" t="s">
        <v>614</v>
      </c>
      <c r="B119" t="s">
        <v>228</v>
      </c>
      <c r="C119" t="s">
        <v>590</v>
      </c>
      <c r="D119" t="s">
        <v>819</v>
      </c>
      <c r="E119" s="15">
        <v>45629</v>
      </c>
      <c r="F119" s="15">
        <v>45565</v>
      </c>
      <c r="G119" t="s">
        <v>129</v>
      </c>
      <c r="I119" t="s">
        <v>820</v>
      </c>
    </row>
    <row r="120" spans="1:12">
      <c r="A120" t="s">
        <v>614</v>
      </c>
      <c r="B120" t="s">
        <v>228</v>
      </c>
      <c r="C120" t="s">
        <v>595</v>
      </c>
      <c r="D120" t="s">
        <v>654</v>
      </c>
      <c r="E120" s="15">
        <v>45629</v>
      </c>
      <c r="F120" s="15">
        <v>45565</v>
      </c>
      <c r="G120" t="s">
        <v>129</v>
      </c>
      <c r="I120" t="s">
        <v>821</v>
      </c>
    </row>
    <row r="121" spans="1:12">
      <c r="A121" t="s">
        <v>614</v>
      </c>
      <c r="B121" t="s">
        <v>228</v>
      </c>
      <c r="C121" t="s">
        <v>595</v>
      </c>
      <c r="D121" t="s">
        <v>656</v>
      </c>
      <c r="E121" s="15">
        <v>45629</v>
      </c>
      <c r="F121" s="15">
        <v>45565</v>
      </c>
      <c r="G121" t="s">
        <v>129</v>
      </c>
      <c r="I121" t="s">
        <v>822</v>
      </c>
    </row>
    <row r="122" spans="1:12">
      <c r="A122" t="s">
        <v>614</v>
      </c>
      <c r="B122" t="s">
        <v>228</v>
      </c>
      <c r="C122" t="s">
        <v>595</v>
      </c>
      <c r="D122" t="s">
        <v>658</v>
      </c>
      <c r="E122" s="15">
        <v>45629</v>
      </c>
      <c r="F122" s="15">
        <v>45565</v>
      </c>
      <c r="G122" t="s">
        <v>129</v>
      </c>
      <c r="I122" t="s">
        <v>823</v>
      </c>
    </row>
    <row r="123" spans="1:12">
      <c r="A123" t="s">
        <v>614</v>
      </c>
      <c r="B123" t="s">
        <v>228</v>
      </c>
      <c r="C123" t="s">
        <v>595</v>
      </c>
      <c r="D123" t="s">
        <v>661</v>
      </c>
      <c r="E123" s="15">
        <v>45629</v>
      </c>
      <c r="F123" s="15">
        <v>45565</v>
      </c>
      <c r="G123" t="s">
        <v>145</v>
      </c>
      <c r="H123" t="s">
        <v>824</v>
      </c>
      <c r="I123" t="s">
        <v>825</v>
      </c>
    </row>
    <row r="124" spans="1:12">
      <c r="A124" t="s">
        <v>614</v>
      </c>
      <c r="B124" t="s">
        <v>228</v>
      </c>
      <c r="C124" t="s">
        <v>595</v>
      </c>
      <c r="D124" t="s">
        <v>667</v>
      </c>
      <c r="E124" s="15">
        <v>45629</v>
      </c>
      <c r="F124" s="15">
        <v>45565</v>
      </c>
      <c r="G124" t="s">
        <v>129</v>
      </c>
      <c r="I124" t="s">
        <v>826</v>
      </c>
    </row>
    <row r="125" spans="1:12">
      <c r="A125" t="s">
        <v>614</v>
      </c>
      <c r="B125" t="s">
        <v>228</v>
      </c>
      <c r="C125" t="s">
        <v>595</v>
      </c>
      <c r="D125" t="s">
        <v>697</v>
      </c>
      <c r="E125" s="15">
        <v>45629</v>
      </c>
      <c r="F125" s="15">
        <v>45565</v>
      </c>
      <c r="G125" t="s">
        <v>129</v>
      </c>
      <c r="I125" t="s">
        <v>827</v>
      </c>
    </row>
    <row r="126" spans="1:12">
      <c r="A126" t="s">
        <v>614</v>
      </c>
      <c r="B126" t="s">
        <v>228</v>
      </c>
      <c r="C126" t="s">
        <v>595</v>
      </c>
      <c r="D126" t="s">
        <v>699</v>
      </c>
      <c r="E126" s="15">
        <v>45629</v>
      </c>
      <c r="F126" s="15">
        <v>45565</v>
      </c>
      <c r="G126" t="s">
        <v>129</v>
      </c>
      <c r="H126" t="s">
        <v>700</v>
      </c>
      <c r="I126" t="s">
        <v>828</v>
      </c>
    </row>
    <row r="127" spans="1:12">
      <c r="A127" t="s">
        <v>614</v>
      </c>
      <c r="B127" t="s">
        <v>228</v>
      </c>
      <c r="C127" t="s">
        <v>595</v>
      </c>
      <c r="D127" t="s">
        <v>702</v>
      </c>
      <c r="E127" s="15">
        <v>45629</v>
      </c>
      <c r="F127" s="15">
        <v>45565</v>
      </c>
      <c r="G127" t="s">
        <v>129</v>
      </c>
      <c r="I127" t="s">
        <v>829</v>
      </c>
    </row>
    <row r="128" spans="1:12">
      <c r="A128" t="s">
        <v>614</v>
      </c>
      <c r="B128" t="s">
        <v>228</v>
      </c>
      <c r="C128" t="s">
        <v>595</v>
      </c>
      <c r="D128" t="s">
        <v>704</v>
      </c>
      <c r="E128" s="15">
        <v>45629</v>
      </c>
      <c r="F128" s="15">
        <v>45565</v>
      </c>
      <c r="G128" t="s">
        <v>129</v>
      </c>
      <c r="I128" t="s">
        <v>830</v>
      </c>
    </row>
    <row r="129" spans="1:9">
      <c r="A129" t="s">
        <v>614</v>
      </c>
      <c r="B129" t="s">
        <v>228</v>
      </c>
      <c r="C129" t="s">
        <v>595</v>
      </c>
      <c r="D129" t="s">
        <v>706</v>
      </c>
      <c r="E129" s="15">
        <v>45629</v>
      </c>
      <c r="F129" s="15">
        <v>45565</v>
      </c>
      <c r="G129" t="s">
        <v>129</v>
      </c>
      <c r="I129" t="s">
        <v>831</v>
      </c>
    </row>
    <row r="130" spans="1:9">
      <c r="A130" t="s">
        <v>614</v>
      </c>
      <c r="B130" t="s">
        <v>228</v>
      </c>
      <c r="C130" t="s">
        <v>595</v>
      </c>
      <c r="D130" t="s">
        <v>708</v>
      </c>
      <c r="E130" s="15">
        <v>45629</v>
      </c>
      <c r="F130" s="15">
        <v>45565</v>
      </c>
      <c r="G130" t="s">
        <v>145</v>
      </c>
      <c r="H130" t="s">
        <v>832</v>
      </c>
      <c r="I130" t="s">
        <v>833</v>
      </c>
    </row>
    <row r="131" spans="1:9">
      <c r="A131" t="s">
        <v>614</v>
      </c>
      <c r="B131" t="s">
        <v>228</v>
      </c>
      <c r="C131" t="s">
        <v>595</v>
      </c>
      <c r="D131" t="s">
        <v>710</v>
      </c>
      <c r="E131" s="15">
        <v>45629</v>
      </c>
      <c r="F131" s="15">
        <v>45565</v>
      </c>
      <c r="G131" t="s">
        <v>145</v>
      </c>
      <c r="H131" t="s">
        <v>834</v>
      </c>
      <c r="I131" t="s">
        <v>835</v>
      </c>
    </row>
    <row r="132" spans="1:9">
      <c r="A132" t="s">
        <v>614</v>
      </c>
      <c r="B132" t="s">
        <v>228</v>
      </c>
      <c r="C132" t="s">
        <v>595</v>
      </c>
      <c r="D132" t="s">
        <v>836</v>
      </c>
      <c r="E132" s="15">
        <v>45629</v>
      </c>
      <c r="F132" s="15">
        <v>45565</v>
      </c>
      <c r="G132" t="s">
        <v>145</v>
      </c>
      <c r="H132" t="s">
        <v>837</v>
      </c>
      <c r="I132" t="s">
        <v>838</v>
      </c>
    </row>
    <row r="133" spans="1:9">
      <c r="A133" t="s">
        <v>614</v>
      </c>
      <c r="B133" t="s">
        <v>228</v>
      </c>
      <c r="C133" t="s">
        <v>595</v>
      </c>
      <c r="D133" t="s">
        <v>712</v>
      </c>
      <c r="E133" s="15">
        <v>45629</v>
      </c>
      <c r="F133" s="15">
        <v>45565</v>
      </c>
      <c r="H133" t="s">
        <v>713</v>
      </c>
    </row>
    <row r="134" spans="1:9">
      <c r="A134" t="s">
        <v>614</v>
      </c>
      <c r="B134" t="s">
        <v>228</v>
      </c>
      <c r="C134" t="s">
        <v>595</v>
      </c>
      <c r="D134" t="s">
        <v>714</v>
      </c>
      <c r="E134" s="15">
        <v>45629</v>
      </c>
      <c r="F134" s="15">
        <v>45565</v>
      </c>
      <c r="H134" t="s">
        <v>715</v>
      </c>
    </row>
    <row r="135" spans="1:9">
      <c r="A135" t="s">
        <v>614</v>
      </c>
      <c r="B135" t="s">
        <v>228</v>
      </c>
      <c r="C135" t="s">
        <v>595</v>
      </c>
      <c r="D135" t="s">
        <v>716</v>
      </c>
      <c r="E135" s="15">
        <v>45629</v>
      </c>
      <c r="F135" s="15">
        <v>45565</v>
      </c>
      <c r="H135" t="s">
        <v>717</v>
      </c>
    </row>
    <row r="136" spans="1:9">
      <c r="A136" t="s">
        <v>614</v>
      </c>
      <c r="B136" t="s">
        <v>228</v>
      </c>
      <c r="C136" t="s">
        <v>595</v>
      </c>
      <c r="D136" t="s">
        <v>716</v>
      </c>
      <c r="E136" s="15">
        <v>45629</v>
      </c>
      <c r="F136" s="15">
        <v>45565</v>
      </c>
      <c r="H136" t="s">
        <v>717</v>
      </c>
    </row>
    <row r="137" spans="1:9">
      <c r="A137" t="s">
        <v>614</v>
      </c>
      <c r="B137" t="s">
        <v>228</v>
      </c>
      <c r="C137" t="s">
        <v>595</v>
      </c>
      <c r="D137" t="s">
        <v>718</v>
      </c>
      <c r="E137" s="15">
        <v>45629</v>
      </c>
      <c r="F137" s="15">
        <v>45565</v>
      </c>
      <c r="H137" t="s">
        <v>839</v>
      </c>
    </row>
    <row r="138" spans="1:9">
      <c r="A138" t="s">
        <v>614</v>
      </c>
      <c r="B138" t="s">
        <v>228</v>
      </c>
      <c r="C138" t="s">
        <v>595</v>
      </c>
      <c r="D138" t="s">
        <v>720</v>
      </c>
      <c r="E138" s="15">
        <v>45629</v>
      </c>
      <c r="F138" s="15">
        <v>45565</v>
      </c>
      <c r="H138" t="s">
        <v>839</v>
      </c>
    </row>
    <row r="139" spans="1:9">
      <c r="A139" t="s">
        <v>614</v>
      </c>
      <c r="B139" t="s">
        <v>228</v>
      </c>
      <c r="C139" t="s">
        <v>595</v>
      </c>
      <c r="D139" t="s">
        <v>721</v>
      </c>
      <c r="E139" s="15">
        <v>45629</v>
      </c>
      <c r="F139" s="15">
        <v>45565</v>
      </c>
      <c r="H139" t="s">
        <v>839</v>
      </c>
    </row>
    <row r="140" spans="1:9">
      <c r="A140" t="s">
        <v>614</v>
      </c>
      <c r="B140" t="s">
        <v>275</v>
      </c>
      <c r="C140" t="s">
        <v>590</v>
      </c>
      <c r="D140" t="s">
        <v>819</v>
      </c>
      <c r="E140" s="15">
        <v>45629</v>
      </c>
      <c r="F140" s="15">
        <v>45565</v>
      </c>
      <c r="G140" t="s">
        <v>129</v>
      </c>
      <c r="H140" t="s">
        <v>760</v>
      </c>
      <c r="I140" t="s">
        <v>840</v>
      </c>
    </row>
    <row r="141" spans="1:9">
      <c r="A141" t="s">
        <v>614</v>
      </c>
      <c r="B141" t="s">
        <v>275</v>
      </c>
      <c r="C141" t="s">
        <v>590</v>
      </c>
      <c r="D141" t="s">
        <v>751</v>
      </c>
      <c r="E141" s="15">
        <v>45629</v>
      </c>
      <c r="F141" s="15">
        <v>45565</v>
      </c>
      <c r="G141" t="s">
        <v>129</v>
      </c>
      <c r="H141" t="s">
        <v>841</v>
      </c>
      <c r="I141" t="s">
        <v>842</v>
      </c>
    </row>
    <row r="142" spans="1:9">
      <c r="A142" t="s">
        <v>614</v>
      </c>
      <c r="B142" t="s">
        <v>275</v>
      </c>
      <c r="C142" t="s">
        <v>595</v>
      </c>
      <c r="D142" t="s">
        <v>759</v>
      </c>
      <c r="E142" s="15">
        <v>45629</v>
      </c>
      <c r="F142" s="15">
        <v>45565</v>
      </c>
      <c r="G142" t="s">
        <v>129</v>
      </c>
      <c r="H142" t="s">
        <v>760</v>
      </c>
      <c r="I142" t="s">
        <v>843</v>
      </c>
    </row>
    <row r="143" spans="1:9">
      <c r="A143" t="s">
        <v>614</v>
      </c>
      <c r="B143" t="s">
        <v>275</v>
      </c>
      <c r="C143" t="s">
        <v>595</v>
      </c>
      <c r="D143" t="s">
        <v>762</v>
      </c>
      <c r="E143" s="15">
        <v>45629</v>
      </c>
      <c r="F143" s="15">
        <v>45565</v>
      </c>
      <c r="G143" t="s">
        <v>129</v>
      </c>
      <c r="H143" t="s">
        <v>844</v>
      </c>
      <c r="I143" t="s">
        <v>845</v>
      </c>
    </row>
    <row r="144" spans="1:9">
      <c r="A144" t="s">
        <v>614</v>
      </c>
      <c r="B144" t="s">
        <v>275</v>
      </c>
      <c r="C144" t="s">
        <v>595</v>
      </c>
      <c r="D144" t="s">
        <v>765</v>
      </c>
      <c r="E144" s="15">
        <v>45629</v>
      </c>
      <c r="F144" s="15">
        <v>45565</v>
      </c>
      <c r="G144" t="s">
        <v>129</v>
      </c>
      <c r="H144" t="s">
        <v>760</v>
      </c>
      <c r="I144" t="s">
        <v>846</v>
      </c>
    </row>
    <row r="145" spans="1:9">
      <c r="A145" t="s">
        <v>614</v>
      </c>
      <c r="B145" t="s">
        <v>275</v>
      </c>
      <c r="C145" t="s">
        <v>595</v>
      </c>
      <c r="D145" t="s">
        <v>767</v>
      </c>
      <c r="E145" s="15">
        <v>45629</v>
      </c>
      <c r="F145" s="15">
        <v>45565</v>
      </c>
      <c r="G145" t="s">
        <v>129</v>
      </c>
      <c r="H145" t="s">
        <v>760</v>
      </c>
      <c r="I145" t="s">
        <v>847</v>
      </c>
    </row>
    <row r="146" spans="1:9">
      <c r="A146" t="s">
        <v>614</v>
      </c>
      <c r="B146" t="s">
        <v>275</v>
      </c>
      <c r="C146" t="s">
        <v>595</v>
      </c>
      <c r="D146" t="s">
        <v>769</v>
      </c>
      <c r="E146" s="15">
        <v>45629</v>
      </c>
      <c r="F146" s="15">
        <v>45565</v>
      </c>
      <c r="G146" t="s">
        <v>145</v>
      </c>
      <c r="H146" t="s">
        <v>848</v>
      </c>
      <c r="I146" t="s">
        <v>849</v>
      </c>
    </row>
    <row r="147" spans="1:9">
      <c r="A147" t="s">
        <v>614</v>
      </c>
      <c r="B147" t="s">
        <v>43</v>
      </c>
      <c r="C147" t="s">
        <v>590</v>
      </c>
      <c r="D147" t="s">
        <v>618</v>
      </c>
      <c r="E147" s="15">
        <v>45629</v>
      </c>
      <c r="F147" s="15">
        <v>45565</v>
      </c>
      <c r="G147" t="s">
        <v>129</v>
      </c>
      <c r="I147" t="s">
        <v>850</v>
      </c>
    </row>
    <row r="148" spans="1:9">
      <c r="A148" t="s">
        <v>614</v>
      </c>
      <c r="B148" t="s">
        <v>43</v>
      </c>
      <c r="C148" t="s">
        <v>595</v>
      </c>
      <c r="D148" t="s">
        <v>796</v>
      </c>
      <c r="E148" s="15">
        <v>45629</v>
      </c>
      <c r="F148" s="15">
        <v>45565</v>
      </c>
      <c r="G148" t="s">
        <v>129</v>
      </c>
      <c r="I148" t="s">
        <v>851</v>
      </c>
    </row>
    <row r="149" spans="1:9">
      <c r="A149" t="s">
        <v>614</v>
      </c>
      <c r="B149" t="s">
        <v>43</v>
      </c>
      <c r="C149" t="s">
        <v>595</v>
      </c>
      <c r="D149" t="s">
        <v>798</v>
      </c>
      <c r="E149" s="15">
        <v>45629</v>
      </c>
      <c r="F149" s="15">
        <v>45565</v>
      </c>
      <c r="G149" t="s">
        <v>145</v>
      </c>
      <c r="H149" t="s">
        <v>852</v>
      </c>
      <c r="I149" t="s">
        <v>853</v>
      </c>
    </row>
    <row r="150" spans="1:9">
      <c r="A150" t="s">
        <v>614</v>
      </c>
      <c r="B150" t="s">
        <v>43</v>
      </c>
      <c r="C150" t="s">
        <v>595</v>
      </c>
      <c r="D150" t="s">
        <v>800</v>
      </c>
      <c r="E150" s="15">
        <v>45629</v>
      </c>
      <c r="F150" s="15">
        <v>45565</v>
      </c>
      <c r="G150" t="s">
        <v>145</v>
      </c>
      <c r="H150" t="s">
        <v>854</v>
      </c>
      <c r="I150" t="s">
        <v>855</v>
      </c>
    </row>
    <row r="151" spans="1:9">
      <c r="A151" t="s">
        <v>614</v>
      </c>
      <c r="B151" t="s">
        <v>43</v>
      </c>
      <c r="C151" t="s">
        <v>595</v>
      </c>
      <c r="D151" t="s">
        <v>803</v>
      </c>
      <c r="E151" s="15">
        <v>45629</v>
      </c>
      <c r="F151" s="15">
        <v>45565</v>
      </c>
      <c r="G151" t="s">
        <v>129</v>
      </c>
      <c r="I151" t="s">
        <v>856</v>
      </c>
    </row>
    <row r="152" spans="1:9">
      <c r="A152" t="s">
        <v>614</v>
      </c>
      <c r="B152" t="s">
        <v>43</v>
      </c>
      <c r="C152" t="s">
        <v>595</v>
      </c>
      <c r="D152" t="s">
        <v>805</v>
      </c>
      <c r="E152" s="15">
        <v>45629</v>
      </c>
      <c r="F152" s="15">
        <v>45565</v>
      </c>
      <c r="G152" t="s">
        <v>129</v>
      </c>
      <c r="I152" t="s">
        <v>857</v>
      </c>
    </row>
    <row r="153" spans="1:9">
      <c r="A153" t="s">
        <v>614</v>
      </c>
      <c r="B153" t="s">
        <v>43</v>
      </c>
      <c r="C153" t="s">
        <v>595</v>
      </c>
      <c r="D153" t="s">
        <v>807</v>
      </c>
      <c r="E153" s="15">
        <v>45629</v>
      </c>
      <c r="F153" s="15">
        <v>45565</v>
      </c>
      <c r="G153" t="s">
        <v>129</v>
      </c>
      <c r="I153" t="s">
        <v>858</v>
      </c>
    </row>
    <row r="154" spans="1:9">
      <c r="A154" t="s">
        <v>614</v>
      </c>
      <c r="B154" t="s">
        <v>235</v>
      </c>
      <c r="C154" t="s">
        <v>590</v>
      </c>
      <c r="D154" t="s">
        <v>618</v>
      </c>
      <c r="E154" s="15">
        <v>45630</v>
      </c>
      <c r="F154" s="15">
        <v>45565</v>
      </c>
      <c r="G154" t="s">
        <v>129</v>
      </c>
      <c r="I154" t="s">
        <v>859</v>
      </c>
    </row>
    <row r="155" spans="1:9">
      <c r="A155" t="s">
        <v>614</v>
      </c>
      <c r="B155" t="s">
        <v>235</v>
      </c>
      <c r="C155" t="s">
        <v>595</v>
      </c>
      <c r="D155" t="s">
        <v>724</v>
      </c>
      <c r="E155" s="15">
        <v>45630</v>
      </c>
      <c r="F155" s="15">
        <v>45565</v>
      </c>
      <c r="G155" t="s">
        <v>129</v>
      </c>
      <c r="I155" t="s">
        <v>860</v>
      </c>
    </row>
    <row r="156" spans="1:9">
      <c r="A156" t="s">
        <v>614</v>
      </c>
      <c r="B156" t="s">
        <v>235</v>
      </c>
      <c r="C156" t="s">
        <v>595</v>
      </c>
      <c r="D156" t="s">
        <v>726</v>
      </c>
      <c r="E156" s="15">
        <v>45630</v>
      </c>
      <c r="F156" s="15">
        <v>45565</v>
      </c>
      <c r="G156" t="s">
        <v>145</v>
      </c>
      <c r="H156" t="s">
        <v>861</v>
      </c>
      <c r="I156" t="s">
        <v>862</v>
      </c>
    </row>
    <row r="157" spans="1:9">
      <c r="A157" t="s">
        <v>614</v>
      </c>
      <c r="B157" t="s">
        <v>235</v>
      </c>
      <c r="C157" t="s">
        <v>595</v>
      </c>
      <c r="D157" t="s">
        <v>728</v>
      </c>
      <c r="E157" s="15">
        <v>45630</v>
      </c>
      <c r="F157" s="15">
        <v>45565</v>
      </c>
      <c r="G157" t="s">
        <v>129</v>
      </c>
      <c r="I157" t="s">
        <v>863</v>
      </c>
    </row>
    <row r="158" spans="1:9">
      <c r="A158" t="s">
        <v>614</v>
      </c>
      <c r="B158" t="s">
        <v>235</v>
      </c>
      <c r="C158" t="s">
        <v>595</v>
      </c>
      <c r="D158" t="s">
        <v>731</v>
      </c>
      <c r="E158" s="15">
        <v>45630</v>
      </c>
      <c r="F158" s="15">
        <v>45565</v>
      </c>
      <c r="G158" t="s">
        <v>129</v>
      </c>
      <c r="I158" t="s">
        <v>864</v>
      </c>
    </row>
    <row r="159" spans="1:9">
      <c r="A159" t="s">
        <v>614</v>
      </c>
      <c r="B159" t="s">
        <v>235</v>
      </c>
      <c r="C159" t="s">
        <v>595</v>
      </c>
      <c r="D159" t="s">
        <v>733</v>
      </c>
      <c r="E159" s="15">
        <v>45630</v>
      </c>
      <c r="F159" s="15">
        <v>45565</v>
      </c>
      <c r="G159" t="s">
        <v>129</v>
      </c>
      <c r="I159" t="s">
        <v>865</v>
      </c>
    </row>
    <row r="160" spans="1:9">
      <c r="A160" t="s">
        <v>614</v>
      </c>
      <c r="B160" t="s">
        <v>235</v>
      </c>
      <c r="C160" t="s">
        <v>595</v>
      </c>
      <c r="D160" t="s">
        <v>735</v>
      </c>
      <c r="E160" s="15">
        <v>45630</v>
      </c>
      <c r="F160" s="15">
        <v>45565</v>
      </c>
      <c r="G160" t="s">
        <v>129</v>
      </c>
      <c r="I160" t="s">
        <v>866</v>
      </c>
    </row>
    <row r="161" spans="1:9">
      <c r="A161" t="s">
        <v>614</v>
      </c>
      <c r="B161" t="s">
        <v>247</v>
      </c>
      <c r="C161" t="s">
        <v>590</v>
      </c>
      <c r="D161" t="s">
        <v>618</v>
      </c>
      <c r="E161" s="15">
        <v>45630</v>
      </c>
      <c r="F161" s="15">
        <v>45473</v>
      </c>
      <c r="G161" t="s">
        <v>129</v>
      </c>
      <c r="I161" t="s">
        <v>867</v>
      </c>
    </row>
    <row r="162" spans="1:9">
      <c r="A162" t="s">
        <v>614</v>
      </c>
      <c r="B162" t="s">
        <v>247</v>
      </c>
      <c r="C162" t="s">
        <v>595</v>
      </c>
      <c r="D162" t="s">
        <v>771</v>
      </c>
      <c r="E162" s="15">
        <v>45630</v>
      </c>
      <c r="F162" s="15">
        <v>45473</v>
      </c>
      <c r="G162" t="s">
        <v>129</v>
      </c>
      <c r="I162" t="s">
        <v>868</v>
      </c>
    </row>
    <row r="163" spans="1:9">
      <c r="A163" t="s">
        <v>614</v>
      </c>
      <c r="B163" t="s">
        <v>247</v>
      </c>
      <c r="C163" t="s">
        <v>595</v>
      </c>
      <c r="D163" t="s">
        <v>773</v>
      </c>
      <c r="E163" s="15">
        <v>45630</v>
      </c>
      <c r="F163" s="15">
        <v>45473</v>
      </c>
      <c r="G163" t="s">
        <v>129</v>
      </c>
      <c r="I163" t="s">
        <v>869</v>
      </c>
    </row>
    <row r="164" spans="1:9">
      <c r="A164" t="s">
        <v>614</v>
      </c>
      <c r="B164" t="s">
        <v>247</v>
      </c>
      <c r="C164" t="s">
        <v>595</v>
      </c>
      <c r="D164" t="s">
        <v>775</v>
      </c>
      <c r="E164" s="15">
        <v>45630</v>
      </c>
      <c r="F164" s="15">
        <v>45473</v>
      </c>
      <c r="G164" t="s">
        <v>129</v>
      </c>
      <c r="I164" t="s">
        <v>869</v>
      </c>
    </row>
    <row r="165" spans="1:9">
      <c r="A165" t="s">
        <v>614</v>
      </c>
      <c r="B165" t="s">
        <v>247</v>
      </c>
      <c r="C165" t="s">
        <v>595</v>
      </c>
      <c r="D165" t="s">
        <v>777</v>
      </c>
      <c r="E165" s="15">
        <v>45630</v>
      </c>
      <c r="F165" s="15">
        <v>45473</v>
      </c>
      <c r="G165" t="s">
        <v>129</v>
      </c>
      <c r="I165" t="s">
        <v>870</v>
      </c>
    </row>
    <row r="166" spans="1:9">
      <c r="A166" t="s">
        <v>614</v>
      </c>
      <c r="B166" t="s">
        <v>247</v>
      </c>
      <c r="C166" t="s">
        <v>595</v>
      </c>
      <c r="D166" t="s">
        <v>779</v>
      </c>
      <c r="E166" s="15">
        <v>45630</v>
      </c>
      <c r="F166" s="15">
        <v>45473</v>
      </c>
      <c r="G166" t="s">
        <v>129</v>
      </c>
      <c r="I166" t="s">
        <v>871</v>
      </c>
    </row>
    <row r="167" spans="1:9">
      <c r="A167" t="s">
        <v>614</v>
      </c>
      <c r="B167" t="s">
        <v>247</v>
      </c>
      <c r="C167" t="s">
        <v>595</v>
      </c>
      <c r="D167" t="s">
        <v>781</v>
      </c>
      <c r="E167" s="15">
        <v>45630</v>
      </c>
      <c r="F167" s="15">
        <v>45473</v>
      </c>
      <c r="G167" t="s">
        <v>129</v>
      </c>
      <c r="I167" t="s">
        <v>872</v>
      </c>
    </row>
    <row r="168" spans="1:9">
      <c r="A168" t="s">
        <v>614</v>
      </c>
      <c r="B168" t="s">
        <v>247</v>
      </c>
      <c r="C168" t="s">
        <v>595</v>
      </c>
      <c r="D168" t="s">
        <v>783</v>
      </c>
      <c r="E168" s="15">
        <v>45630</v>
      </c>
      <c r="F168" s="15">
        <v>45473</v>
      </c>
      <c r="G168" t="s">
        <v>129</v>
      </c>
      <c r="I168" t="s">
        <v>873</v>
      </c>
    </row>
    <row r="169" spans="1:9">
      <c r="A169" t="s">
        <v>614</v>
      </c>
      <c r="B169" t="s">
        <v>247</v>
      </c>
      <c r="C169" t="s">
        <v>595</v>
      </c>
      <c r="D169" t="s">
        <v>786</v>
      </c>
      <c r="E169" s="15">
        <v>45630</v>
      </c>
      <c r="F169" s="15">
        <v>45473</v>
      </c>
      <c r="G169" t="s">
        <v>129</v>
      </c>
      <c r="I169" t="s">
        <v>874</v>
      </c>
    </row>
    <row r="170" spans="1:9">
      <c r="A170" t="s">
        <v>614</v>
      </c>
      <c r="B170" t="s">
        <v>247</v>
      </c>
      <c r="C170" t="s">
        <v>595</v>
      </c>
      <c r="D170" t="s">
        <v>788</v>
      </c>
      <c r="E170" s="15">
        <v>45630</v>
      </c>
      <c r="F170" s="15">
        <v>45473</v>
      </c>
      <c r="H170" t="s">
        <v>789</v>
      </c>
    </row>
    <row r="171" spans="1:9">
      <c r="A171" t="s">
        <v>614</v>
      </c>
      <c r="B171" t="s">
        <v>264</v>
      </c>
      <c r="C171" t="s">
        <v>590</v>
      </c>
      <c r="D171" t="s">
        <v>618</v>
      </c>
      <c r="E171" s="15">
        <v>45630</v>
      </c>
      <c r="F171" s="15">
        <v>45473</v>
      </c>
      <c r="G171" t="s">
        <v>129</v>
      </c>
      <c r="I171" t="s">
        <v>875</v>
      </c>
    </row>
    <row r="172" spans="1:9">
      <c r="A172" t="s">
        <v>614</v>
      </c>
      <c r="B172" t="s">
        <v>264</v>
      </c>
      <c r="C172" t="s">
        <v>595</v>
      </c>
      <c r="D172" t="s">
        <v>790</v>
      </c>
      <c r="E172" s="15">
        <v>45630</v>
      </c>
      <c r="F172" s="15">
        <v>45473</v>
      </c>
      <c r="G172" t="s">
        <v>129</v>
      </c>
      <c r="I172" t="s">
        <v>876</v>
      </c>
    </row>
    <row r="173" spans="1:9">
      <c r="A173" t="s">
        <v>614</v>
      </c>
      <c r="B173" t="s">
        <v>264</v>
      </c>
      <c r="C173" t="s">
        <v>595</v>
      </c>
      <c r="D173" t="s">
        <v>792</v>
      </c>
      <c r="E173" s="15">
        <v>45630</v>
      </c>
      <c r="F173" s="15">
        <v>45473</v>
      </c>
      <c r="G173" t="s">
        <v>129</v>
      </c>
      <c r="I173" t="s">
        <v>877</v>
      </c>
    </row>
    <row r="174" spans="1:9">
      <c r="A174" t="s">
        <v>614</v>
      </c>
      <c r="B174" t="s">
        <v>264</v>
      </c>
      <c r="C174" t="s">
        <v>595</v>
      </c>
      <c r="D174" t="s">
        <v>794</v>
      </c>
      <c r="E174" s="15">
        <v>45630</v>
      </c>
      <c r="F174" s="15">
        <v>45473</v>
      </c>
      <c r="G174" t="s">
        <v>129</v>
      </c>
      <c r="I174" t="s">
        <v>878</v>
      </c>
    </row>
    <row r="175" spans="1:9">
      <c r="A175" t="s">
        <v>614</v>
      </c>
      <c r="B175" t="s">
        <v>453</v>
      </c>
      <c r="C175" t="s">
        <v>590</v>
      </c>
      <c r="D175" t="s">
        <v>618</v>
      </c>
      <c r="E175" s="15">
        <v>45630</v>
      </c>
      <c r="F175" s="15">
        <v>45565</v>
      </c>
      <c r="G175" t="s">
        <v>129</v>
      </c>
      <c r="I175" t="s">
        <v>879</v>
      </c>
    </row>
    <row r="176" spans="1:9">
      <c r="A176" t="s">
        <v>614</v>
      </c>
      <c r="B176" t="s">
        <v>453</v>
      </c>
      <c r="C176" t="s">
        <v>615</v>
      </c>
      <c r="D176" t="s">
        <v>616</v>
      </c>
      <c r="E176" s="15">
        <v>45630</v>
      </c>
      <c r="F176" s="15">
        <v>45565</v>
      </c>
      <c r="G176" t="s">
        <v>129</v>
      </c>
      <c r="I176" t="s">
        <v>880</v>
      </c>
    </row>
    <row r="177" spans="1:9">
      <c r="A177" t="s">
        <v>614</v>
      </c>
      <c r="B177" t="s">
        <v>453</v>
      </c>
      <c r="C177" t="s">
        <v>595</v>
      </c>
      <c r="D177" t="s">
        <v>881</v>
      </c>
      <c r="E177" s="15">
        <v>45630</v>
      </c>
      <c r="F177" s="15">
        <v>45565</v>
      </c>
      <c r="G177" t="s">
        <v>129</v>
      </c>
      <c r="I177" t="s">
        <v>882</v>
      </c>
    </row>
    <row r="178" spans="1:9">
      <c r="A178" t="s">
        <v>614</v>
      </c>
      <c r="B178" t="s">
        <v>453</v>
      </c>
      <c r="C178" t="s">
        <v>595</v>
      </c>
      <c r="D178" t="s">
        <v>622</v>
      </c>
      <c r="E178" s="15">
        <v>45630</v>
      </c>
      <c r="F178" s="15">
        <v>45565</v>
      </c>
      <c r="G178" t="s">
        <v>145</v>
      </c>
      <c r="H178" t="s">
        <v>883</v>
      </c>
      <c r="I178" t="s">
        <v>884</v>
      </c>
    </row>
    <row r="179" spans="1:9">
      <c r="A179" t="s">
        <v>614</v>
      </c>
      <c r="B179" t="s">
        <v>453</v>
      </c>
      <c r="C179" t="s">
        <v>595</v>
      </c>
      <c r="D179" t="s">
        <v>625</v>
      </c>
      <c r="E179" s="15">
        <v>45630</v>
      </c>
      <c r="F179" s="15">
        <v>45565</v>
      </c>
      <c r="G179" t="s">
        <v>129</v>
      </c>
      <c r="I179" t="s">
        <v>885</v>
      </c>
    </row>
    <row r="180" spans="1:9">
      <c r="A180" t="s">
        <v>614</v>
      </c>
      <c r="B180" t="s">
        <v>267</v>
      </c>
      <c r="C180" t="s">
        <v>590</v>
      </c>
      <c r="D180" t="s">
        <v>618</v>
      </c>
      <c r="E180" s="15">
        <v>45630</v>
      </c>
      <c r="F180" s="15">
        <v>45565</v>
      </c>
      <c r="G180" t="s">
        <v>129</v>
      </c>
      <c r="I180" t="s">
        <v>886</v>
      </c>
    </row>
    <row r="181" spans="1:9">
      <c r="A181" t="s">
        <v>614</v>
      </c>
      <c r="B181" t="s">
        <v>267</v>
      </c>
      <c r="C181" t="s">
        <v>595</v>
      </c>
      <c r="D181" t="s">
        <v>887</v>
      </c>
      <c r="E181" s="15">
        <v>45630</v>
      </c>
      <c r="F181" s="15">
        <v>45565</v>
      </c>
      <c r="G181" t="s">
        <v>129</v>
      </c>
      <c r="I181" t="s">
        <v>888</v>
      </c>
    </row>
    <row r="182" spans="1:9">
      <c r="A182" t="s">
        <v>614</v>
      </c>
      <c r="B182" t="s">
        <v>267</v>
      </c>
      <c r="C182" t="s">
        <v>595</v>
      </c>
      <c r="D182" t="s">
        <v>889</v>
      </c>
      <c r="E182" s="15">
        <v>45630</v>
      </c>
      <c r="F182" s="15">
        <v>45565</v>
      </c>
      <c r="G182" t="s">
        <v>145</v>
      </c>
      <c r="H182" t="s">
        <v>890</v>
      </c>
      <c r="I182" t="s">
        <v>891</v>
      </c>
    </row>
    <row r="183" spans="1:9">
      <c r="A183" t="s">
        <v>614</v>
      </c>
      <c r="B183" t="s">
        <v>267</v>
      </c>
      <c r="C183" t="s">
        <v>595</v>
      </c>
      <c r="D183" t="s">
        <v>892</v>
      </c>
      <c r="E183" s="15">
        <v>45630</v>
      </c>
      <c r="F183" s="15">
        <v>45565</v>
      </c>
      <c r="G183" t="s">
        <v>145</v>
      </c>
      <c r="H183" t="s">
        <v>890</v>
      </c>
      <c r="I183" t="s">
        <v>893</v>
      </c>
    </row>
    <row r="184" spans="1:9">
      <c r="A184" t="s">
        <v>614</v>
      </c>
      <c r="B184" t="s">
        <v>267</v>
      </c>
      <c r="C184" t="s">
        <v>595</v>
      </c>
      <c r="D184" t="s">
        <v>635</v>
      </c>
      <c r="E184" s="15">
        <v>45630</v>
      </c>
      <c r="F184" s="15">
        <v>45565</v>
      </c>
      <c r="G184" t="s">
        <v>129</v>
      </c>
      <c r="I184" t="s">
        <v>894</v>
      </c>
    </row>
    <row r="185" spans="1:9">
      <c r="A185" s="24" t="s">
        <v>614</v>
      </c>
      <c r="B185" s="24" t="s">
        <v>179</v>
      </c>
      <c r="C185" t="s">
        <v>590</v>
      </c>
      <c r="D185" t="s">
        <v>618</v>
      </c>
      <c r="E185" s="15">
        <v>45630</v>
      </c>
      <c r="F185" s="15">
        <v>45565</v>
      </c>
      <c r="G185" t="s">
        <v>129</v>
      </c>
      <c r="I185" t="s">
        <v>895</v>
      </c>
    </row>
    <row r="186" spans="1:9">
      <c r="A186" s="24" t="s">
        <v>614</v>
      </c>
      <c r="B186" s="24" t="s">
        <v>179</v>
      </c>
      <c r="C186" t="s">
        <v>595</v>
      </c>
      <c r="D186" t="s">
        <v>669</v>
      </c>
      <c r="E186" s="15">
        <v>45630</v>
      </c>
      <c r="F186" s="15">
        <v>45565</v>
      </c>
      <c r="G186" t="s">
        <v>129</v>
      </c>
      <c r="I186" t="s">
        <v>896</v>
      </c>
    </row>
    <row r="187" spans="1:9">
      <c r="A187" s="24" t="s">
        <v>614</v>
      </c>
      <c r="B187" s="24" t="s">
        <v>179</v>
      </c>
      <c r="C187" t="s">
        <v>595</v>
      </c>
      <c r="D187" t="s">
        <v>671</v>
      </c>
      <c r="E187" s="15">
        <v>45630</v>
      </c>
      <c r="F187" s="15">
        <v>45565</v>
      </c>
      <c r="G187" t="s">
        <v>129</v>
      </c>
      <c r="I187" t="s">
        <v>897</v>
      </c>
    </row>
    <row r="188" spans="1:9">
      <c r="A188" s="24" t="s">
        <v>614</v>
      </c>
      <c r="B188" s="24" t="s">
        <v>179</v>
      </c>
      <c r="C188" t="s">
        <v>595</v>
      </c>
      <c r="D188" t="s">
        <v>674</v>
      </c>
      <c r="E188" s="15">
        <v>45630</v>
      </c>
      <c r="F188" s="15">
        <v>45565</v>
      </c>
      <c r="G188" t="s">
        <v>129</v>
      </c>
      <c r="I188" t="s">
        <v>898</v>
      </c>
    </row>
    <row r="189" spans="1:9">
      <c r="A189" s="24" t="s">
        <v>614</v>
      </c>
      <c r="B189" s="24" t="s">
        <v>179</v>
      </c>
      <c r="C189" t="s">
        <v>595</v>
      </c>
      <c r="D189" t="s">
        <v>676</v>
      </c>
      <c r="E189" s="15">
        <v>45630</v>
      </c>
      <c r="F189" s="15">
        <v>45565</v>
      </c>
      <c r="G189" t="s">
        <v>129</v>
      </c>
      <c r="I189" t="s">
        <v>899</v>
      </c>
    </row>
    <row r="190" spans="1:9">
      <c r="A190" s="24" t="s">
        <v>614</v>
      </c>
      <c r="B190" s="24" t="s">
        <v>179</v>
      </c>
      <c r="C190" t="s">
        <v>595</v>
      </c>
      <c r="D190" t="s">
        <v>679</v>
      </c>
      <c r="E190" s="15">
        <v>45630</v>
      </c>
      <c r="F190" s="15">
        <v>45565</v>
      </c>
      <c r="G190" t="s">
        <v>129</v>
      </c>
      <c r="I190" t="s">
        <v>900</v>
      </c>
    </row>
    <row r="191" spans="1:9">
      <c r="A191" s="24" t="s">
        <v>614</v>
      </c>
      <c r="B191" s="24" t="s">
        <v>179</v>
      </c>
      <c r="C191" t="s">
        <v>595</v>
      </c>
      <c r="D191" t="s">
        <v>681</v>
      </c>
      <c r="E191" s="15">
        <v>45630</v>
      </c>
      <c r="F191" s="15">
        <v>45565</v>
      </c>
      <c r="G191" t="s">
        <v>129</v>
      </c>
      <c r="I191" t="s">
        <v>901</v>
      </c>
    </row>
    <row r="192" spans="1:9">
      <c r="A192" t="s">
        <v>614</v>
      </c>
      <c r="B192" t="s">
        <v>41</v>
      </c>
      <c r="C192" t="s">
        <v>590</v>
      </c>
      <c r="D192" t="s">
        <v>618</v>
      </c>
      <c r="E192" s="15">
        <v>45643</v>
      </c>
      <c r="F192" s="15">
        <v>45565</v>
      </c>
      <c r="G192" t="s">
        <v>145</v>
      </c>
      <c r="I192" t="s">
        <v>902</v>
      </c>
    </row>
    <row r="193" spans="1:9">
      <c r="A193" t="s">
        <v>614</v>
      </c>
      <c r="B193" t="s">
        <v>41</v>
      </c>
      <c r="C193" t="s">
        <v>595</v>
      </c>
      <c r="D193" t="s">
        <v>809</v>
      </c>
      <c r="E193" s="15">
        <v>45643</v>
      </c>
      <c r="F193" s="15">
        <v>45565</v>
      </c>
      <c r="G193" t="s">
        <v>145</v>
      </c>
      <c r="I193" t="s">
        <v>903</v>
      </c>
    </row>
    <row r="194" spans="1:9">
      <c r="A194" t="s">
        <v>614</v>
      </c>
      <c r="B194" t="s">
        <v>41</v>
      </c>
      <c r="C194" t="s">
        <v>595</v>
      </c>
      <c r="D194" t="s">
        <v>811</v>
      </c>
      <c r="E194" s="15">
        <v>45643</v>
      </c>
      <c r="F194" s="15">
        <v>45565</v>
      </c>
      <c r="G194" t="s">
        <v>129</v>
      </c>
      <c r="I194" t="s">
        <v>904</v>
      </c>
    </row>
    <row r="195" spans="1:9">
      <c r="A195" t="s">
        <v>614</v>
      </c>
      <c r="B195" t="s">
        <v>41</v>
      </c>
      <c r="C195" t="s">
        <v>595</v>
      </c>
      <c r="D195" t="s">
        <v>813</v>
      </c>
      <c r="E195" s="15">
        <v>45643</v>
      </c>
      <c r="F195" s="15">
        <v>45565</v>
      </c>
      <c r="G195" t="s">
        <v>145</v>
      </c>
      <c r="H195" t="s">
        <v>905</v>
      </c>
      <c r="I195" t="s">
        <v>906</v>
      </c>
    </row>
    <row r="196" spans="1:9">
      <c r="A196" t="s">
        <v>614</v>
      </c>
      <c r="B196" t="s">
        <v>41</v>
      </c>
      <c r="C196" t="s">
        <v>595</v>
      </c>
      <c r="D196" t="s">
        <v>815</v>
      </c>
      <c r="E196" s="15">
        <v>45643</v>
      </c>
      <c r="F196" s="15">
        <v>45565</v>
      </c>
      <c r="G196" t="s">
        <v>129</v>
      </c>
      <c r="I196" t="s">
        <v>907</v>
      </c>
    </row>
    <row r="197" spans="1:9">
      <c r="A197" t="s">
        <v>614</v>
      </c>
      <c r="B197" t="s">
        <v>41</v>
      </c>
      <c r="C197" t="s">
        <v>595</v>
      </c>
      <c r="D197" t="s">
        <v>817</v>
      </c>
      <c r="E197" s="15">
        <v>45643</v>
      </c>
      <c r="F197" s="15">
        <v>45565</v>
      </c>
      <c r="G197" t="s">
        <v>129</v>
      </c>
      <c r="I197" t="s">
        <v>908</v>
      </c>
    </row>
    <row r="198" spans="1:9">
      <c r="A198" s="24" t="s">
        <v>586</v>
      </c>
      <c r="B198" t="s">
        <v>427</v>
      </c>
      <c r="C198" t="s">
        <v>590</v>
      </c>
      <c r="D198" t="s">
        <v>618</v>
      </c>
      <c r="E198" s="15">
        <v>45644</v>
      </c>
      <c r="F198" s="15">
        <v>45565</v>
      </c>
      <c r="G198" t="s">
        <v>129</v>
      </c>
      <c r="I198" t="s">
        <v>909</v>
      </c>
    </row>
    <row r="199" spans="1:9">
      <c r="A199" s="24" t="s">
        <v>586</v>
      </c>
      <c r="B199" t="s">
        <v>427</v>
      </c>
      <c r="C199" t="s">
        <v>595</v>
      </c>
      <c r="D199" t="s">
        <v>910</v>
      </c>
      <c r="E199" s="15">
        <v>45644</v>
      </c>
      <c r="F199" s="15">
        <v>45565</v>
      </c>
      <c r="G199" t="s">
        <v>129</v>
      </c>
      <c r="I199" t="s">
        <v>911</v>
      </c>
    </row>
    <row r="200" spans="1:9">
      <c r="A200" s="24" t="s">
        <v>586</v>
      </c>
      <c r="B200" t="s">
        <v>427</v>
      </c>
      <c r="C200" t="s">
        <v>595</v>
      </c>
      <c r="D200" t="s">
        <v>912</v>
      </c>
      <c r="E200" s="15">
        <v>45644</v>
      </c>
      <c r="F200" s="15">
        <v>45565</v>
      </c>
      <c r="G200" t="s">
        <v>129</v>
      </c>
      <c r="I200" t="s">
        <v>913</v>
      </c>
    </row>
    <row r="201" spans="1:9">
      <c r="A201" s="24" t="s">
        <v>586</v>
      </c>
      <c r="B201" t="s">
        <v>427</v>
      </c>
      <c r="C201" t="s">
        <v>595</v>
      </c>
      <c r="D201" t="s">
        <v>914</v>
      </c>
      <c r="E201" s="15">
        <v>45644</v>
      </c>
      <c r="F201" s="15">
        <v>45565</v>
      </c>
      <c r="G201" t="s">
        <v>129</v>
      </c>
      <c r="I201" t="s">
        <v>915</v>
      </c>
    </row>
    <row r="202" spans="1:9">
      <c r="A202" s="24" t="s">
        <v>586</v>
      </c>
      <c r="B202" t="s">
        <v>427</v>
      </c>
      <c r="C202" t="s">
        <v>595</v>
      </c>
      <c r="D202" t="s">
        <v>916</v>
      </c>
      <c r="E202" s="15">
        <v>45644</v>
      </c>
      <c r="F202" s="15">
        <v>45565</v>
      </c>
      <c r="G202" t="s">
        <v>145</v>
      </c>
      <c r="H202" t="s">
        <v>917</v>
      </c>
      <c r="I202" t="s">
        <v>918</v>
      </c>
    </row>
    <row r="203" spans="1:9">
      <c r="A203" s="24" t="s">
        <v>586</v>
      </c>
      <c r="B203" t="s">
        <v>278</v>
      </c>
      <c r="C203" t="s">
        <v>590</v>
      </c>
      <c r="D203" t="s">
        <v>618</v>
      </c>
      <c r="E203" s="15">
        <v>45644</v>
      </c>
      <c r="F203" s="15">
        <v>45565</v>
      </c>
      <c r="G203" t="s">
        <v>129</v>
      </c>
      <c r="I203" t="s">
        <v>919</v>
      </c>
    </row>
    <row r="204" spans="1:9">
      <c r="A204" s="24" t="s">
        <v>586</v>
      </c>
      <c r="B204" t="s">
        <v>278</v>
      </c>
      <c r="C204" t="s">
        <v>595</v>
      </c>
      <c r="D204" t="s">
        <v>754</v>
      </c>
      <c r="E204" s="15">
        <v>45644</v>
      </c>
      <c r="F204" s="15">
        <v>45565</v>
      </c>
      <c r="G204" t="s">
        <v>129</v>
      </c>
      <c r="I204" t="s">
        <v>920</v>
      </c>
    </row>
    <row r="205" spans="1:9">
      <c r="A205" s="24" t="s">
        <v>586</v>
      </c>
      <c r="B205" t="s">
        <v>278</v>
      </c>
      <c r="C205" t="s">
        <v>595</v>
      </c>
      <c r="D205" t="s">
        <v>756</v>
      </c>
      <c r="E205" s="15">
        <v>45644</v>
      </c>
      <c r="F205" s="15">
        <v>45565</v>
      </c>
      <c r="G205" t="s">
        <v>129</v>
      </c>
      <c r="I205" t="s">
        <v>921</v>
      </c>
    </row>
    <row r="206" spans="1:9">
      <c r="A206" t="s">
        <v>187</v>
      </c>
      <c r="B206" t="s">
        <v>409</v>
      </c>
      <c r="C206" t="s">
        <v>590</v>
      </c>
      <c r="D206" t="s">
        <v>618</v>
      </c>
      <c r="E206" s="15">
        <v>45361</v>
      </c>
      <c r="F206" s="15">
        <v>45657</v>
      </c>
      <c r="G206" t="s">
        <v>129</v>
      </c>
      <c r="I206" t="s">
        <v>922</v>
      </c>
    </row>
    <row r="207" spans="1:9">
      <c r="A207" s="24" t="s">
        <v>586</v>
      </c>
      <c r="B207" t="s">
        <v>427</v>
      </c>
      <c r="C207" t="s">
        <v>590</v>
      </c>
      <c r="D207" t="s">
        <v>618</v>
      </c>
      <c r="E207" s="15">
        <v>45361</v>
      </c>
      <c r="F207" s="15">
        <v>45657</v>
      </c>
      <c r="G207" t="s">
        <v>145</v>
      </c>
      <c r="H207" t="s">
        <v>923</v>
      </c>
      <c r="I207" t="s">
        <v>924</v>
      </c>
    </row>
    <row r="208" spans="1:9">
      <c r="A208" s="24" t="s">
        <v>586</v>
      </c>
      <c r="B208" t="s">
        <v>278</v>
      </c>
      <c r="C208" t="s">
        <v>590</v>
      </c>
      <c r="D208" t="s">
        <v>618</v>
      </c>
      <c r="E208" s="15">
        <v>45362</v>
      </c>
      <c r="F208" s="15">
        <v>45657</v>
      </c>
      <c r="G208" t="s">
        <v>129</v>
      </c>
      <c r="I208" t="s">
        <v>925</v>
      </c>
    </row>
    <row r="209" spans="1:9">
      <c r="A209" t="s">
        <v>614</v>
      </c>
      <c r="B209" t="s">
        <v>41</v>
      </c>
      <c r="C209" t="s">
        <v>590</v>
      </c>
      <c r="D209" t="s">
        <v>618</v>
      </c>
      <c r="E209" s="15">
        <v>45362</v>
      </c>
      <c r="F209" s="15">
        <v>45657</v>
      </c>
      <c r="G209" t="s">
        <v>129</v>
      </c>
      <c r="I209" t="s">
        <v>926</v>
      </c>
    </row>
    <row r="210" spans="1:9">
      <c r="A210" t="s">
        <v>187</v>
      </c>
      <c r="B210" t="s">
        <v>409</v>
      </c>
      <c r="C210" t="s">
        <v>590</v>
      </c>
      <c r="D210" t="s">
        <v>618</v>
      </c>
      <c r="E210" s="15">
        <v>45371</v>
      </c>
      <c r="F210" s="15">
        <v>45657</v>
      </c>
      <c r="G210" t="s">
        <v>129</v>
      </c>
      <c r="I210" t="s">
        <v>927</v>
      </c>
    </row>
    <row r="211" spans="1:9">
      <c r="A211" t="s">
        <v>187</v>
      </c>
      <c r="B211" t="s">
        <v>409</v>
      </c>
      <c r="C211" t="s">
        <v>595</v>
      </c>
      <c r="D211" t="s">
        <v>928</v>
      </c>
      <c r="E211" s="15">
        <v>45371</v>
      </c>
      <c r="F211" s="15">
        <v>45657</v>
      </c>
      <c r="G211" t="s">
        <v>129</v>
      </c>
      <c r="I211" t="s">
        <v>929</v>
      </c>
    </row>
    <row r="212" spans="1:9">
      <c r="A212" t="s">
        <v>187</v>
      </c>
      <c r="B212" t="s">
        <v>409</v>
      </c>
      <c r="C212" t="s">
        <v>595</v>
      </c>
      <c r="D212" t="s">
        <v>930</v>
      </c>
      <c r="E212" s="15">
        <v>45371</v>
      </c>
      <c r="F212" s="15">
        <v>45657</v>
      </c>
      <c r="G212" t="s">
        <v>129</v>
      </c>
      <c r="I212" t="s">
        <v>929</v>
      </c>
    </row>
    <row r="213" spans="1:9">
      <c r="A213" s="24" t="s">
        <v>586</v>
      </c>
      <c r="B213" t="s">
        <v>278</v>
      </c>
      <c r="C213" t="s">
        <v>590</v>
      </c>
      <c r="D213" t="s">
        <v>618</v>
      </c>
      <c r="E213" s="15">
        <v>45371</v>
      </c>
      <c r="F213" s="15">
        <v>45657</v>
      </c>
      <c r="G213" t="s">
        <v>129</v>
      </c>
      <c r="I213" t="s">
        <v>931</v>
      </c>
    </row>
    <row r="214" spans="1:9">
      <c r="A214" s="24" t="s">
        <v>586</v>
      </c>
      <c r="B214" t="s">
        <v>278</v>
      </c>
      <c r="C214" t="s">
        <v>595</v>
      </c>
      <c r="D214" t="s">
        <v>754</v>
      </c>
      <c r="E214" s="15">
        <v>45371</v>
      </c>
      <c r="F214" s="15">
        <v>45657</v>
      </c>
      <c r="G214" t="s">
        <v>129</v>
      </c>
      <c r="I214" t="s">
        <v>932</v>
      </c>
    </row>
    <row r="215" spans="1:9">
      <c r="A215" s="24" t="s">
        <v>586</v>
      </c>
      <c r="B215" t="s">
        <v>278</v>
      </c>
      <c r="C215" t="s">
        <v>595</v>
      </c>
      <c r="D215" t="s">
        <v>756</v>
      </c>
      <c r="E215" s="15">
        <v>45371</v>
      </c>
      <c r="F215" s="15">
        <v>45657</v>
      </c>
      <c r="G215" t="s">
        <v>129</v>
      </c>
      <c r="I215" t="s">
        <v>933</v>
      </c>
    </row>
    <row r="216" spans="1:9">
      <c r="A216" t="s">
        <v>614</v>
      </c>
      <c r="B216" t="s">
        <v>41</v>
      </c>
      <c r="C216" t="s">
        <v>590</v>
      </c>
      <c r="D216" t="s">
        <v>618</v>
      </c>
      <c r="E216" s="15">
        <v>45371</v>
      </c>
      <c r="F216" s="15">
        <v>45657</v>
      </c>
      <c r="G216" t="s">
        <v>129</v>
      </c>
      <c r="I216" t="s">
        <v>934</v>
      </c>
    </row>
    <row r="217" spans="1:9">
      <c r="A217" t="s">
        <v>614</v>
      </c>
      <c r="B217" t="s">
        <v>41</v>
      </c>
      <c r="C217" t="s">
        <v>595</v>
      </c>
      <c r="D217" t="s">
        <v>809</v>
      </c>
      <c r="E217" s="15">
        <v>45371</v>
      </c>
      <c r="F217" s="15">
        <v>45657</v>
      </c>
      <c r="G217" t="s">
        <v>145</v>
      </c>
      <c r="H217" t="s">
        <v>935</v>
      </c>
      <c r="I217" t="s">
        <v>936</v>
      </c>
    </row>
    <row r="218" spans="1:9">
      <c r="A218" t="s">
        <v>614</v>
      </c>
      <c r="B218" t="s">
        <v>41</v>
      </c>
      <c r="C218" t="s">
        <v>595</v>
      </c>
      <c r="D218" t="s">
        <v>811</v>
      </c>
      <c r="E218" s="15">
        <v>45371</v>
      </c>
      <c r="F218" s="15">
        <v>45657</v>
      </c>
      <c r="G218" t="s">
        <v>129</v>
      </c>
      <c r="I218" t="s">
        <v>937</v>
      </c>
    </row>
    <row r="219" spans="1:9">
      <c r="A219" t="s">
        <v>614</v>
      </c>
      <c r="B219" t="s">
        <v>41</v>
      </c>
      <c r="C219" t="s">
        <v>595</v>
      </c>
      <c r="D219" t="s">
        <v>813</v>
      </c>
      <c r="E219" s="15">
        <v>45371</v>
      </c>
      <c r="F219" s="15">
        <v>45657</v>
      </c>
      <c r="G219" t="s">
        <v>145</v>
      </c>
      <c r="H219" t="s">
        <v>938</v>
      </c>
      <c r="I219" t="s">
        <v>939</v>
      </c>
    </row>
    <row r="220" spans="1:9">
      <c r="A220" t="s">
        <v>614</v>
      </c>
      <c r="B220" t="s">
        <v>41</v>
      </c>
      <c r="C220" t="s">
        <v>595</v>
      </c>
      <c r="D220" t="s">
        <v>815</v>
      </c>
      <c r="E220" s="15">
        <v>45371</v>
      </c>
      <c r="F220" s="15">
        <v>45657</v>
      </c>
      <c r="G220" t="s">
        <v>129</v>
      </c>
      <c r="I220" t="s">
        <v>940</v>
      </c>
    </row>
    <row r="221" spans="1:9">
      <c r="A221" t="s">
        <v>614</v>
      </c>
      <c r="B221" t="s">
        <v>41</v>
      </c>
      <c r="C221" t="s">
        <v>595</v>
      </c>
      <c r="D221" t="s">
        <v>817</v>
      </c>
      <c r="E221" s="15">
        <v>45371</v>
      </c>
      <c r="F221" s="15">
        <v>45657</v>
      </c>
      <c r="G221" t="s">
        <v>129</v>
      </c>
      <c r="I221" t="s">
        <v>941</v>
      </c>
    </row>
    <row r="222" spans="1:9">
      <c r="A222" s="24" t="s">
        <v>586</v>
      </c>
      <c r="B222" t="s">
        <v>427</v>
      </c>
      <c r="C222" t="s">
        <v>590</v>
      </c>
      <c r="D222" t="s">
        <v>618</v>
      </c>
      <c r="E222" s="15">
        <v>45371</v>
      </c>
      <c r="F222" s="15">
        <v>45657</v>
      </c>
      <c r="G222" t="s">
        <v>129</v>
      </c>
      <c r="I222" t="s">
        <v>942</v>
      </c>
    </row>
    <row r="223" spans="1:9">
      <c r="A223" s="24" t="s">
        <v>586</v>
      </c>
      <c r="B223" t="s">
        <v>427</v>
      </c>
      <c r="C223" t="s">
        <v>595</v>
      </c>
      <c r="D223" t="s">
        <v>910</v>
      </c>
      <c r="E223" s="15">
        <v>45371</v>
      </c>
      <c r="F223" s="15">
        <v>45657</v>
      </c>
      <c r="G223" t="s">
        <v>129</v>
      </c>
      <c r="I223" t="s">
        <v>943</v>
      </c>
    </row>
    <row r="224" spans="1:9">
      <c r="A224" s="24" t="s">
        <v>586</v>
      </c>
      <c r="B224" t="s">
        <v>427</v>
      </c>
      <c r="C224" t="s">
        <v>595</v>
      </c>
      <c r="D224" t="s">
        <v>912</v>
      </c>
      <c r="E224" s="15">
        <v>45371</v>
      </c>
      <c r="F224" s="15">
        <v>45657</v>
      </c>
      <c r="G224" t="s">
        <v>129</v>
      </c>
      <c r="I224" t="s">
        <v>944</v>
      </c>
    </row>
    <row r="225" spans="1:9">
      <c r="A225" s="24" t="s">
        <v>586</v>
      </c>
      <c r="B225" t="s">
        <v>427</v>
      </c>
      <c r="C225" t="s">
        <v>595</v>
      </c>
      <c r="D225" t="s">
        <v>914</v>
      </c>
      <c r="E225" s="15">
        <v>45371</v>
      </c>
      <c r="F225" s="15">
        <v>45657</v>
      </c>
      <c r="G225" t="s">
        <v>129</v>
      </c>
      <c r="I225" t="s">
        <v>945</v>
      </c>
    </row>
    <row r="226" spans="1:9">
      <c r="A226" s="24" t="s">
        <v>586</v>
      </c>
      <c r="B226" t="s">
        <v>427</v>
      </c>
      <c r="C226" t="s">
        <v>595</v>
      </c>
      <c r="D226" t="s">
        <v>916</v>
      </c>
      <c r="E226" s="15">
        <v>45371</v>
      </c>
      <c r="F226" s="15">
        <v>45657</v>
      </c>
      <c r="G226" t="s">
        <v>129</v>
      </c>
      <c r="H226" t="s">
        <v>917</v>
      </c>
      <c r="I226" t="s">
        <v>946</v>
      </c>
    </row>
    <row r="227" spans="1:9">
      <c r="A227" s="24" t="s">
        <v>586</v>
      </c>
      <c r="B227" t="s">
        <v>384</v>
      </c>
      <c r="C227" t="s">
        <v>590</v>
      </c>
      <c r="D227" t="s">
        <v>618</v>
      </c>
      <c r="E227" s="15">
        <v>45383</v>
      </c>
      <c r="F227" s="15">
        <v>45657</v>
      </c>
      <c r="G227" t="s">
        <v>129</v>
      </c>
      <c r="I227" t="s">
        <v>966</v>
      </c>
    </row>
    <row r="228" spans="1:9">
      <c r="A228" s="24" t="s">
        <v>586</v>
      </c>
      <c r="B228" t="s">
        <v>384</v>
      </c>
      <c r="C228" t="s">
        <v>595</v>
      </c>
      <c r="D228" t="s">
        <v>968</v>
      </c>
      <c r="E228" s="15">
        <v>45383</v>
      </c>
      <c r="F228" s="15">
        <v>45657</v>
      </c>
      <c r="G228" t="s">
        <v>129</v>
      </c>
      <c r="I228" t="s">
        <v>967</v>
      </c>
    </row>
    <row r="229" spans="1:9">
      <c r="A229" s="24" t="s">
        <v>586</v>
      </c>
      <c r="B229" t="s">
        <v>385</v>
      </c>
      <c r="C229" t="s">
        <v>590</v>
      </c>
      <c r="D229" t="s">
        <v>618</v>
      </c>
      <c r="E229" s="15">
        <v>45383</v>
      </c>
      <c r="F229" s="15">
        <v>45657</v>
      </c>
      <c r="G229" t="s">
        <v>129</v>
      </c>
      <c r="I229" t="s">
        <v>969</v>
      </c>
    </row>
    <row r="230" spans="1:9">
      <c r="A230" s="24" t="s">
        <v>586</v>
      </c>
      <c r="B230" t="s">
        <v>385</v>
      </c>
      <c r="C230" t="s">
        <v>595</v>
      </c>
      <c r="D230" t="s">
        <v>970</v>
      </c>
      <c r="E230" s="15">
        <v>45383</v>
      </c>
      <c r="F230" s="15">
        <v>45657</v>
      </c>
      <c r="G230" t="s">
        <v>129</v>
      </c>
      <c r="I230" t="s">
        <v>971</v>
      </c>
    </row>
    <row r="231" spans="1:9">
      <c r="A231" s="24" t="s">
        <v>586</v>
      </c>
      <c r="B231" s="114" t="s">
        <v>128</v>
      </c>
      <c r="C231" t="s">
        <v>590</v>
      </c>
      <c r="D231" t="s">
        <v>618</v>
      </c>
      <c r="E231" s="15">
        <v>45383</v>
      </c>
      <c r="F231" s="15">
        <v>45657</v>
      </c>
      <c r="G231" t="s">
        <v>129</v>
      </c>
      <c r="I231" t="s">
        <v>972</v>
      </c>
    </row>
    <row r="232" spans="1:9">
      <c r="A232" s="24" t="s">
        <v>586</v>
      </c>
      <c r="B232" s="114" t="s">
        <v>128</v>
      </c>
      <c r="C232" t="s">
        <v>595</v>
      </c>
      <c r="D232" t="s">
        <v>973</v>
      </c>
      <c r="E232" s="15">
        <v>45383</v>
      </c>
      <c r="F232" s="15">
        <v>45657</v>
      </c>
      <c r="G232" t="s">
        <v>129</v>
      </c>
      <c r="I232" t="s">
        <v>979</v>
      </c>
    </row>
    <row r="233" spans="1:9">
      <c r="A233" s="24" t="s">
        <v>586</v>
      </c>
      <c r="B233" s="114" t="s">
        <v>128</v>
      </c>
      <c r="C233" t="s">
        <v>595</v>
      </c>
      <c r="D233" t="s">
        <v>974</v>
      </c>
      <c r="E233" s="15">
        <v>45383</v>
      </c>
      <c r="F233" s="15">
        <v>45657</v>
      </c>
      <c r="G233" t="s">
        <v>129</v>
      </c>
      <c r="I233" t="s">
        <v>980</v>
      </c>
    </row>
    <row r="234" spans="1:9">
      <c r="A234" s="24" t="s">
        <v>586</v>
      </c>
      <c r="B234" s="114" t="s">
        <v>128</v>
      </c>
      <c r="C234" t="s">
        <v>595</v>
      </c>
      <c r="D234" t="s">
        <v>975</v>
      </c>
      <c r="E234" s="15">
        <v>45383</v>
      </c>
      <c r="F234" s="15">
        <v>45657</v>
      </c>
      <c r="G234" t="s">
        <v>129</v>
      </c>
      <c r="I234" t="s">
        <v>981</v>
      </c>
    </row>
    <row r="235" spans="1:9">
      <c r="A235" s="24" t="s">
        <v>586</v>
      </c>
      <c r="B235" s="114" t="s">
        <v>128</v>
      </c>
      <c r="C235" t="s">
        <v>595</v>
      </c>
      <c r="D235" t="s">
        <v>976</v>
      </c>
      <c r="E235" s="15"/>
      <c r="F235" s="15"/>
    </row>
    <row r="236" spans="1:9">
      <c r="A236" s="24" t="s">
        <v>586</v>
      </c>
      <c r="B236" s="114" t="s">
        <v>128</v>
      </c>
      <c r="C236" t="s">
        <v>595</v>
      </c>
      <c r="D236" t="s">
        <v>977</v>
      </c>
      <c r="E236" s="15"/>
      <c r="F236" s="15"/>
      <c r="H236" t="s">
        <v>982</v>
      </c>
    </row>
    <row r="237" spans="1:9">
      <c r="A237" s="24" t="s">
        <v>586</v>
      </c>
      <c r="B237" s="114" t="s">
        <v>128</v>
      </c>
      <c r="C237" t="s">
        <v>595</v>
      </c>
      <c r="D237" t="s">
        <v>978</v>
      </c>
      <c r="E237" s="15">
        <v>45383</v>
      </c>
      <c r="F237" s="15">
        <v>45657</v>
      </c>
      <c r="G237" t="s">
        <v>129</v>
      </c>
      <c r="I237" t="s">
        <v>983</v>
      </c>
    </row>
    <row r="238" spans="1:9">
      <c r="A238" s="24" t="s">
        <v>586</v>
      </c>
      <c r="B238" t="s">
        <v>427</v>
      </c>
      <c r="C238" t="s">
        <v>590</v>
      </c>
      <c r="D238" t="s">
        <v>618</v>
      </c>
      <c r="E238" s="15">
        <v>45840</v>
      </c>
      <c r="F238" s="15">
        <v>45747</v>
      </c>
      <c r="G238" t="s">
        <v>129</v>
      </c>
      <c r="I238" t="s">
        <v>1050</v>
      </c>
    </row>
    <row r="239" spans="1:9">
      <c r="A239" s="24" t="s">
        <v>586</v>
      </c>
      <c r="B239" t="s">
        <v>427</v>
      </c>
      <c r="C239" t="s">
        <v>595</v>
      </c>
      <c r="D239" t="s">
        <v>910</v>
      </c>
      <c r="E239" s="15">
        <v>45840</v>
      </c>
      <c r="F239" s="15">
        <v>45747</v>
      </c>
      <c r="G239" t="s">
        <v>129</v>
      </c>
      <c r="I239" t="s">
        <v>1051</v>
      </c>
    </row>
    <row r="240" spans="1:9">
      <c r="A240" s="24" t="s">
        <v>586</v>
      </c>
      <c r="B240" t="s">
        <v>427</v>
      </c>
      <c r="C240" t="s">
        <v>595</v>
      </c>
      <c r="D240" t="s">
        <v>912</v>
      </c>
      <c r="E240" s="15">
        <v>45840</v>
      </c>
      <c r="F240" s="15">
        <v>45747</v>
      </c>
      <c r="G240" t="s">
        <v>129</v>
      </c>
      <c r="I240" t="s">
        <v>1052</v>
      </c>
    </row>
    <row r="241" spans="1:9">
      <c r="A241" s="24" t="s">
        <v>586</v>
      </c>
      <c r="B241" t="s">
        <v>427</v>
      </c>
      <c r="C241" t="s">
        <v>595</v>
      </c>
      <c r="D241" t="s">
        <v>914</v>
      </c>
      <c r="E241" s="15">
        <v>45840</v>
      </c>
      <c r="F241" s="15">
        <v>45747</v>
      </c>
      <c r="G241" t="s">
        <v>129</v>
      </c>
      <c r="I241" t="s">
        <v>1053</v>
      </c>
    </row>
    <row r="242" spans="1:9">
      <c r="A242" s="24" t="s">
        <v>586</v>
      </c>
      <c r="B242" t="s">
        <v>427</v>
      </c>
      <c r="C242" t="s">
        <v>595</v>
      </c>
      <c r="D242" t="s">
        <v>916</v>
      </c>
      <c r="E242" s="15">
        <v>45840</v>
      </c>
      <c r="F242" s="15">
        <v>45747</v>
      </c>
      <c r="G242" t="s">
        <v>129</v>
      </c>
      <c r="H242" t="s">
        <v>917</v>
      </c>
      <c r="I242" t="s">
        <v>1054</v>
      </c>
    </row>
    <row r="243" spans="1:9">
      <c r="A243" s="24" t="s">
        <v>1057</v>
      </c>
      <c r="B243" t="s">
        <v>1058</v>
      </c>
      <c r="C243" t="s">
        <v>590</v>
      </c>
      <c r="D243" t="s">
        <v>618</v>
      </c>
      <c r="E243" s="15">
        <v>45860</v>
      </c>
      <c r="F243" s="15">
        <v>45838</v>
      </c>
      <c r="G243" t="s">
        <v>129</v>
      </c>
      <c r="I243" t="s">
        <v>1061</v>
      </c>
    </row>
    <row r="244" spans="1:9">
      <c r="A244" s="24" t="s">
        <v>1057</v>
      </c>
      <c r="B244" t="s">
        <v>1059</v>
      </c>
      <c r="C244" t="s">
        <v>590</v>
      </c>
      <c r="D244" t="s">
        <v>618</v>
      </c>
      <c r="E244" s="15">
        <v>45860</v>
      </c>
      <c r="F244" s="15">
        <v>45838</v>
      </c>
      <c r="G244" t="s">
        <v>129</v>
      </c>
      <c r="I244" t="s">
        <v>1060</v>
      </c>
    </row>
    <row r="245" spans="1:9">
      <c r="A245" s="24" t="s">
        <v>586</v>
      </c>
      <c r="B245" t="s">
        <v>503</v>
      </c>
      <c r="C245" t="s">
        <v>590</v>
      </c>
      <c r="D245" t="s">
        <v>618</v>
      </c>
      <c r="E245" s="15">
        <v>45861</v>
      </c>
      <c r="F245" s="15">
        <v>45838</v>
      </c>
      <c r="G245" t="s">
        <v>129</v>
      </c>
      <c r="I245" t="s">
        <v>1111</v>
      </c>
    </row>
    <row r="246" spans="1:9">
      <c r="A246" s="24" t="s">
        <v>586</v>
      </c>
      <c r="B246" t="s">
        <v>193</v>
      </c>
      <c r="C246" t="s">
        <v>590</v>
      </c>
      <c r="D246" t="s">
        <v>618</v>
      </c>
      <c r="E246" s="15">
        <v>45861</v>
      </c>
      <c r="F246" s="15">
        <v>45838</v>
      </c>
      <c r="G246" t="s">
        <v>129</v>
      </c>
      <c r="I246" t="s">
        <v>1064</v>
      </c>
    </row>
    <row r="247" spans="1:9">
      <c r="A247" s="24" t="s">
        <v>586</v>
      </c>
      <c r="B247" t="s">
        <v>193</v>
      </c>
      <c r="C247" t="s">
        <v>595</v>
      </c>
      <c r="D247" t="s">
        <v>1066</v>
      </c>
      <c r="E247" s="15">
        <v>45862</v>
      </c>
      <c r="F247" s="15">
        <v>45838</v>
      </c>
      <c r="G247" t="s">
        <v>129</v>
      </c>
      <c r="I247" t="s">
        <v>1073</v>
      </c>
    </row>
    <row r="248" spans="1:9">
      <c r="A248" s="24" t="s">
        <v>586</v>
      </c>
      <c r="B248" t="s">
        <v>193</v>
      </c>
      <c r="C248" t="s">
        <v>595</v>
      </c>
      <c r="D248" t="s">
        <v>1067</v>
      </c>
      <c r="E248" s="15">
        <v>45862</v>
      </c>
      <c r="F248" s="15">
        <v>45838</v>
      </c>
      <c r="G248" t="s">
        <v>129</v>
      </c>
      <c r="I248" t="s">
        <v>1073</v>
      </c>
    </row>
    <row r="249" spans="1:9">
      <c r="A249" s="24" t="s">
        <v>586</v>
      </c>
      <c r="B249" t="s">
        <v>193</v>
      </c>
      <c r="C249" t="s">
        <v>595</v>
      </c>
      <c r="D249" t="s">
        <v>1068</v>
      </c>
      <c r="E249" s="15">
        <v>45862</v>
      </c>
      <c r="F249" s="15">
        <v>45838</v>
      </c>
      <c r="G249" t="s">
        <v>129</v>
      </c>
      <c r="I249" t="s">
        <v>1074</v>
      </c>
    </row>
    <row r="250" spans="1:9">
      <c r="A250" s="24" t="s">
        <v>586</v>
      </c>
      <c r="B250" t="s">
        <v>193</v>
      </c>
      <c r="C250" t="s">
        <v>595</v>
      </c>
      <c r="D250" t="s">
        <v>1069</v>
      </c>
      <c r="E250" s="15">
        <v>45862</v>
      </c>
      <c r="F250" s="15">
        <v>45838</v>
      </c>
      <c r="G250" t="s">
        <v>129</v>
      </c>
      <c r="H250" t="s">
        <v>1088</v>
      </c>
      <c r="I250" t="s">
        <v>1075</v>
      </c>
    </row>
    <row r="251" spans="1:9">
      <c r="A251" s="24" t="s">
        <v>586</v>
      </c>
      <c r="B251" t="s">
        <v>193</v>
      </c>
      <c r="C251" t="s">
        <v>595</v>
      </c>
      <c r="D251" t="s">
        <v>1070</v>
      </c>
      <c r="E251" s="15">
        <v>45862</v>
      </c>
      <c r="F251" s="15">
        <v>45838</v>
      </c>
      <c r="G251" t="s">
        <v>145</v>
      </c>
      <c r="H251" t="s">
        <v>1097</v>
      </c>
      <c r="I251" t="s">
        <v>1072</v>
      </c>
    </row>
    <row r="252" spans="1:9">
      <c r="A252" s="24" t="s">
        <v>586</v>
      </c>
      <c r="B252" t="s">
        <v>491</v>
      </c>
      <c r="C252" t="s">
        <v>590</v>
      </c>
      <c r="D252" t="s">
        <v>618</v>
      </c>
      <c r="E252" s="15">
        <v>45861</v>
      </c>
      <c r="F252" s="15">
        <v>45838</v>
      </c>
      <c r="G252" t="s">
        <v>129</v>
      </c>
      <c r="I252" t="s">
        <v>1065</v>
      </c>
    </row>
    <row r="253" spans="1:9">
      <c r="A253" s="24" t="s">
        <v>586</v>
      </c>
      <c r="B253" t="s">
        <v>491</v>
      </c>
      <c r="C253" t="s">
        <v>595</v>
      </c>
      <c r="D253" t="s">
        <v>1089</v>
      </c>
      <c r="E253" s="15">
        <v>45861</v>
      </c>
      <c r="F253" s="15">
        <v>45838</v>
      </c>
      <c r="G253" t="s">
        <v>129</v>
      </c>
      <c r="I253" t="s">
        <v>1093</v>
      </c>
    </row>
    <row r="254" spans="1:9">
      <c r="A254" s="24" t="s">
        <v>586</v>
      </c>
      <c r="B254" t="s">
        <v>491</v>
      </c>
      <c r="C254" t="s">
        <v>595</v>
      </c>
      <c r="D254" t="s">
        <v>1090</v>
      </c>
      <c r="E254" s="15">
        <v>45861</v>
      </c>
      <c r="F254" s="15">
        <v>45838</v>
      </c>
      <c r="G254" t="s">
        <v>129</v>
      </c>
      <c r="I254" t="s">
        <v>1093</v>
      </c>
    </row>
    <row r="255" spans="1:9">
      <c r="A255" s="24" t="s">
        <v>586</v>
      </c>
      <c r="B255" t="s">
        <v>491</v>
      </c>
      <c r="C255" t="s">
        <v>595</v>
      </c>
      <c r="D255" t="s">
        <v>1091</v>
      </c>
      <c r="E255" s="15">
        <v>45862</v>
      </c>
      <c r="F255" s="15">
        <v>45838</v>
      </c>
      <c r="G255" t="s">
        <v>129</v>
      </c>
      <c r="H255" t="s">
        <v>1088</v>
      </c>
      <c r="I255" t="s">
        <v>1075</v>
      </c>
    </row>
    <row r="256" spans="1:9">
      <c r="A256" s="24" t="s">
        <v>586</v>
      </c>
      <c r="B256" t="s">
        <v>491</v>
      </c>
      <c r="C256" t="s">
        <v>595</v>
      </c>
      <c r="D256" t="s">
        <v>1092</v>
      </c>
      <c r="E256" s="15">
        <v>45862</v>
      </c>
      <c r="F256" s="15">
        <v>45838</v>
      </c>
      <c r="G256" t="s">
        <v>129</v>
      </c>
      <c r="I256" t="s">
        <v>1094</v>
      </c>
    </row>
    <row r="257" spans="1:9">
      <c r="A257" s="24" t="s">
        <v>947</v>
      </c>
      <c r="B257" t="s">
        <v>1062</v>
      </c>
      <c r="C257" t="s">
        <v>590</v>
      </c>
      <c r="D257" t="s">
        <v>618</v>
      </c>
      <c r="E257" s="15">
        <v>45861</v>
      </c>
      <c r="F257" s="15">
        <v>45838</v>
      </c>
      <c r="G257" t="s">
        <v>129</v>
      </c>
      <c r="H257" t="s">
        <v>1076</v>
      </c>
      <c r="I257" t="s">
        <v>1063</v>
      </c>
    </row>
    <row r="258" spans="1:9">
      <c r="A258" s="24" t="s">
        <v>947</v>
      </c>
      <c r="B258" t="s">
        <v>1062</v>
      </c>
      <c r="C258" t="s">
        <v>595</v>
      </c>
      <c r="D258" t="s">
        <v>1077</v>
      </c>
      <c r="E258" s="15">
        <v>45861</v>
      </c>
      <c r="F258" s="15">
        <v>45838</v>
      </c>
      <c r="G258" t="s">
        <v>129</v>
      </c>
      <c r="I258" t="s">
        <v>1085</v>
      </c>
    </row>
    <row r="259" spans="1:9">
      <c r="A259" s="24" t="s">
        <v>947</v>
      </c>
      <c r="B259" t="s">
        <v>1062</v>
      </c>
      <c r="C259" t="s">
        <v>595</v>
      </c>
      <c r="D259" t="s">
        <v>1078</v>
      </c>
      <c r="E259" s="15">
        <v>45861</v>
      </c>
      <c r="F259" s="15">
        <v>45838</v>
      </c>
      <c r="G259" t="s">
        <v>129</v>
      </c>
      <c r="I259" t="s">
        <v>1112</v>
      </c>
    </row>
    <row r="260" spans="1:9">
      <c r="A260" s="24" t="s">
        <v>947</v>
      </c>
      <c r="B260" t="s">
        <v>1062</v>
      </c>
      <c r="C260" t="s">
        <v>595</v>
      </c>
      <c r="D260" t="s">
        <v>1079</v>
      </c>
      <c r="E260" s="15">
        <v>45861</v>
      </c>
      <c r="F260" s="15">
        <v>45838</v>
      </c>
      <c r="G260" t="s">
        <v>129</v>
      </c>
      <c r="I260" t="s">
        <v>1086</v>
      </c>
    </row>
    <row r="261" spans="1:9">
      <c r="A261" s="24" t="s">
        <v>947</v>
      </c>
      <c r="B261" t="s">
        <v>1062</v>
      </c>
      <c r="C261" t="s">
        <v>595</v>
      </c>
      <c r="D261" t="s">
        <v>1080</v>
      </c>
      <c r="E261" s="15">
        <v>45861</v>
      </c>
      <c r="F261" s="15">
        <v>45838</v>
      </c>
      <c r="G261" t="s">
        <v>145</v>
      </c>
      <c r="H261" t="s">
        <v>1071</v>
      </c>
      <c r="I261" t="s">
        <v>1087</v>
      </c>
    </row>
    <row r="262" spans="1:9">
      <c r="A262" s="24" t="s">
        <v>947</v>
      </c>
      <c r="B262" t="s">
        <v>1062</v>
      </c>
      <c r="C262" t="s">
        <v>595</v>
      </c>
      <c r="D262" t="s">
        <v>1081</v>
      </c>
      <c r="E262" s="15">
        <v>45861</v>
      </c>
      <c r="F262" s="15">
        <v>45838</v>
      </c>
      <c r="G262" t="s">
        <v>129</v>
      </c>
      <c r="H262" t="s">
        <v>982</v>
      </c>
    </row>
    <row r="263" spans="1:9">
      <c r="A263" s="24" t="s">
        <v>586</v>
      </c>
      <c r="B263" t="s">
        <v>134</v>
      </c>
      <c r="C263" t="s">
        <v>590</v>
      </c>
      <c r="D263" t="s">
        <v>618</v>
      </c>
      <c r="E263" s="15">
        <v>45866</v>
      </c>
      <c r="F263" s="15">
        <v>45838</v>
      </c>
      <c r="G263" t="s">
        <v>129</v>
      </c>
      <c r="I263" t="s">
        <v>1137</v>
      </c>
    </row>
    <row r="264" spans="1:9">
      <c r="A264" s="24" t="s">
        <v>586</v>
      </c>
      <c r="B264" t="s">
        <v>430</v>
      </c>
      <c r="C264" t="s">
        <v>590</v>
      </c>
      <c r="D264" t="s">
        <v>618</v>
      </c>
      <c r="E264" s="15">
        <v>45866</v>
      </c>
      <c r="F264" s="15">
        <v>45838</v>
      </c>
      <c r="G264" t="s">
        <v>129</v>
      </c>
      <c r="I264" t="s">
        <v>1138</v>
      </c>
    </row>
    <row r="265" spans="1:9">
      <c r="A265" s="24" t="s">
        <v>586</v>
      </c>
      <c r="B265" t="s">
        <v>292</v>
      </c>
      <c r="C265" t="s">
        <v>590</v>
      </c>
      <c r="D265" t="s">
        <v>618</v>
      </c>
      <c r="E265" s="15">
        <v>45867</v>
      </c>
      <c r="F265" s="15">
        <v>45838</v>
      </c>
      <c r="G265" t="s">
        <v>129</v>
      </c>
      <c r="I265" t="s">
        <v>1139</v>
      </c>
    </row>
    <row r="266" spans="1:9">
      <c r="A266" s="24" t="s">
        <v>586</v>
      </c>
      <c r="B266" t="s">
        <v>1140</v>
      </c>
      <c r="C266" t="s">
        <v>590</v>
      </c>
      <c r="D266" t="s">
        <v>618</v>
      </c>
      <c r="E266" s="15">
        <v>45887</v>
      </c>
      <c r="F266" s="15">
        <v>45838</v>
      </c>
      <c r="G266" t="s">
        <v>129</v>
      </c>
      <c r="I266" t="s">
        <v>1141</v>
      </c>
    </row>
    <row r="267" spans="1:9">
      <c r="A267" s="24" t="s">
        <v>947</v>
      </c>
      <c r="B267" t="s">
        <v>401</v>
      </c>
      <c r="C267" t="s">
        <v>590</v>
      </c>
      <c r="D267" t="s">
        <v>618</v>
      </c>
      <c r="E267" s="15">
        <v>45888</v>
      </c>
      <c r="F267" s="15">
        <v>45838</v>
      </c>
      <c r="G267" t="s">
        <v>129</v>
      </c>
      <c r="I267" t="s">
        <v>1142</v>
      </c>
    </row>
    <row r="268" spans="1:9">
      <c r="A268" s="24" t="s">
        <v>947</v>
      </c>
      <c r="B268" t="s">
        <v>415</v>
      </c>
      <c r="C268" t="s">
        <v>590</v>
      </c>
      <c r="D268" t="s">
        <v>618</v>
      </c>
      <c r="E268" s="15">
        <v>45891</v>
      </c>
      <c r="F268" s="15">
        <v>45838</v>
      </c>
      <c r="G268" t="s">
        <v>129</v>
      </c>
      <c r="I268" t="s">
        <v>1143</v>
      </c>
    </row>
    <row r="269" spans="1:9">
      <c r="A269" s="24" t="s">
        <v>586</v>
      </c>
      <c r="B269" t="s">
        <v>134</v>
      </c>
      <c r="C269" t="s">
        <v>590</v>
      </c>
      <c r="D269" t="s">
        <v>618</v>
      </c>
      <c r="E269" s="15">
        <v>45911</v>
      </c>
      <c r="F269" s="15">
        <v>45838</v>
      </c>
      <c r="G269" t="s">
        <v>129</v>
      </c>
      <c r="I269" t="s">
        <v>1147</v>
      </c>
    </row>
    <row r="270" spans="1:9">
      <c r="A270" s="24" t="s">
        <v>586</v>
      </c>
      <c r="B270" t="s">
        <v>430</v>
      </c>
      <c r="C270" t="s">
        <v>590</v>
      </c>
      <c r="D270" t="s">
        <v>618</v>
      </c>
      <c r="E270" s="15">
        <v>45911</v>
      </c>
      <c r="F270" s="15">
        <v>45838</v>
      </c>
      <c r="G270" t="s">
        <v>129</v>
      </c>
      <c r="I270" t="s">
        <v>1138</v>
      </c>
    </row>
    <row r="271" spans="1:9">
      <c r="A271" s="24" t="s">
        <v>586</v>
      </c>
      <c r="B271" t="s">
        <v>292</v>
      </c>
      <c r="C271" t="s">
        <v>590</v>
      </c>
      <c r="D271" t="s">
        <v>618</v>
      </c>
      <c r="E271" s="15">
        <v>45911</v>
      </c>
      <c r="F271" s="15">
        <v>45838</v>
      </c>
      <c r="G271" t="s">
        <v>129</v>
      </c>
      <c r="I271" t="s">
        <v>1148</v>
      </c>
    </row>
    <row r="272" spans="1:9">
      <c r="A272" s="24" t="s">
        <v>586</v>
      </c>
      <c r="B272" t="s">
        <v>1130</v>
      </c>
      <c r="C272" t="s">
        <v>590</v>
      </c>
      <c r="D272" t="s">
        <v>618</v>
      </c>
      <c r="E272" s="15">
        <v>45915</v>
      </c>
      <c r="F272" s="15">
        <v>45838</v>
      </c>
      <c r="G272" t="s">
        <v>129</v>
      </c>
      <c r="I272" t="s">
        <v>1152</v>
      </c>
    </row>
    <row r="273" spans="1:9">
      <c r="A273" s="24" t="s">
        <v>586</v>
      </c>
      <c r="B273" t="s">
        <v>299</v>
      </c>
      <c r="C273" t="s">
        <v>590</v>
      </c>
      <c r="D273" t="s">
        <v>618</v>
      </c>
      <c r="E273" s="15">
        <v>45915</v>
      </c>
      <c r="F273" s="15">
        <v>45838</v>
      </c>
      <c r="G273" t="s">
        <v>129</v>
      </c>
      <c r="I273" t="s">
        <v>1153</v>
      </c>
    </row>
    <row r="274" spans="1:9">
      <c r="A274" s="24" t="s">
        <v>586</v>
      </c>
      <c r="B274" t="s">
        <v>1131</v>
      </c>
      <c r="C274" t="s">
        <v>590</v>
      </c>
      <c r="D274" t="s">
        <v>618</v>
      </c>
      <c r="E274" s="15">
        <v>45915</v>
      </c>
      <c r="F274" s="15">
        <v>45838</v>
      </c>
      <c r="G274" t="s">
        <v>129</v>
      </c>
      <c r="I274" t="s">
        <v>1154</v>
      </c>
    </row>
    <row r="275" spans="1:9">
      <c r="A275" s="24" t="s">
        <v>947</v>
      </c>
      <c r="B275" t="s">
        <v>1133</v>
      </c>
      <c r="C275" t="s">
        <v>590</v>
      </c>
      <c r="D275" t="s">
        <v>618</v>
      </c>
      <c r="E275" s="15">
        <v>45915</v>
      </c>
      <c r="F275" s="15">
        <v>45838</v>
      </c>
      <c r="G275" t="s">
        <v>129</v>
      </c>
      <c r="I275" t="s">
        <v>1155</v>
      </c>
    </row>
    <row r="276" spans="1:9">
      <c r="A276" s="24" t="s">
        <v>586</v>
      </c>
      <c r="B276" t="s">
        <v>561</v>
      </c>
      <c r="C276" t="s">
        <v>590</v>
      </c>
      <c r="D276" t="s">
        <v>618</v>
      </c>
      <c r="E276" s="15">
        <v>45923</v>
      </c>
      <c r="F276" s="15">
        <v>45838</v>
      </c>
      <c r="G276" t="s">
        <v>129</v>
      </c>
      <c r="I276" t="s">
        <v>1162</v>
      </c>
    </row>
    <row r="277" spans="1:9">
      <c r="A277" s="24" t="s">
        <v>586</v>
      </c>
      <c r="B277" t="s">
        <v>1130</v>
      </c>
      <c r="C277" t="s">
        <v>590</v>
      </c>
      <c r="D277" t="s">
        <v>618</v>
      </c>
      <c r="E277" s="15">
        <v>45930</v>
      </c>
      <c r="F277" s="15">
        <v>45838</v>
      </c>
      <c r="G277" t="s">
        <v>129</v>
      </c>
      <c r="H277" t="s">
        <v>1163</v>
      </c>
      <c r="I277" t="s">
        <v>4881</v>
      </c>
    </row>
    <row r="278" spans="1:9">
      <c r="A278" s="24" t="s">
        <v>586</v>
      </c>
      <c r="B278" t="s">
        <v>357</v>
      </c>
      <c r="C278" t="s">
        <v>590</v>
      </c>
      <c r="D278" t="s">
        <v>618</v>
      </c>
      <c r="E278" s="15">
        <v>45947</v>
      </c>
      <c r="F278" s="15">
        <v>45838</v>
      </c>
      <c r="G278" t="s">
        <v>129</v>
      </c>
      <c r="H278" t="s">
        <v>1170</v>
      </c>
      <c r="I278" t="s">
        <v>1169</v>
      </c>
    </row>
    <row r="279" spans="1:9">
      <c r="A279" s="24" t="s">
        <v>586</v>
      </c>
      <c r="B279" t="s">
        <v>295</v>
      </c>
      <c r="C279" t="s">
        <v>590</v>
      </c>
      <c r="D279" t="s">
        <v>618</v>
      </c>
      <c r="E279" s="15">
        <v>45972</v>
      </c>
      <c r="F279" s="15">
        <v>45838</v>
      </c>
      <c r="H279" t="s">
        <v>4885</v>
      </c>
      <c r="I279" t="s">
        <v>4884</v>
      </c>
    </row>
    <row r="280" spans="1:9">
      <c r="A280" t="s">
        <v>614</v>
      </c>
      <c r="B280" t="s">
        <v>463</v>
      </c>
      <c r="C280" t="s">
        <v>590</v>
      </c>
      <c r="D280" t="s">
        <v>618</v>
      </c>
      <c r="E280" s="15">
        <v>45994</v>
      </c>
      <c r="F280" s="15">
        <v>45838</v>
      </c>
      <c r="I280" t="s">
        <v>4902</v>
      </c>
    </row>
    <row r="281" spans="1:9">
      <c r="A281" t="s">
        <v>614</v>
      </c>
      <c r="B281" t="s">
        <v>536</v>
      </c>
      <c r="C281" t="s">
        <v>590</v>
      </c>
      <c r="D281" t="s">
        <v>618</v>
      </c>
      <c r="E281" s="15">
        <v>45994</v>
      </c>
      <c r="F281" s="15">
        <v>45838</v>
      </c>
      <c r="I281" t="s">
        <v>4904</v>
      </c>
    </row>
    <row r="282" spans="1:9">
      <c r="A282" t="s">
        <v>614</v>
      </c>
      <c r="B282" t="s">
        <v>534</v>
      </c>
      <c r="C282" t="s">
        <v>590</v>
      </c>
      <c r="D282" t="s">
        <v>618</v>
      </c>
      <c r="E282" s="15">
        <v>46001</v>
      </c>
      <c r="F282" s="15">
        <v>45838</v>
      </c>
      <c r="I282" t="s">
        <v>4905</v>
      </c>
    </row>
    <row r="283" spans="1:9">
      <c r="A283" t="s">
        <v>614</v>
      </c>
      <c r="B283" t="s">
        <v>468</v>
      </c>
      <c r="C283" t="s">
        <v>590</v>
      </c>
      <c r="D283" t="s">
        <v>618</v>
      </c>
      <c r="E283" s="15">
        <v>46007</v>
      </c>
      <c r="F283" s="15">
        <v>45838</v>
      </c>
      <c r="I283" t="s">
        <v>4909</v>
      </c>
    </row>
    <row r="284" spans="1:9">
      <c r="A284" t="s">
        <v>614</v>
      </c>
      <c r="B284" t="s">
        <v>468</v>
      </c>
      <c r="C284" t="s">
        <v>595</v>
      </c>
      <c r="D284" t="s">
        <v>2368</v>
      </c>
      <c r="E284" s="15">
        <v>46009</v>
      </c>
      <c r="F284" s="15">
        <v>45838</v>
      </c>
      <c r="G284" t="s">
        <v>129</v>
      </c>
      <c r="I284" t="s">
        <v>4910</v>
      </c>
    </row>
    <row r="285" spans="1:9">
      <c r="A285" t="s">
        <v>614</v>
      </c>
      <c r="B285" t="s">
        <v>468</v>
      </c>
      <c r="C285" t="s">
        <v>595</v>
      </c>
      <c r="D285" t="s">
        <v>3044</v>
      </c>
      <c r="E285" s="15">
        <v>46009</v>
      </c>
      <c r="F285" s="15">
        <v>45838</v>
      </c>
      <c r="G285" t="s">
        <v>129</v>
      </c>
      <c r="I285" t="s">
        <v>4911</v>
      </c>
    </row>
    <row r="286" spans="1:9">
      <c r="A286" t="s">
        <v>614</v>
      </c>
      <c r="B286" t="s">
        <v>468</v>
      </c>
      <c r="C286" t="s">
        <v>595</v>
      </c>
      <c r="D286" t="s">
        <v>4632</v>
      </c>
      <c r="E286" s="15">
        <v>46009</v>
      </c>
      <c r="F286" s="15">
        <v>45838</v>
      </c>
      <c r="G286" t="s">
        <v>129</v>
      </c>
      <c r="I286" t="s">
        <v>4912</v>
      </c>
    </row>
    <row r="287" spans="1:9">
      <c r="A287" t="s">
        <v>614</v>
      </c>
      <c r="B287" t="s">
        <v>468</v>
      </c>
      <c r="C287" t="s">
        <v>595</v>
      </c>
      <c r="D287" t="s">
        <v>4634</v>
      </c>
      <c r="E287" s="15">
        <v>46009</v>
      </c>
      <c r="F287" s="15">
        <v>45838</v>
      </c>
      <c r="G287" t="s">
        <v>129</v>
      </c>
      <c r="I287" t="s">
        <v>4913</v>
      </c>
    </row>
  </sheetData>
  <autoFilter ref="A1:I287" xr:uid="{00000000-0009-0000-0000-000003000000}"/>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4877A-C899-43C8-A2ED-BCDCF0F9A20C}">
  <dimension ref="A1:AQ49"/>
  <sheetViews>
    <sheetView showGridLines="0" topLeftCell="D1" zoomScale="60" zoomScaleNormal="60" workbookViewId="0">
      <selection activeCell="D309" sqref="D309"/>
    </sheetView>
  </sheetViews>
  <sheetFormatPr defaultColWidth="8.875" defaultRowHeight="24.75"/>
  <cols>
    <col min="1" max="1" width="3.75" style="150" customWidth="1"/>
    <col min="2" max="2" width="23.5" style="150" customWidth="1"/>
    <col min="3" max="3" width="70" style="150" customWidth="1"/>
    <col min="4" max="4" width="39.125" style="150" customWidth="1"/>
    <col min="5" max="5" width="35" style="150" customWidth="1"/>
    <col min="6" max="6" width="30.25" style="150" customWidth="1"/>
    <col min="7" max="7" width="26.5" style="150" customWidth="1"/>
    <col min="8" max="8" width="102.25" style="150" customWidth="1"/>
    <col min="9" max="9" width="10.125" style="150" customWidth="1"/>
    <col min="10" max="10" width="42.5" style="150" customWidth="1"/>
    <col min="11" max="11" width="39.5" style="150" customWidth="1"/>
    <col min="12" max="12" width="32.25" style="150" customWidth="1"/>
    <col min="13" max="13" width="20.75" style="150" customWidth="1"/>
    <col min="14" max="14" width="67.75" style="150" bestFit="1" customWidth="1"/>
    <col min="15" max="15" width="17.25" style="150" bestFit="1" customWidth="1"/>
    <col min="16" max="16" width="30.125" style="150" customWidth="1"/>
    <col min="17" max="17" width="37" style="150" customWidth="1"/>
    <col min="18" max="18" width="31.75" style="150" customWidth="1"/>
    <col min="19" max="19" width="33.875" style="150" customWidth="1"/>
    <col min="20" max="20" width="19.375" style="150" bestFit="1" customWidth="1"/>
    <col min="21" max="21" width="74.125" style="150" customWidth="1"/>
    <col min="22" max="22" width="20.125" style="150" customWidth="1"/>
    <col min="23" max="23" width="49.375" style="150" bestFit="1" customWidth="1"/>
    <col min="24" max="25" width="14.625" style="150" bestFit="1" customWidth="1"/>
    <col min="26" max="26" width="28.75" style="150" bestFit="1" customWidth="1"/>
    <col min="27" max="27" width="32.25" style="150" bestFit="1" customWidth="1"/>
    <col min="28" max="28" width="38.5" style="150" bestFit="1" customWidth="1"/>
    <col min="29" max="16384" width="8.875" style="150"/>
  </cols>
  <sheetData>
    <row r="1" spans="1:43" ht="48" customHeight="1" thickBot="1">
      <c r="A1" s="149"/>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row>
    <row r="2" spans="1:43" s="151" customFormat="1" ht="25.5" thickTop="1"/>
    <row r="3" spans="1:43">
      <c r="B3" s="180" t="s">
        <v>4921</v>
      </c>
    </row>
    <row r="5" spans="1:43" ht="38.25">
      <c r="B5" s="192" t="s">
        <v>4937</v>
      </c>
      <c r="C5" s="192"/>
      <c r="D5" s="192"/>
      <c r="E5" s="192"/>
      <c r="F5" s="192"/>
      <c r="G5" s="192"/>
      <c r="H5" s="192"/>
    </row>
    <row r="7" spans="1:43" ht="38.25">
      <c r="B7" s="187" t="s">
        <v>4938</v>
      </c>
      <c r="H7" s="185" t="s">
        <v>4927</v>
      </c>
    </row>
    <row r="9" spans="1:43">
      <c r="C9" s="150" t="s">
        <v>4918</v>
      </c>
      <c r="G9" s="200"/>
      <c r="H9" s="193" t="s">
        <v>4920</v>
      </c>
    </row>
    <row r="10" spans="1:43" ht="79.150000000000006" customHeight="1">
      <c r="B10" s="179" t="s">
        <v>4903</v>
      </c>
      <c r="C10" s="177" t="s">
        <v>4917</v>
      </c>
      <c r="D10" s="178" t="s">
        <v>4916</v>
      </c>
      <c r="E10" s="177" t="s">
        <v>4915</v>
      </c>
      <c r="F10" s="181" t="s">
        <v>4919</v>
      </c>
      <c r="G10" s="201"/>
      <c r="H10" s="202"/>
    </row>
    <row r="11" spans="1:43">
      <c r="D11" s="173"/>
      <c r="E11" s="173"/>
      <c r="G11" s="201"/>
      <c r="H11" s="202"/>
    </row>
    <row r="12" spans="1:43" ht="94.15" customHeight="1">
      <c r="C12" s="175" t="s">
        <v>4922</v>
      </c>
      <c r="E12" s="175" t="s">
        <v>4923</v>
      </c>
      <c r="G12" s="201"/>
      <c r="H12" s="202"/>
    </row>
    <row r="13" spans="1:43">
      <c r="G13" s="201"/>
      <c r="H13" s="202"/>
    </row>
    <row r="14" spans="1:43">
      <c r="G14" s="201"/>
      <c r="H14" s="202"/>
    </row>
    <row r="15" spans="1:43" ht="193.15" customHeight="1">
      <c r="G15" s="201"/>
      <c r="H15" s="202"/>
    </row>
    <row r="16" spans="1:43" ht="33">
      <c r="B16" s="184" t="s">
        <v>4924</v>
      </c>
    </row>
    <row r="19" spans="2:8" ht="66.599999999999994" customHeight="1">
      <c r="B19" s="182" t="s">
        <v>4925</v>
      </c>
      <c r="C19" s="177" t="s">
        <v>4917</v>
      </c>
      <c r="D19" s="183" t="s">
        <v>4926</v>
      </c>
      <c r="F19" s="193" t="s">
        <v>4928</v>
      </c>
      <c r="G19" s="193"/>
      <c r="H19" s="174"/>
    </row>
    <row r="20" spans="2:8">
      <c r="F20" s="193"/>
      <c r="G20" s="193"/>
      <c r="H20" s="174"/>
    </row>
    <row r="21" spans="2:8" ht="49.5">
      <c r="C21" s="176" t="s">
        <v>4932</v>
      </c>
      <c r="F21" s="193"/>
      <c r="G21" s="193"/>
      <c r="H21" s="174"/>
    </row>
    <row r="22" spans="2:8">
      <c r="F22" s="193"/>
      <c r="G22" s="193"/>
      <c r="H22" s="174"/>
    </row>
    <row r="23" spans="2:8">
      <c r="F23" s="193"/>
      <c r="G23" s="193"/>
      <c r="H23" s="174"/>
    </row>
    <row r="24" spans="2:8">
      <c r="F24" s="193"/>
      <c r="G24" s="193"/>
    </row>
    <row r="27" spans="2:8" ht="33" customHeight="1">
      <c r="B27" s="192" t="s">
        <v>4936</v>
      </c>
      <c r="C27" s="192"/>
      <c r="D27" s="192"/>
      <c r="E27" s="192"/>
      <c r="F27" s="192"/>
      <c r="G27" s="192"/>
      <c r="H27" s="192"/>
    </row>
    <row r="28" spans="2:8" ht="33">
      <c r="B28" s="186"/>
    </row>
    <row r="29" spans="2:8" ht="38.25">
      <c r="B29" s="187" t="s">
        <v>4938</v>
      </c>
      <c r="H29" s="185" t="s">
        <v>4927</v>
      </c>
    </row>
    <row r="31" spans="2:8" ht="24" customHeight="1">
      <c r="C31" s="150" t="s">
        <v>4918</v>
      </c>
      <c r="G31" s="174"/>
      <c r="H31" s="194" t="s">
        <v>4931</v>
      </c>
    </row>
    <row r="32" spans="2:8" ht="33">
      <c r="B32" s="179" t="s">
        <v>4903</v>
      </c>
      <c r="C32" s="177" t="s">
        <v>4917</v>
      </c>
      <c r="D32" s="178" t="s">
        <v>4916</v>
      </c>
      <c r="E32" s="177" t="s">
        <v>4915</v>
      </c>
      <c r="F32" s="181" t="s">
        <v>4929</v>
      </c>
      <c r="H32" s="195"/>
    </row>
    <row r="33" spans="2:8">
      <c r="D33" s="173"/>
      <c r="E33" s="173"/>
      <c r="H33" s="195"/>
    </row>
    <row r="34" spans="2:8" ht="97.15" customHeight="1">
      <c r="C34" s="175" t="s">
        <v>4922</v>
      </c>
      <c r="E34" s="175" t="s">
        <v>4930</v>
      </c>
      <c r="H34" s="196"/>
    </row>
    <row r="36" spans="2:8" ht="21" customHeight="1">
      <c r="D36" s="197" t="s">
        <v>4933</v>
      </c>
    </row>
    <row r="37" spans="2:8" ht="34.15" customHeight="1">
      <c r="D37" s="198"/>
    </row>
    <row r="40" spans="2:8" ht="33">
      <c r="B40" s="184" t="s">
        <v>4924</v>
      </c>
    </row>
    <row r="43" spans="2:8" ht="33">
      <c r="B43" s="182" t="s">
        <v>4925</v>
      </c>
      <c r="C43" s="177" t="s">
        <v>4917</v>
      </c>
      <c r="D43" s="183" t="s">
        <v>4926</v>
      </c>
      <c r="F43" s="193" t="s">
        <v>4935</v>
      </c>
      <c r="G43" s="193"/>
      <c r="H43" s="174"/>
    </row>
    <row r="44" spans="2:8">
      <c r="F44" s="193"/>
      <c r="G44" s="193"/>
      <c r="H44" s="174"/>
    </row>
    <row r="45" spans="2:8" ht="49.5">
      <c r="C45" s="176" t="s">
        <v>4932</v>
      </c>
      <c r="F45" s="193"/>
      <c r="G45" s="193"/>
      <c r="H45" s="174"/>
    </row>
    <row r="46" spans="2:8">
      <c r="F46" s="193"/>
      <c r="G46" s="193"/>
      <c r="H46" s="174"/>
    </row>
    <row r="47" spans="2:8">
      <c r="F47" s="193"/>
      <c r="G47" s="193"/>
      <c r="H47" s="174"/>
    </row>
    <row r="48" spans="2:8">
      <c r="D48" s="199" t="s">
        <v>4934</v>
      </c>
      <c r="F48" s="193"/>
      <c r="G48" s="193"/>
    </row>
    <row r="49" spans="4:4">
      <c r="D49" s="199"/>
    </row>
  </sheetData>
  <mergeCells count="9">
    <mergeCell ref="B27:H27"/>
    <mergeCell ref="B5:H5"/>
    <mergeCell ref="F43:G48"/>
    <mergeCell ref="H31:H34"/>
    <mergeCell ref="D36:D37"/>
    <mergeCell ref="D48:D49"/>
    <mergeCell ref="G9:G15"/>
    <mergeCell ref="H9:H15"/>
    <mergeCell ref="F19:G24"/>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8CCB8-78ED-433E-A134-3AB65F5CF29C}">
  <dimension ref="A1:AQ59"/>
  <sheetViews>
    <sheetView showGridLines="0" topLeftCell="A17" zoomScale="47" zoomScaleNormal="60" workbookViewId="0">
      <selection activeCell="D309" sqref="D309"/>
    </sheetView>
  </sheetViews>
  <sheetFormatPr defaultColWidth="8.875" defaultRowHeight="24.75"/>
  <cols>
    <col min="1" max="1" width="3.625" style="151" customWidth="1"/>
    <col min="2" max="2" width="94" style="151" bestFit="1" customWidth="1"/>
    <col min="3" max="3" width="255.5" style="150" customWidth="1"/>
    <col min="4" max="4" width="130.5" style="150" customWidth="1"/>
    <col min="5" max="5" width="58.375" style="150" customWidth="1"/>
    <col min="6" max="6" width="34.25" style="150" bestFit="1" customWidth="1"/>
    <col min="7" max="7" width="28.25" style="150" bestFit="1" customWidth="1"/>
    <col min="8" max="8" width="118.5" style="150" customWidth="1"/>
    <col min="9" max="9" width="43.875" style="150" customWidth="1"/>
    <col min="10" max="10" width="75.5" style="150" customWidth="1"/>
    <col min="11" max="11" width="121.625" style="150" customWidth="1"/>
    <col min="12" max="12" width="26.875" style="150" customWidth="1"/>
    <col min="13" max="13" width="19.125" style="150" customWidth="1"/>
    <col min="14" max="14" width="25.375" style="150" customWidth="1"/>
    <col min="15" max="15" width="22.625" style="150" customWidth="1"/>
    <col min="16" max="16" width="32.375" style="150" customWidth="1"/>
    <col min="17" max="16384" width="8.875" style="150"/>
  </cols>
  <sheetData>
    <row r="1" spans="1:43" ht="48" customHeight="1" thickBot="1">
      <c r="A1" s="149"/>
      <c r="B1" s="149"/>
      <c r="C1" s="163"/>
      <c r="D1" s="163"/>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row>
    <row r="2" spans="1:43" s="151" customFormat="1" ht="25.5" thickTop="1">
      <c r="C2" s="164"/>
      <c r="D2" s="164"/>
      <c r="K2" s="150"/>
    </row>
    <row r="3" spans="1:43" s="151" customFormat="1" ht="42.75">
      <c r="B3" s="161" t="s">
        <v>4872</v>
      </c>
      <c r="C3" s="164"/>
      <c r="D3" s="164"/>
      <c r="K3" s="150"/>
    </row>
    <row r="4" spans="1:43" s="151" customFormat="1">
      <c r="C4" s="164"/>
      <c r="D4" s="164"/>
      <c r="K4" s="150"/>
    </row>
    <row r="5" spans="1:43" s="151" customFormat="1">
      <c r="B5" s="154" t="s">
        <v>4873</v>
      </c>
      <c r="C5" s="203" t="s">
        <v>113</v>
      </c>
      <c r="D5" s="203"/>
      <c r="E5" s="171" t="s">
        <v>4908</v>
      </c>
      <c r="K5" s="150"/>
    </row>
    <row r="6" spans="1:43" s="151" customFormat="1" ht="56.45" customHeight="1">
      <c r="B6" s="160" t="s">
        <v>41</v>
      </c>
      <c r="C6" s="204" t="s">
        <v>4874</v>
      </c>
      <c r="D6" s="204"/>
      <c r="E6" s="170"/>
      <c r="K6" s="150"/>
    </row>
    <row r="7" spans="1:43" s="151" customFormat="1" ht="106.15" customHeight="1">
      <c r="B7" s="160" t="s">
        <v>44</v>
      </c>
      <c r="C7" s="204" t="s">
        <v>4875</v>
      </c>
      <c r="D7" s="204"/>
      <c r="E7" s="170"/>
      <c r="K7" s="150"/>
    </row>
    <row r="8" spans="1:43" s="151" customFormat="1" ht="123.6" customHeight="1">
      <c r="B8" s="160" t="s">
        <v>45</v>
      </c>
      <c r="C8" s="204" t="s">
        <v>4876</v>
      </c>
      <c r="D8" s="204"/>
      <c r="E8" s="170"/>
      <c r="K8" s="150"/>
    </row>
    <row r="9" spans="1:43" s="151" customFormat="1" ht="135.6" customHeight="1">
      <c r="B9" s="160" t="s">
        <v>46</v>
      </c>
      <c r="C9" s="204" t="s">
        <v>4877</v>
      </c>
      <c r="D9" s="204"/>
      <c r="E9" s="209" t="s">
        <v>4906</v>
      </c>
      <c r="K9" s="150"/>
    </row>
    <row r="10" spans="1:43" ht="162.6" customHeight="1">
      <c r="A10" s="150"/>
      <c r="B10" s="160" t="s">
        <v>134</v>
      </c>
      <c r="C10" s="204"/>
      <c r="D10" s="204"/>
      <c r="E10" s="210"/>
      <c r="F10" s="151"/>
      <c r="G10" s="151"/>
      <c r="H10" s="151"/>
      <c r="I10" s="151"/>
      <c r="J10" s="151"/>
    </row>
    <row r="11" spans="1:43" ht="46.15" customHeight="1">
      <c r="A11" s="150"/>
      <c r="B11" s="160" t="s">
        <v>415</v>
      </c>
      <c r="C11" s="207" t="s">
        <v>4878</v>
      </c>
      <c r="D11" s="207"/>
      <c r="E11" s="172" t="s">
        <v>4906</v>
      </c>
      <c r="F11" s="151"/>
      <c r="G11" s="151"/>
      <c r="H11" s="151"/>
      <c r="I11" s="151"/>
      <c r="J11" s="151"/>
    </row>
    <row r="12" spans="1:43" ht="41.45" customHeight="1">
      <c r="B12" s="160" t="s">
        <v>192</v>
      </c>
      <c r="C12" s="208" t="s">
        <v>4879</v>
      </c>
      <c r="D12" s="208"/>
      <c r="E12" s="170"/>
      <c r="F12" s="151"/>
      <c r="G12" s="151"/>
      <c r="H12" s="151"/>
      <c r="I12" s="151"/>
      <c r="J12" s="151"/>
    </row>
    <row r="13" spans="1:43" ht="43.15" customHeight="1">
      <c r="B13" s="160" t="s">
        <v>1131</v>
      </c>
      <c r="C13" s="208" t="s">
        <v>4880</v>
      </c>
      <c r="D13" s="208"/>
      <c r="E13" s="170"/>
      <c r="F13" s="151"/>
      <c r="G13" s="151"/>
      <c r="H13" s="151"/>
      <c r="I13" s="151"/>
      <c r="J13" s="151"/>
    </row>
    <row r="14" spans="1:43" ht="43.15" customHeight="1">
      <c r="B14" s="160" t="s">
        <v>1130</v>
      </c>
      <c r="C14" s="208" t="s">
        <v>4882</v>
      </c>
      <c r="D14" s="208"/>
      <c r="E14" s="170"/>
      <c r="F14" s="151"/>
      <c r="G14" s="151"/>
      <c r="H14" s="151"/>
      <c r="I14" s="151"/>
      <c r="J14" s="151"/>
    </row>
    <row r="15" spans="1:43" ht="38.450000000000003" customHeight="1">
      <c r="B15" s="160" t="s">
        <v>442</v>
      </c>
      <c r="C15" s="207" t="s">
        <v>4883</v>
      </c>
      <c r="D15" s="207"/>
      <c r="E15" s="209" t="s">
        <v>4906</v>
      </c>
      <c r="F15" s="151"/>
      <c r="G15" s="151"/>
      <c r="H15" s="151"/>
      <c r="I15" s="151"/>
      <c r="J15" s="151"/>
    </row>
    <row r="16" spans="1:43" ht="41.45" customHeight="1">
      <c r="B16" s="160" t="s">
        <v>438</v>
      </c>
      <c r="C16" s="207"/>
      <c r="D16" s="207"/>
      <c r="E16" s="210"/>
      <c r="F16" s="151"/>
      <c r="G16" s="151"/>
      <c r="H16" s="151"/>
      <c r="I16" s="151"/>
      <c r="J16" s="151"/>
    </row>
    <row r="17" spans="2:10" ht="285" customHeight="1">
      <c r="B17" s="160" t="s">
        <v>295</v>
      </c>
      <c r="C17" s="204" t="s">
        <v>4900</v>
      </c>
      <c r="D17" s="204"/>
      <c r="E17" s="170"/>
      <c r="F17" s="151"/>
      <c r="G17" s="151"/>
      <c r="H17" s="151"/>
      <c r="I17" s="151"/>
      <c r="J17" s="151"/>
    </row>
    <row r="18" spans="2:10">
      <c r="C18" s="164"/>
      <c r="D18" s="164"/>
      <c r="E18" s="151"/>
      <c r="F18" s="151"/>
      <c r="G18" s="151"/>
      <c r="H18" s="151"/>
      <c r="I18" s="151"/>
      <c r="J18" s="151"/>
    </row>
    <row r="19" spans="2:10">
      <c r="C19" s="164"/>
      <c r="D19" s="164"/>
      <c r="E19" s="151"/>
      <c r="F19" s="151"/>
      <c r="G19" s="151"/>
      <c r="H19" s="151"/>
      <c r="I19" s="151"/>
      <c r="J19" s="151"/>
    </row>
    <row r="20" spans="2:10" ht="42.75">
      <c r="B20" s="162" t="s">
        <v>4896</v>
      </c>
      <c r="C20" s="165"/>
      <c r="D20" s="165"/>
      <c r="E20" s="155"/>
      <c r="F20" s="151"/>
      <c r="G20" s="151"/>
      <c r="H20" s="151"/>
      <c r="I20" s="151"/>
      <c r="J20" s="151"/>
    </row>
    <row r="21" spans="2:10">
      <c r="B21" s="155"/>
      <c r="C21" s="166"/>
      <c r="D21" s="166"/>
      <c r="E21" s="155"/>
      <c r="F21" s="151"/>
      <c r="G21" s="151"/>
      <c r="H21" s="151"/>
      <c r="I21" s="151"/>
      <c r="J21" s="151"/>
    </row>
    <row r="22" spans="2:10">
      <c r="B22" s="156" t="s">
        <v>986</v>
      </c>
      <c r="C22" s="167" t="s">
        <v>112</v>
      </c>
      <c r="D22" s="167" t="s">
        <v>4892</v>
      </c>
      <c r="E22" s="151"/>
      <c r="F22" s="151"/>
      <c r="G22" s="151"/>
      <c r="H22" s="151"/>
      <c r="I22" s="151"/>
      <c r="J22" s="151"/>
    </row>
    <row r="23" spans="2:10" ht="49.5">
      <c r="B23" s="169" t="s">
        <v>4886</v>
      </c>
      <c r="C23" s="168" t="s">
        <v>4887</v>
      </c>
      <c r="D23" s="157" t="s">
        <v>40</v>
      </c>
      <c r="E23" s="151"/>
      <c r="F23" s="151"/>
      <c r="G23" s="151"/>
      <c r="H23" s="151"/>
      <c r="I23" s="151"/>
      <c r="J23" s="151"/>
    </row>
    <row r="24" spans="2:10" ht="49.5">
      <c r="B24" s="169" t="s">
        <v>4888</v>
      </c>
      <c r="C24" s="168" t="s">
        <v>4889</v>
      </c>
      <c r="D24" s="157" t="s">
        <v>40</v>
      </c>
      <c r="E24" s="151"/>
      <c r="F24" s="151"/>
      <c r="G24" s="151"/>
      <c r="H24" s="151"/>
      <c r="I24" s="151"/>
      <c r="J24" s="151"/>
    </row>
    <row r="25" spans="2:10" ht="49.5">
      <c r="B25" s="169" t="s">
        <v>4891</v>
      </c>
      <c r="C25" s="168" t="s">
        <v>4890</v>
      </c>
      <c r="D25" s="157" t="s">
        <v>40</v>
      </c>
      <c r="E25" s="151"/>
      <c r="F25" s="151"/>
      <c r="G25" s="151"/>
      <c r="H25" s="151"/>
      <c r="I25" s="151"/>
      <c r="J25" s="151"/>
    </row>
    <row r="26" spans="2:10" ht="240.6" customHeight="1">
      <c r="B26" s="169" t="s">
        <v>4893</v>
      </c>
      <c r="C26" s="168" t="s">
        <v>4895</v>
      </c>
      <c r="D26" s="157" t="s">
        <v>4894</v>
      </c>
      <c r="E26" s="151"/>
      <c r="F26" s="151"/>
      <c r="G26" s="151"/>
      <c r="H26" s="151"/>
      <c r="I26" s="151"/>
      <c r="J26" s="151"/>
    </row>
    <row r="27" spans="2:10" ht="240.6" customHeight="1">
      <c r="B27" s="169" t="s">
        <v>4939</v>
      </c>
      <c r="C27" s="168" t="s">
        <v>4907</v>
      </c>
      <c r="D27" s="157" t="s">
        <v>40</v>
      </c>
      <c r="E27" s="151"/>
      <c r="F27" s="151"/>
      <c r="G27" s="151"/>
      <c r="H27" s="151"/>
      <c r="I27" s="151"/>
      <c r="J27" s="151"/>
    </row>
    <row r="28" spans="2:10">
      <c r="C28" s="164"/>
      <c r="D28" s="164"/>
      <c r="E28" s="151"/>
      <c r="F28" s="151"/>
      <c r="G28" s="151"/>
      <c r="H28" s="151"/>
      <c r="I28" s="151"/>
      <c r="J28" s="151"/>
    </row>
    <row r="29" spans="2:10">
      <c r="C29" s="164"/>
      <c r="D29" s="164"/>
      <c r="E29" s="151"/>
      <c r="F29" s="151"/>
      <c r="G29" s="151"/>
      <c r="H29" s="151"/>
      <c r="I29" s="151"/>
      <c r="J29" s="151"/>
    </row>
    <row r="30" spans="2:10" ht="42.75">
      <c r="B30" s="162" t="s">
        <v>4897</v>
      </c>
      <c r="C30" s="164"/>
      <c r="D30" s="164"/>
      <c r="E30" s="151"/>
      <c r="F30" s="151"/>
      <c r="G30" s="151"/>
      <c r="H30" s="151"/>
      <c r="I30" s="151"/>
      <c r="J30" s="151"/>
    </row>
    <row r="31" spans="2:10">
      <c r="C31" s="164"/>
      <c r="D31" s="164"/>
      <c r="E31" s="151"/>
      <c r="F31" s="151"/>
      <c r="G31" s="151"/>
      <c r="H31" s="151"/>
      <c r="I31" s="151"/>
      <c r="J31" s="151"/>
    </row>
    <row r="32" spans="2:10">
      <c r="B32" s="156" t="s">
        <v>61</v>
      </c>
      <c r="C32" s="205" t="s">
        <v>112</v>
      </c>
      <c r="D32" s="206"/>
      <c r="E32" s="151"/>
      <c r="F32" s="151"/>
      <c r="G32" s="151"/>
      <c r="H32" s="151"/>
      <c r="I32" s="151"/>
      <c r="J32" s="151"/>
    </row>
    <row r="33" spans="1:10" ht="409.6" customHeight="1">
      <c r="B33" s="158" t="s">
        <v>4898</v>
      </c>
      <c r="C33" s="211" t="s">
        <v>4914</v>
      </c>
      <c r="D33" s="211"/>
      <c r="E33" s="151"/>
      <c r="F33" s="151"/>
      <c r="G33" s="151"/>
      <c r="H33" s="151"/>
      <c r="I33" s="151"/>
      <c r="J33" s="151"/>
    </row>
    <row r="34" spans="1:10" ht="409.6" customHeight="1">
      <c r="B34" s="159" t="s">
        <v>4899</v>
      </c>
      <c r="C34" s="212" t="s">
        <v>4901</v>
      </c>
      <c r="D34" s="212"/>
      <c r="E34" s="151"/>
      <c r="F34" s="151"/>
      <c r="G34" s="151"/>
      <c r="H34" s="151"/>
      <c r="I34" s="151"/>
      <c r="J34" s="151"/>
    </row>
    <row r="35" spans="1:10">
      <c r="C35" s="151"/>
      <c r="D35" s="151"/>
      <c r="E35" s="151"/>
      <c r="F35" s="151"/>
      <c r="G35" s="151"/>
      <c r="H35" s="151"/>
      <c r="I35" s="151"/>
      <c r="J35" s="151"/>
    </row>
    <row r="36" spans="1:10">
      <c r="C36" s="151"/>
      <c r="D36" s="151"/>
      <c r="E36" s="151"/>
      <c r="F36" s="151"/>
      <c r="G36" s="151"/>
      <c r="H36" s="151"/>
      <c r="I36" s="151"/>
      <c r="J36" s="151"/>
    </row>
    <row r="37" spans="1:10" s="153" customFormat="1">
      <c r="A37" s="152"/>
      <c r="B37" s="151"/>
      <c r="C37" s="151"/>
      <c r="D37" s="151"/>
      <c r="E37" s="151"/>
      <c r="F37" s="151"/>
      <c r="G37" s="151"/>
      <c r="H37" s="151"/>
      <c r="I37" s="151"/>
      <c r="J37" s="151"/>
    </row>
    <row r="38" spans="1:10" ht="72" customHeight="1">
      <c r="C38" s="151"/>
      <c r="D38" s="151"/>
      <c r="E38" s="151"/>
      <c r="F38" s="151"/>
      <c r="G38" s="151"/>
      <c r="H38" s="151"/>
      <c r="I38" s="151"/>
      <c r="J38" s="151"/>
    </row>
    <row r="39" spans="1:10">
      <c r="C39" s="151"/>
      <c r="D39" s="151"/>
      <c r="E39" s="151"/>
      <c r="F39" s="151"/>
      <c r="G39" s="151"/>
      <c r="H39" s="151"/>
      <c r="I39" s="151"/>
      <c r="J39" s="151"/>
    </row>
    <row r="40" spans="1:10">
      <c r="C40" s="151"/>
      <c r="D40" s="151"/>
      <c r="E40" s="151"/>
      <c r="F40" s="151"/>
      <c r="G40" s="151"/>
      <c r="H40" s="151"/>
      <c r="I40" s="151"/>
      <c r="J40" s="151"/>
    </row>
    <row r="41" spans="1:10">
      <c r="C41" s="151"/>
      <c r="D41" s="151"/>
      <c r="E41" s="151"/>
      <c r="F41" s="151"/>
      <c r="G41" s="151"/>
      <c r="H41" s="151"/>
      <c r="I41" s="151"/>
      <c r="J41" s="151"/>
    </row>
    <row r="42" spans="1:10">
      <c r="C42" s="151"/>
      <c r="D42" s="151"/>
      <c r="E42" s="151"/>
      <c r="F42" s="151"/>
      <c r="G42" s="151"/>
      <c r="H42" s="151"/>
      <c r="I42" s="151"/>
      <c r="J42" s="151"/>
    </row>
    <row r="43" spans="1:10">
      <c r="C43" s="151"/>
      <c r="D43" s="151"/>
      <c r="E43" s="151"/>
      <c r="F43" s="151"/>
      <c r="G43" s="151"/>
      <c r="H43" s="151"/>
      <c r="I43" s="151"/>
      <c r="J43" s="151"/>
    </row>
    <row r="44" spans="1:10">
      <c r="C44" s="151"/>
      <c r="D44" s="151"/>
      <c r="E44" s="151"/>
      <c r="F44" s="151"/>
      <c r="G44" s="151"/>
      <c r="H44" s="151"/>
      <c r="I44" s="151"/>
      <c r="J44" s="151"/>
    </row>
    <row r="45" spans="1:10">
      <c r="C45" s="151"/>
      <c r="D45" s="151"/>
      <c r="E45" s="151"/>
      <c r="F45" s="151"/>
      <c r="G45" s="151"/>
      <c r="H45" s="151"/>
      <c r="I45" s="151"/>
      <c r="J45" s="151"/>
    </row>
    <row r="58" s="151" customFormat="1" ht="14.45" customHeight="1"/>
    <row r="59" s="151" customFormat="1" ht="15.6" customHeight="1"/>
  </sheetData>
  <autoFilter ref="B32:D34" xr:uid="{1BC8CCB8-78ED-433E-A134-3AB65F5CF29C}">
    <filterColumn colId="1" showButton="0"/>
  </autoFilter>
  <mergeCells count="16">
    <mergeCell ref="E15:E16"/>
    <mergeCell ref="E9:E10"/>
    <mergeCell ref="C33:D33"/>
    <mergeCell ref="C34:D34"/>
    <mergeCell ref="C6:D6"/>
    <mergeCell ref="C5:D5"/>
    <mergeCell ref="C7:D7"/>
    <mergeCell ref="C8:D8"/>
    <mergeCell ref="C9:D10"/>
    <mergeCell ref="C32:D32"/>
    <mergeCell ref="C11:D11"/>
    <mergeCell ref="C12:D12"/>
    <mergeCell ref="C13:D13"/>
    <mergeCell ref="C14:D14"/>
    <mergeCell ref="C15:D16"/>
    <mergeCell ref="C17:D17"/>
  </mergeCells>
  <conditionalFormatting sqref="B32:C32 B33">
    <cfRule type="cellIs" dxfId="27" priority="6" operator="equal">
      <formula>"NOK"</formula>
    </cfRule>
    <cfRule type="cellIs" dxfId="26" priority="7" operator="equal">
      <formula>"OK"</formula>
    </cfRule>
  </conditionalFormatting>
  <conditionalFormatting sqref="B22:D22 E34:F37">
    <cfRule type="cellIs" dxfId="25" priority="17" operator="equal">
      <formula>"NOK"</formula>
    </cfRule>
  </conditionalFormatting>
  <conditionalFormatting sqref="B22:E27 E28:F37">
    <cfRule type="cellIs" dxfId="24" priority="1" operator="equal">
      <formula>"OK"</formula>
    </cfRule>
  </conditionalFormatting>
  <conditionalFormatting sqref="E22:E27">
    <cfRule type="cellIs" dxfId="23" priority="2" operator="equal">
      <formula>"NOK"</formula>
    </cfRule>
    <cfRule type="cellIs" dxfId="22" priority="3" operator="equal">
      <formula>"NOK"</formula>
    </cfRule>
  </conditionalFormatting>
  <conditionalFormatting sqref="E29:E33">
    <cfRule type="cellIs" dxfId="21" priority="28" operator="equal">
      <formula>"NOK"</formula>
    </cfRule>
    <cfRule type="cellIs" dxfId="20" priority="29" operator="equal">
      <formula>"NOK"</formula>
    </cfRule>
  </conditionalFormatting>
  <conditionalFormatting sqref="E19:F19 B24:D27 E28:F28 E22:E27">
    <cfRule type="cellIs" dxfId="19" priority="42" operator="equal">
      <formula>"NOK"</formula>
    </cfRule>
  </conditionalFormatting>
  <conditionalFormatting sqref="F16 E17:F19 F20:F27">
    <cfRule type="cellIs" dxfId="18" priority="20" operator="equal">
      <formula>"OK"</formula>
    </cfRule>
  </conditionalFormatting>
  <conditionalFormatting sqref="F17">
    <cfRule type="cellIs" dxfId="17" priority="33" operator="equal">
      <formula>"NOK"</formula>
    </cfRule>
  </conditionalFormatting>
  <conditionalFormatting sqref="F18:F33 F16 E34:F37">
    <cfRule type="cellIs" dxfId="16" priority="41" operator="equal">
      <formula>"NOK"</formula>
    </cfRule>
  </conditionalFormatting>
  <conditionalFormatting sqref="F19 B23:D27 G12:G13 E15 E17:E19">
    <cfRule type="cellIs" dxfId="15" priority="40" operator="equal">
      <formula>"NOK"</formula>
    </cfRule>
  </conditionalFormatting>
  <conditionalFormatting sqref="F19:F21">
    <cfRule type="cellIs" dxfId="14" priority="37" operator="equal">
      <formula>"NOK"</formula>
    </cfRule>
  </conditionalFormatting>
  <conditionalFormatting sqref="F19:F24 B26:D27">
    <cfRule type="cellIs" dxfId="13" priority="38" operator="equal">
      <formula>"NOK"</formula>
    </cfRule>
  </conditionalFormatting>
  <conditionalFormatting sqref="F24:F25">
    <cfRule type="cellIs" dxfId="12" priority="43" operator="equal">
      <formula>"NOK"</formula>
    </cfRule>
  </conditionalFormatting>
  <conditionalFormatting sqref="F25 G1 G49:G1048576">
    <cfRule type="cellIs" dxfId="11" priority="49" operator="equal">
      <formula>"NOK"</formula>
    </cfRule>
  </conditionalFormatting>
  <conditionalFormatting sqref="F26:F27">
    <cfRule type="cellIs" dxfId="10" priority="18" operator="equal">
      <formula>"NOK"</formula>
    </cfRule>
    <cfRule type="cellIs" dxfId="9" priority="32" operator="equal">
      <formula>"NOK"</formula>
    </cfRule>
  </conditionalFormatting>
  <conditionalFormatting sqref="F26:F29">
    <cfRule type="cellIs" dxfId="8" priority="21" operator="equal">
      <formula>"NOK"</formula>
    </cfRule>
  </conditionalFormatting>
  <conditionalFormatting sqref="F31:F32">
    <cfRule type="cellIs" dxfId="7" priority="24" operator="equal">
      <formula>"NOK"</formula>
    </cfRule>
  </conditionalFormatting>
  <conditionalFormatting sqref="G15">
    <cfRule type="cellIs" dxfId="6" priority="34" operator="equal">
      <formula>"NOK"</formula>
    </cfRule>
    <cfRule type="cellIs" dxfId="5" priority="35" operator="equal">
      <formula>"OK"</formula>
    </cfRule>
  </conditionalFormatting>
  <conditionalFormatting sqref="G17:G37">
    <cfRule type="cellIs" dxfId="4" priority="27" operator="equal">
      <formula>"Reaberto"</formula>
    </cfRule>
  </conditionalFormatting>
  <conditionalFormatting sqref="G1:H1 G49:H1048576">
    <cfRule type="cellIs" dxfId="3" priority="47" operator="equal">
      <formula>"OK"</formula>
    </cfRule>
  </conditionalFormatting>
  <conditionalFormatting sqref="G12:H13 E15">
    <cfRule type="cellIs" dxfId="2" priority="44" operator="equal">
      <formula>"OK"</formula>
    </cfRule>
  </conditionalFormatting>
  <conditionalFormatting sqref="H1 H12:H15 H49:H1048576">
    <cfRule type="cellIs" dxfId="1" priority="48" operator="equal">
      <formula>"NOK"</formula>
    </cfRule>
  </conditionalFormatting>
  <conditionalFormatting sqref="H14:H15">
    <cfRule type="cellIs" dxfId="0" priority="36" operator="equal">
      <formula>"OK"</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F77CE-6DDA-43E8-A599-05AC7D29598D}">
  <sheetPr>
    <tabColor theme="3" tint="0.249977111117893"/>
  </sheetPr>
  <dimension ref="A1"/>
  <sheetViews>
    <sheetView workbookViewId="0">
      <selection activeCell="K25" sqref="K25"/>
    </sheetView>
  </sheetViews>
  <sheetFormatPr defaultRowHeight="14.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8745-4737-43FB-B538-64A34E96FDB5}">
  <dimension ref="A1:CB87"/>
  <sheetViews>
    <sheetView showGridLines="0" zoomScale="57" zoomScaleNormal="60" workbookViewId="0">
      <selection activeCell="Y35" sqref="Y35"/>
    </sheetView>
  </sheetViews>
  <sheetFormatPr defaultColWidth="8.875" defaultRowHeight="15"/>
  <cols>
    <col min="1" max="1" width="3.625" style="93" customWidth="1"/>
    <col min="2" max="2" width="18.5" style="77" customWidth="1"/>
    <col min="3" max="3" width="38.375" style="77" bestFit="1" customWidth="1"/>
    <col min="4" max="4" width="18.625" style="77" customWidth="1"/>
    <col min="5" max="5" width="15.625" style="77" customWidth="1"/>
    <col min="6" max="6" width="28" style="77" customWidth="1"/>
    <col min="7" max="7" width="29.375" style="77" customWidth="1"/>
    <col min="8" max="8" width="42.625" style="77" customWidth="1"/>
    <col min="9" max="9" width="12.625" style="77" customWidth="1"/>
    <col min="10" max="11" width="21.625" style="77" customWidth="1"/>
    <col min="12" max="12" width="30.375" style="77" customWidth="1"/>
    <col min="13" max="13" width="33.5" style="77" customWidth="1"/>
    <col min="14" max="14" width="21.625" style="77" customWidth="1"/>
    <col min="15" max="15" width="12.625" style="77" customWidth="1"/>
    <col min="16" max="20" width="20.5" style="77" customWidth="1"/>
    <col min="21" max="21" width="8.875" style="77"/>
    <col min="22" max="26" width="25.125" style="77" customWidth="1"/>
    <col min="27" max="27" width="8.875" style="77"/>
    <col min="28" max="28" width="22.125" style="77" customWidth="1"/>
    <col min="29" max="30" width="8.875" style="77"/>
    <col min="31" max="31" width="37.625" style="77" customWidth="1"/>
    <col min="32" max="32" width="37.5" style="77" customWidth="1"/>
    <col min="33" max="33" width="8.875" style="77" customWidth="1"/>
    <col min="34" max="16384" width="8.875" style="77"/>
  </cols>
  <sheetData>
    <row r="1" spans="1:80" ht="51.6" customHeight="1" thickBot="1">
      <c r="A1" s="98"/>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row>
    <row r="2" spans="1:80" ht="15.75" thickTop="1"/>
    <row r="7" spans="1:80" ht="15.75">
      <c r="D7" s="88" t="s">
        <v>948</v>
      </c>
      <c r="E7" s="87"/>
      <c r="G7" s="100" t="s">
        <v>949</v>
      </c>
      <c r="H7" s="100" t="s">
        <v>950</v>
      </c>
      <c r="J7" s="88" t="s">
        <v>991</v>
      </c>
      <c r="K7" s="87"/>
      <c r="M7" s="100" t="s">
        <v>949</v>
      </c>
      <c r="N7" s="100" t="s">
        <v>950</v>
      </c>
      <c r="P7" s="88" t="s">
        <v>1048</v>
      </c>
      <c r="Q7" s="87"/>
      <c r="S7" s="100" t="s">
        <v>949</v>
      </c>
      <c r="T7" s="100" t="s">
        <v>950</v>
      </c>
      <c r="V7" s="88" t="s">
        <v>1160</v>
      </c>
      <c r="W7" s="87"/>
      <c r="Y7" s="100" t="s">
        <v>949</v>
      </c>
      <c r="Z7" s="100" t="s">
        <v>950</v>
      </c>
      <c r="AB7" s="88" t="s">
        <v>1161</v>
      </c>
      <c r="AC7" s="87"/>
      <c r="AE7" s="100" t="s">
        <v>949</v>
      </c>
      <c r="AF7" s="100" t="s">
        <v>950</v>
      </c>
    </row>
    <row r="8" spans="1:80" ht="15.75">
      <c r="B8" s="91"/>
      <c r="D8" s="92"/>
      <c r="E8" s="87"/>
      <c r="G8" s="90" t="s">
        <v>273</v>
      </c>
      <c r="H8" s="90">
        <v>45744</v>
      </c>
      <c r="J8" s="92"/>
      <c r="K8" s="87"/>
      <c r="M8" s="90">
        <v>45747</v>
      </c>
      <c r="N8" s="90">
        <v>45828</v>
      </c>
      <c r="P8" s="92"/>
      <c r="Q8" s="87"/>
      <c r="S8" s="90">
        <v>45832</v>
      </c>
      <c r="T8" s="90">
        <v>45915</v>
      </c>
      <c r="V8" s="92"/>
      <c r="W8" s="87"/>
      <c r="Y8" s="90" t="s">
        <v>273</v>
      </c>
      <c r="Z8" s="90" t="s">
        <v>273</v>
      </c>
      <c r="AB8" s="92"/>
      <c r="AC8" s="87"/>
      <c r="AE8" s="90" t="s">
        <v>273</v>
      </c>
      <c r="AF8" s="90" t="s">
        <v>273</v>
      </c>
    </row>
    <row r="9" spans="1:80" ht="15.75">
      <c r="B9" s="89" t="s">
        <v>951</v>
      </c>
      <c r="D9" s="78"/>
      <c r="J9" s="78"/>
      <c r="P9" s="78"/>
      <c r="V9" s="78"/>
      <c r="AB9" s="78"/>
    </row>
    <row r="10" spans="1:80" ht="15.75">
      <c r="B10" s="225" t="s">
        <v>952</v>
      </c>
      <c r="D10" s="101" t="s">
        <v>5</v>
      </c>
      <c r="E10" s="102"/>
      <c r="F10" s="102"/>
      <c r="G10" s="102"/>
      <c r="H10" s="103"/>
      <c r="J10" s="95" t="s">
        <v>5</v>
      </c>
      <c r="K10" s="79"/>
      <c r="L10" s="79"/>
      <c r="M10" s="79"/>
      <c r="N10" s="80"/>
      <c r="P10" s="95" t="s">
        <v>5</v>
      </c>
      <c r="Q10" s="79"/>
      <c r="R10" s="79"/>
      <c r="S10" s="79"/>
      <c r="T10" s="80"/>
      <c r="V10" s="95" t="s">
        <v>5</v>
      </c>
      <c r="W10" s="79"/>
      <c r="X10" s="79"/>
      <c r="Y10" s="79"/>
      <c r="Z10" s="80"/>
      <c r="AB10" s="95" t="s">
        <v>5</v>
      </c>
      <c r="AC10" s="79"/>
      <c r="AD10" s="79"/>
      <c r="AE10" s="79"/>
      <c r="AF10" s="80"/>
    </row>
    <row r="11" spans="1:80" ht="22.9" customHeight="1">
      <c r="B11" s="225"/>
      <c r="D11" s="213" t="s">
        <v>965</v>
      </c>
      <c r="E11" s="214"/>
      <c r="F11" s="214"/>
      <c r="G11" s="214"/>
      <c r="H11" s="215"/>
      <c r="J11" s="219" t="s">
        <v>1044</v>
      </c>
      <c r="K11" s="220"/>
      <c r="L11" s="220"/>
      <c r="M11" s="220"/>
      <c r="N11" s="221"/>
      <c r="P11" s="222" t="s">
        <v>1156</v>
      </c>
      <c r="Q11" s="223"/>
      <c r="R11" s="223"/>
      <c r="S11" s="223"/>
      <c r="T11" s="224"/>
      <c r="V11" s="97"/>
      <c r="W11" s="82"/>
      <c r="X11" s="82"/>
      <c r="Y11" s="82"/>
      <c r="Z11" s="83"/>
      <c r="AB11" s="97"/>
      <c r="AC11" s="82"/>
      <c r="AD11" s="82"/>
      <c r="AE11" s="82"/>
      <c r="AF11" s="83"/>
    </row>
    <row r="12" spans="1:80" ht="38.450000000000003" customHeight="1">
      <c r="B12" s="225"/>
      <c r="D12" s="213"/>
      <c r="E12" s="214"/>
      <c r="F12" s="214"/>
      <c r="G12" s="214"/>
      <c r="H12" s="215"/>
      <c r="J12" s="219"/>
      <c r="K12" s="220"/>
      <c r="L12" s="220"/>
      <c r="M12" s="220"/>
      <c r="N12" s="221"/>
      <c r="P12" s="222"/>
      <c r="Q12" s="223"/>
      <c r="R12" s="223"/>
      <c r="S12" s="223"/>
      <c r="T12" s="224"/>
      <c r="V12" s="96"/>
      <c r="W12" s="82"/>
      <c r="X12" s="82"/>
      <c r="Y12" s="82"/>
      <c r="Z12" s="83"/>
      <c r="AB12" s="96"/>
      <c r="AC12" s="82"/>
      <c r="AD12" s="82"/>
      <c r="AE12" s="82"/>
      <c r="AF12" s="83"/>
    </row>
    <row r="13" spans="1:80" ht="97.9" customHeight="1">
      <c r="B13" s="225"/>
      <c r="D13" s="213"/>
      <c r="E13" s="214"/>
      <c r="F13" s="214"/>
      <c r="G13" s="214"/>
      <c r="H13" s="215"/>
      <c r="J13" s="219"/>
      <c r="K13" s="220"/>
      <c r="L13" s="220"/>
      <c r="M13" s="220"/>
      <c r="N13" s="221"/>
      <c r="P13" s="222"/>
      <c r="Q13" s="223"/>
      <c r="R13" s="223"/>
      <c r="S13" s="223"/>
      <c r="T13" s="224"/>
      <c r="V13" s="96"/>
      <c r="W13" s="82"/>
      <c r="X13" s="82"/>
      <c r="Y13" s="82"/>
      <c r="Z13" s="83"/>
      <c r="AB13" s="96"/>
      <c r="AC13" s="82"/>
      <c r="AD13" s="82"/>
      <c r="AE13" s="82"/>
      <c r="AF13" s="83"/>
    </row>
    <row r="14" spans="1:80" ht="13.9" customHeight="1">
      <c r="B14" s="225"/>
      <c r="D14" s="213"/>
      <c r="E14" s="214"/>
      <c r="F14" s="214"/>
      <c r="G14" s="214"/>
      <c r="H14" s="215"/>
      <c r="J14" s="219"/>
      <c r="K14" s="220"/>
      <c r="L14" s="220"/>
      <c r="M14" s="220"/>
      <c r="N14" s="221"/>
      <c r="P14" s="96"/>
      <c r="Q14" s="82"/>
      <c r="R14" s="82"/>
      <c r="S14" s="82"/>
      <c r="T14" s="83"/>
      <c r="V14" s="96"/>
      <c r="W14" s="82"/>
      <c r="X14" s="82"/>
      <c r="Y14" s="82"/>
      <c r="Z14" s="83"/>
      <c r="AB14" s="96"/>
      <c r="AC14" s="82"/>
      <c r="AD14" s="82"/>
      <c r="AE14" s="82"/>
      <c r="AF14" s="83"/>
    </row>
    <row r="15" spans="1:80" ht="15.75">
      <c r="B15" s="225"/>
      <c r="D15" s="104" t="s">
        <v>136</v>
      </c>
      <c r="E15" s="25"/>
      <c r="F15" s="25"/>
      <c r="G15" s="25"/>
      <c r="H15" s="105"/>
      <c r="J15" s="97" t="s">
        <v>136</v>
      </c>
      <c r="K15" s="82"/>
      <c r="L15" s="82"/>
      <c r="M15" s="82"/>
      <c r="N15" s="83"/>
      <c r="P15" s="97" t="s">
        <v>136</v>
      </c>
      <c r="Q15" s="82"/>
      <c r="R15" s="82"/>
      <c r="S15" s="82"/>
      <c r="T15" s="83"/>
      <c r="V15" s="97" t="s">
        <v>136</v>
      </c>
      <c r="W15" s="82"/>
      <c r="X15" s="82"/>
      <c r="Y15" s="82"/>
      <c r="Z15" s="83"/>
      <c r="AB15" s="97" t="s">
        <v>136</v>
      </c>
      <c r="AC15" s="82"/>
      <c r="AD15" s="82"/>
      <c r="AE15" s="82"/>
      <c r="AF15" s="83"/>
    </row>
    <row r="16" spans="1:80" ht="265.14999999999998" customHeight="1">
      <c r="B16" s="225"/>
      <c r="D16" s="216" t="s">
        <v>962</v>
      </c>
      <c r="E16" s="217"/>
      <c r="F16" s="217"/>
      <c r="G16" s="217"/>
      <c r="H16" s="218"/>
      <c r="J16" s="222" t="s">
        <v>1046</v>
      </c>
      <c r="K16" s="223"/>
      <c r="L16" s="223"/>
      <c r="M16" s="223"/>
      <c r="N16" s="224"/>
      <c r="P16" s="222" t="s">
        <v>1157</v>
      </c>
      <c r="Q16" s="223"/>
      <c r="R16" s="223"/>
      <c r="S16" s="223"/>
      <c r="T16" s="224"/>
      <c r="V16" s="96"/>
      <c r="W16" s="82"/>
      <c r="X16" s="82"/>
      <c r="Y16" s="82"/>
      <c r="Z16" s="83"/>
      <c r="AB16" s="96"/>
      <c r="AC16" s="82"/>
      <c r="AD16" s="82"/>
      <c r="AE16" s="82"/>
      <c r="AF16" s="83"/>
    </row>
    <row r="17" spans="2:32" ht="15.75">
      <c r="B17" s="225"/>
      <c r="D17" s="216"/>
      <c r="E17" s="217"/>
      <c r="F17" s="217"/>
      <c r="G17" s="217"/>
      <c r="H17" s="218"/>
      <c r="J17" s="96"/>
      <c r="K17" s="82"/>
      <c r="L17" s="82"/>
      <c r="M17" s="82"/>
      <c r="N17" s="83"/>
      <c r="P17" s="96"/>
      <c r="Q17" s="82"/>
      <c r="R17" s="82"/>
      <c r="S17" s="82"/>
      <c r="T17" s="83"/>
      <c r="V17" s="96"/>
      <c r="W17" s="82"/>
      <c r="X17" s="82"/>
      <c r="Y17" s="82"/>
      <c r="Z17" s="83"/>
      <c r="AB17" s="96"/>
      <c r="AC17" s="82"/>
      <c r="AD17" s="82"/>
      <c r="AE17" s="82"/>
      <c r="AF17" s="83"/>
    </row>
    <row r="18" spans="2:32" ht="15.75">
      <c r="B18" s="225"/>
      <c r="D18" s="106"/>
      <c r="E18" s="25"/>
      <c r="F18" s="25"/>
      <c r="G18" s="25"/>
      <c r="H18" s="105"/>
      <c r="J18" s="96"/>
      <c r="K18" s="82"/>
      <c r="L18" s="82"/>
      <c r="M18" s="82"/>
      <c r="N18" s="83"/>
      <c r="P18" s="96"/>
      <c r="Q18" s="82"/>
      <c r="R18" s="82"/>
      <c r="S18" s="82"/>
      <c r="T18" s="83"/>
      <c r="V18" s="96"/>
      <c r="W18" s="82"/>
      <c r="X18" s="82"/>
      <c r="Y18" s="82"/>
      <c r="Z18" s="83"/>
      <c r="AB18" s="96"/>
      <c r="AC18" s="82"/>
      <c r="AD18" s="82"/>
      <c r="AE18" s="82"/>
      <c r="AF18" s="83"/>
    </row>
    <row r="19" spans="2:32" ht="15.75">
      <c r="B19" s="225"/>
      <c r="D19" s="104" t="s">
        <v>953</v>
      </c>
      <c r="E19" s="25"/>
      <c r="F19" s="25"/>
      <c r="G19" s="25"/>
      <c r="H19" s="105"/>
      <c r="J19" s="97" t="s">
        <v>953</v>
      </c>
      <c r="K19" s="82"/>
      <c r="L19" s="82"/>
      <c r="M19" s="82"/>
      <c r="N19" s="83"/>
      <c r="P19" s="97" t="s">
        <v>953</v>
      </c>
      <c r="Q19" s="82"/>
      <c r="R19" s="82"/>
      <c r="S19" s="82"/>
      <c r="T19" s="83"/>
      <c r="V19" s="97" t="s">
        <v>953</v>
      </c>
      <c r="W19" s="82"/>
      <c r="X19" s="82"/>
      <c r="Y19" s="82"/>
      <c r="Z19" s="83"/>
      <c r="AB19" s="97" t="s">
        <v>953</v>
      </c>
      <c r="AC19" s="82"/>
      <c r="AD19" s="82"/>
      <c r="AE19" s="82"/>
      <c r="AF19" s="83"/>
    </row>
    <row r="20" spans="2:32" ht="55.9" customHeight="1">
      <c r="B20" s="225"/>
      <c r="D20" s="216" t="s">
        <v>964</v>
      </c>
      <c r="E20" s="217"/>
      <c r="F20" s="217"/>
      <c r="G20" s="217"/>
      <c r="H20" s="218"/>
      <c r="J20" s="96"/>
      <c r="K20" s="82"/>
      <c r="L20" s="82"/>
      <c r="M20" s="82"/>
      <c r="N20" s="83"/>
      <c r="P20" s="96"/>
      <c r="Q20" s="82"/>
      <c r="R20" s="82"/>
      <c r="S20" s="82"/>
      <c r="T20" s="83"/>
      <c r="V20" s="96"/>
      <c r="W20" s="82"/>
      <c r="X20" s="82"/>
      <c r="Y20" s="82"/>
      <c r="Z20" s="83"/>
      <c r="AB20" s="96"/>
      <c r="AC20" s="82"/>
      <c r="AD20" s="82"/>
      <c r="AE20" s="82"/>
      <c r="AF20" s="83"/>
    </row>
    <row r="21" spans="2:32" ht="77.45" customHeight="1">
      <c r="B21" s="225"/>
      <c r="D21" s="216"/>
      <c r="E21" s="217"/>
      <c r="F21" s="217"/>
      <c r="G21" s="217"/>
      <c r="H21" s="218"/>
      <c r="J21" s="96"/>
      <c r="K21" s="82"/>
      <c r="L21" s="82"/>
      <c r="M21" s="82"/>
      <c r="N21" s="83"/>
      <c r="P21" s="96"/>
      <c r="Q21" s="82"/>
      <c r="R21" s="82"/>
      <c r="S21" s="82"/>
      <c r="T21" s="83"/>
      <c r="V21" s="96"/>
      <c r="W21" s="82"/>
      <c r="X21" s="82"/>
      <c r="Y21" s="82"/>
      <c r="Z21" s="83"/>
      <c r="AB21" s="96"/>
      <c r="AC21" s="82"/>
      <c r="AD21" s="82"/>
      <c r="AE21" s="82"/>
      <c r="AF21" s="83"/>
    </row>
    <row r="22" spans="2:32" ht="15.75">
      <c r="B22" s="225"/>
      <c r="D22" s="106"/>
      <c r="E22" s="25"/>
      <c r="F22" s="25"/>
      <c r="G22" s="25"/>
      <c r="H22" s="105"/>
      <c r="J22" s="96"/>
      <c r="K22" s="82"/>
      <c r="L22" s="82"/>
      <c r="M22" s="82"/>
      <c r="N22" s="83"/>
      <c r="P22" s="96"/>
      <c r="Q22" s="82"/>
      <c r="R22" s="82"/>
      <c r="S22" s="82"/>
      <c r="T22" s="83"/>
      <c r="V22" s="96"/>
      <c r="W22" s="82"/>
      <c r="X22" s="82"/>
      <c r="Y22" s="82"/>
      <c r="Z22" s="83"/>
      <c r="AB22" s="96"/>
      <c r="AC22" s="82"/>
      <c r="AD22" s="82"/>
      <c r="AE22" s="82"/>
      <c r="AF22" s="83"/>
    </row>
    <row r="23" spans="2:32" ht="15.75">
      <c r="B23" s="225"/>
      <c r="D23" s="104" t="s">
        <v>954</v>
      </c>
      <c r="E23" s="25"/>
      <c r="F23" s="25"/>
      <c r="G23" s="25"/>
      <c r="H23" s="105"/>
      <c r="J23" s="97" t="s">
        <v>954</v>
      </c>
      <c r="K23" s="82"/>
      <c r="L23" s="82"/>
      <c r="M23" s="82"/>
      <c r="N23" s="83"/>
      <c r="P23" s="97" t="s">
        <v>954</v>
      </c>
      <c r="Q23" s="82"/>
      <c r="R23" s="82"/>
      <c r="S23" s="82"/>
      <c r="T23" s="83"/>
      <c r="V23" s="97" t="s">
        <v>954</v>
      </c>
      <c r="W23" s="82"/>
      <c r="X23" s="82"/>
      <c r="Y23" s="82"/>
      <c r="Z23" s="83"/>
      <c r="AB23" s="97" t="s">
        <v>954</v>
      </c>
      <c r="AC23" s="82"/>
      <c r="AD23" s="82"/>
      <c r="AE23" s="82"/>
      <c r="AF23" s="83"/>
    </row>
    <row r="24" spans="2:32" ht="17.45" customHeight="1">
      <c r="B24" s="225"/>
      <c r="D24" s="113" t="s">
        <v>963</v>
      </c>
      <c r="E24" s="111"/>
      <c r="F24" s="111"/>
      <c r="G24" s="111"/>
      <c r="H24" s="112"/>
      <c r="J24" s="96"/>
      <c r="K24" s="82"/>
      <c r="L24" s="82"/>
      <c r="M24" s="82"/>
      <c r="N24" s="83"/>
      <c r="P24" s="222" t="s">
        <v>1158</v>
      </c>
      <c r="Q24" s="223"/>
      <c r="R24" s="223"/>
      <c r="S24" s="223"/>
      <c r="T24" s="224"/>
      <c r="V24" s="96"/>
      <c r="W24" s="82"/>
      <c r="X24" s="82"/>
      <c r="Y24" s="82"/>
      <c r="Z24" s="83"/>
      <c r="AB24" s="96"/>
      <c r="AC24" s="82"/>
      <c r="AD24" s="82"/>
      <c r="AE24" s="82"/>
      <c r="AF24" s="83"/>
    </row>
    <row r="25" spans="2:32" ht="106.15" customHeight="1">
      <c r="B25" s="225"/>
      <c r="D25" s="107"/>
      <c r="E25" s="25"/>
      <c r="F25" s="25"/>
      <c r="G25" s="25"/>
      <c r="H25" s="105"/>
      <c r="J25" s="96"/>
      <c r="K25" s="82"/>
      <c r="L25" s="82"/>
      <c r="M25" s="82"/>
      <c r="N25" s="83"/>
      <c r="P25" s="222"/>
      <c r="Q25" s="223"/>
      <c r="R25" s="223"/>
      <c r="S25" s="223"/>
      <c r="T25" s="224"/>
      <c r="V25" s="96"/>
      <c r="W25" s="82"/>
      <c r="X25" s="82"/>
      <c r="Y25" s="82"/>
      <c r="Z25" s="83"/>
      <c r="AB25" s="96"/>
      <c r="AC25" s="82"/>
      <c r="AD25" s="82"/>
      <c r="AE25" s="82"/>
      <c r="AF25" s="83"/>
    </row>
    <row r="26" spans="2:32" ht="15.75">
      <c r="B26" s="225"/>
      <c r="D26" s="104" t="s">
        <v>955</v>
      </c>
      <c r="E26" s="25"/>
      <c r="F26" s="25"/>
      <c r="G26" s="25"/>
      <c r="H26" s="105"/>
      <c r="J26" s="97" t="s">
        <v>955</v>
      </c>
      <c r="K26" s="82"/>
      <c r="L26" s="82"/>
      <c r="M26" s="82"/>
      <c r="N26" s="83"/>
      <c r="P26" s="97" t="s">
        <v>955</v>
      </c>
      <c r="Q26" s="82"/>
      <c r="R26" s="82"/>
      <c r="S26" s="82"/>
      <c r="T26" s="83"/>
      <c r="V26" s="97" t="s">
        <v>955</v>
      </c>
      <c r="W26" s="82"/>
      <c r="X26" s="82"/>
      <c r="Y26" s="82"/>
      <c r="Z26" s="83"/>
      <c r="AB26" s="97" t="s">
        <v>955</v>
      </c>
      <c r="AC26" s="82"/>
      <c r="AD26" s="82"/>
      <c r="AE26" s="82"/>
      <c r="AF26" s="83"/>
    </row>
    <row r="27" spans="2:32" ht="202.9" customHeight="1">
      <c r="B27" s="225"/>
      <c r="D27" s="107" t="s">
        <v>273</v>
      </c>
      <c r="E27" s="25"/>
      <c r="F27" s="25"/>
      <c r="G27" s="25"/>
      <c r="H27" s="105"/>
      <c r="J27" s="222" t="s">
        <v>1047</v>
      </c>
      <c r="K27" s="223"/>
      <c r="L27" s="223"/>
      <c r="M27" s="223"/>
      <c r="N27" s="224"/>
      <c r="P27" s="222" t="s">
        <v>1159</v>
      </c>
      <c r="Q27" s="223"/>
      <c r="R27" s="223"/>
      <c r="S27" s="223"/>
      <c r="T27" s="224"/>
      <c r="V27" s="81"/>
      <c r="W27" s="82"/>
      <c r="X27" s="82"/>
      <c r="Y27" s="82"/>
      <c r="Z27" s="83"/>
      <c r="AB27" s="81"/>
      <c r="AC27" s="82"/>
      <c r="AD27" s="82"/>
      <c r="AE27" s="82"/>
      <c r="AF27" s="83"/>
    </row>
    <row r="28" spans="2:32">
      <c r="B28" s="225"/>
      <c r="D28" s="107"/>
      <c r="E28" s="25"/>
      <c r="F28" s="25"/>
      <c r="G28" s="25"/>
      <c r="H28" s="105"/>
      <c r="J28" s="81"/>
      <c r="K28" s="82"/>
      <c r="L28" s="82"/>
      <c r="M28" s="82"/>
      <c r="N28" s="83"/>
      <c r="P28" s="81"/>
      <c r="Q28" s="82"/>
      <c r="R28" s="82"/>
      <c r="S28" s="82"/>
      <c r="T28" s="83"/>
      <c r="V28" s="81"/>
      <c r="W28" s="82"/>
      <c r="X28" s="82"/>
      <c r="Y28" s="82"/>
      <c r="Z28" s="83"/>
      <c r="AB28" s="81"/>
      <c r="AC28" s="82"/>
      <c r="AD28" s="82"/>
      <c r="AE28" s="82"/>
      <c r="AF28" s="83"/>
    </row>
    <row r="29" spans="2:32">
      <c r="B29" s="225"/>
      <c r="D29" s="107"/>
      <c r="E29" s="25"/>
      <c r="F29" s="25"/>
      <c r="G29" s="25"/>
      <c r="H29" s="105"/>
      <c r="J29" s="81"/>
      <c r="K29" s="82"/>
      <c r="L29" s="82"/>
      <c r="M29" s="82"/>
      <c r="N29" s="83"/>
      <c r="P29" s="81"/>
      <c r="Q29" s="82"/>
      <c r="R29" s="82"/>
      <c r="S29" s="82"/>
      <c r="T29" s="83"/>
      <c r="V29" s="81"/>
      <c r="W29" s="82"/>
      <c r="X29" s="82"/>
      <c r="Y29" s="82"/>
      <c r="Z29" s="83"/>
      <c r="AB29" s="81"/>
      <c r="AC29" s="82"/>
      <c r="AD29" s="82"/>
      <c r="AE29" s="82"/>
      <c r="AF29" s="83"/>
    </row>
    <row r="30" spans="2:32">
      <c r="B30" s="225"/>
      <c r="D30" s="108"/>
      <c r="E30" s="109"/>
      <c r="F30" s="109"/>
      <c r="G30" s="109"/>
      <c r="H30" s="110"/>
      <c r="J30" s="84"/>
      <c r="K30" s="85"/>
      <c r="L30" s="85"/>
      <c r="M30" s="85"/>
      <c r="N30" s="86"/>
      <c r="P30" s="84"/>
      <c r="Q30" s="85"/>
      <c r="R30" s="85"/>
      <c r="S30" s="85"/>
      <c r="T30" s="86"/>
      <c r="V30" s="84"/>
      <c r="W30" s="85"/>
      <c r="X30" s="85"/>
      <c r="Y30" s="85"/>
      <c r="Z30" s="86"/>
      <c r="AB30" s="84"/>
      <c r="AC30" s="85"/>
      <c r="AD30" s="85"/>
      <c r="AE30" s="85"/>
      <c r="AF30" s="86"/>
    </row>
    <row r="34" spans="2:32" ht="15.75">
      <c r="D34" s="88" t="s">
        <v>956</v>
      </c>
      <c r="E34" s="87"/>
      <c r="G34" s="100" t="s">
        <v>949</v>
      </c>
      <c r="H34" s="100" t="s">
        <v>950</v>
      </c>
      <c r="J34" s="88" t="s">
        <v>948</v>
      </c>
      <c r="K34" s="87"/>
      <c r="M34" s="100" t="s">
        <v>949</v>
      </c>
      <c r="N34" s="100" t="s">
        <v>950</v>
      </c>
      <c r="O34" s="94"/>
      <c r="P34" s="88" t="s">
        <v>991</v>
      </c>
      <c r="Q34" s="87"/>
      <c r="S34" s="100" t="s">
        <v>949</v>
      </c>
      <c r="T34" s="100" t="s">
        <v>950</v>
      </c>
      <c r="V34" s="88" t="s">
        <v>1048</v>
      </c>
      <c r="W34" s="87"/>
      <c r="Y34" s="100" t="s">
        <v>949</v>
      </c>
      <c r="Z34" s="100" t="s">
        <v>950</v>
      </c>
      <c r="AB34" s="88" t="s">
        <v>1160</v>
      </c>
      <c r="AC34" s="87"/>
      <c r="AE34" s="100" t="s">
        <v>949</v>
      </c>
      <c r="AF34" s="100" t="s">
        <v>950</v>
      </c>
    </row>
    <row r="35" spans="2:32" ht="15.75">
      <c r="D35" s="92"/>
      <c r="E35" s="87"/>
      <c r="G35" s="90">
        <v>45721</v>
      </c>
      <c r="H35" s="90">
        <v>45744</v>
      </c>
      <c r="J35" s="92"/>
      <c r="K35" s="87"/>
      <c r="M35" s="90">
        <v>45747</v>
      </c>
      <c r="N35" s="90">
        <v>45832</v>
      </c>
      <c r="P35" s="92"/>
      <c r="Q35" s="87"/>
      <c r="S35" s="90">
        <v>45832</v>
      </c>
      <c r="T35" s="90" t="s">
        <v>273</v>
      </c>
      <c r="V35" s="92"/>
      <c r="W35" s="87"/>
      <c r="Y35" s="90">
        <v>45915</v>
      </c>
      <c r="Z35" s="90" t="s">
        <v>273</v>
      </c>
      <c r="AB35" s="92"/>
      <c r="AC35" s="87"/>
      <c r="AE35" s="90" t="s">
        <v>273</v>
      </c>
      <c r="AF35" s="90" t="s">
        <v>273</v>
      </c>
    </row>
    <row r="36" spans="2:32" ht="14.45" customHeight="1">
      <c r="B36" s="89" t="s">
        <v>951</v>
      </c>
      <c r="D36" s="78"/>
      <c r="J36" s="78"/>
      <c r="P36" s="78"/>
      <c r="V36" s="78"/>
      <c r="AB36" s="78"/>
    </row>
    <row r="37" spans="2:32" ht="15.75">
      <c r="B37" s="226" t="s">
        <v>957</v>
      </c>
      <c r="D37" s="95" t="s">
        <v>5</v>
      </c>
      <c r="E37" s="79"/>
      <c r="F37" s="79"/>
      <c r="G37" s="79"/>
      <c r="H37" s="80"/>
      <c r="J37" s="101" t="s">
        <v>5</v>
      </c>
      <c r="K37" s="102"/>
      <c r="L37" s="102"/>
      <c r="M37" s="102"/>
      <c r="N37" s="103"/>
      <c r="P37" s="95" t="s">
        <v>5</v>
      </c>
      <c r="Q37" s="79"/>
      <c r="R37" s="79"/>
      <c r="S37" s="79"/>
      <c r="T37" s="80"/>
      <c r="V37" s="95" t="s">
        <v>5</v>
      </c>
      <c r="W37" s="79"/>
      <c r="X37" s="79"/>
      <c r="Y37" s="79"/>
      <c r="Z37" s="80"/>
      <c r="AB37" s="95" t="s">
        <v>5</v>
      </c>
      <c r="AC37" s="79"/>
      <c r="AD37" s="79"/>
      <c r="AE37" s="79"/>
      <c r="AF37" s="80"/>
    </row>
    <row r="38" spans="2:32" ht="15.75">
      <c r="B38" s="227"/>
      <c r="D38" s="97"/>
      <c r="E38" s="82"/>
      <c r="F38" s="82"/>
      <c r="G38" s="82"/>
      <c r="H38" s="83"/>
      <c r="J38" s="213" t="s">
        <v>965</v>
      </c>
      <c r="K38" s="214"/>
      <c r="L38" s="214"/>
      <c r="M38" s="214"/>
      <c r="N38" s="215"/>
      <c r="P38" s="219" t="s">
        <v>1044</v>
      </c>
      <c r="Q38" s="220"/>
      <c r="R38" s="220"/>
      <c r="S38" s="220"/>
      <c r="T38" s="221"/>
      <c r="V38" s="222" t="s">
        <v>1156</v>
      </c>
      <c r="W38" s="223"/>
      <c r="X38" s="223"/>
      <c r="Y38" s="223"/>
      <c r="Z38" s="224"/>
      <c r="AB38" s="219"/>
      <c r="AC38" s="220"/>
      <c r="AD38" s="220"/>
      <c r="AE38" s="220"/>
      <c r="AF38" s="221"/>
    </row>
    <row r="39" spans="2:32" ht="15.75">
      <c r="B39" s="227"/>
      <c r="D39" s="96"/>
      <c r="E39" s="82"/>
      <c r="F39" s="82"/>
      <c r="G39" s="82"/>
      <c r="H39" s="83"/>
      <c r="J39" s="213"/>
      <c r="K39" s="214"/>
      <c r="L39" s="214"/>
      <c r="M39" s="214"/>
      <c r="N39" s="215"/>
      <c r="P39" s="219"/>
      <c r="Q39" s="220"/>
      <c r="R39" s="220"/>
      <c r="S39" s="220"/>
      <c r="T39" s="221"/>
      <c r="V39" s="222"/>
      <c r="W39" s="223"/>
      <c r="X39" s="223"/>
      <c r="Y39" s="223"/>
      <c r="Z39" s="224"/>
      <c r="AB39" s="219"/>
      <c r="AC39" s="220"/>
      <c r="AD39" s="220"/>
      <c r="AE39" s="220"/>
      <c r="AF39" s="221"/>
    </row>
    <row r="40" spans="2:32" ht="15.75">
      <c r="B40" s="227"/>
      <c r="D40" s="96"/>
      <c r="E40" s="82"/>
      <c r="F40" s="82"/>
      <c r="G40" s="82"/>
      <c r="H40" s="83"/>
      <c r="J40" s="213"/>
      <c r="K40" s="214"/>
      <c r="L40" s="214"/>
      <c r="M40" s="214"/>
      <c r="N40" s="215"/>
      <c r="P40" s="219"/>
      <c r="Q40" s="220"/>
      <c r="R40" s="220"/>
      <c r="S40" s="220"/>
      <c r="T40" s="221"/>
      <c r="V40" s="222"/>
      <c r="W40" s="223"/>
      <c r="X40" s="223"/>
      <c r="Y40" s="223"/>
      <c r="Z40" s="224"/>
      <c r="AB40" s="219"/>
      <c r="AC40" s="220"/>
      <c r="AD40" s="220"/>
      <c r="AE40" s="220"/>
      <c r="AF40" s="221"/>
    </row>
    <row r="41" spans="2:32" ht="15.75">
      <c r="B41" s="227"/>
      <c r="D41" s="96"/>
      <c r="E41" s="82"/>
      <c r="F41" s="82"/>
      <c r="G41" s="82"/>
      <c r="H41" s="83"/>
      <c r="J41" s="213"/>
      <c r="K41" s="214"/>
      <c r="L41" s="214"/>
      <c r="M41" s="214"/>
      <c r="N41" s="215"/>
      <c r="P41" s="219"/>
      <c r="Q41" s="220"/>
      <c r="R41" s="220"/>
      <c r="S41" s="220"/>
      <c r="T41" s="221"/>
      <c r="V41" s="96"/>
      <c r="W41" s="82"/>
      <c r="X41" s="82"/>
      <c r="Y41" s="82"/>
      <c r="Z41" s="83"/>
      <c r="AB41" s="219"/>
      <c r="AC41" s="220"/>
      <c r="AD41" s="220"/>
      <c r="AE41" s="220"/>
      <c r="AF41" s="221"/>
    </row>
    <row r="42" spans="2:32" ht="15.75">
      <c r="B42" s="227"/>
      <c r="D42" s="97" t="s">
        <v>136</v>
      </c>
      <c r="E42" s="82"/>
      <c r="F42" s="82"/>
      <c r="G42" s="82"/>
      <c r="H42" s="83"/>
      <c r="J42" s="104" t="s">
        <v>136</v>
      </c>
      <c r="K42" s="25"/>
      <c r="L42" s="25"/>
      <c r="M42" s="25"/>
      <c r="N42" s="105"/>
      <c r="P42" s="97" t="s">
        <v>136</v>
      </c>
      <c r="Q42" s="82"/>
      <c r="R42" s="82"/>
      <c r="S42" s="82"/>
      <c r="T42" s="83"/>
      <c r="V42" s="97" t="s">
        <v>136</v>
      </c>
      <c r="W42" s="82"/>
      <c r="X42" s="82"/>
      <c r="Y42" s="82"/>
      <c r="Z42" s="83"/>
      <c r="AB42" s="97" t="s">
        <v>136</v>
      </c>
      <c r="AC42" s="82"/>
      <c r="AD42" s="82"/>
      <c r="AE42" s="82"/>
      <c r="AF42" s="83"/>
    </row>
    <row r="43" spans="2:32" ht="15.75">
      <c r="B43" s="227"/>
      <c r="D43" s="96"/>
      <c r="E43" s="82"/>
      <c r="F43" s="82"/>
      <c r="G43" s="82"/>
      <c r="H43" s="83"/>
      <c r="J43" s="216" t="s">
        <v>962</v>
      </c>
      <c r="K43" s="217"/>
      <c r="L43" s="217"/>
      <c r="M43" s="217"/>
      <c r="N43" s="218"/>
      <c r="P43" s="222" t="s">
        <v>1046</v>
      </c>
      <c r="Q43" s="223"/>
      <c r="R43" s="223"/>
      <c r="S43" s="223"/>
      <c r="T43" s="224"/>
      <c r="V43" s="222" t="s">
        <v>1157</v>
      </c>
      <c r="W43" s="223"/>
      <c r="X43" s="223"/>
      <c r="Y43" s="223"/>
      <c r="Z43" s="224"/>
      <c r="AB43" s="222"/>
      <c r="AC43" s="223"/>
      <c r="AD43" s="223"/>
      <c r="AE43" s="223"/>
      <c r="AF43" s="224"/>
    </row>
    <row r="44" spans="2:32" ht="15.75">
      <c r="B44" s="227"/>
      <c r="D44" s="96"/>
      <c r="E44" s="82"/>
      <c r="F44" s="82"/>
      <c r="G44" s="82"/>
      <c r="H44" s="83"/>
      <c r="J44" s="216"/>
      <c r="K44" s="217"/>
      <c r="L44" s="217"/>
      <c r="M44" s="217"/>
      <c r="N44" s="218"/>
      <c r="P44" s="96"/>
      <c r="Q44" s="82"/>
      <c r="R44" s="82"/>
      <c r="S44" s="82"/>
      <c r="T44" s="83"/>
      <c r="V44" s="96"/>
      <c r="W44" s="82"/>
      <c r="X44" s="82"/>
      <c r="Y44" s="82"/>
      <c r="Z44" s="83"/>
      <c r="AB44" s="96"/>
      <c r="AC44" s="82"/>
      <c r="AD44" s="82"/>
      <c r="AE44" s="82"/>
      <c r="AF44" s="83"/>
    </row>
    <row r="45" spans="2:32" ht="15.75">
      <c r="B45" s="227"/>
      <c r="D45" s="96"/>
      <c r="E45" s="82"/>
      <c r="F45" s="82"/>
      <c r="G45" s="82"/>
      <c r="H45" s="83"/>
      <c r="J45" s="106"/>
      <c r="K45" s="25"/>
      <c r="L45" s="25"/>
      <c r="M45" s="25"/>
      <c r="N45" s="105"/>
      <c r="P45" s="96"/>
      <c r="Q45" s="82"/>
      <c r="R45" s="82"/>
      <c r="S45" s="82"/>
      <c r="T45" s="83"/>
      <c r="V45" s="96"/>
      <c r="W45" s="82"/>
      <c r="X45" s="82"/>
      <c r="Y45" s="82"/>
      <c r="Z45" s="83"/>
      <c r="AB45" s="96"/>
      <c r="AC45" s="82"/>
      <c r="AD45" s="82"/>
      <c r="AE45" s="82"/>
      <c r="AF45" s="83"/>
    </row>
    <row r="46" spans="2:32" ht="15.75">
      <c r="B46" s="227"/>
      <c r="D46" s="97" t="s">
        <v>953</v>
      </c>
      <c r="E46" s="82"/>
      <c r="F46" s="82"/>
      <c r="G46" s="82"/>
      <c r="H46" s="83"/>
      <c r="J46" s="104" t="s">
        <v>953</v>
      </c>
      <c r="K46" s="25"/>
      <c r="L46" s="25"/>
      <c r="M46" s="25"/>
      <c r="N46" s="105"/>
      <c r="P46" s="97" t="s">
        <v>953</v>
      </c>
      <c r="Q46" s="82"/>
      <c r="R46" s="82"/>
      <c r="S46" s="82"/>
      <c r="T46" s="83"/>
      <c r="V46" s="97" t="s">
        <v>953</v>
      </c>
      <c r="W46" s="82"/>
      <c r="X46" s="82"/>
      <c r="Y46" s="82"/>
      <c r="Z46" s="83"/>
      <c r="AB46" s="97" t="s">
        <v>953</v>
      </c>
      <c r="AC46" s="82"/>
      <c r="AD46" s="82"/>
      <c r="AE46" s="82"/>
      <c r="AF46" s="83"/>
    </row>
    <row r="47" spans="2:32" ht="15.75">
      <c r="B47" s="227"/>
      <c r="D47" s="96"/>
      <c r="E47" s="82"/>
      <c r="F47" s="82"/>
      <c r="G47" s="82"/>
      <c r="H47" s="83"/>
      <c r="J47" s="216" t="s">
        <v>964</v>
      </c>
      <c r="K47" s="217"/>
      <c r="L47" s="217"/>
      <c r="M47" s="217"/>
      <c r="N47" s="218"/>
      <c r="P47" s="96"/>
      <c r="Q47" s="82"/>
      <c r="R47" s="82"/>
      <c r="S47" s="82"/>
      <c r="T47" s="83"/>
      <c r="V47" s="96"/>
      <c r="W47" s="82"/>
      <c r="X47" s="82"/>
      <c r="Y47" s="82"/>
      <c r="Z47" s="83"/>
      <c r="AB47" s="96"/>
      <c r="AC47" s="82"/>
      <c r="AD47" s="82"/>
      <c r="AE47" s="82"/>
      <c r="AF47" s="83"/>
    </row>
    <row r="48" spans="2:32" ht="131.44999999999999" customHeight="1">
      <c r="B48" s="227"/>
      <c r="D48" s="96"/>
      <c r="E48" s="82"/>
      <c r="F48" s="82"/>
      <c r="G48" s="82"/>
      <c r="H48" s="83"/>
      <c r="J48" s="216"/>
      <c r="K48" s="217"/>
      <c r="L48" s="217"/>
      <c r="M48" s="217"/>
      <c r="N48" s="218"/>
      <c r="P48" s="96"/>
      <c r="Q48" s="82"/>
      <c r="R48" s="82"/>
      <c r="S48" s="82"/>
      <c r="T48" s="83"/>
      <c r="V48" s="96"/>
      <c r="W48" s="82"/>
      <c r="X48" s="82"/>
      <c r="Y48" s="82"/>
      <c r="Z48" s="83"/>
      <c r="AB48" s="96"/>
      <c r="AC48" s="82"/>
      <c r="AD48" s="82"/>
      <c r="AE48" s="82"/>
      <c r="AF48" s="83"/>
    </row>
    <row r="49" spans="2:32" ht="15.75">
      <c r="B49" s="227"/>
      <c r="D49" s="96"/>
      <c r="E49" s="82"/>
      <c r="F49" s="82"/>
      <c r="G49" s="82"/>
      <c r="H49" s="83"/>
      <c r="J49" s="106"/>
      <c r="K49" s="25"/>
      <c r="L49" s="25"/>
      <c r="M49" s="25"/>
      <c r="N49" s="105"/>
      <c r="P49" s="96"/>
      <c r="Q49" s="82"/>
      <c r="R49" s="82"/>
      <c r="S49" s="82"/>
      <c r="T49" s="83"/>
      <c r="V49" s="96"/>
      <c r="W49" s="82"/>
      <c r="X49" s="82"/>
      <c r="Y49" s="82"/>
      <c r="Z49" s="83"/>
      <c r="AB49" s="96"/>
      <c r="AC49" s="82"/>
      <c r="AD49" s="82"/>
      <c r="AE49" s="82"/>
      <c r="AF49" s="83"/>
    </row>
    <row r="50" spans="2:32" ht="15.75">
      <c r="B50" s="227"/>
      <c r="D50" s="97" t="s">
        <v>954</v>
      </c>
      <c r="E50" s="82"/>
      <c r="F50" s="82"/>
      <c r="G50" s="82"/>
      <c r="H50" s="83"/>
      <c r="J50" s="104" t="s">
        <v>954</v>
      </c>
      <c r="K50" s="25"/>
      <c r="L50" s="25"/>
      <c r="M50" s="25"/>
      <c r="N50" s="105"/>
      <c r="P50" s="97" t="s">
        <v>954</v>
      </c>
      <c r="Q50" s="82"/>
      <c r="R50" s="82"/>
      <c r="S50" s="82"/>
      <c r="T50" s="83"/>
      <c r="V50" s="97" t="s">
        <v>954</v>
      </c>
      <c r="W50" s="82"/>
      <c r="X50" s="82"/>
      <c r="Y50" s="82"/>
      <c r="Z50" s="83"/>
      <c r="AB50" s="97" t="s">
        <v>954</v>
      </c>
      <c r="AC50" s="82"/>
      <c r="AD50" s="82"/>
      <c r="AE50" s="82"/>
      <c r="AF50" s="83"/>
    </row>
    <row r="51" spans="2:32" ht="23.45" customHeight="1">
      <c r="B51" s="227"/>
      <c r="D51" s="81"/>
      <c r="E51" s="82"/>
      <c r="F51" s="82"/>
      <c r="G51" s="82"/>
      <c r="H51" s="83"/>
      <c r="J51" s="113" t="s">
        <v>963</v>
      </c>
      <c r="K51" s="111"/>
      <c r="L51" s="111"/>
      <c r="M51" s="111"/>
      <c r="N51" s="112"/>
      <c r="P51" s="96"/>
      <c r="Q51" s="82"/>
      <c r="R51" s="82"/>
      <c r="S51" s="82"/>
      <c r="T51" s="83"/>
      <c r="V51" s="222" t="s">
        <v>1158</v>
      </c>
      <c r="W51" s="223"/>
      <c r="X51" s="223"/>
      <c r="Y51" s="223"/>
      <c r="Z51" s="224"/>
      <c r="AB51" s="96"/>
      <c r="AC51" s="82"/>
      <c r="AD51" s="82"/>
      <c r="AE51" s="82"/>
      <c r="AF51" s="83"/>
    </row>
    <row r="52" spans="2:32" ht="154.15" customHeight="1">
      <c r="B52" s="227"/>
      <c r="D52" s="81"/>
      <c r="E52" s="82"/>
      <c r="F52" s="82"/>
      <c r="G52" s="82"/>
      <c r="H52" s="83"/>
      <c r="J52" s="107"/>
      <c r="K52" s="25"/>
      <c r="L52" s="25"/>
      <c r="M52" s="25"/>
      <c r="N52" s="105"/>
      <c r="P52" s="96"/>
      <c r="Q52" s="82"/>
      <c r="R52" s="82"/>
      <c r="S52" s="82"/>
      <c r="T52" s="83"/>
      <c r="V52" s="222"/>
      <c r="W52" s="223"/>
      <c r="X52" s="223"/>
      <c r="Y52" s="223"/>
      <c r="Z52" s="224"/>
      <c r="AB52" s="96"/>
      <c r="AC52" s="82"/>
      <c r="AD52" s="82"/>
      <c r="AE52" s="82"/>
      <c r="AF52" s="83"/>
    </row>
    <row r="53" spans="2:32" ht="15.75">
      <c r="B53" s="227"/>
      <c r="D53" s="81"/>
      <c r="E53" s="82"/>
      <c r="F53" s="82"/>
      <c r="G53" s="82"/>
      <c r="H53" s="83"/>
      <c r="J53" s="104" t="s">
        <v>955</v>
      </c>
      <c r="K53" s="25"/>
      <c r="L53" s="25"/>
      <c r="M53" s="25"/>
      <c r="N53" s="105"/>
      <c r="P53" s="97" t="s">
        <v>955</v>
      </c>
      <c r="Q53" s="82"/>
      <c r="R53" s="82"/>
      <c r="S53" s="82"/>
      <c r="T53" s="83"/>
      <c r="V53" s="97" t="s">
        <v>955</v>
      </c>
      <c r="W53" s="82"/>
      <c r="X53" s="82"/>
      <c r="Y53" s="82"/>
      <c r="Z53" s="83"/>
      <c r="AB53" s="97" t="s">
        <v>955</v>
      </c>
      <c r="AC53" s="82"/>
      <c r="AD53" s="82"/>
      <c r="AE53" s="82"/>
      <c r="AF53" s="83"/>
    </row>
    <row r="54" spans="2:32" ht="399.6" customHeight="1">
      <c r="B54" s="227"/>
      <c r="D54" s="97" t="s">
        <v>955</v>
      </c>
      <c r="E54" s="82"/>
      <c r="F54" s="82"/>
      <c r="G54" s="82"/>
      <c r="H54" s="83"/>
      <c r="J54" s="107" t="s">
        <v>273</v>
      </c>
      <c r="K54" s="25"/>
      <c r="L54" s="25"/>
      <c r="M54" s="25"/>
      <c r="N54" s="105"/>
      <c r="P54" s="222" t="s">
        <v>1047</v>
      </c>
      <c r="Q54" s="223"/>
      <c r="R54" s="223"/>
      <c r="S54" s="223"/>
      <c r="T54" s="224"/>
      <c r="V54" s="222" t="s">
        <v>1159</v>
      </c>
      <c r="W54" s="223"/>
      <c r="X54" s="223"/>
      <c r="Y54" s="223"/>
      <c r="Z54" s="224"/>
      <c r="AB54" s="222"/>
      <c r="AC54" s="223"/>
      <c r="AD54" s="223"/>
      <c r="AE54" s="223"/>
      <c r="AF54" s="224"/>
    </row>
    <row r="55" spans="2:32" ht="16.899999999999999" customHeight="1">
      <c r="B55" s="227"/>
      <c r="D55" s="81"/>
      <c r="E55" s="82"/>
      <c r="F55" s="82"/>
      <c r="G55" s="82"/>
      <c r="H55" s="83"/>
      <c r="J55" s="107"/>
      <c r="K55" s="25"/>
      <c r="L55" s="25"/>
      <c r="M55" s="25"/>
      <c r="N55" s="105"/>
      <c r="P55" s="81"/>
      <c r="Q55" s="82"/>
      <c r="R55" s="82"/>
      <c r="S55" s="82"/>
      <c r="T55" s="83"/>
      <c r="V55" s="81"/>
      <c r="W55" s="82"/>
      <c r="X55" s="82"/>
      <c r="Y55" s="82"/>
      <c r="Z55" s="83"/>
      <c r="AB55" s="81"/>
      <c r="AC55" s="82"/>
      <c r="AD55" s="82"/>
      <c r="AE55" s="82"/>
      <c r="AF55" s="83"/>
    </row>
    <row r="56" spans="2:32">
      <c r="B56" s="227"/>
      <c r="D56" s="81"/>
      <c r="E56" s="82"/>
      <c r="F56" s="82"/>
      <c r="G56" s="82"/>
      <c r="H56" s="83"/>
      <c r="J56" s="107"/>
      <c r="K56" s="25"/>
      <c r="L56" s="25"/>
      <c r="M56" s="25"/>
      <c r="N56" s="105"/>
      <c r="P56" s="81"/>
      <c r="Q56" s="82"/>
      <c r="R56" s="82"/>
      <c r="S56" s="82"/>
      <c r="T56" s="83"/>
      <c r="V56" s="81"/>
      <c r="W56" s="82"/>
      <c r="X56" s="82"/>
      <c r="Y56" s="82"/>
      <c r="Z56" s="83"/>
      <c r="AB56" s="81"/>
      <c r="AC56" s="82"/>
      <c r="AD56" s="82"/>
      <c r="AE56" s="82"/>
      <c r="AF56" s="83"/>
    </row>
    <row r="57" spans="2:32" ht="31.9" customHeight="1">
      <c r="B57" s="227"/>
      <c r="D57" s="81"/>
      <c r="E57" s="82"/>
      <c r="F57" s="82"/>
      <c r="G57" s="82"/>
      <c r="H57" s="83"/>
      <c r="J57" s="107"/>
      <c r="K57" s="25"/>
      <c r="L57" s="25"/>
      <c r="M57" s="25"/>
      <c r="N57" s="105"/>
      <c r="P57" s="81"/>
      <c r="Q57" s="82"/>
      <c r="R57" s="82"/>
      <c r="S57" s="82"/>
      <c r="T57" s="83"/>
      <c r="V57" s="84"/>
      <c r="W57" s="85"/>
      <c r="X57" s="85"/>
      <c r="Y57" s="85"/>
      <c r="Z57" s="86"/>
      <c r="AB57" s="81"/>
      <c r="AC57" s="82"/>
      <c r="AD57" s="82"/>
      <c r="AE57" s="82"/>
      <c r="AF57" s="83"/>
    </row>
    <row r="58" spans="2:32">
      <c r="B58" s="228"/>
      <c r="D58" s="84"/>
      <c r="E58" s="85"/>
      <c r="F58" s="85"/>
      <c r="G58" s="85"/>
      <c r="H58" s="86"/>
      <c r="J58" s="84"/>
      <c r="K58" s="85"/>
      <c r="L58" s="85"/>
      <c r="M58" s="85"/>
      <c r="N58" s="86"/>
      <c r="P58" s="84"/>
      <c r="Q58" s="85"/>
      <c r="R58" s="85"/>
      <c r="S58" s="85"/>
      <c r="T58" s="86"/>
      <c r="V58" s="84"/>
      <c r="W58" s="85"/>
      <c r="X58" s="85"/>
      <c r="Y58" s="85"/>
      <c r="Z58" s="86"/>
      <c r="AB58" s="84"/>
      <c r="AC58" s="85"/>
      <c r="AD58" s="85"/>
      <c r="AE58" s="85"/>
      <c r="AF58" s="86"/>
    </row>
    <row r="59" spans="2:32">
      <c r="Y59" s="1"/>
      <c r="AE59" s="1"/>
    </row>
    <row r="60" spans="2:32">
      <c r="Y60" s="1"/>
    </row>
    <row r="61" spans="2:32">
      <c r="Y61" s="1"/>
    </row>
    <row r="62" spans="2:32">
      <c r="Y62" s="1"/>
    </row>
    <row r="63" spans="2:32">
      <c r="Y63" s="1"/>
    </row>
    <row r="64" spans="2:32">
      <c r="Y64" s="1"/>
    </row>
    <row r="65" spans="1:16">
      <c r="A65" s="77"/>
      <c r="P65" s="1"/>
    </row>
    <row r="66" spans="1:16">
      <c r="A66" s="77"/>
      <c r="P66" s="1"/>
    </row>
    <row r="67" spans="1:16">
      <c r="A67" s="77"/>
      <c r="P67" s="1"/>
    </row>
    <row r="68" spans="1:16">
      <c r="A68" s="77"/>
      <c r="P68" s="1"/>
    </row>
    <row r="69" spans="1:16">
      <c r="A69" s="77"/>
      <c r="P69" s="1"/>
    </row>
    <row r="70" spans="1:16">
      <c r="A70" s="77"/>
      <c r="P70" s="1"/>
    </row>
    <row r="71" spans="1:16">
      <c r="A71" s="77"/>
    </row>
    <row r="72" spans="1:16">
      <c r="A72" s="77"/>
    </row>
    <row r="73" spans="1:16">
      <c r="A73" s="77"/>
    </row>
    <row r="74" spans="1:16">
      <c r="A74" s="77"/>
    </row>
    <row r="75" spans="1:16">
      <c r="A75" s="77"/>
    </row>
    <row r="76" spans="1:16">
      <c r="A76" s="77"/>
    </row>
    <row r="77" spans="1:16">
      <c r="A77" s="77"/>
    </row>
    <row r="78" spans="1:16">
      <c r="A78" s="77"/>
    </row>
    <row r="79" spans="1:16">
      <c r="A79" s="77"/>
    </row>
    <row r="80" spans="1:16">
      <c r="A80" s="77"/>
    </row>
    <row r="81" spans="1:1">
      <c r="A81" s="77"/>
    </row>
    <row r="82" spans="1:1">
      <c r="A82" s="77"/>
    </row>
    <row r="83" spans="1:1">
      <c r="A83" s="77"/>
    </row>
    <row r="84" spans="1:1">
      <c r="A84" s="77"/>
    </row>
    <row r="85" spans="1:1">
      <c r="A85" s="77"/>
    </row>
    <row r="86" spans="1:1">
      <c r="A86" s="77"/>
    </row>
    <row r="87" spans="1:1">
      <c r="A87" s="77"/>
    </row>
  </sheetData>
  <mergeCells count="25">
    <mergeCell ref="AB38:AF41"/>
    <mergeCell ref="AB43:AF43"/>
    <mergeCell ref="AB54:AF54"/>
    <mergeCell ref="P11:T13"/>
    <mergeCell ref="P16:T16"/>
    <mergeCell ref="P24:T25"/>
    <mergeCell ref="P27:T27"/>
    <mergeCell ref="V43:Z43"/>
    <mergeCell ref="V54:Z54"/>
    <mergeCell ref="P38:T41"/>
    <mergeCell ref="P43:T43"/>
    <mergeCell ref="P54:T54"/>
    <mergeCell ref="V38:Z40"/>
    <mergeCell ref="V51:Z52"/>
    <mergeCell ref="B10:B30"/>
    <mergeCell ref="B37:B58"/>
    <mergeCell ref="D11:H14"/>
    <mergeCell ref="D16:H17"/>
    <mergeCell ref="D20:H21"/>
    <mergeCell ref="J38:N41"/>
    <mergeCell ref="J43:N44"/>
    <mergeCell ref="J47:N48"/>
    <mergeCell ref="J11:N14"/>
    <mergeCell ref="J16:N16"/>
    <mergeCell ref="J27:N27"/>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C8DCF-2B58-407B-B96D-87CEB4034006}">
  <sheetPr filterMode="1"/>
  <dimension ref="A1:K1839"/>
  <sheetViews>
    <sheetView zoomScale="76" workbookViewId="0">
      <selection activeCell="B885" sqref="B885"/>
    </sheetView>
  </sheetViews>
  <sheetFormatPr defaultColWidth="8.875" defaultRowHeight="15"/>
  <cols>
    <col min="1" max="1" width="22.125" style="148" bestFit="1" customWidth="1"/>
    <col min="2" max="2" width="42.125" style="148" customWidth="1"/>
    <col min="3" max="3" width="19.5" style="148" bestFit="1" customWidth="1"/>
    <col min="4" max="4" width="42.375" style="148" bestFit="1" customWidth="1"/>
    <col min="5" max="5" width="34.375" style="148" bestFit="1" customWidth="1"/>
    <col min="6" max="6" width="17.625" style="148" bestFit="1" customWidth="1"/>
    <col min="7" max="7" width="27.75" style="148" bestFit="1" customWidth="1"/>
    <col min="8" max="8" width="18.375" style="148" bestFit="1" customWidth="1"/>
    <col min="9" max="9" width="18.5" style="148" bestFit="1" customWidth="1"/>
    <col min="10" max="10" width="12.5" style="148" bestFit="1" customWidth="1"/>
    <col min="11" max="11" width="53.75" style="148" bestFit="1" customWidth="1"/>
    <col min="12" max="16384" width="8.875" style="148"/>
  </cols>
  <sheetData>
    <row r="1" spans="1:11">
      <c r="A1" s="148" t="s">
        <v>994</v>
      </c>
      <c r="B1" s="148" t="s">
        <v>995</v>
      </c>
      <c r="C1" s="148" t="s">
        <v>996</v>
      </c>
      <c r="D1" s="148" t="s">
        <v>997</v>
      </c>
      <c r="E1" s="148" t="s">
        <v>998</v>
      </c>
      <c r="F1" s="148" t="s">
        <v>999</v>
      </c>
      <c r="G1" s="148" t="s">
        <v>1000</v>
      </c>
      <c r="H1" s="148" t="s">
        <v>1001</v>
      </c>
      <c r="I1" s="148" t="s">
        <v>1002</v>
      </c>
      <c r="J1" s="148" t="s">
        <v>1003</v>
      </c>
      <c r="K1" s="148" t="s">
        <v>4869</v>
      </c>
    </row>
    <row r="2" spans="1:11" hidden="1">
      <c r="A2" s="148" t="s">
        <v>1197</v>
      </c>
      <c r="B2" s="148" t="s">
        <v>1198</v>
      </c>
      <c r="C2" s="148" t="s">
        <v>1199</v>
      </c>
      <c r="D2" s="148" t="s">
        <v>577</v>
      </c>
      <c r="E2" s="148" t="s">
        <v>1200</v>
      </c>
      <c r="F2" s="148" t="s">
        <v>1201</v>
      </c>
      <c r="G2" s="148" t="s">
        <v>129</v>
      </c>
      <c r="H2" s="148">
        <v>2138857</v>
      </c>
      <c r="I2" s="148">
        <v>0</v>
      </c>
      <c r="J2" s="148">
        <v>0</v>
      </c>
      <c r="K2" s="148" t="str">
        <f>_xlfn.CONCAT(_xlfn.IFS(ISNUMBER(SEARCH("EN",A2)),"ENTITY",ISNUMBER(SEARCH("IN",A2)),"INSTRUMENT",ISNUMBER(SEARCH("PR",A2)),"PROTECTION",ISNUMBER(SEARCH("IP",A2)),"INSTR_PROTECTION",ISNUMBER(SEARCH("IE",A2)),"INSTR_ENTITY",ISNUMBER(SEARCH("AC",A2)),"INSTR_ACTIVITY"),D2)</f>
        <v>INSTR_ACTIVITYPRCNTG_ACTVTY</v>
      </c>
    </row>
    <row r="3" spans="1:11" hidden="1">
      <c r="A3" s="148" t="s">
        <v>1202</v>
      </c>
      <c r="B3" s="148" t="s">
        <v>1203</v>
      </c>
      <c r="C3" s="148" t="s">
        <v>1199</v>
      </c>
      <c r="D3" s="148" t="s">
        <v>1204</v>
      </c>
      <c r="E3" s="148" t="s">
        <v>1200</v>
      </c>
      <c r="F3" s="148" t="s">
        <v>1201</v>
      </c>
      <c r="G3" s="148" t="s">
        <v>129</v>
      </c>
      <c r="H3" s="148">
        <v>2138857</v>
      </c>
      <c r="I3" s="148">
        <v>0</v>
      </c>
      <c r="J3" s="148">
        <v>0</v>
      </c>
      <c r="K3" s="148" t="str">
        <f t="shared" ref="K3:K66" si="0">_xlfn.CONCAT(_xlfn.IFS(ISNUMBER(SEARCH("EN",A3)),"ENTITY",ISNUMBER(SEARCH("IN",A3)),"INSTRUMENT",ISNUMBER(SEARCH("PR",A3)),"PROTECTION",ISNUMBER(SEARCH("IP",A3)),"INSTR_PROTECTION",ISNUMBER(SEARCH("IE",A3)),"INSTR_ENTITY",ISNUMBER(SEARCH("AC",A3)),"INSTR_ACTIVITY"),D3)</f>
        <v>INSTR_ACTIVITYENVRNMNTL_OBJCTV</v>
      </c>
    </row>
    <row r="4" spans="1:11" hidden="1">
      <c r="A4" s="148" t="s">
        <v>1205</v>
      </c>
      <c r="B4" s="148" t="s">
        <v>1206</v>
      </c>
      <c r="C4" s="148" t="s">
        <v>1199</v>
      </c>
      <c r="D4" s="148" t="s">
        <v>1207</v>
      </c>
      <c r="E4" s="148" t="s">
        <v>1208</v>
      </c>
      <c r="F4" s="148" t="s">
        <v>1201</v>
      </c>
      <c r="G4" s="148" t="s">
        <v>129</v>
      </c>
      <c r="H4" s="148">
        <v>2138857</v>
      </c>
      <c r="I4" s="148">
        <v>0</v>
      </c>
      <c r="J4" s="148">
        <v>0</v>
      </c>
      <c r="K4" s="148" t="str">
        <f t="shared" si="0"/>
        <v>INSTR_ACTIVITYSSTNBL_INDCTR</v>
      </c>
    </row>
    <row r="5" spans="1:11" hidden="1">
      <c r="A5" s="148" t="s">
        <v>1209</v>
      </c>
      <c r="B5" s="148" t="s">
        <v>1210</v>
      </c>
      <c r="C5" s="148" t="s">
        <v>1199</v>
      </c>
      <c r="D5" s="148" t="s">
        <v>1211</v>
      </c>
      <c r="E5" s="148" t="s">
        <v>1208</v>
      </c>
      <c r="F5" s="148" t="s">
        <v>1201</v>
      </c>
      <c r="G5" s="148" t="s">
        <v>129</v>
      </c>
      <c r="H5" s="148">
        <v>2138857</v>
      </c>
      <c r="I5" s="148">
        <v>0</v>
      </c>
      <c r="J5" s="148">
        <v>0</v>
      </c>
      <c r="K5" s="148" t="str">
        <f t="shared" si="0"/>
        <v>INSTR_ACTIVITYFLG_SBSTNTL_CNTRBTN</v>
      </c>
    </row>
    <row r="6" spans="1:11" hidden="1">
      <c r="A6" s="148" t="s">
        <v>1212</v>
      </c>
      <c r="B6" s="148" t="s">
        <v>1213</v>
      </c>
      <c r="C6" s="148" t="s">
        <v>1199</v>
      </c>
      <c r="D6" s="148" t="s">
        <v>1214</v>
      </c>
      <c r="E6" s="148" t="s">
        <v>1208</v>
      </c>
      <c r="F6" s="148" t="s">
        <v>1201</v>
      </c>
      <c r="G6" s="148" t="s">
        <v>129</v>
      </c>
      <c r="H6" s="148">
        <v>2138857</v>
      </c>
      <c r="I6" s="148">
        <v>0</v>
      </c>
      <c r="J6" s="148">
        <v>0</v>
      </c>
      <c r="K6" s="148" t="str">
        <f t="shared" si="0"/>
        <v>INSTR_ACTIVITYFLG_DNSH_CMPLNC</v>
      </c>
    </row>
    <row r="7" spans="1:11" hidden="1">
      <c r="A7" s="148" t="s">
        <v>1215</v>
      </c>
      <c r="B7" s="148" t="s">
        <v>1216</v>
      </c>
      <c r="C7" s="148" t="s">
        <v>1217</v>
      </c>
      <c r="D7" s="148" t="s">
        <v>185</v>
      </c>
      <c r="E7" s="148" t="s">
        <v>1208</v>
      </c>
      <c r="F7" s="148" t="s">
        <v>1218</v>
      </c>
      <c r="G7" s="148" t="s">
        <v>129</v>
      </c>
      <c r="H7" s="148">
        <v>1140750</v>
      </c>
      <c r="I7" s="148">
        <v>0</v>
      </c>
      <c r="J7" s="148">
        <v>0</v>
      </c>
      <c r="K7" s="148" t="str">
        <f t="shared" si="0"/>
        <v>ENTITYCNTRY</v>
      </c>
    </row>
    <row r="8" spans="1:11" hidden="1">
      <c r="A8" s="148" t="s">
        <v>1219</v>
      </c>
      <c r="B8" s="148" t="s">
        <v>1220</v>
      </c>
      <c r="C8" s="148" t="s">
        <v>139</v>
      </c>
      <c r="D8" s="148" t="s">
        <v>232</v>
      </c>
      <c r="E8" s="148" t="s">
        <v>1221</v>
      </c>
      <c r="F8" s="148" t="s">
        <v>1218</v>
      </c>
      <c r="G8" s="148" t="s">
        <v>1011</v>
      </c>
      <c r="H8" s="148">
        <v>1139421</v>
      </c>
      <c r="I8" s="148">
        <v>13</v>
      </c>
      <c r="J8" s="148">
        <v>1.1000000000000001E-3</v>
      </c>
      <c r="K8" s="148" t="str">
        <f t="shared" si="0"/>
        <v>ENTITYDT_BRTH</v>
      </c>
    </row>
    <row r="9" spans="1:11" hidden="1">
      <c r="A9" s="148" t="s">
        <v>1222</v>
      </c>
      <c r="B9" s="148" t="s">
        <v>1223</v>
      </c>
      <c r="C9" s="148" t="s">
        <v>1217</v>
      </c>
      <c r="D9" s="148" t="s">
        <v>306</v>
      </c>
      <c r="E9" s="148" t="s">
        <v>1224</v>
      </c>
      <c r="F9" s="148" t="s">
        <v>1218</v>
      </c>
      <c r="G9" s="148" t="s">
        <v>129</v>
      </c>
      <c r="H9" s="148">
        <v>1140750</v>
      </c>
      <c r="I9" s="148">
        <v>0</v>
      </c>
      <c r="J9" s="148">
        <v>0</v>
      </c>
      <c r="K9" s="148" t="str">
        <f t="shared" si="0"/>
        <v>ENTITYENTTY_ID</v>
      </c>
    </row>
    <row r="10" spans="1:11" hidden="1">
      <c r="A10" s="148" t="s">
        <v>1225</v>
      </c>
      <c r="B10" s="148" t="s">
        <v>1226</v>
      </c>
      <c r="C10" s="148" t="s">
        <v>1217</v>
      </c>
      <c r="D10" s="148" t="s">
        <v>307</v>
      </c>
      <c r="E10" s="148" t="s">
        <v>1208</v>
      </c>
      <c r="F10" s="148" t="s">
        <v>1218</v>
      </c>
      <c r="G10" s="148" t="s">
        <v>129</v>
      </c>
      <c r="H10" s="148">
        <v>1140750</v>
      </c>
      <c r="I10" s="148">
        <v>0</v>
      </c>
      <c r="J10" s="148">
        <v>0</v>
      </c>
      <c r="K10" s="148" t="str">
        <f t="shared" si="0"/>
        <v>ENTITYENTTY_NM</v>
      </c>
    </row>
    <row r="11" spans="1:11" hidden="1">
      <c r="A11" s="148" t="s">
        <v>1227</v>
      </c>
      <c r="B11" s="148" t="s">
        <v>1228</v>
      </c>
      <c r="C11" s="148" t="s">
        <v>1217</v>
      </c>
      <c r="D11" s="148" t="s">
        <v>329</v>
      </c>
      <c r="E11" s="148" t="s">
        <v>1208</v>
      </c>
      <c r="F11" s="148" t="s">
        <v>1218</v>
      </c>
      <c r="G11" s="148" t="s">
        <v>1011</v>
      </c>
      <c r="H11" s="148">
        <v>1140329</v>
      </c>
      <c r="I11" s="148">
        <v>1058027</v>
      </c>
      <c r="J11" s="148">
        <v>92.782600000000002</v>
      </c>
      <c r="K11" s="148" t="str">
        <f t="shared" si="0"/>
        <v>ENTITYFLG_RQST_EMRGNCY_FNDNG</v>
      </c>
    </row>
    <row r="12" spans="1:11" hidden="1">
      <c r="A12" s="148" t="s">
        <v>1229</v>
      </c>
      <c r="B12" s="148" t="s">
        <v>1230</v>
      </c>
      <c r="C12" s="148" t="s">
        <v>139</v>
      </c>
      <c r="D12" s="148" t="s">
        <v>1231</v>
      </c>
      <c r="E12" s="148" t="s">
        <v>1208</v>
      </c>
      <c r="F12" s="148" t="s">
        <v>1218</v>
      </c>
      <c r="G12" s="148" t="s">
        <v>129</v>
      </c>
      <c r="H12" s="148">
        <v>82443</v>
      </c>
      <c r="I12" s="148">
        <v>0</v>
      </c>
      <c r="J12" s="148">
        <v>0</v>
      </c>
      <c r="K12" s="148" t="str">
        <f t="shared" si="0"/>
        <v>ENTITYFLG_CSRD_APPLCBLTY</v>
      </c>
    </row>
    <row r="13" spans="1:11" hidden="1">
      <c r="A13" s="148" t="s">
        <v>1232</v>
      </c>
      <c r="B13" s="148" t="s">
        <v>1233</v>
      </c>
      <c r="C13" s="148" t="s">
        <v>139</v>
      </c>
      <c r="D13" s="148" t="s">
        <v>1234</v>
      </c>
      <c r="E13" s="148" t="s">
        <v>1208</v>
      </c>
      <c r="F13" s="148" t="s">
        <v>1218</v>
      </c>
      <c r="G13" s="148" t="s">
        <v>129</v>
      </c>
      <c r="H13" s="148">
        <v>82443</v>
      </c>
      <c r="I13" s="148">
        <v>0</v>
      </c>
      <c r="J13" s="148">
        <v>0</v>
      </c>
      <c r="K13" s="148" t="str">
        <f t="shared" si="0"/>
        <v>ENTITYFLG_GRP_CSRD_APPLCBLTY</v>
      </c>
    </row>
    <row r="14" spans="1:11" hidden="1">
      <c r="A14" s="148" t="s">
        <v>1235</v>
      </c>
      <c r="B14" s="148" t="s">
        <v>1236</v>
      </c>
      <c r="C14" s="148" t="s">
        <v>139</v>
      </c>
      <c r="D14" s="148" t="s">
        <v>1237</v>
      </c>
      <c r="E14" s="148" t="s">
        <v>1208</v>
      </c>
      <c r="F14" s="148" t="s">
        <v>1218</v>
      </c>
      <c r="G14" s="148" t="s">
        <v>129</v>
      </c>
      <c r="H14" s="148">
        <v>81421</v>
      </c>
      <c r="I14" s="148">
        <v>0</v>
      </c>
      <c r="J14" s="148">
        <v>0</v>
      </c>
      <c r="K14" s="148" t="str">
        <f t="shared" si="0"/>
        <v>ENTITYFLG_EXCLDD_EU_PRS_ALGND_BNCHMRK</v>
      </c>
    </row>
    <row r="15" spans="1:11" hidden="1">
      <c r="A15" s="148" t="s">
        <v>1238</v>
      </c>
      <c r="B15" s="148" t="s">
        <v>1239</v>
      </c>
      <c r="C15" s="148" t="s">
        <v>139</v>
      </c>
      <c r="D15" s="148" t="s">
        <v>1240</v>
      </c>
      <c r="E15" s="148" t="s">
        <v>1208</v>
      </c>
      <c r="F15" s="148" t="s">
        <v>1218</v>
      </c>
      <c r="G15" s="148" t="s">
        <v>129</v>
      </c>
      <c r="H15" s="148">
        <v>1140695</v>
      </c>
      <c r="I15" s="148">
        <v>0</v>
      </c>
      <c r="J15" s="148">
        <v>0</v>
      </c>
      <c r="K15" s="148" t="str">
        <f t="shared" si="0"/>
        <v>ENTITYFLG_ACT_PHYSCL_RSK</v>
      </c>
    </row>
    <row r="16" spans="1:11" hidden="1">
      <c r="A16" s="148" t="s">
        <v>1241</v>
      </c>
      <c r="B16" s="148" t="s">
        <v>1242</v>
      </c>
      <c r="C16" s="148" t="s">
        <v>139</v>
      </c>
      <c r="D16" s="148" t="s">
        <v>1243</v>
      </c>
      <c r="E16" s="148" t="s">
        <v>1208</v>
      </c>
      <c r="F16" s="148" t="s">
        <v>1218</v>
      </c>
      <c r="G16" s="148" t="s">
        <v>129</v>
      </c>
      <c r="H16" s="148">
        <v>1140695</v>
      </c>
      <c r="I16" s="148">
        <v>0</v>
      </c>
      <c r="J16" s="148">
        <v>0</v>
      </c>
      <c r="K16" s="148" t="str">
        <f t="shared" si="0"/>
        <v>ENTITYFLG_CHRNC_PHYSCL_RSK</v>
      </c>
    </row>
    <row r="17" spans="1:11" hidden="1">
      <c r="A17" s="148" t="s">
        <v>1244</v>
      </c>
      <c r="B17" s="148" t="s">
        <v>1245</v>
      </c>
      <c r="C17" s="148" t="s">
        <v>139</v>
      </c>
      <c r="D17" s="148" t="s">
        <v>1189</v>
      </c>
      <c r="E17" s="148" t="s">
        <v>1208</v>
      </c>
      <c r="F17" s="148" t="s">
        <v>1218</v>
      </c>
      <c r="G17" s="148" t="s">
        <v>1011</v>
      </c>
      <c r="H17" s="148">
        <v>82329</v>
      </c>
      <c r="I17" s="148">
        <v>38</v>
      </c>
      <c r="J17" s="148">
        <v>4.6199999999999998E-2</v>
      </c>
      <c r="K17" s="148" t="str">
        <f t="shared" si="0"/>
        <v>ENTITYFLLN_ANGL_NRRW_DFNTN</v>
      </c>
    </row>
    <row r="18" spans="1:11" hidden="1">
      <c r="A18" s="148" t="s">
        <v>1246</v>
      </c>
      <c r="B18" s="148" t="s">
        <v>1247</v>
      </c>
      <c r="C18" s="148" t="s">
        <v>139</v>
      </c>
      <c r="D18" s="148" t="s">
        <v>1190</v>
      </c>
      <c r="E18" s="148" t="s">
        <v>1208</v>
      </c>
      <c r="F18" s="148" t="s">
        <v>1218</v>
      </c>
      <c r="G18" s="148" t="s">
        <v>1011</v>
      </c>
      <c r="H18" s="148">
        <v>82329</v>
      </c>
      <c r="I18" s="148">
        <v>38</v>
      </c>
      <c r="J18" s="148">
        <v>4.6199999999999998E-2</v>
      </c>
      <c r="K18" s="148" t="str">
        <f t="shared" si="0"/>
        <v>ENTITYFLLN_ANGL_EXTNDD_DFNTN</v>
      </c>
    </row>
    <row r="19" spans="1:11" hidden="1">
      <c r="A19" s="148" t="s">
        <v>1248</v>
      </c>
      <c r="B19" s="148" t="s">
        <v>1223</v>
      </c>
      <c r="C19" s="148" t="s">
        <v>1249</v>
      </c>
      <c r="D19" s="148" t="s">
        <v>306</v>
      </c>
      <c r="E19" s="148" t="s">
        <v>1224</v>
      </c>
      <c r="F19" s="148" t="s">
        <v>1250</v>
      </c>
      <c r="G19" s="148" t="s">
        <v>129</v>
      </c>
      <c r="H19" s="148">
        <v>2655362</v>
      </c>
      <c r="I19" s="148">
        <v>0</v>
      </c>
      <c r="J19" s="148">
        <v>0</v>
      </c>
      <c r="K19" s="148" t="str">
        <f t="shared" si="0"/>
        <v>INSTR_ENTITYENTTY_ID</v>
      </c>
    </row>
    <row r="20" spans="1:11" hidden="1">
      <c r="A20" s="148" t="s">
        <v>1251</v>
      </c>
      <c r="B20" s="148" t="s">
        <v>1252</v>
      </c>
      <c r="C20" s="148" t="s">
        <v>1249</v>
      </c>
      <c r="D20" s="148" t="s">
        <v>367</v>
      </c>
      <c r="E20" s="148" t="s">
        <v>1224</v>
      </c>
      <c r="F20" s="148" t="s">
        <v>1250</v>
      </c>
      <c r="G20" s="148" t="s">
        <v>129</v>
      </c>
      <c r="H20" s="148">
        <v>2655362</v>
      </c>
      <c r="I20" s="148">
        <v>0</v>
      </c>
      <c r="J20" s="148">
        <v>0</v>
      </c>
      <c r="K20" s="148" t="str">
        <f t="shared" si="0"/>
        <v>INSTR_ENTITYINSTRMNT_ID</v>
      </c>
    </row>
    <row r="21" spans="1:11" hidden="1">
      <c r="A21" s="148" t="s">
        <v>1253</v>
      </c>
      <c r="B21" s="148" t="s">
        <v>928</v>
      </c>
      <c r="C21" s="148" t="s">
        <v>187</v>
      </c>
      <c r="D21" s="148" t="s">
        <v>409</v>
      </c>
      <c r="E21" s="148" t="s">
        <v>1208</v>
      </c>
      <c r="F21" s="148" t="s">
        <v>1250</v>
      </c>
      <c r="G21" s="148" t="s">
        <v>129</v>
      </c>
      <c r="H21" s="148">
        <v>2655362</v>
      </c>
      <c r="I21" s="148">
        <v>0</v>
      </c>
      <c r="J21" s="148">
        <v>0</v>
      </c>
      <c r="K21" s="148" t="str">
        <f t="shared" si="0"/>
        <v>INSTR_ENTITYMN_ENTTY_ID</v>
      </c>
    </row>
    <row r="22" spans="1:11" hidden="1">
      <c r="A22" s="148" t="s">
        <v>1254</v>
      </c>
      <c r="B22" s="148" t="s">
        <v>1066</v>
      </c>
      <c r="C22" s="148" t="s">
        <v>1255</v>
      </c>
      <c r="D22" s="148" t="s">
        <v>193</v>
      </c>
      <c r="E22" s="148" t="s">
        <v>1208</v>
      </c>
      <c r="F22" s="148" t="s">
        <v>1256</v>
      </c>
      <c r="G22" s="148" t="s">
        <v>129</v>
      </c>
      <c r="H22" s="148">
        <v>371002</v>
      </c>
      <c r="I22" s="148">
        <v>0</v>
      </c>
      <c r="J22" s="148">
        <v>0</v>
      </c>
      <c r="K22" s="148" t="str">
        <f t="shared" si="0"/>
        <v>INSTRUMENTCRE_FNRP18</v>
      </c>
    </row>
    <row r="23" spans="1:11" hidden="1">
      <c r="A23" s="148" t="s">
        <v>1257</v>
      </c>
      <c r="B23" s="148" t="s">
        <v>1258</v>
      </c>
      <c r="C23" s="148" t="s">
        <v>1255</v>
      </c>
      <c r="D23" s="148" t="s">
        <v>503</v>
      </c>
      <c r="E23" s="148" t="s">
        <v>1208</v>
      </c>
      <c r="F23" s="148" t="s">
        <v>1256</v>
      </c>
      <c r="G23" s="148" t="s">
        <v>129</v>
      </c>
      <c r="H23" s="148">
        <v>371002</v>
      </c>
      <c r="I23" s="148">
        <v>0</v>
      </c>
      <c r="J23" s="148">
        <v>0</v>
      </c>
      <c r="K23" s="148" t="str">
        <f t="shared" si="0"/>
        <v>INSTRUMENTSME_FNRP18</v>
      </c>
    </row>
    <row r="24" spans="1:11" hidden="1">
      <c r="A24" s="148" t="s">
        <v>1259</v>
      </c>
      <c r="B24" s="148" t="s">
        <v>1089</v>
      </c>
      <c r="C24" s="148" t="s">
        <v>1255</v>
      </c>
      <c r="D24" s="148" t="s">
        <v>491</v>
      </c>
      <c r="E24" s="148" t="s">
        <v>1208</v>
      </c>
      <c r="F24" s="148" t="s">
        <v>1256</v>
      </c>
      <c r="G24" s="148" t="s">
        <v>129</v>
      </c>
      <c r="H24" s="148">
        <v>1740608</v>
      </c>
      <c r="I24" s="148">
        <v>0</v>
      </c>
      <c r="J24" s="148">
        <v>0</v>
      </c>
      <c r="K24" s="148" t="str">
        <f t="shared" si="0"/>
        <v>INSTRUMENTRRE_FNRP18</v>
      </c>
    </row>
    <row r="25" spans="1:11" hidden="1">
      <c r="A25" s="148" t="s">
        <v>1260</v>
      </c>
      <c r="B25" s="148" t="s">
        <v>1261</v>
      </c>
      <c r="C25" s="148" t="s">
        <v>1255</v>
      </c>
      <c r="D25" s="148" t="s">
        <v>178</v>
      </c>
      <c r="E25" s="148" t="s">
        <v>1208</v>
      </c>
      <c r="F25" s="148" t="s">
        <v>1256</v>
      </c>
      <c r="G25" s="148" t="s">
        <v>129</v>
      </c>
      <c r="H25" s="148">
        <v>1740608</v>
      </c>
      <c r="I25" s="148">
        <v>0</v>
      </c>
      <c r="J25" s="148">
        <v>0</v>
      </c>
      <c r="K25" s="148" t="str">
        <f t="shared" si="0"/>
        <v>INSTRUMENTCNSMPTN_FNRP18</v>
      </c>
    </row>
    <row r="26" spans="1:11" hidden="1">
      <c r="A26" s="148" t="s">
        <v>1262</v>
      </c>
      <c r="B26" s="148" t="s">
        <v>1252</v>
      </c>
      <c r="C26" s="148" t="s">
        <v>1255</v>
      </c>
      <c r="D26" s="148" t="s">
        <v>367</v>
      </c>
      <c r="E26" s="148" t="s">
        <v>1224</v>
      </c>
      <c r="F26" s="148" t="s">
        <v>1256</v>
      </c>
      <c r="G26" s="148" t="s">
        <v>129</v>
      </c>
      <c r="H26" s="148">
        <v>2138963</v>
      </c>
      <c r="I26" s="148">
        <v>0</v>
      </c>
      <c r="J26" s="148">
        <v>0</v>
      </c>
      <c r="K26" s="148" t="str">
        <f t="shared" si="0"/>
        <v>INSTRUMENTINSTRMNT_ID</v>
      </c>
    </row>
    <row r="27" spans="1:11" hidden="1">
      <c r="A27" s="148" t="s">
        <v>1263</v>
      </c>
      <c r="B27" s="148" t="s">
        <v>1264</v>
      </c>
      <c r="C27" s="148" t="s">
        <v>1255</v>
      </c>
      <c r="D27" s="148" t="s">
        <v>183</v>
      </c>
      <c r="E27" s="148" t="s">
        <v>1224</v>
      </c>
      <c r="F27" s="148" t="s">
        <v>1256</v>
      </c>
      <c r="G27" s="148" t="s">
        <v>129</v>
      </c>
      <c r="H27" s="148">
        <v>2138963</v>
      </c>
      <c r="I27" s="148">
        <v>0</v>
      </c>
      <c r="J27" s="148">
        <v>0</v>
      </c>
      <c r="K27" s="148" t="str">
        <f t="shared" si="0"/>
        <v>INSTRUMENTCNTRCT_ID</v>
      </c>
    </row>
    <row r="28" spans="1:11" hidden="1">
      <c r="A28" s="148" t="s">
        <v>1265</v>
      </c>
      <c r="B28" s="148" t="s">
        <v>1266</v>
      </c>
      <c r="C28" s="148" t="s">
        <v>127</v>
      </c>
      <c r="D28" s="148" t="s">
        <v>199</v>
      </c>
      <c r="E28" s="148" t="s">
        <v>1208</v>
      </c>
      <c r="F28" s="148" t="s">
        <v>1256</v>
      </c>
      <c r="G28" s="148" t="s">
        <v>129</v>
      </c>
      <c r="H28" s="148">
        <v>2138963</v>
      </c>
      <c r="I28" s="148">
        <v>0</v>
      </c>
      <c r="J28" s="148">
        <v>0</v>
      </c>
      <c r="K28" s="148" t="str">
        <f t="shared" si="0"/>
        <v>INSTRUMENTCRRNCY_DNMNTN</v>
      </c>
    </row>
    <row r="29" spans="1:11" hidden="1">
      <c r="A29" s="148" t="s">
        <v>1267</v>
      </c>
      <c r="B29" s="148" t="s">
        <v>1268</v>
      </c>
      <c r="C29" s="148" t="s">
        <v>1255</v>
      </c>
      <c r="D29" s="148" t="s">
        <v>259</v>
      </c>
      <c r="E29" s="148" t="s">
        <v>1221</v>
      </c>
      <c r="F29" s="148" t="s">
        <v>1256</v>
      </c>
      <c r="G29" s="148" t="s">
        <v>129</v>
      </c>
      <c r="H29" s="148">
        <v>2138963</v>
      </c>
      <c r="I29" s="148">
        <v>0</v>
      </c>
      <c r="J29" s="148">
        <v>0</v>
      </c>
      <c r="K29" s="148" t="str">
        <f t="shared" si="0"/>
        <v>INSTRUMENTDT_INCPTN</v>
      </c>
    </row>
    <row r="30" spans="1:11" hidden="1">
      <c r="A30" s="148" t="s">
        <v>1269</v>
      </c>
      <c r="B30" s="148" t="s">
        <v>1270</v>
      </c>
      <c r="C30" s="148" t="s">
        <v>1255</v>
      </c>
      <c r="D30" s="148" t="s">
        <v>424</v>
      </c>
      <c r="E30" s="148" t="s">
        <v>1224</v>
      </c>
      <c r="F30" s="148" t="s">
        <v>1256</v>
      </c>
      <c r="G30" s="148" t="s">
        <v>129</v>
      </c>
      <c r="H30" s="148">
        <v>2138963</v>
      </c>
      <c r="I30" s="148">
        <v>0</v>
      </c>
      <c r="J30" s="148">
        <v>0</v>
      </c>
      <c r="K30" s="148" t="str">
        <f t="shared" si="0"/>
        <v>INSTRUMENTOBSRVD_AGNT_ID</v>
      </c>
    </row>
    <row r="31" spans="1:11" hidden="1">
      <c r="A31" s="148" t="s">
        <v>1271</v>
      </c>
      <c r="B31" s="148" t="s">
        <v>1272</v>
      </c>
      <c r="C31" s="148" t="s">
        <v>1255</v>
      </c>
      <c r="D31" s="148" t="s">
        <v>425</v>
      </c>
      <c r="E31" s="148" t="s">
        <v>1224</v>
      </c>
      <c r="F31" s="148" t="s">
        <v>1256</v>
      </c>
      <c r="G31" s="148" t="s">
        <v>129</v>
      </c>
      <c r="H31" s="148">
        <v>2138963</v>
      </c>
      <c r="I31" s="148">
        <v>0</v>
      </c>
      <c r="J31" s="148">
        <v>0</v>
      </c>
      <c r="K31" s="148" t="str">
        <f t="shared" si="0"/>
        <v>INSTRUMENTOBSRVD_AGNT_NM</v>
      </c>
    </row>
    <row r="32" spans="1:11" hidden="1">
      <c r="A32" s="148" t="s">
        <v>1273</v>
      </c>
      <c r="B32" s="148" t="s">
        <v>1274</v>
      </c>
      <c r="C32" s="148" t="s">
        <v>1255</v>
      </c>
      <c r="D32" s="148" t="s">
        <v>241</v>
      </c>
      <c r="E32" s="148" t="s">
        <v>1221</v>
      </c>
      <c r="F32" s="148" t="s">
        <v>1256</v>
      </c>
      <c r="G32" s="148" t="s">
        <v>129</v>
      </c>
      <c r="H32" s="148">
        <v>2138963</v>
      </c>
      <c r="I32" s="148">
        <v>0</v>
      </c>
      <c r="J32" s="148">
        <v>0</v>
      </c>
      <c r="K32" s="148" t="str">
        <f t="shared" si="0"/>
        <v>INSTRUMENTDT_DFLT_STTS_INSTRMNT</v>
      </c>
    </row>
    <row r="33" spans="1:11" hidden="1">
      <c r="A33" s="148" t="s">
        <v>1275</v>
      </c>
      <c r="B33" s="148" t="s">
        <v>1276</v>
      </c>
      <c r="C33" s="148" t="s">
        <v>1255</v>
      </c>
      <c r="D33" s="148" t="s">
        <v>447</v>
      </c>
      <c r="E33" s="148" t="s">
        <v>1221</v>
      </c>
      <c r="F33" s="148" t="s">
        <v>1256</v>
      </c>
      <c r="G33" s="148" t="s">
        <v>129</v>
      </c>
      <c r="H33" s="148">
        <v>2138963</v>
      </c>
      <c r="I33" s="148">
        <v>0</v>
      </c>
      <c r="J33" s="148">
        <v>0</v>
      </c>
      <c r="K33" s="148" t="str">
        <f t="shared" si="0"/>
        <v>INSTRUMENTDT_FRBRNC_STTS</v>
      </c>
    </row>
    <row r="34" spans="1:11" hidden="1">
      <c r="A34" s="148" t="s">
        <v>1277</v>
      </c>
      <c r="B34" s="148" t="s">
        <v>1278</v>
      </c>
      <c r="C34" s="148" t="s">
        <v>1255</v>
      </c>
      <c r="D34" s="148" t="s">
        <v>431</v>
      </c>
      <c r="E34" s="148" t="s">
        <v>1221</v>
      </c>
      <c r="F34" s="148" t="s">
        <v>1256</v>
      </c>
      <c r="G34" s="148" t="s">
        <v>129</v>
      </c>
      <c r="H34" s="148">
        <v>2138963</v>
      </c>
      <c r="I34" s="148">
        <v>0</v>
      </c>
      <c r="J34" s="148">
        <v>0</v>
      </c>
      <c r="K34" s="148" t="str">
        <f t="shared" si="0"/>
        <v>INSTRUMENTDT_FRBRNC_STTS_PRVS</v>
      </c>
    </row>
    <row r="35" spans="1:11" hidden="1">
      <c r="A35" s="148" t="s">
        <v>1279</v>
      </c>
      <c r="B35" s="148" t="s">
        <v>1280</v>
      </c>
      <c r="C35" s="148" t="s">
        <v>1255</v>
      </c>
      <c r="D35" s="148" t="s">
        <v>53</v>
      </c>
      <c r="E35" s="148" t="s">
        <v>1221</v>
      </c>
      <c r="F35" s="148" t="s">
        <v>1256</v>
      </c>
      <c r="G35" s="148" t="s">
        <v>129</v>
      </c>
      <c r="H35" s="148">
        <v>2138963</v>
      </c>
      <c r="I35" s="148">
        <v>0</v>
      </c>
      <c r="J35" s="148">
        <v>0</v>
      </c>
      <c r="K35" s="148" t="str">
        <f t="shared" si="0"/>
        <v>INSTRUMENTDT_PRFRMNG_STTS</v>
      </c>
    </row>
    <row r="36" spans="1:11" hidden="1">
      <c r="A36" s="148" t="s">
        <v>1281</v>
      </c>
      <c r="B36" s="148" t="s">
        <v>1282</v>
      </c>
      <c r="C36" s="148" t="s">
        <v>1255</v>
      </c>
      <c r="D36" s="148" t="s">
        <v>324</v>
      </c>
      <c r="E36" s="148" t="s">
        <v>1208</v>
      </c>
      <c r="F36" s="148" t="s">
        <v>1256</v>
      </c>
      <c r="G36" s="148" t="s">
        <v>129</v>
      </c>
      <c r="H36" s="148">
        <v>378839</v>
      </c>
      <c r="I36" s="148">
        <v>0</v>
      </c>
      <c r="J36" s="148">
        <v>0</v>
      </c>
      <c r="K36" s="148" t="str">
        <f t="shared" si="0"/>
        <v>INSTRUMENTFLG_LBO</v>
      </c>
    </row>
    <row r="37" spans="1:11" hidden="1">
      <c r="A37" s="148" t="s">
        <v>1283</v>
      </c>
      <c r="B37" s="148" t="s">
        <v>1284</v>
      </c>
      <c r="C37" s="148" t="s">
        <v>127</v>
      </c>
      <c r="D37" s="148" t="s">
        <v>45</v>
      </c>
      <c r="E37" s="148" t="s">
        <v>1200</v>
      </c>
      <c r="F37" s="148" t="s">
        <v>1256</v>
      </c>
      <c r="G37" s="148" t="s">
        <v>129</v>
      </c>
      <c r="H37" s="148">
        <v>2138963</v>
      </c>
      <c r="I37" s="148">
        <v>0</v>
      </c>
      <c r="J37" s="148">
        <v>0</v>
      </c>
      <c r="K37" s="148" t="str">
        <f t="shared" si="0"/>
        <v>INSTRUMENTPRFRMNG_STTS</v>
      </c>
    </row>
    <row r="38" spans="1:11" hidden="1">
      <c r="A38" s="148" t="s">
        <v>1285</v>
      </c>
      <c r="B38" s="148" t="s">
        <v>1286</v>
      </c>
      <c r="C38" s="148" t="s">
        <v>1255</v>
      </c>
      <c r="D38" s="148" t="s">
        <v>530</v>
      </c>
      <c r="E38" s="148" t="s">
        <v>1200</v>
      </c>
      <c r="F38" s="148" t="s">
        <v>1256</v>
      </c>
      <c r="G38" s="148" t="s">
        <v>129</v>
      </c>
      <c r="H38" s="148">
        <v>2138963</v>
      </c>
      <c r="I38" s="148">
        <v>0</v>
      </c>
      <c r="J38" s="148">
        <v>0</v>
      </c>
      <c r="K38" s="148" t="str">
        <f t="shared" si="0"/>
        <v>INSTRUMENTTYP_INSTRMNT</v>
      </c>
    </row>
    <row r="39" spans="1:11" hidden="1">
      <c r="A39" s="148" t="s">
        <v>1287</v>
      </c>
      <c r="B39" s="148" t="s">
        <v>1288</v>
      </c>
      <c r="C39" s="148" t="s">
        <v>1255</v>
      </c>
      <c r="D39" s="148" t="s">
        <v>531</v>
      </c>
      <c r="E39" s="148" t="s">
        <v>1200</v>
      </c>
      <c r="F39" s="148" t="s">
        <v>1256</v>
      </c>
      <c r="G39" s="148" t="s">
        <v>129</v>
      </c>
      <c r="H39" s="148">
        <v>2138832</v>
      </c>
      <c r="I39" s="148">
        <v>0</v>
      </c>
      <c r="J39" s="148">
        <v>0</v>
      </c>
      <c r="K39" s="148" t="str">
        <f t="shared" si="0"/>
        <v>INSTRUMENTTYP_INTRST_RT</v>
      </c>
    </row>
    <row r="40" spans="1:11" hidden="1">
      <c r="A40" s="148" t="s">
        <v>1289</v>
      </c>
      <c r="B40" s="148" t="s">
        <v>1290</v>
      </c>
      <c r="C40" s="148" t="s">
        <v>1255</v>
      </c>
      <c r="D40" s="148" t="s">
        <v>144</v>
      </c>
      <c r="E40" s="148" t="s">
        <v>1200</v>
      </c>
      <c r="F40" s="148" t="s">
        <v>1256</v>
      </c>
      <c r="G40" s="148" t="s">
        <v>1011</v>
      </c>
      <c r="H40" s="148">
        <v>2138832</v>
      </c>
      <c r="I40" s="148">
        <v>1779870</v>
      </c>
      <c r="J40" s="148">
        <v>83.216899999999995</v>
      </c>
      <c r="K40" s="148" t="str">
        <f t="shared" si="0"/>
        <v>INSTRUMENTTYP_MRTGG</v>
      </c>
    </row>
    <row r="41" spans="1:11" hidden="1">
      <c r="A41" s="148" t="s">
        <v>1291</v>
      </c>
      <c r="B41" s="148" t="s">
        <v>1292</v>
      </c>
      <c r="C41" s="148" t="s">
        <v>127</v>
      </c>
      <c r="D41" s="148" t="s">
        <v>495</v>
      </c>
      <c r="E41" s="148" t="s">
        <v>1200</v>
      </c>
      <c r="F41" s="148" t="s">
        <v>1256</v>
      </c>
      <c r="G41" s="148" t="s">
        <v>129</v>
      </c>
      <c r="H41" s="148">
        <v>2138963</v>
      </c>
      <c r="I41" s="148">
        <v>0</v>
      </c>
      <c r="J41" s="148">
        <v>0</v>
      </c>
      <c r="K41" s="148" t="str">
        <f t="shared" si="0"/>
        <v>INSTRUMENTRWA</v>
      </c>
    </row>
    <row r="42" spans="1:11" hidden="1">
      <c r="A42" s="148" t="s">
        <v>1293</v>
      </c>
      <c r="B42" s="148" t="s">
        <v>1294</v>
      </c>
      <c r="C42" s="148" t="s">
        <v>1255</v>
      </c>
      <c r="D42" s="148" t="s">
        <v>407</v>
      </c>
      <c r="E42" s="148" t="s">
        <v>1208</v>
      </c>
      <c r="F42" s="148" t="s">
        <v>1256</v>
      </c>
      <c r="G42" s="148" t="s">
        <v>1011</v>
      </c>
      <c r="H42" s="148">
        <v>398355</v>
      </c>
      <c r="I42" s="148">
        <v>19516</v>
      </c>
      <c r="J42" s="148">
        <v>4.8990999999999998</v>
      </c>
      <c r="K42" s="148" t="str">
        <f t="shared" si="0"/>
        <v>INSTRUMENTLVRG_FNNC_FLG</v>
      </c>
    </row>
    <row r="43" spans="1:11" hidden="1">
      <c r="A43" s="148" t="s">
        <v>1295</v>
      </c>
      <c r="B43" s="148" t="s">
        <v>1296</v>
      </c>
      <c r="C43" s="148" t="s">
        <v>1255</v>
      </c>
      <c r="D43" s="148" t="s">
        <v>391</v>
      </c>
      <c r="E43" s="148" t="s">
        <v>1224</v>
      </c>
      <c r="F43" s="148" t="s">
        <v>1256</v>
      </c>
      <c r="G43" s="148" t="s">
        <v>129</v>
      </c>
      <c r="H43" s="148">
        <v>2138963</v>
      </c>
      <c r="I43" s="148">
        <v>0</v>
      </c>
      <c r="J43" s="148">
        <v>0</v>
      </c>
      <c r="K43" s="148" t="str">
        <f t="shared" si="0"/>
        <v>INSTRUMENTLCL_INSTMRNT_ID</v>
      </c>
    </row>
    <row r="44" spans="1:11" hidden="1">
      <c r="A44" s="148" t="s">
        <v>1297</v>
      </c>
      <c r="B44" s="148" t="s">
        <v>1298</v>
      </c>
      <c r="C44" s="148" t="s">
        <v>127</v>
      </c>
      <c r="D44" s="148" t="s">
        <v>1299</v>
      </c>
      <c r="E44" s="148" t="s">
        <v>1208</v>
      </c>
      <c r="F44" s="148" t="s">
        <v>1256</v>
      </c>
      <c r="G44" s="148" t="s">
        <v>129</v>
      </c>
      <c r="H44" s="148">
        <v>2138963</v>
      </c>
      <c r="I44" s="148">
        <v>0</v>
      </c>
      <c r="J44" s="148">
        <v>0</v>
      </c>
      <c r="K44" s="148" t="str">
        <f t="shared" si="0"/>
        <v>INSTRUMENTNW_BSNSS</v>
      </c>
    </row>
    <row r="45" spans="1:11" hidden="1">
      <c r="A45" s="148" t="s">
        <v>1300</v>
      </c>
      <c r="B45" s="148" t="s">
        <v>1301</v>
      </c>
      <c r="C45" s="148" t="s">
        <v>127</v>
      </c>
      <c r="D45" s="148" t="s">
        <v>1302</v>
      </c>
      <c r="E45" s="148" t="s">
        <v>1208</v>
      </c>
      <c r="F45" s="148" t="s">
        <v>1256</v>
      </c>
      <c r="G45" s="148" t="s">
        <v>129</v>
      </c>
      <c r="H45" s="148">
        <v>2138963</v>
      </c>
      <c r="I45" s="148">
        <v>0</v>
      </c>
      <c r="J45" s="148">
        <v>0</v>
      </c>
      <c r="K45" s="148" t="str">
        <f t="shared" si="0"/>
        <v>INSTRUMENTBSNSS_AREA</v>
      </c>
    </row>
    <row r="46" spans="1:11" hidden="1">
      <c r="A46" s="148" t="s">
        <v>1303</v>
      </c>
      <c r="B46" s="148" t="s">
        <v>1304</v>
      </c>
      <c r="C46" s="148" t="s">
        <v>127</v>
      </c>
      <c r="D46" s="148" t="s">
        <v>1305</v>
      </c>
      <c r="E46" s="148" t="s">
        <v>1208</v>
      </c>
      <c r="F46" s="148" t="s">
        <v>1256</v>
      </c>
      <c r="G46" s="148" t="s">
        <v>129</v>
      </c>
      <c r="H46" s="148">
        <v>2138963</v>
      </c>
      <c r="I46" s="148">
        <v>0</v>
      </c>
      <c r="J46" s="148">
        <v>0</v>
      </c>
      <c r="K46" s="148" t="str">
        <f t="shared" si="0"/>
        <v>INSTRUMENTMNGMNT_PRDCT</v>
      </c>
    </row>
    <row r="47" spans="1:11" hidden="1">
      <c r="A47" s="148" t="s">
        <v>1306</v>
      </c>
      <c r="B47" s="148" t="s">
        <v>1307</v>
      </c>
      <c r="C47" s="148" t="s">
        <v>127</v>
      </c>
      <c r="D47" s="148" t="s">
        <v>1308</v>
      </c>
      <c r="E47" s="148" t="s">
        <v>1208</v>
      </c>
      <c r="F47" s="148" t="s">
        <v>1256</v>
      </c>
      <c r="G47" s="148" t="s">
        <v>129</v>
      </c>
      <c r="H47" s="148">
        <v>2138963</v>
      </c>
      <c r="I47" s="148">
        <v>0</v>
      </c>
      <c r="J47" s="148">
        <v>0</v>
      </c>
      <c r="K47" s="148" t="str">
        <f t="shared" si="0"/>
        <v>INSTRUMENTFLG_INTRBSNSS</v>
      </c>
    </row>
    <row r="48" spans="1:11" hidden="1">
      <c r="A48" s="148" t="s">
        <v>1309</v>
      </c>
      <c r="B48" s="148" t="s">
        <v>1310</v>
      </c>
      <c r="C48" s="148" t="s">
        <v>127</v>
      </c>
      <c r="D48" s="148" t="s">
        <v>1311</v>
      </c>
      <c r="E48" s="148" t="s">
        <v>1208</v>
      </c>
      <c r="F48" s="148" t="s">
        <v>1256</v>
      </c>
      <c r="G48" s="148" t="s">
        <v>129</v>
      </c>
      <c r="H48" s="148">
        <v>2138963</v>
      </c>
      <c r="I48" s="148">
        <v>0</v>
      </c>
      <c r="J48" s="148">
        <v>0</v>
      </c>
      <c r="K48" s="148" t="str">
        <f t="shared" si="0"/>
        <v>INSTRUMENTBSNSS_AREA_CCRR</v>
      </c>
    </row>
    <row r="49" spans="1:11" hidden="1">
      <c r="A49" s="148" t="s">
        <v>1312</v>
      </c>
      <c r="B49" s="148" t="s">
        <v>1313</v>
      </c>
      <c r="C49" s="148" t="s">
        <v>127</v>
      </c>
      <c r="D49" s="148" t="s">
        <v>1314</v>
      </c>
      <c r="E49" s="148" t="s">
        <v>1208</v>
      </c>
      <c r="F49" s="148" t="s">
        <v>1256</v>
      </c>
      <c r="G49" s="148" t="s">
        <v>129</v>
      </c>
      <c r="H49" s="148">
        <v>2138832</v>
      </c>
      <c r="I49" s="148">
        <v>0</v>
      </c>
      <c r="J49" s="148">
        <v>0</v>
      </c>
      <c r="K49" s="148" t="str">
        <f t="shared" si="0"/>
        <v>INSTRUMENTRSK_MTGTD_CCT</v>
      </c>
    </row>
    <row r="50" spans="1:11" hidden="1">
      <c r="A50" s="148" t="s">
        <v>1315</v>
      </c>
      <c r="B50" s="148" t="s">
        <v>1316</v>
      </c>
      <c r="C50" s="148" t="s">
        <v>127</v>
      </c>
      <c r="D50" s="148" t="s">
        <v>1317</v>
      </c>
      <c r="E50" s="148" t="s">
        <v>1208</v>
      </c>
      <c r="F50" s="148" t="s">
        <v>1256</v>
      </c>
      <c r="G50" s="148" t="s">
        <v>129</v>
      </c>
      <c r="H50" s="148">
        <v>2138832</v>
      </c>
      <c r="I50" s="148">
        <v>0</v>
      </c>
      <c r="J50" s="148">
        <v>0</v>
      </c>
      <c r="K50" s="148" t="str">
        <f t="shared" si="0"/>
        <v>INSTRUMENTRSK_MTGTD_CCP</v>
      </c>
    </row>
    <row r="51" spans="1:11" hidden="1">
      <c r="A51" s="148" t="s">
        <v>1318</v>
      </c>
      <c r="B51" s="148" t="s">
        <v>1319</v>
      </c>
      <c r="C51" s="148" t="s">
        <v>127</v>
      </c>
      <c r="D51" s="148" t="s">
        <v>559</v>
      </c>
      <c r="E51" s="148" t="s">
        <v>1200</v>
      </c>
      <c r="F51" s="148" t="s">
        <v>1256</v>
      </c>
      <c r="G51" s="148" t="s">
        <v>129</v>
      </c>
      <c r="H51" s="148">
        <v>2138963</v>
      </c>
      <c r="I51" s="148">
        <v>0</v>
      </c>
      <c r="J51" s="148">
        <v>0</v>
      </c>
      <c r="K51" s="148" t="str">
        <f t="shared" si="0"/>
        <v>INSTRUMENTTRNSFRRD_AMNT</v>
      </c>
    </row>
    <row r="52" spans="1:11" hidden="1">
      <c r="A52" s="148" t="s">
        <v>1320</v>
      </c>
      <c r="B52" s="148" t="s">
        <v>1321</v>
      </c>
      <c r="C52" s="148" t="s">
        <v>127</v>
      </c>
      <c r="D52" s="148" t="s">
        <v>560</v>
      </c>
      <c r="E52" s="148" t="s">
        <v>1208</v>
      </c>
      <c r="F52" s="148" t="s">
        <v>1256</v>
      </c>
      <c r="G52" s="148" t="s">
        <v>129</v>
      </c>
      <c r="H52" s="148">
        <v>2138832</v>
      </c>
      <c r="I52" s="148">
        <v>0</v>
      </c>
      <c r="J52" s="148">
        <v>0</v>
      </c>
      <c r="K52" s="148" t="str">
        <f t="shared" si="0"/>
        <v>INSTRUMENTTYP_SCRTZTN</v>
      </c>
    </row>
    <row r="53" spans="1:11" hidden="1">
      <c r="A53" s="148" t="s">
        <v>1322</v>
      </c>
      <c r="B53" s="148" t="s">
        <v>1323</v>
      </c>
      <c r="C53" s="148" t="s">
        <v>127</v>
      </c>
      <c r="D53" s="148" t="s">
        <v>563</v>
      </c>
      <c r="E53" s="148" t="s">
        <v>1208</v>
      </c>
      <c r="F53" s="148" t="s">
        <v>1256</v>
      </c>
      <c r="G53" s="148" t="s">
        <v>129</v>
      </c>
      <c r="H53" s="148">
        <v>2138963</v>
      </c>
      <c r="I53" s="148">
        <v>0</v>
      </c>
      <c r="J53" s="148">
        <v>0</v>
      </c>
      <c r="K53" s="148" t="str">
        <f t="shared" si="0"/>
        <v>INSTRUMENTFLG_DFLT</v>
      </c>
    </row>
    <row r="54" spans="1:11" hidden="1">
      <c r="A54" s="148" t="s">
        <v>1324</v>
      </c>
      <c r="B54" s="148" t="s">
        <v>1325</v>
      </c>
      <c r="C54" s="148" t="s">
        <v>127</v>
      </c>
      <c r="D54" s="148" t="s">
        <v>564</v>
      </c>
      <c r="E54" s="148" t="s">
        <v>1208</v>
      </c>
      <c r="F54" s="148" t="s">
        <v>1256</v>
      </c>
      <c r="G54" s="148" t="s">
        <v>129</v>
      </c>
      <c r="H54" s="148">
        <v>2138963</v>
      </c>
      <c r="I54" s="148">
        <v>0</v>
      </c>
      <c r="J54" s="148">
        <v>0</v>
      </c>
      <c r="K54" s="148" t="str">
        <f t="shared" si="0"/>
        <v>INSTRUMENTFLG_HGH_RSK</v>
      </c>
    </row>
    <row r="55" spans="1:11" hidden="1">
      <c r="A55" s="148" t="s">
        <v>1326</v>
      </c>
      <c r="B55" s="148" t="s">
        <v>1327</v>
      </c>
      <c r="C55" s="148" t="s">
        <v>127</v>
      </c>
      <c r="D55" s="148" t="s">
        <v>1183</v>
      </c>
      <c r="E55" s="148" t="s">
        <v>1200</v>
      </c>
      <c r="F55" s="148" t="s">
        <v>1256</v>
      </c>
      <c r="G55" s="148" t="s">
        <v>129</v>
      </c>
      <c r="H55" s="148">
        <v>378839</v>
      </c>
      <c r="I55" s="148">
        <v>0</v>
      </c>
      <c r="J55" s="148">
        <v>0</v>
      </c>
      <c r="K55" s="148" t="str">
        <f t="shared" si="0"/>
        <v>INSTRUMENTRWA_MTGTN</v>
      </c>
    </row>
    <row r="56" spans="1:11" hidden="1">
      <c r="A56" s="148" t="s">
        <v>1328</v>
      </c>
      <c r="B56" s="148" t="s">
        <v>1329</v>
      </c>
      <c r="C56" s="148" t="s">
        <v>127</v>
      </c>
      <c r="D56" s="148" t="s">
        <v>1182</v>
      </c>
      <c r="E56" s="148" t="s">
        <v>1200</v>
      </c>
      <c r="F56" s="148" t="s">
        <v>1256</v>
      </c>
      <c r="G56" s="148" t="s">
        <v>129</v>
      </c>
      <c r="H56" s="148">
        <v>378839</v>
      </c>
      <c r="I56" s="148">
        <v>0</v>
      </c>
      <c r="J56" s="148">
        <v>0</v>
      </c>
      <c r="K56" s="148" t="str">
        <f t="shared" si="0"/>
        <v>INSTRUMENTRWA_PRMTGTN</v>
      </c>
    </row>
    <row r="57" spans="1:11" hidden="1">
      <c r="A57" s="148" t="s">
        <v>1330</v>
      </c>
      <c r="B57" s="148" t="s">
        <v>1331</v>
      </c>
      <c r="C57" s="148" t="s">
        <v>1255</v>
      </c>
      <c r="D57" s="148" t="s">
        <v>1174</v>
      </c>
      <c r="E57" s="148" t="s">
        <v>1208</v>
      </c>
      <c r="F57" s="148" t="s">
        <v>1256</v>
      </c>
      <c r="G57" s="148" t="s">
        <v>129</v>
      </c>
      <c r="H57" s="148">
        <v>378839</v>
      </c>
      <c r="I57" s="148">
        <v>0</v>
      </c>
      <c r="J57" s="148">
        <v>0</v>
      </c>
      <c r="K57" s="148" t="str">
        <f t="shared" si="0"/>
        <v>INSTRUMENTUS_PRCDS</v>
      </c>
    </row>
    <row r="58" spans="1:11" hidden="1">
      <c r="A58" s="148" t="s">
        <v>1332</v>
      </c>
      <c r="B58" s="148" t="s">
        <v>1333</v>
      </c>
      <c r="C58" s="148" t="s">
        <v>1255</v>
      </c>
      <c r="D58" s="148" t="s">
        <v>1334</v>
      </c>
      <c r="E58" s="148" t="s">
        <v>1208</v>
      </c>
      <c r="F58" s="148" t="s">
        <v>1256</v>
      </c>
      <c r="G58" s="148" t="s">
        <v>129</v>
      </c>
      <c r="H58" s="148">
        <v>380406</v>
      </c>
      <c r="I58" s="148">
        <v>0</v>
      </c>
      <c r="J58" s="148">
        <v>0</v>
      </c>
      <c r="K58" s="148" t="str">
        <f t="shared" si="0"/>
        <v>INSTRUMENTFLG_MNMM_SFGRDS</v>
      </c>
    </row>
    <row r="59" spans="1:11" hidden="1">
      <c r="A59" s="148" t="s">
        <v>1335</v>
      </c>
      <c r="B59" s="148" t="s">
        <v>1252</v>
      </c>
      <c r="C59" s="148" t="s">
        <v>1336</v>
      </c>
      <c r="D59" s="148" t="s">
        <v>367</v>
      </c>
      <c r="E59" s="148" t="s">
        <v>1224</v>
      </c>
      <c r="F59" s="148" t="s">
        <v>1337</v>
      </c>
      <c r="G59" s="148" t="s">
        <v>129</v>
      </c>
      <c r="H59" s="148">
        <v>783914</v>
      </c>
      <c r="I59" s="148">
        <v>0</v>
      </c>
      <c r="J59" s="148">
        <v>0</v>
      </c>
      <c r="K59" s="148" t="str">
        <f t="shared" si="0"/>
        <v>INSTR_PROTECTIONINSTRMNT_ID</v>
      </c>
    </row>
    <row r="60" spans="1:11" hidden="1">
      <c r="A60" s="148" t="s">
        <v>1338</v>
      </c>
      <c r="B60" s="148" t="s">
        <v>1339</v>
      </c>
      <c r="C60" s="148" t="s">
        <v>1336</v>
      </c>
      <c r="D60" s="148" t="s">
        <v>462</v>
      </c>
      <c r="E60" s="148" t="s">
        <v>1224</v>
      </c>
      <c r="F60" s="148" t="s">
        <v>1337</v>
      </c>
      <c r="G60" s="148" t="s">
        <v>129</v>
      </c>
      <c r="H60" s="148">
        <v>783914</v>
      </c>
      <c r="I60" s="148">
        <v>0</v>
      </c>
      <c r="J60" s="148">
        <v>0</v>
      </c>
      <c r="K60" s="148" t="str">
        <f t="shared" si="0"/>
        <v>INSTR_PROTECTIONPRTCTN_ID</v>
      </c>
    </row>
    <row r="61" spans="1:11" hidden="1">
      <c r="A61" s="148" t="s">
        <v>1340</v>
      </c>
      <c r="B61" s="148" t="s">
        <v>1341</v>
      </c>
      <c r="C61" s="148" t="s">
        <v>1336</v>
      </c>
      <c r="D61" s="148" t="s">
        <v>459</v>
      </c>
      <c r="E61" s="148" t="s">
        <v>1200</v>
      </c>
      <c r="F61" s="148" t="s">
        <v>1337</v>
      </c>
      <c r="G61" s="148" t="s">
        <v>129</v>
      </c>
      <c r="H61" s="148">
        <v>783914</v>
      </c>
      <c r="I61" s="148">
        <v>0</v>
      </c>
      <c r="J61" s="148">
        <v>0</v>
      </c>
      <c r="K61" s="148" t="str">
        <f t="shared" si="0"/>
        <v>INSTR_PROTECTIONPRTCTN_ALLCTD_VL</v>
      </c>
    </row>
    <row r="62" spans="1:11" hidden="1">
      <c r="A62" s="148" t="s">
        <v>1342</v>
      </c>
      <c r="B62" s="148" t="s">
        <v>1343</v>
      </c>
      <c r="C62" s="148" t="s">
        <v>188</v>
      </c>
      <c r="D62" s="148" t="s">
        <v>1344</v>
      </c>
      <c r="E62" s="148" t="s">
        <v>1208</v>
      </c>
      <c r="F62" s="148" t="s">
        <v>1337</v>
      </c>
      <c r="G62" s="148" t="s">
        <v>129</v>
      </c>
      <c r="H62" s="148">
        <v>783914</v>
      </c>
      <c r="I62" s="148">
        <v>0</v>
      </c>
      <c r="J62" s="148">
        <v>0</v>
      </c>
      <c r="K62" s="148" t="str">
        <f t="shared" si="0"/>
        <v>INSTR_PROTECTIONTYP_RLTN</v>
      </c>
    </row>
    <row r="63" spans="1:11" hidden="1">
      <c r="A63" s="148" t="s">
        <v>1345</v>
      </c>
      <c r="B63" s="148" t="s">
        <v>1346</v>
      </c>
      <c r="C63" s="148" t="s">
        <v>1336</v>
      </c>
      <c r="D63" s="148" t="s">
        <v>1186</v>
      </c>
      <c r="E63" s="148" t="s">
        <v>1208</v>
      </c>
      <c r="F63" s="148" t="s">
        <v>1337</v>
      </c>
      <c r="G63" s="148" t="s">
        <v>129</v>
      </c>
      <c r="H63" s="148">
        <v>277859</v>
      </c>
      <c r="I63" s="148">
        <v>0</v>
      </c>
      <c r="J63" s="148">
        <v>0</v>
      </c>
      <c r="K63" s="148" t="str">
        <f t="shared" si="0"/>
        <v>INSTR_PROTECTIONGRP_SPPRT</v>
      </c>
    </row>
    <row r="64" spans="1:11" hidden="1">
      <c r="A64" s="148" t="s">
        <v>1347</v>
      </c>
      <c r="B64" s="148" t="s">
        <v>1339</v>
      </c>
      <c r="C64" s="148" t="s">
        <v>1348</v>
      </c>
      <c r="D64" s="148" t="s">
        <v>462</v>
      </c>
      <c r="E64" s="148" t="s">
        <v>1224</v>
      </c>
      <c r="F64" s="148" t="s">
        <v>1349</v>
      </c>
      <c r="G64" s="148" t="s">
        <v>129</v>
      </c>
      <c r="H64" s="148">
        <v>465126</v>
      </c>
      <c r="I64" s="148">
        <v>0</v>
      </c>
      <c r="J64" s="148">
        <v>0</v>
      </c>
      <c r="K64" s="148" t="str">
        <f t="shared" si="0"/>
        <v>PROTECTIONPRTCTN_ID</v>
      </c>
    </row>
    <row r="65" spans="1:11" hidden="1">
      <c r="A65" s="148" t="s">
        <v>1350</v>
      </c>
      <c r="B65" s="148" t="s">
        <v>1351</v>
      </c>
      <c r="C65" s="148" t="s">
        <v>1348</v>
      </c>
      <c r="D65" s="148" t="s">
        <v>228</v>
      </c>
      <c r="E65" s="148" t="s">
        <v>1200</v>
      </c>
      <c r="F65" s="148" t="s">
        <v>1349</v>
      </c>
      <c r="G65" s="148" t="s">
        <v>129</v>
      </c>
      <c r="H65" s="148">
        <v>465126</v>
      </c>
      <c r="I65" s="148">
        <v>0</v>
      </c>
      <c r="J65" s="148">
        <v>0</v>
      </c>
      <c r="K65" s="148" t="str">
        <f t="shared" si="0"/>
        <v>PROTECTIONTYP_PRTCTN</v>
      </c>
    </row>
    <row r="66" spans="1:11" hidden="1">
      <c r="A66" s="148" t="s">
        <v>1352</v>
      </c>
      <c r="B66" s="148" t="s">
        <v>1353</v>
      </c>
      <c r="C66" s="148" t="s">
        <v>156</v>
      </c>
      <c r="D66" s="148" t="s">
        <v>1240</v>
      </c>
      <c r="E66" s="148" t="s">
        <v>1208</v>
      </c>
      <c r="F66" s="148" t="s">
        <v>1349</v>
      </c>
      <c r="G66" s="148" t="s">
        <v>129</v>
      </c>
      <c r="H66" s="148">
        <v>465126</v>
      </c>
      <c r="I66" s="148">
        <v>0</v>
      </c>
      <c r="J66" s="148">
        <v>0</v>
      </c>
      <c r="K66" s="148" t="str">
        <f t="shared" si="0"/>
        <v>PROTECTIONFLG_ACT_PHYSCL_RSK</v>
      </c>
    </row>
    <row r="67" spans="1:11" hidden="1">
      <c r="A67" s="148" t="s">
        <v>1354</v>
      </c>
      <c r="B67" s="148" t="s">
        <v>1355</v>
      </c>
      <c r="C67" s="148" t="s">
        <v>156</v>
      </c>
      <c r="D67" s="148" t="s">
        <v>1243</v>
      </c>
      <c r="E67" s="148" t="s">
        <v>1208</v>
      </c>
      <c r="F67" s="148" t="s">
        <v>1349</v>
      </c>
      <c r="G67" s="148" t="s">
        <v>129</v>
      </c>
      <c r="H67" s="148">
        <v>465126</v>
      </c>
      <c r="I67" s="148">
        <v>0</v>
      </c>
      <c r="J67" s="148">
        <v>0</v>
      </c>
      <c r="K67" s="148" t="str">
        <f t="shared" ref="K67:K130" si="1">_xlfn.CONCAT(_xlfn.IFS(ISNUMBER(SEARCH("EN",A67)),"ENTITY",ISNUMBER(SEARCH("IN",A67)),"INSTRUMENT",ISNUMBER(SEARCH("PR",A67)),"PROTECTION",ISNUMBER(SEARCH("IP",A67)),"INSTR_PROTECTION",ISNUMBER(SEARCH("IE",A67)),"INSTR_ENTITY",ISNUMBER(SEARCH("AC",A67)),"INSTR_ACTIVITY"),D67)</f>
        <v>PROTECTIONFLG_CHRNC_PHYSCL_RSK</v>
      </c>
    </row>
    <row r="68" spans="1:11" hidden="1">
      <c r="A68" s="148" t="s">
        <v>1356</v>
      </c>
      <c r="B68" s="148" t="s">
        <v>1357</v>
      </c>
      <c r="C68" s="148" t="s">
        <v>156</v>
      </c>
      <c r="D68" s="148" t="s">
        <v>1358</v>
      </c>
      <c r="E68" s="148" t="s">
        <v>1208</v>
      </c>
      <c r="F68" s="148" t="s">
        <v>1349</v>
      </c>
      <c r="G68" s="148" t="s">
        <v>129</v>
      </c>
      <c r="H68" s="148">
        <v>368614</v>
      </c>
      <c r="I68" s="148">
        <v>0</v>
      </c>
      <c r="J68" s="148">
        <v>0</v>
      </c>
      <c r="K68" s="148" t="str">
        <f t="shared" si="1"/>
        <v>PROTECTIONFLG_FRST_HM</v>
      </c>
    </row>
    <row r="69" spans="1:11" hidden="1">
      <c r="A69" s="148" t="s">
        <v>1359</v>
      </c>
      <c r="B69" s="148" t="s">
        <v>1360</v>
      </c>
      <c r="C69" s="148" t="s">
        <v>1348</v>
      </c>
      <c r="D69" s="148" t="s">
        <v>1361</v>
      </c>
      <c r="E69" s="148" t="s">
        <v>1208</v>
      </c>
      <c r="F69" s="148" t="s">
        <v>1349</v>
      </c>
      <c r="G69" s="148" t="s">
        <v>129</v>
      </c>
      <c r="H69" s="148">
        <v>465126</v>
      </c>
      <c r="I69" s="148">
        <v>0</v>
      </c>
      <c r="J69" s="148">
        <v>0</v>
      </c>
      <c r="K69" s="148" t="str">
        <f t="shared" si="1"/>
        <v>PROTECTIONFLG_ELCTRC_VHCL</v>
      </c>
    </row>
    <row r="70" spans="1:11" hidden="1">
      <c r="A70" s="148" t="s">
        <v>1362</v>
      </c>
      <c r="B70" s="148" t="s">
        <v>1363</v>
      </c>
      <c r="C70" s="148" t="s">
        <v>576</v>
      </c>
      <c r="D70" s="148" t="s">
        <v>367</v>
      </c>
      <c r="E70" s="148" t="s">
        <v>1364</v>
      </c>
      <c r="F70" s="148" t="s">
        <v>1365</v>
      </c>
      <c r="G70" s="148" t="s">
        <v>129</v>
      </c>
      <c r="H70" s="148">
        <v>2138988</v>
      </c>
      <c r="I70" s="148">
        <v>0</v>
      </c>
      <c r="J70" s="148">
        <v>0</v>
      </c>
      <c r="K70" s="148" t="str">
        <f t="shared" si="1"/>
        <v>INSTR_ACTIVITYINSTRMNT_ID</v>
      </c>
    </row>
    <row r="71" spans="1:11" hidden="1">
      <c r="A71" s="148" t="s">
        <v>1366</v>
      </c>
      <c r="B71" s="148" t="s">
        <v>1367</v>
      </c>
      <c r="C71" s="148" t="s">
        <v>139</v>
      </c>
      <c r="D71" s="148" t="s">
        <v>306</v>
      </c>
      <c r="E71" s="148" t="s">
        <v>1368</v>
      </c>
      <c r="F71" s="148" t="s">
        <v>1365</v>
      </c>
      <c r="G71" s="148" t="s">
        <v>129</v>
      </c>
      <c r="H71" s="148">
        <v>1140751</v>
      </c>
      <c r="I71" s="148">
        <v>0</v>
      </c>
      <c r="J71" s="148">
        <v>0</v>
      </c>
      <c r="K71" s="148" t="str">
        <f t="shared" si="1"/>
        <v>ENTITYENTTY_ID</v>
      </c>
    </row>
    <row r="72" spans="1:11" hidden="1">
      <c r="A72" s="148" t="s">
        <v>1369</v>
      </c>
      <c r="B72" s="148" t="s">
        <v>1370</v>
      </c>
      <c r="C72" s="148" t="s">
        <v>139</v>
      </c>
      <c r="D72" s="148" t="s">
        <v>517</v>
      </c>
      <c r="E72" s="148" t="s">
        <v>1364</v>
      </c>
      <c r="F72" s="148" t="s">
        <v>1365</v>
      </c>
      <c r="G72" s="148" t="s">
        <v>1011</v>
      </c>
      <c r="H72" s="148">
        <v>1139133</v>
      </c>
      <c r="I72" s="148">
        <v>3007</v>
      </c>
      <c r="J72" s="148">
        <v>0.26400000000000001</v>
      </c>
      <c r="K72" s="148" t="str">
        <f t="shared" si="1"/>
        <v>ENTITYTAX_ID</v>
      </c>
    </row>
    <row r="73" spans="1:11" hidden="1">
      <c r="A73" s="148" t="s">
        <v>1371</v>
      </c>
      <c r="B73" s="148" t="s">
        <v>1372</v>
      </c>
      <c r="C73" s="148" t="s">
        <v>187</v>
      </c>
      <c r="D73" s="148" t="s">
        <v>306</v>
      </c>
      <c r="E73" s="148" t="s">
        <v>1368</v>
      </c>
      <c r="F73" s="148" t="s">
        <v>1365</v>
      </c>
      <c r="G73" s="148" t="s">
        <v>129</v>
      </c>
      <c r="H73" s="148">
        <v>2655392</v>
      </c>
      <c r="I73" s="148">
        <v>0</v>
      </c>
      <c r="J73" s="148">
        <v>0</v>
      </c>
      <c r="K73" s="148" t="str">
        <f t="shared" si="1"/>
        <v>INSTR_ENTITYENTTY_ID</v>
      </c>
    </row>
    <row r="74" spans="1:11" hidden="1">
      <c r="A74" s="148" t="s">
        <v>1373</v>
      </c>
      <c r="B74" s="148" t="s">
        <v>1374</v>
      </c>
      <c r="C74" s="148" t="s">
        <v>127</v>
      </c>
      <c r="D74" s="148" t="s">
        <v>367</v>
      </c>
      <c r="E74" s="148" t="s">
        <v>1368</v>
      </c>
      <c r="F74" s="148" t="s">
        <v>1365</v>
      </c>
      <c r="G74" s="148" t="s">
        <v>1011</v>
      </c>
      <c r="H74" s="148">
        <v>2266163</v>
      </c>
      <c r="I74" s="148">
        <v>6</v>
      </c>
      <c r="J74" s="148">
        <v>2.9999999999999997E-4</v>
      </c>
      <c r="K74" s="148" t="str">
        <f t="shared" si="1"/>
        <v>INSTRUMENTINSTRMNT_ID</v>
      </c>
    </row>
    <row r="75" spans="1:11" hidden="1">
      <c r="A75" s="148" t="s">
        <v>1375</v>
      </c>
      <c r="B75" s="148" t="s">
        <v>1376</v>
      </c>
      <c r="C75" s="148" t="s">
        <v>188</v>
      </c>
      <c r="D75" s="148" t="s">
        <v>367</v>
      </c>
      <c r="E75" s="148" t="s">
        <v>1368</v>
      </c>
      <c r="F75" s="148" t="s">
        <v>1365</v>
      </c>
      <c r="G75" s="148" t="s">
        <v>129</v>
      </c>
      <c r="H75" s="148">
        <v>783914</v>
      </c>
      <c r="I75" s="148">
        <v>0</v>
      </c>
      <c r="J75" s="148">
        <v>0</v>
      </c>
      <c r="K75" s="148" t="str">
        <f t="shared" si="1"/>
        <v>INSTR_PROTECTIONINSTRMNT_ID</v>
      </c>
    </row>
    <row r="76" spans="1:11" hidden="1">
      <c r="A76" s="148" t="s">
        <v>1377</v>
      </c>
      <c r="B76" s="148" t="s">
        <v>762</v>
      </c>
      <c r="C76" s="148" t="s">
        <v>156</v>
      </c>
      <c r="D76" s="148" t="s">
        <v>275</v>
      </c>
      <c r="E76" s="148" t="s">
        <v>1364</v>
      </c>
      <c r="F76" s="148" t="s">
        <v>1365</v>
      </c>
      <c r="G76" s="148" t="s">
        <v>1011</v>
      </c>
      <c r="H76" s="148">
        <v>272234</v>
      </c>
      <c r="I76" s="148">
        <v>1534</v>
      </c>
      <c r="J76" s="148">
        <v>0.5635</v>
      </c>
      <c r="K76" s="148" t="str">
        <f t="shared" si="1"/>
        <v>PROTECTIONNTNL_ID</v>
      </c>
    </row>
    <row r="77" spans="1:11" hidden="1">
      <c r="A77" s="148" t="s">
        <v>1378</v>
      </c>
      <c r="B77" s="148" t="s">
        <v>1379</v>
      </c>
      <c r="C77" s="148" t="s">
        <v>156</v>
      </c>
      <c r="D77" s="148" t="s">
        <v>462</v>
      </c>
      <c r="E77" s="148" t="s">
        <v>1368</v>
      </c>
      <c r="F77" s="148" t="s">
        <v>1365</v>
      </c>
      <c r="G77" s="148" t="s">
        <v>129</v>
      </c>
      <c r="H77" s="148">
        <v>465126</v>
      </c>
      <c r="I77" s="148">
        <v>0</v>
      </c>
      <c r="J77" s="148">
        <v>0</v>
      </c>
      <c r="K77" s="148" t="str">
        <f t="shared" si="1"/>
        <v>PROTECTIONPRTCTN_ID</v>
      </c>
    </row>
    <row r="78" spans="1:11" hidden="1">
      <c r="A78" s="148" t="s">
        <v>1380</v>
      </c>
      <c r="B78" s="148" t="s">
        <v>1381</v>
      </c>
      <c r="C78" s="148" t="s">
        <v>156</v>
      </c>
      <c r="D78" s="148" t="s">
        <v>517</v>
      </c>
      <c r="E78" s="148" t="s">
        <v>1364</v>
      </c>
      <c r="F78" s="148" t="s">
        <v>1365</v>
      </c>
      <c r="G78" s="148" t="s">
        <v>1011</v>
      </c>
      <c r="H78" s="148">
        <v>166960</v>
      </c>
      <c r="I78" s="148">
        <v>5961</v>
      </c>
      <c r="J78" s="148">
        <v>3.5703</v>
      </c>
      <c r="K78" s="148" t="str">
        <f t="shared" si="1"/>
        <v>PROTECTIONTAX_ID</v>
      </c>
    </row>
    <row r="79" spans="1:11" hidden="1">
      <c r="A79" s="148" t="s">
        <v>1382</v>
      </c>
      <c r="B79" s="148" t="s">
        <v>1383</v>
      </c>
      <c r="C79" s="148" t="s">
        <v>576</v>
      </c>
      <c r="D79" s="148" t="s">
        <v>186</v>
      </c>
      <c r="E79" s="148" t="s">
        <v>1009</v>
      </c>
      <c r="F79" s="148" t="s">
        <v>1384</v>
      </c>
      <c r="G79" s="148" t="s">
        <v>129</v>
      </c>
      <c r="H79" s="148">
        <v>2138988</v>
      </c>
      <c r="I79" s="148">
        <v>0</v>
      </c>
      <c r="J79" s="148">
        <v>0</v>
      </c>
      <c r="K79" s="148" t="str">
        <f t="shared" si="1"/>
        <v>INSTR_ACTIVITYCOD_SOC</v>
      </c>
    </row>
    <row r="80" spans="1:11" hidden="1">
      <c r="A80" s="148" t="s">
        <v>1385</v>
      </c>
      <c r="B80" s="148" t="s">
        <v>1386</v>
      </c>
      <c r="C80" s="148" t="s">
        <v>576</v>
      </c>
      <c r="D80" s="148" t="s">
        <v>283</v>
      </c>
      <c r="E80" s="148" t="s">
        <v>1387</v>
      </c>
      <c r="F80" s="148" t="s">
        <v>1384</v>
      </c>
      <c r="G80" s="148" t="s">
        <v>129</v>
      </c>
      <c r="H80" s="148">
        <v>2138988</v>
      </c>
      <c r="I80" s="148">
        <v>0</v>
      </c>
      <c r="J80" s="148">
        <v>0</v>
      </c>
      <c r="K80" s="148" t="str">
        <f t="shared" si="1"/>
        <v>INSTR_ACTIVITYDT_RFRNC</v>
      </c>
    </row>
    <row r="81" spans="1:11" hidden="1">
      <c r="A81" s="148" t="s">
        <v>1388</v>
      </c>
      <c r="B81" s="148" t="s">
        <v>1389</v>
      </c>
      <c r="C81" s="148" t="s">
        <v>576</v>
      </c>
      <c r="D81" s="148" t="s">
        <v>367</v>
      </c>
      <c r="E81" s="148" t="s">
        <v>1390</v>
      </c>
      <c r="F81" s="148" t="s">
        <v>1384</v>
      </c>
      <c r="G81" s="148" t="s">
        <v>129</v>
      </c>
      <c r="H81" s="148">
        <v>2138988</v>
      </c>
      <c r="I81" s="148">
        <v>0</v>
      </c>
      <c r="J81" s="148">
        <v>0</v>
      </c>
      <c r="K81" s="148" t="str">
        <f t="shared" si="1"/>
        <v>INSTR_ACTIVITYINSTRMNT_ID</v>
      </c>
    </row>
    <row r="82" spans="1:11" hidden="1">
      <c r="A82" s="148" t="s">
        <v>1391</v>
      </c>
      <c r="B82" s="148" t="s">
        <v>1392</v>
      </c>
      <c r="C82" s="148" t="s">
        <v>576</v>
      </c>
      <c r="D82" s="148" t="s">
        <v>1393</v>
      </c>
      <c r="E82" s="148" t="s">
        <v>1394</v>
      </c>
      <c r="F82" s="148" t="s">
        <v>1384</v>
      </c>
      <c r="G82" s="148" t="s">
        <v>129</v>
      </c>
      <c r="H82" s="148">
        <v>2138988</v>
      </c>
      <c r="I82" s="148">
        <v>0</v>
      </c>
      <c r="J82" s="148">
        <v>0</v>
      </c>
      <c r="K82" s="148" t="str">
        <f t="shared" si="1"/>
        <v>INSTR_ACTIVITYSSTNBL_CTGRY</v>
      </c>
    </row>
    <row r="83" spans="1:11" hidden="1">
      <c r="A83" s="148" t="s">
        <v>1395</v>
      </c>
      <c r="B83" s="148" t="s">
        <v>1396</v>
      </c>
      <c r="C83" s="148" t="s">
        <v>576</v>
      </c>
      <c r="D83" s="148" t="s">
        <v>577</v>
      </c>
      <c r="E83" s="148" t="s">
        <v>1397</v>
      </c>
      <c r="F83" s="148" t="s">
        <v>1384</v>
      </c>
      <c r="G83" s="148" t="s">
        <v>1011</v>
      </c>
      <c r="H83" s="148">
        <v>2138988</v>
      </c>
      <c r="I83" s="148">
        <v>46</v>
      </c>
      <c r="J83" s="148">
        <v>2.2000000000000001E-3</v>
      </c>
      <c r="K83" s="148" t="str">
        <f t="shared" si="1"/>
        <v>INSTR_ACTIVITYPRCNTG_ACTVTY</v>
      </c>
    </row>
    <row r="84" spans="1:11" hidden="1">
      <c r="A84" s="148" t="s">
        <v>1398</v>
      </c>
      <c r="B84" s="148" t="s">
        <v>1399</v>
      </c>
      <c r="C84" s="148" t="s">
        <v>576</v>
      </c>
      <c r="D84" s="148" t="s">
        <v>1204</v>
      </c>
      <c r="E84" s="148" t="s">
        <v>1394</v>
      </c>
      <c r="F84" s="148" t="s">
        <v>1384</v>
      </c>
      <c r="G84" s="148" t="s">
        <v>1011</v>
      </c>
      <c r="H84" s="148">
        <v>2138988</v>
      </c>
      <c r="I84" s="148">
        <v>2138988</v>
      </c>
      <c r="J84" s="148">
        <v>100</v>
      </c>
      <c r="K84" s="148" t="str">
        <f t="shared" si="1"/>
        <v>INSTR_ACTIVITYENVRNMNTL_OBJCTV</v>
      </c>
    </row>
    <row r="85" spans="1:11" hidden="1">
      <c r="A85" s="148" t="s">
        <v>1400</v>
      </c>
      <c r="B85" s="148" t="s">
        <v>1401</v>
      </c>
      <c r="C85" s="148" t="s">
        <v>576</v>
      </c>
      <c r="D85" s="148" t="s">
        <v>1402</v>
      </c>
      <c r="E85" s="148" t="s">
        <v>1394</v>
      </c>
      <c r="F85" s="148" t="s">
        <v>1384</v>
      </c>
      <c r="G85" s="148" t="s">
        <v>1011</v>
      </c>
      <c r="H85" s="148">
        <v>2138988</v>
      </c>
      <c r="I85" s="148">
        <v>2138988</v>
      </c>
      <c r="J85" s="148">
        <v>100</v>
      </c>
      <c r="K85" s="148" t="str">
        <f t="shared" si="1"/>
        <v>INSTR_ACTIVITYTYP_ACTVTY</v>
      </c>
    </row>
    <row r="86" spans="1:11" hidden="1">
      <c r="A86" s="148" t="s">
        <v>1403</v>
      </c>
      <c r="B86" s="148" t="s">
        <v>1404</v>
      </c>
      <c r="C86" s="148" t="s">
        <v>576</v>
      </c>
      <c r="D86" s="148" t="s">
        <v>1207</v>
      </c>
      <c r="E86" s="148" t="s">
        <v>1394</v>
      </c>
      <c r="F86" s="148" t="s">
        <v>1384</v>
      </c>
      <c r="G86" s="148" t="s">
        <v>129</v>
      </c>
      <c r="H86" s="148">
        <v>2138988</v>
      </c>
      <c r="I86" s="148">
        <v>0</v>
      </c>
      <c r="J86" s="148">
        <v>0</v>
      </c>
      <c r="K86" s="148" t="str">
        <f t="shared" si="1"/>
        <v>INSTR_ACTIVITYSSTNBL_INDCTR</v>
      </c>
    </row>
    <row r="87" spans="1:11" hidden="1">
      <c r="A87" s="148" t="s">
        <v>1405</v>
      </c>
      <c r="B87" s="148" t="s">
        <v>1406</v>
      </c>
      <c r="C87" s="148" t="s">
        <v>576</v>
      </c>
      <c r="D87" s="148" t="s">
        <v>1211</v>
      </c>
      <c r="E87" s="148" t="s">
        <v>1394</v>
      </c>
      <c r="F87" s="148" t="s">
        <v>1384</v>
      </c>
      <c r="G87" s="148" t="s">
        <v>1011</v>
      </c>
      <c r="H87" s="148">
        <v>2138988</v>
      </c>
      <c r="I87" s="148">
        <v>2138988</v>
      </c>
      <c r="J87" s="148">
        <v>100</v>
      </c>
      <c r="K87" s="148" t="str">
        <f t="shared" si="1"/>
        <v>INSTR_ACTIVITYFLG_SBSTNTL_CNTRBTN</v>
      </c>
    </row>
    <row r="88" spans="1:11" hidden="1">
      <c r="A88" s="148" t="s">
        <v>1407</v>
      </c>
      <c r="B88" s="148" t="s">
        <v>1408</v>
      </c>
      <c r="C88" s="148" t="s">
        <v>576</v>
      </c>
      <c r="D88" s="148" t="s">
        <v>1214</v>
      </c>
      <c r="E88" s="148" t="s">
        <v>1394</v>
      </c>
      <c r="F88" s="148" t="s">
        <v>1384</v>
      </c>
      <c r="G88" s="148" t="s">
        <v>1011</v>
      </c>
      <c r="H88" s="148">
        <v>2138988</v>
      </c>
      <c r="I88" s="148">
        <v>2138988</v>
      </c>
      <c r="J88" s="148">
        <v>100</v>
      </c>
      <c r="K88" s="148" t="str">
        <f t="shared" si="1"/>
        <v>INSTR_ACTIVITYFLG_DNSH_CMPLNC</v>
      </c>
    </row>
    <row r="89" spans="1:11" hidden="1">
      <c r="A89" s="148" t="s">
        <v>1409</v>
      </c>
      <c r="B89" s="148" t="s">
        <v>1410</v>
      </c>
      <c r="C89" s="148" t="s">
        <v>576</v>
      </c>
      <c r="D89" s="148" t="s">
        <v>1411</v>
      </c>
      <c r="E89" s="148" t="s">
        <v>1009</v>
      </c>
      <c r="F89" s="148" t="s">
        <v>1384</v>
      </c>
      <c r="G89" s="148" t="s">
        <v>1011</v>
      </c>
      <c r="H89" s="148">
        <v>2138988</v>
      </c>
      <c r="I89" s="148">
        <v>2138988</v>
      </c>
      <c r="J89" s="148">
        <v>100</v>
      </c>
      <c r="K89" s="148" t="str">
        <f t="shared" si="1"/>
        <v>INSTR_ACTIVITYDNSH_DTL</v>
      </c>
    </row>
    <row r="90" spans="1:11" hidden="1">
      <c r="A90" s="148" t="s">
        <v>1412</v>
      </c>
      <c r="B90" s="148" t="s">
        <v>1413</v>
      </c>
      <c r="C90" s="148" t="s">
        <v>139</v>
      </c>
      <c r="D90" s="148" t="s">
        <v>186</v>
      </c>
      <c r="E90" s="148" t="s">
        <v>1394</v>
      </c>
      <c r="F90" s="148" t="s">
        <v>1414</v>
      </c>
      <c r="G90" s="148" t="s">
        <v>129</v>
      </c>
      <c r="H90" s="148">
        <v>1140751</v>
      </c>
      <c r="I90" s="148">
        <v>0</v>
      </c>
      <c r="J90" s="148">
        <v>0</v>
      </c>
      <c r="K90" s="148" t="str">
        <f t="shared" si="1"/>
        <v>ENTITYCOD_SOC</v>
      </c>
    </row>
    <row r="91" spans="1:11" hidden="1">
      <c r="A91" s="148" t="s">
        <v>1415</v>
      </c>
      <c r="B91" s="148" t="s">
        <v>1416</v>
      </c>
      <c r="C91" s="148" t="s">
        <v>139</v>
      </c>
      <c r="D91" s="148" t="s">
        <v>185</v>
      </c>
      <c r="E91" s="148" t="s">
        <v>1394</v>
      </c>
      <c r="F91" s="148" t="s">
        <v>1414</v>
      </c>
      <c r="G91" s="148" t="s">
        <v>129</v>
      </c>
      <c r="H91" s="148">
        <v>1140751</v>
      </c>
      <c r="I91" s="148">
        <v>0</v>
      </c>
      <c r="J91" s="148">
        <v>0</v>
      </c>
      <c r="K91" s="148" t="str">
        <f t="shared" si="1"/>
        <v>ENTITYCNTRY</v>
      </c>
    </row>
    <row r="92" spans="1:11" hidden="1">
      <c r="A92" s="148" t="s">
        <v>1417</v>
      </c>
      <c r="B92" s="148" t="s">
        <v>1418</v>
      </c>
      <c r="C92" s="148" t="s">
        <v>139</v>
      </c>
      <c r="D92" s="148" t="s">
        <v>232</v>
      </c>
      <c r="E92" s="148" t="s">
        <v>1387</v>
      </c>
      <c r="F92" s="148" t="s">
        <v>1414</v>
      </c>
      <c r="G92" s="148" t="s">
        <v>129</v>
      </c>
      <c r="H92" s="148">
        <v>1140751</v>
      </c>
      <c r="I92" s="148">
        <v>0</v>
      </c>
      <c r="J92" s="148">
        <v>0</v>
      </c>
      <c r="K92" s="148" t="str">
        <f t="shared" si="1"/>
        <v>ENTITYDT_BRTH</v>
      </c>
    </row>
    <row r="93" spans="1:11" hidden="1">
      <c r="A93" s="148" t="s">
        <v>1419</v>
      </c>
      <c r="B93" s="148" t="s">
        <v>1420</v>
      </c>
      <c r="C93" s="148" t="s">
        <v>139</v>
      </c>
      <c r="D93" s="148" t="s">
        <v>239</v>
      </c>
      <c r="E93" s="148" t="s">
        <v>1387</v>
      </c>
      <c r="F93" s="148" t="s">
        <v>1414</v>
      </c>
      <c r="G93" s="148" t="s">
        <v>129</v>
      </c>
      <c r="H93" s="148">
        <v>1140751</v>
      </c>
      <c r="I93" s="148">
        <v>0</v>
      </c>
      <c r="J93" s="148">
        <v>0</v>
      </c>
      <c r="K93" s="148" t="str">
        <f t="shared" si="1"/>
        <v>ENTITYDT_DFLT_STTS</v>
      </c>
    </row>
    <row r="94" spans="1:11" hidden="1">
      <c r="A94" s="148" t="s">
        <v>1421</v>
      </c>
      <c r="B94" s="148" t="s">
        <v>1422</v>
      </c>
      <c r="C94" s="148" t="s">
        <v>139</v>
      </c>
      <c r="D94" s="148" t="s">
        <v>249</v>
      </c>
      <c r="E94" s="148" t="s">
        <v>1387</v>
      </c>
      <c r="F94" s="148" t="s">
        <v>1414</v>
      </c>
      <c r="G94" s="148" t="s">
        <v>129</v>
      </c>
      <c r="H94" s="148">
        <v>1140751</v>
      </c>
      <c r="I94" s="148">
        <v>0</v>
      </c>
      <c r="J94" s="148">
        <v>0</v>
      </c>
      <c r="K94" s="148" t="str">
        <f t="shared" si="1"/>
        <v>ENTITYDT_FNNCL_STTMTS</v>
      </c>
    </row>
    <row r="95" spans="1:11" hidden="1">
      <c r="A95" s="148" t="s">
        <v>1423</v>
      </c>
      <c r="B95" s="148" t="s">
        <v>1424</v>
      </c>
      <c r="C95" s="148" t="s">
        <v>139</v>
      </c>
      <c r="D95" s="148" t="s">
        <v>250</v>
      </c>
      <c r="E95" s="148" t="s">
        <v>1387</v>
      </c>
      <c r="F95" s="148" t="s">
        <v>1414</v>
      </c>
      <c r="G95" s="148" t="s">
        <v>129</v>
      </c>
      <c r="H95" s="148">
        <v>1140751</v>
      </c>
      <c r="I95" s="148">
        <v>0</v>
      </c>
      <c r="J95" s="148">
        <v>0</v>
      </c>
      <c r="K95" s="148" t="str">
        <f t="shared" si="1"/>
        <v>ENTITYDT_FNNCL_STTMTS_PRVS</v>
      </c>
    </row>
    <row r="96" spans="1:11" hidden="1">
      <c r="A96" s="148" t="s">
        <v>1425</v>
      </c>
      <c r="B96" s="148" t="s">
        <v>1426</v>
      </c>
      <c r="C96" s="148" t="s">
        <v>139</v>
      </c>
      <c r="D96" s="148" t="s">
        <v>263</v>
      </c>
      <c r="E96" s="148" t="s">
        <v>1387</v>
      </c>
      <c r="F96" s="148" t="s">
        <v>1414</v>
      </c>
      <c r="G96" s="148" t="s">
        <v>129</v>
      </c>
      <c r="H96" s="148">
        <v>1140751</v>
      </c>
      <c r="I96" s="148">
        <v>0</v>
      </c>
      <c r="J96" s="148">
        <v>0</v>
      </c>
      <c r="K96" s="148" t="str">
        <f t="shared" si="1"/>
        <v>ENTITYDT_INTTN_LGL_PRCDNGS_LE</v>
      </c>
    </row>
    <row r="97" spans="1:11" hidden="1">
      <c r="A97" s="148" t="s">
        <v>1427</v>
      </c>
      <c r="B97" s="148" t="s">
        <v>1428</v>
      </c>
      <c r="C97" s="148" t="s">
        <v>139</v>
      </c>
      <c r="D97" s="148" t="s">
        <v>277</v>
      </c>
      <c r="E97" s="148" t="s">
        <v>1387</v>
      </c>
      <c r="F97" s="148" t="s">
        <v>1414</v>
      </c>
      <c r="G97" s="148" t="s">
        <v>129</v>
      </c>
      <c r="H97" s="148">
        <v>1140751</v>
      </c>
      <c r="I97" s="148">
        <v>0</v>
      </c>
      <c r="J97" s="148">
        <v>0</v>
      </c>
      <c r="K97" s="148" t="str">
        <f t="shared" si="1"/>
        <v>ENTITYDT_PRFRMNG_STTS_LE</v>
      </c>
    </row>
    <row r="98" spans="1:11" hidden="1">
      <c r="A98" s="148" t="s">
        <v>1429</v>
      </c>
      <c r="B98" s="148" t="s">
        <v>1430</v>
      </c>
      <c r="C98" s="148" t="s">
        <v>139</v>
      </c>
      <c r="D98" s="148" t="s">
        <v>283</v>
      </c>
      <c r="E98" s="148" t="s">
        <v>1387</v>
      </c>
      <c r="F98" s="148" t="s">
        <v>1414</v>
      </c>
      <c r="G98" s="148" t="s">
        <v>129</v>
      </c>
      <c r="H98" s="148">
        <v>1140751</v>
      </c>
      <c r="I98" s="148">
        <v>0</v>
      </c>
      <c r="J98" s="148">
        <v>0</v>
      </c>
      <c r="K98" s="148" t="str">
        <f t="shared" si="1"/>
        <v>ENTITYDT_RFRNC</v>
      </c>
    </row>
    <row r="99" spans="1:11" hidden="1">
      <c r="A99" s="148" t="s">
        <v>1431</v>
      </c>
      <c r="B99" s="148" t="s">
        <v>1432</v>
      </c>
      <c r="C99" s="148" t="s">
        <v>139</v>
      </c>
      <c r="D99" s="148" t="s">
        <v>306</v>
      </c>
      <c r="E99" s="148" t="s">
        <v>1390</v>
      </c>
      <c r="F99" s="148" t="s">
        <v>1414</v>
      </c>
      <c r="G99" s="148" t="s">
        <v>129</v>
      </c>
      <c r="H99" s="148">
        <v>1140751</v>
      </c>
      <c r="I99" s="148">
        <v>0</v>
      </c>
      <c r="J99" s="148">
        <v>0</v>
      </c>
      <c r="K99" s="148" t="str">
        <f t="shared" si="1"/>
        <v>ENTITYENTTY_ID</v>
      </c>
    </row>
    <row r="100" spans="1:11" hidden="1">
      <c r="A100" s="148" t="s">
        <v>1433</v>
      </c>
      <c r="B100" s="148" t="s">
        <v>1434</v>
      </c>
      <c r="C100" s="148" t="s">
        <v>139</v>
      </c>
      <c r="D100" s="148" t="s">
        <v>337</v>
      </c>
      <c r="E100" s="148" t="s">
        <v>1390</v>
      </c>
      <c r="F100" s="148" t="s">
        <v>1414</v>
      </c>
      <c r="G100" s="148" t="s">
        <v>129</v>
      </c>
      <c r="H100" s="148">
        <v>1140751</v>
      </c>
      <c r="I100" s="148">
        <v>0</v>
      </c>
      <c r="J100" s="148">
        <v>0</v>
      </c>
      <c r="K100" s="148" t="str">
        <f t="shared" si="1"/>
        <v>ENTITYGCC_PRNT_ID</v>
      </c>
    </row>
    <row r="101" spans="1:11" hidden="1">
      <c r="A101" s="148" t="s">
        <v>1435</v>
      </c>
      <c r="B101" s="148" t="s">
        <v>1436</v>
      </c>
      <c r="C101" s="148" t="s">
        <v>139</v>
      </c>
      <c r="D101" s="148" t="s">
        <v>338</v>
      </c>
      <c r="E101" s="148" t="s">
        <v>1390</v>
      </c>
      <c r="F101" s="148" t="s">
        <v>1414</v>
      </c>
      <c r="G101" s="148" t="s">
        <v>129</v>
      </c>
      <c r="H101" s="148">
        <v>1140751</v>
      </c>
      <c r="I101" s="148">
        <v>0</v>
      </c>
      <c r="J101" s="148">
        <v>0</v>
      </c>
      <c r="K101" s="148" t="str">
        <f t="shared" si="1"/>
        <v>ENTITYGCC_PRNT_NM</v>
      </c>
    </row>
    <row r="102" spans="1:11" hidden="1">
      <c r="A102" s="148" t="s">
        <v>1437</v>
      </c>
      <c r="B102" s="148" t="s">
        <v>1438</v>
      </c>
      <c r="C102" s="148" t="s">
        <v>139</v>
      </c>
      <c r="D102" s="148" t="s">
        <v>374</v>
      </c>
      <c r="E102" s="148" t="s">
        <v>1390</v>
      </c>
      <c r="F102" s="148" t="s">
        <v>1414</v>
      </c>
      <c r="G102" s="148" t="s">
        <v>129</v>
      </c>
      <c r="H102" s="148">
        <v>1140751</v>
      </c>
      <c r="I102" s="148">
        <v>0</v>
      </c>
      <c r="J102" s="148">
        <v>0</v>
      </c>
      <c r="K102" s="148" t="str">
        <f t="shared" si="1"/>
        <v>ENTITYINTRNL_SGMNT</v>
      </c>
    </row>
    <row r="103" spans="1:11" hidden="1">
      <c r="A103" s="148" t="s">
        <v>1439</v>
      </c>
      <c r="B103" s="148" t="s">
        <v>1440</v>
      </c>
      <c r="C103" s="148" t="s">
        <v>139</v>
      </c>
      <c r="D103" s="148" t="s">
        <v>378</v>
      </c>
      <c r="E103" s="148" t="s">
        <v>1390</v>
      </c>
      <c r="F103" s="148" t="s">
        <v>1414</v>
      </c>
      <c r="G103" s="148" t="s">
        <v>129</v>
      </c>
      <c r="H103" s="148">
        <v>1140751</v>
      </c>
      <c r="I103" s="148">
        <v>0</v>
      </c>
      <c r="J103" s="148">
        <v>0</v>
      </c>
      <c r="K103" s="148" t="str">
        <f t="shared" si="1"/>
        <v>ENTITYINTRNL_UNT</v>
      </c>
    </row>
    <row r="104" spans="1:11" hidden="1">
      <c r="A104" s="148" t="s">
        <v>1441</v>
      </c>
      <c r="B104" s="148" t="s">
        <v>1442</v>
      </c>
      <c r="C104" s="148" t="s">
        <v>139</v>
      </c>
      <c r="D104" s="148" t="s">
        <v>395</v>
      </c>
      <c r="E104" s="148" t="s">
        <v>1390</v>
      </c>
      <c r="F104" s="148" t="s">
        <v>1414</v>
      </c>
      <c r="G104" s="148" t="s">
        <v>129</v>
      </c>
      <c r="H104" s="148">
        <v>1140751</v>
      </c>
      <c r="I104" s="148">
        <v>0</v>
      </c>
      <c r="J104" s="148">
        <v>0</v>
      </c>
      <c r="K104" s="148" t="str">
        <f t="shared" si="1"/>
        <v>ENTITYLEI</v>
      </c>
    </row>
    <row r="105" spans="1:11" hidden="1">
      <c r="A105" s="148" t="s">
        <v>1443</v>
      </c>
      <c r="B105" s="148" t="s">
        <v>1444</v>
      </c>
      <c r="C105" s="148" t="s">
        <v>139</v>
      </c>
      <c r="D105" s="148" t="s">
        <v>307</v>
      </c>
      <c r="E105" s="148" t="s">
        <v>1390</v>
      </c>
      <c r="F105" s="148" t="s">
        <v>1414</v>
      </c>
      <c r="G105" s="148" t="s">
        <v>129</v>
      </c>
      <c r="H105" s="148">
        <v>1140751</v>
      </c>
      <c r="I105" s="148">
        <v>0</v>
      </c>
      <c r="J105" s="148">
        <v>0</v>
      </c>
      <c r="K105" s="148" t="str">
        <f t="shared" si="1"/>
        <v>ENTITYENTTY_NM</v>
      </c>
    </row>
    <row r="106" spans="1:11" hidden="1">
      <c r="A106" s="148" t="s">
        <v>1445</v>
      </c>
      <c r="B106" s="148" t="s">
        <v>1446</v>
      </c>
      <c r="C106" s="148" t="s">
        <v>139</v>
      </c>
      <c r="D106" s="148" t="s">
        <v>317</v>
      </c>
      <c r="E106" s="148" t="s">
        <v>1390</v>
      </c>
      <c r="F106" s="148" t="s">
        <v>1414</v>
      </c>
      <c r="G106" s="148" t="s">
        <v>129</v>
      </c>
      <c r="H106" s="148">
        <v>1140751</v>
      </c>
      <c r="I106" s="148">
        <v>0</v>
      </c>
      <c r="J106" s="148">
        <v>0</v>
      </c>
      <c r="K106" s="148" t="str">
        <f t="shared" si="1"/>
        <v>ENTITYEXTRNL_RTNG_NM</v>
      </c>
    </row>
    <row r="107" spans="1:11" hidden="1">
      <c r="A107" s="148" t="s">
        <v>1447</v>
      </c>
      <c r="B107" s="148" t="s">
        <v>1448</v>
      </c>
      <c r="C107" s="148" t="s">
        <v>139</v>
      </c>
      <c r="D107" s="148" t="s">
        <v>140</v>
      </c>
      <c r="E107" s="148" t="s">
        <v>1394</v>
      </c>
      <c r="F107" s="148" t="s">
        <v>1414</v>
      </c>
      <c r="G107" s="148" t="s">
        <v>129</v>
      </c>
      <c r="H107" s="148">
        <v>1140751</v>
      </c>
      <c r="I107" s="148">
        <v>0</v>
      </c>
      <c r="J107" s="148">
        <v>0</v>
      </c>
      <c r="K107" s="148" t="str">
        <f t="shared" si="1"/>
        <v>ENTITYACCNTNG_FRMWRK_SL</v>
      </c>
    </row>
    <row r="108" spans="1:11" hidden="1">
      <c r="A108" s="148" t="s">
        <v>1449</v>
      </c>
      <c r="B108" s="148" t="s">
        <v>1450</v>
      </c>
      <c r="C108" s="148" t="s">
        <v>139</v>
      </c>
      <c r="D108" s="148" t="s">
        <v>192</v>
      </c>
      <c r="E108" s="148" t="s">
        <v>1394</v>
      </c>
      <c r="F108" s="148" t="s">
        <v>1414</v>
      </c>
      <c r="G108" s="148" t="s">
        <v>129</v>
      </c>
      <c r="H108" s="148">
        <v>1140751</v>
      </c>
      <c r="I108" s="148">
        <v>0</v>
      </c>
      <c r="J108" s="148">
        <v>0</v>
      </c>
      <c r="K108" s="148" t="str">
        <f t="shared" si="1"/>
        <v>ENTITYCR_FLG</v>
      </c>
    </row>
    <row r="109" spans="1:11" hidden="1">
      <c r="A109" s="148" t="s">
        <v>1451</v>
      </c>
      <c r="B109" s="148" t="s">
        <v>1452</v>
      </c>
      <c r="C109" s="148" t="s">
        <v>139</v>
      </c>
      <c r="D109" s="148" t="s">
        <v>211</v>
      </c>
      <c r="E109" s="148" t="s">
        <v>1394</v>
      </c>
      <c r="F109" s="148" t="s">
        <v>1414</v>
      </c>
      <c r="G109" s="148" t="s">
        <v>129</v>
      </c>
      <c r="H109" s="148">
        <v>1140751</v>
      </c>
      <c r="I109" s="148">
        <v>0</v>
      </c>
      <c r="J109" s="148">
        <v>0</v>
      </c>
      <c r="K109" s="148" t="str">
        <f t="shared" si="1"/>
        <v>ENTITYDCSD</v>
      </c>
    </row>
    <row r="110" spans="1:11" hidden="1">
      <c r="A110" s="148" t="s">
        <v>1453</v>
      </c>
      <c r="B110" s="148" t="s">
        <v>1454</v>
      </c>
      <c r="C110" s="148" t="s">
        <v>139</v>
      </c>
      <c r="D110" s="148" t="s">
        <v>212</v>
      </c>
      <c r="E110" s="148" t="s">
        <v>1394</v>
      </c>
      <c r="F110" s="148" t="s">
        <v>1414</v>
      </c>
      <c r="G110" s="148" t="s">
        <v>129</v>
      </c>
      <c r="H110" s="148">
        <v>1140751</v>
      </c>
      <c r="I110" s="148">
        <v>0</v>
      </c>
      <c r="J110" s="148">
        <v>0</v>
      </c>
      <c r="K110" s="148" t="str">
        <f t="shared" si="1"/>
        <v>ENTITYDFLT_STTS</v>
      </c>
    </row>
    <row r="111" spans="1:11" hidden="1">
      <c r="A111" s="148" t="s">
        <v>1455</v>
      </c>
      <c r="B111" s="148" t="s">
        <v>1456</v>
      </c>
      <c r="C111" s="148" t="s">
        <v>139</v>
      </c>
      <c r="D111" s="148" t="s">
        <v>465</v>
      </c>
      <c r="E111" s="148" t="s">
        <v>1387</v>
      </c>
      <c r="F111" s="148" t="s">
        <v>1414</v>
      </c>
      <c r="G111" s="148" t="s">
        <v>129</v>
      </c>
      <c r="H111" s="148">
        <v>1140751</v>
      </c>
      <c r="I111" s="148">
        <v>0</v>
      </c>
      <c r="J111" s="148">
        <v>0</v>
      </c>
      <c r="K111" s="148" t="str">
        <f t="shared" si="1"/>
        <v>ENTITYDT_EXTRNL_RTNG</v>
      </c>
    </row>
    <row r="112" spans="1:11" hidden="1">
      <c r="A112" s="148" t="s">
        <v>1457</v>
      </c>
      <c r="B112" s="148" t="s">
        <v>1458</v>
      </c>
      <c r="C112" s="148" t="s">
        <v>139</v>
      </c>
      <c r="D112" s="148" t="s">
        <v>260</v>
      </c>
      <c r="E112" s="148" t="s">
        <v>1387</v>
      </c>
      <c r="F112" s="148" t="s">
        <v>1414</v>
      </c>
      <c r="G112" s="148" t="s">
        <v>129</v>
      </c>
      <c r="H112" s="148">
        <v>1140751</v>
      </c>
      <c r="I112" s="148">
        <v>0</v>
      </c>
      <c r="J112" s="148">
        <v>0</v>
      </c>
      <c r="K112" s="148" t="str">
        <f t="shared" si="1"/>
        <v>ENTITYDT_INTRNL_RTNG</v>
      </c>
    </row>
    <row r="113" spans="1:11" hidden="1">
      <c r="A113" s="148" t="s">
        <v>1459</v>
      </c>
      <c r="B113" s="148" t="s">
        <v>1460</v>
      </c>
      <c r="C113" s="148" t="s">
        <v>139</v>
      </c>
      <c r="D113" s="148" t="s">
        <v>299</v>
      </c>
      <c r="E113" s="148" t="s">
        <v>1394</v>
      </c>
      <c r="F113" s="148" t="s">
        <v>1414</v>
      </c>
      <c r="G113" s="148" t="s">
        <v>129</v>
      </c>
      <c r="H113" s="148">
        <v>1140751</v>
      </c>
      <c r="I113" s="148">
        <v>0</v>
      </c>
      <c r="J113" s="148">
        <v>0</v>
      </c>
      <c r="K113" s="148" t="str">
        <f t="shared" si="1"/>
        <v>ENTITYECNMC_ACTVTY</v>
      </c>
    </row>
    <row r="114" spans="1:11" hidden="1">
      <c r="A114" s="148" t="s">
        <v>1461</v>
      </c>
      <c r="B114" s="148" t="s">
        <v>1462</v>
      </c>
      <c r="C114" s="148" t="s">
        <v>139</v>
      </c>
      <c r="D114" s="148" t="s">
        <v>304</v>
      </c>
      <c r="E114" s="148" t="s">
        <v>1390</v>
      </c>
      <c r="F114" s="148" t="s">
        <v>1414</v>
      </c>
      <c r="G114" s="148" t="s">
        <v>129</v>
      </c>
      <c r="H114" s="148">
        <v>1140751</v>
      </c>
      <c r="I114" s="148">
        <v>0</v>
      </c>
      <c r="J114" s="148">
        <v>0</v>
      </c>
      <c r="K114" s="148" t="str">
        <f t="shared" si="1"/>
        <v>ENTITYEMPLYMNT_STTS_INTRNL</v>
      </c>
    </row>
    <row r="115" spans="1:11" hidden="1">
      <c r="A115" s="148" t="s">
        <v>1463</v>
      </c>
      <c r="B115" s="148" t="s">
        <v>1464</v>
      </c>
      <c r="C115" s="148" t="s">
        <v>139</v>
      </c>
      <c r="D115" s="148" t="s">
        <v>303</v>
      </c>
      <c r="E115" s="148" t="s">
        <v>1394</v>
      </c>
      <c r="F115" s="148" t="s">
        <v>1414</v>
      </c>
      <c r="G115" s="148" t="s">
        <v>129</v>
      </c>
      <c r="H115" s="148">
        <v>1140751</v>
      </c>
      <c r="I115" s="148">
        <v>0</v>
      </c>
      <c r="J115" s="148">
        <v>0</v>
      </c>
      <c r="K115" s="148" t="str">
        <f t="shared" si="1"/>
        <v>ENTITYEMPLYMNT_STTS</v>
      </c>
    </row>
    <row r="116" spans="1:11" hidden="1">
      <c r="A116" s="148" t="s">
        <v>1465</v>
      </c>
      <c r="B116" s="148" t="s">
        <v>1077</v>
      </c>
      <c r="C116" s="148" t="s">
        <v>139</v>
      </c>
      <c r="D116" s="148" t="s">
        <v>305</v>
      </c>
      <c r="E116" s="148" t="s">
        <v>1394</v>
      </c>
      <c r="F116" s="148" t="s">
        <v>1414</v>
      </c>
      <c r="G116" s="148" t="s">
        <v>129</v>
      </c>
      <c r="H116" s="148">
        <v>1140751</v>
      </c>
      <c r="I116" s="148">
        <v>0</v>
      </c>
      <c r="J116" s="148">
        <v>0</v>
      </c>
      <c r="K116" s="148" t="str">
        <f t="shared" si="1"/>
        <v>ENTITYENTRPRS_SZ_LE</v>
      </c>
    </row>
    <row r="117" spans="1:11" hidden="1">
      <c r="A117" s="148" t="s">
        <v>1466</v>
      </c>
      <c r="B117" s="148" t="s">
        <v>1467</v>
      </c>
      <c r="C117" s="148" t="s">
        <v>139</v>
      </c>
      <c r="D117" s="148" t="s">
        <v>336</v>
      </c>
      <c r="E117" s="148" t="s">
        <v>1394</v>
      </c>
      <c r="F117" s="148" t="s">
        <v>1414</v>
      </c>
      <c r="G117" s="148" t="s">
        <v>129</v>
      </c>
      <c r="H117" s="148">
        <v>1140751</v>
      </c>
      <c r="I117" s="148">
        <v>0</v>
      </c>
      <c r="J117" s="148">
        <v>0</v>
      </c>
      <c r="K117" s="148" t="str">
        <f t="shared" si="1"/>
        <v>ENTITYEXTRNL_RTNG</v>
      </c>
    </row>
    <row r="118" spans="1:11" hidden="1">
      <c r="A118" s="148" t="s">
        <v>1468</v>
      </c>
      <c r="B118" s="148" t="s">
        <v>1469</v>
      </c>
      <c r="C118" s="148" t="s">
        <v>139</v>
      </c>
      <c r="D118" s="148" t="s">
        <v>314</v>
      </c>
      <c r="E118" s="148" t="s">
        <v>1394</v>
      </c>
      <c r="F118" s="148" t="s">
        <v>1414</v>
      </c>
      <c r="G118" s="148" t="s">
        <v>129</v>
      </c>
      <c r="H118" s="148">
        <v>1140751</v>
      </c>
      <c r="I118" s="148">
        <v>0</v>
      </c>
      <c r="J118" s="148">
        <v>0</v>
      </c>
      <c r="K118" s="148" t="str">
        <f t="shared" si="1"/>
        <v>ENTITYEXTRNL_RTNG_PRVS</v>
      </c>
    </row>
    <row r="119" spans="1:11" hidden="1">
      <c r="A119" s="148" t="s">
        <v>1470</v>
      </c>
      <c r="B119" s="148" t="s">
        <v>1471</v>
      </c>
      <c r="C119" s="148" t="s">
        <v>139</v>
      </c>
      <c r="D119" s="148" t="s">
        <v>321</v>
      </c>
      <c r="E119" s="148" t="s">
        <v>1394</v>
      </c>
      <c r="F119" s="148" t="s">
        <v>1414</v>
      </c>
      <c r="G119" s="148" t="s">
        <v>129</v>
      </c>
      <c r="H119" s="148">
        <v>1140751</v>
      </c>
      <c r="I119" s="148">
        <v>0</v>
      </c>
      <c r="J119" s="148">
        <v>0</v>
      </c>
      <c r="K119" s="148" t="str">
        <f t="shared" si="1"/>
        <v>ENTITYFLG_BNKRPTCY_IN_GRP</v>
      </c>
    </row>
    <row r="120" spans="1:11" hidden="1">
      <c r="A120" s="148" t="s">
        <v>1472</v>
      </c>
      <c r="B120" s="148" t="s">
        <v>1473</v>
      </c>
      <c r="C120" s="148" t="s">
        <v>139</v>
      </c>
      <c r="D120" s="148" t="s">
        <v>322</v>
      </c>
      <c r="E120" s="148" t="s">
        <v>1394</v>
      </c>
      <c r="F120" s="148" t="s">
        <v>1414</v>
      </c>
      <c r="G120" s="148" t="s">
        <v>129</v>
      </c>
      <c r="H120" s="148">
        <v>1140751</v>
      </c>
      <c r="I120" s="148">
        <v>0</v>
      </c>
      <c r="J120" s="148">
        <v>0</v>
      </c>
      <c r="K120" s="148" t="str">
        <f t="shared" si="1"/>
        <v>ENTITYFLG_HGH_CDS</v>
      </c>
    </row>
    <row r="121" spans="1:11" hidden="1">
      <c r="A121" s="148" t="s">
        <v>1474</v>
      </c>
      <c r="B121" s="148" t="s">
        <v>1475</v>
      </c>
      <c r="C121" s="148" t="s">
        <v>139</v>
      </c>
      <c r="D121" s="148" t="s">
        <v>323</v>
      </c>
      <c r="E121" s="148" t="s">
        <v>1394</v>
      </c>
      <c r="F121" s="148" t="s">
        <v>1414</v>
      </c>
      <c r="G121" s="148" t="s">
        <v>129</v>
      </c>
      <c r="H121" s="148">
        <v>1140751</v>
      </c>
      <c r="I121" s="148">
        <v>0</v>
      </c>
      <c r="J121" s="148">
        <v>0</v>
      </c>
      <c r="K121" s="148" t="str">
        <f t="shared" si="1"/>
        <v>ENTITYFLG_ISDA_CRDT_EVNT</v>
      </c>
    </row>
    <row r="122" spans="1:11" hidden="1">
      <c r="A122" s="148" t="s">
        <v>1476</v>
      </c>
      <c r="B122" s="148" t="s">
        <v>1477</v>
      </c>
      <c r="C122" s="148" t="s">
        <v>139</v>
      </c>
      <c r="D122" s="148" t="s">
        <v>325</v>
      </c>
      <c r="E122" s="148" t="s">
        <v>1394</v>
      </c>
      <c r="F122" s="148" t="s">
        <v>1414</v>
      </c>
      <c r="G122" s="148" t="s">
        <v>129</v>
      </c>
      <c r="H122" s="148">
        <v>1140751</v>
      </c>
      <c r="I122" s="148">
        <v>0</v>
      </c>
      <c r="J122" s="148">
        <v>0</v>
      </c>
      <c r="K122" s="148" t="str">
        <f t="shared" si="1"/>
        <v>ENTITYFLG_NN_ACCRL</v>
      </c>
    </row>
    <row r="123" spans="1:11" hidden="1">
      <c r="A123" s="148" t="s">
        <v>1478</v>
      </c>
      <c r="B123" s="148" t="s">
        <v>1479</v>
      </c>
      <c r="C123" s="148" t="s">
        <v>139</v>
      </c>
      <c r="D123" s="148" t="s">
        <v>326</v>
      </c>
      <c r="E123" s="148" t="s">
        <v>1394</v>
      </c>
      <c r="F123" s="148" t="s">
        <v>1414</v>
      </c>
      <c r="G123" s="148" t="s">
        <v>129</v>
      </c>
      <c r="H123" s="148">
        <v>1140751</v>
      </c>
      <c r="I123" s="148">
        <v>0</v>
      </c>
      <c r="J123" s="148">
        <v>0</v>
      </c>
      <c r="K123" s="148" t="str">
        <f t="shared" si="1"/>
        <v>ENTITYFLG_RQST_BNKRPTCY</v>
      </c>
    </row>
    <row r="124" spans="1:11" hidden="1">
      <c r="A124" s="148" t="s">
        <v>1480</v>
      </c>
      <c r="B124" s="148" t="s">
        <v>1481</v>
      </c>
      <c r="C124" s="148" t="s">
        <v>139</v>
      </c>
      <c r="D124" s="148" t="s">
        <v>327</v>
      </c>
      <c r="E124" s="148" t="s">
        <v>1394</v>
      </c>
      <c r="F124" s="148" t="s">
        <v>1414</v>
      </c>
      <c r="G124" s="148" t="s">
        <v>129</v>
      </c>
      <c r="H124" s="148">
        <v>1140751</v>
      </c>
      <c r="I124" s="148">
        <v>0</v>
      </c>
      <c r="J124" s="148">
        <v>0</v>
      </c>
      <c r="K124" s="148" t="str">
        <f t="shared" si="1"/>
        <v>ENTITYFLG_RQST_DSTRSSD_RSTRCTRNG</v>
      </c>
    </row>
    <row r="125" spans="1:11" hidden="1">
      <c r="A125" s="148" t="s">
        <v>1482</v>
      </c>
      <c r="B125" s="148" t="s">
        <v>1483</v>
      </c>
      <c r="C125" s="148" t="s">
        <v>139</v>
      </c>
      <c r="D125" s="148" t="s">
        <v>329</v>
      </c>
      <c r="E125" s="148" t="s">
        <v>1394</v>
      </c>
      <c r="F125" s="148" t="s">
        <v>1414</v>
      </c>
      <c r="G125" s="148" t="s">
        <v>129</v>
      </c>
      <c r="H125" s="148">
        <v>1140751</v>
      </c>
      <c r="I125" s="148">
        <v>0</v>
      </c>
      <c r="J125" s="148">
        <v>0</v>
      </c>
      <c r="K125" s="148" t="str">
        <f t="shared" si="1"/>
        <v>ENTITYFLG_RQST_EMRGNCY_FNDNG</v>
      </c>
    </row>
    <row r="126" spans="1:11" hidden="1">
      <c r="A126" s="148" t="s">
        <v>1484</v>
      </c>
      <c r="B126" s="148" t="s">
        <v>1485</v>
      </c>
      <c r="C126" s="148" t="s">
        <v>139</v>
      </c>
      <c r="D126" s="148" t="s">
        <v>330</v>
      </c>
      <c r="E126" s="148" t="s">
        <v>1394</v>
      </c>
      <c r="F126" s="148" t="s">
        <v>1414</v>
      </c>
      <c r="G126" s="148" t="s">
        <v>129</v>
      </c>
      <c r="H126" s="148">
        <v>1140751</v>
      </c>
      <c r="I126" s="148">
        <v>0</v>
      </c>
      <c r="J126" s="148">
        <v>0</v>
      </c>
      <c r="K126" s="148" t="str">
        <f t="shared" si="1"/>
        <v>ENTITYFLG_SLL_WTH_LSS</v>
      </c>
    </row>
    <row r="127" spans="1:11" hidden="1">
      <c r="A127" s="148" t="s">
        <v>1486</v>
      </c>
      <c r="B127" s="148" t="s">
        <v>1487</v>
      </c>
      <c r="C127" s="148" t="s">
        <v>139</v>
      </c>
      <c r="D127" s="148" t="s">
        <v>362</v>
      </c>
      <c r="E127" s="148" t="s">
        <v>1394</v>
      </c>
      <c r="F127" s="148" t="s">
        <v>1414</v>
      </c>
      <c r="G127" s="148" t="s">
        <v>129</v>
      </c>
      <c r="H127" s="148">
        <v>1140751</v>
      </c>
      <c r="I127" s="148">
        <v>0</v>
      </c>
      <c r="J127" s="148">
        <v>0</v>
      </c>
      <c r="K127" s="148" t="str">
        <f t="shared" si="1"/>
        <v>ENTITYINCM_SC</v>
      </c>
    </row>
    <row r="128" spans="1:11" hidden="1">
      <c r="A128" s="148" t="s">
        <v>1488</v>
      </c>
      <c r="B128" s="148" t="s">
        <v>1489</v>
      </c>
      <c r="C128" s="148" t="s">
        <v>139</v>
      </c>
      <c r="D128" s="148" t="s">
        <v>368</v>
      </c>
      <c r="E128" s="148" t="s">
        <v>1390</v>
      </c>
      <c r="F128" s="148" t="s">
        <v>1414</v>
      </c>
      <c r="G128" s="148" t="s">
        <v>129</v>
      </c>
      <c r="H128" s="148">
        <v>1140751</v>
      </c>
      <c r="I128" s="148">
        <v>0</v>
      </c>
      <c r="J128" s="148">
        <v>0</v>
      </c>
      <c r="K128" s="148" t="str">
        <f t="shared" si="1"/>
        <v>ENTITYINTRNL_RTNG</v>
      </c>
    </row>
    <row r="129" spans="1:11" hidden="1">
      <c r="A129" s="148" t="s">
        <v>1490</v>
      </c>
      <c r="B129" s="148" t="s">
        <v>1491</v>
      </c>
      <c r="C129" s="148" t="s">
        <v>139</v>
      </c>
      <c r="D129" s="148" t="s">
        <v>373</v>
      </c>
      <c r="E129" s="148" t="s">
        <v>1390</v>
      </c>
      <c r="F129" s="148" t="s">
        <v>1414</v>
      </c>
      <c r="G129" s="148" t="s">
        <v>129</v>
      </c>
      <c r="H129" s="148">
        <v>1140751</v>
      </c>
      <c r="I129" s="148">
        <v>0</v>
      </c>
      <c r="J129" s="148">
        <v>0</v>
      </c>
      <c r="K129" s="148" t="str">
        <f t="shared" si="1"/>
        <v>ENTITYINTRNL_RTNG_PRVS</v>
      </c>
    </row>
    <row r="130" spans="1:11" hidden="1">
      <c r="A130" s="148" t="s">
        <v>1492</v>
      </c>
      <c r="B130" s="148" t="s">
        <v>1493</v>
      </c>
      <c r="C130" s="148" t="s">
        <v>139</v>
      </c>
      <c r="D130" s="148" t="s">
        <v>398</v>
      </c>
      <c r="E130" s="148" t="s">
        <v>1394</v>
      </c>
      <c r="F130" s="148" t="s">
        <v>1414</v>
      </c>
      <c r="G130" s="148" t="s">
        <v>129</v>
      </c>
      <c r="H130" s="148">
        <v>1140751</v>
      </c>
      <c r="I130" s="148">
        <v>0</v>
      </c>
      <c r="J130" s="148">
        <v>0</v>
      </c>
      <c r="K130" s="148" t="str">
        <f t="shared" si="1"/>
        <v>ENTITYLGL_PRCDNG_STTS_LE</v>
      </c>
    </row>
    <row r="131" spans="1:11" hidden="1">
      <c r="A131" s="148" t="s">
        <v>1494</v>
      </c>
      <c r="B131" s="148" t="s">
        <v>1495</v>
      </c>
      <c r="C131" s="148" t="s">
        <v>139</v>
      </c>
      <c r="D131" s="148" t="s">
        <v>433</v>
      </c>
      <c r="E131" s="148" t="s">
        <v>1394</v>
      </c>
      <c r="F131" s="148" t="s">
        <v>1414</v>
      </c>
      <c r="G131" s="148" t="s">
        <v>129</v>
      </c>
      <c r="H131" s="148">
        <v>1140751</v>
      </c>
      <c r="I131" s="148">
        <v>0</v>
      </c>
      <c r="J131" s="148">
        <v>0</v>
      </c>
      <c r="K131" s="148" t="str">
        <f t="shared" ref="K131:K194" si="2">_xlfn.CONCAT(_xlfn.IFS(ISNUMBER(SEARCH("EN",A131)),"ENTITY",ISNUMBER(SEARCH("IN",A131)),"INSTRUMENT",ISNUMBER(SEARCH("PR",A131)),"PROTECTION",ISNUMBER(SEARCH("IP",A131)),"INSTR_PROTECTION",ISNUMBER(SEARCH("IE",A131)),"INSTR_ENTITY",ISNUMBER(SEARCH("AC",A131)),"INSTR_ACTIVITY"),D131)</f>
        <v>ENTITYOWND_BY_SPNSR</v>
      </c>
    </row>
    <row r="132" spans="1:11" hidden="1">
      <c r="A132" s="148" t="s">
        <v>1496</v>
      </c>
      <c r="B132" s="148" t="s">
        <v>1497</v>
      </c>
      <c r="C132" s="148" t="s">
        <v>139</v>
      </c>
      <c r="D132" s="148" t="s">
        <v>451</v>
      </c>
      <c r="E132" s="148" t="s">
        <v>1394</v>
      </c>
      <c r="F132" s="148" t="s">
        <v>1414</v>
      </c>
      <c r="G132" s="148" t="s">
        <v>129</v>
      </c>
      <c r="H132" s="148">
        <v>1140751</v>
      </c>
      <c r="I132" s="148">
        <v>0</v>
      </c>
      <c r="J132" s="148">
        <v>0</v>
      </c>
      <c r="K132" s="148" t="str">
        <f t="shared" si="2"/>
        <v>ENTITYPRFRMNG_STTS_LE</v>
      </c>
    </row>
    <row r="133" spans="1:11" hidden="1">
      <c r="A133" s="148" t="s">
        <v>1498</v>
      </c>
      <c r="B133" s="148" t="s">
        <v>1499</v>
      </c>
      <c r="C133" s="148" t="s">
        <v>139</v>
      </c>
      <c r="D133" s="148" t="s">
        <v>492</v>
      </c>
      <c r="E133" s="148" t="s">
        <v>1394</v>
      </c>
      <c r="F133" s="148" t="s">
        <v>1414</v>
      </c>
      <c r="G133" s="148" t="s">
        <v>1011</v>
      </c>
      <c r="H133" s="148">
        <v>1140751</v>
      </c>
      <c r="I133" s="148">
        <v>7</v>
      </c>
      <c r="J133" s="148">
        <v>5.9999999999999995E-4</v>
      </c>
      <c r="K133" s="148" t="str">
        <f t="shared" si="2"/>
        <v>ENTITYRTNG_MTHD</v>
      </c>
    </row>
    <row r="134" spans="1:11" hidden="1">
      <c r="A134" s="148" t="s">
        <v>1500</v>
      </c>
      <c r="B134" s="148" t="s">
        <v>1501</v>
      </c>
      <c r="C134" s="148" t="s">
        <v>139</v>
      </c>
      <c r="D134" s="148" t="s">
        <v>493</v>
      </c>
      <c r="E134" s="148" t="s">
        <v>1394</v>
      </c>
      <c r="F134" s="148" t="s">
        <v>1414</v>
      </c>
      <c r="G134" s="148" t="s">
        <v>129</v>
      </c>
      <c r="H134" s="148">
        <v>1140751</v>
      </c>
      <c r="I134" s="148">
        <v>0</v>
      </c>
      <c r="J134" s="148">
        <v>0</v>
      </c>
      <c r="K134" s="148" t="str">
        <f t="shared" si="2"/>
        <v>ENTITYRTNG_SCL</v>
      </c>
    </row>
    <row r="135" spans="1:11" hidden="1">
      <c r="A135" s="148" t="s">
        <v>1502</v>
      </c>
      <c r="B135" s="148" t="s">
        <v>1503</v>
      </c>
      <c r="C135" s="148" t="s">
        <v>139</v>
      </c>
      <c r="D135" s="148" t="s">
        <v>541</v>
      </c>
      <c r="E135" s="148" t="s">
        <v>1394</v>
      </c>
      <c r="F135" s="148" t="s">
        <v>1414</v>
      </c>
      <c r="G135" s="148" t="s">
        <v>129</v>
      </c>
      <c r="H135" s="148">
        <v>1140751</v>
      </c>
      <c r="I135" s="148">
        <v>0</v>
      </c>
      <c r="J135" s="148">
        <v>0</v>
      </c>
      <c r="K135" s="148" t="str">
        <f t="shared" si="2"/>
        <v>ENTITYWTCH_LST</v>
      </c>
    </row>
    <row r="136" spans="1:11" hidden="1">
      <c r="A136" s="148" t="s">
        <v>1504</v>
      </c>
      <c r="B136" s="148" t="s">
        <v>1505</v>
      </c>
      <c r="C136" s="148" t="s">
        <v>139</v>
      </c>
      <c r="D136" s="148" t="s">
        <v>504</v>
      </c>
      <c r="E136" s="148" t="s">
        <v>1394</v>
      </c>
      <c r="F136" s="148" t="s">
        <v>1414</v>
      </c>
      <c r="G136" s="148" t="s">
        <v>129</v>
      </c>
      <c r="H136" s="148">
        <v>1140751</v>
      </c>
      <c r="I136" s="148">
        <v>0</v>
      </c>
      <c r="J136" s="148">
        <v>0</v>
      </c>
      <c r="K136" s="148" t="str">
        <f t="shared" si="2"/>
        <v>ENTITYSNGL_PRPS_VHCL</v>
      </c>
    </row>
    <row r="137" spans="1:11" hidden="1">
      <c r="A137" s="148" t="s">
        <v>1506</v>
      </c>
      <c r="B137" s="148" t="s">
        <v>1507</v>
      </c>
      <c r="C137" s="148" t="s">
        <v>139</v>
      </c>
      <c r="D137" s="148" t="s">
        <v>344</v>
      </c>
      <c r="E137" s="148" t="s">
        <v>1397</v>
      </c>
      <c r="F137" s="148" t="s">
        <v>1414</v>
      </c>
      <c r="G137" s="148" t="s">
        <v>129</v>
      </c>
      <c r="H137" s="148">
        <v>1140751</v>
      </c>
      <c r="I137" s="148">
        <v>0</v>
      </c>
      <c r="J137" s="148">
        <v>0</v>
      </c>
      <c r="K137" s="148" t="str">
        <f t="shared" si="2"/>
        <v>ENTITYGRP_EBITDA</v>
      </c>
    </row>
    <row r="138" spans="1:11" hidden="1">
      <c r="A138" s="148" t="s">
        <v>1508</v>
      </c>
      <c r="B138" s="148" t="s">
        <v>1509</v>
      </c>
      <c r="C138" s="148" t="s">
        <v>139</v>
      </c>
      <c r="D138" s="148" t="s">
        <v>345</v>
      </c>
      <c r="E138" s="148" t="s">
        <v>1397</v>
      </c>
      <c r="F138" s="148" t="s">
        <v>1414</v>
      </c>
      <c r="G138" s="148" t="s">
        <v>129</v>
      </c>
      <c r="H138" s="148">
        <v>1140751</v>
      </c>
      <c r="I138" s="148">
        <v>0</v>
      </c>
      <c r="J138" s="148">
        <v>0</v>
      </c>
      <c r="K138" s="148" t="str">
        <f t="shared" si="2"/>
        <v>ENTITYGRP_EQTY</v>
      </c>
    </row>
    <row r="139" spans="1:11" hidden="1">
      <c r="A139" s="148" t="s">
        <v>1510</v>
      </c>
      <c r="B139" s="148" t="s">
        <v>1511</v>
      </c>
      <c r="C139" s="148" t="s">
        <v>139</v>
      </c>
      <c r="D139" s="148" t="s">
        <v>346</v>
      </c>
      <c r="E139" s="148" t="s">
        <v>1397</v>
      </c>
      <c r="F139" s="148" t="s">
        <v>1414</v>
      </c>
      <c r="G139" s="148" t="s">
        <v>129</v>
      </c>
      <c r="H139" s="148">
        <v>1140751</v>
      </c>
      <c r="I139" s="148">
        <v>0</v>
      </c>
      <c r="J139" s="148">
        <v>0</v>
      </c>
      <c r="K139" s="148" t="str">
        <f t="shared" si="2"/>
        <v>ENTITYGRP_NT_DBT</v>
      </c>
    </row>
    <row r="140" spans="1:11" hidden="1">
      <c r="A140" s="148" t="s">
        <v>1512</v>
      </c>
      <c r="B140" s="148" t="s">
        <v>1513</v>
      </c>
      <c r="C140" s="148" t="s">
        <v>139</v>
      </c>
      <c r="D140" s="148" t="s">
        <v>149</v>
      </c>
      <c r="E140" s="148" t="s">
        <v>1397</v>
      </c>
      <c r="F140" s="148" t="s">
        <v>1414</v>
      </c>
      <c r="G140" s="148" t="s">
        <v>129</v>
      </c>
      <c r="H140" s="148">
        <v>1140751</v>
      </c>
      <c r="I140" s="148">
        <v>0</v>
      </c>
      <c r="J140" s="148">
        <v>0</v>
      </c>
      <c r="K140" s="148" t="str">
        <f t="shared" si="2"/>
        <v>ENTITYANNL_TRNVR_LE</v>
      </c>
    </row>
    <row r="141" spans="1:11" hidden="1">
      <c r="A141" s="148" t="s">
        <v>1514</v>
      </c>
      <c r="B141" s="148" t="s">
        <v>1515</v>
      </c>
      <c r="C141" s="148" t="s">
        <v>139</v>
      </c>
      <c r="D141" s="148" t="s">
        <v>151</v>
      </c>
      <c r="E141" s="148" t="s">
        <v>1397</v>
      </c>
      <c r="F141" s="148" t="s">
        <v>1414</v>
      </c>
      <c r="G141" s="148" t="s">
        <v>129</v>
      </c>
      <c r="H141" s="148">
        <v>1140751</v>
      </c>
      <c r="I141" s="148">
        <v>0</v>
      </c>
      <c r="J141" s="148">
        <v>0</v>
      </c>
      <c r="K141" s="148" t="str">
        <f t="shared" si="2"/>
        <v>ENTITYANNL_TRNVR_PRVS</v>
      </c>
    </row>
    <row r="142" spans="1:11" hidden="1">
      <c r="A142" s="148" t="s">
        <v>1516</v>
      </c>
      <c r="B142" s="148" t="s">
        <v>1517</v>
      </c>
      <c r="C142" s="148" t="s">
        <v>139</v>
      </c>
      <c r="D142" s="148" t="s">
        <v>165</v>
      </c>
      <c r="E142" s="148" t="s">
        <v>1397</v>
      </c>
      <c r="F142" s="148" t="s">
        <v>1414</v>
      </c>
      <c r="G142" s="148" t="s">
        <v>129</v>
      </c>
      <c r="H142" s="148">
        <v>1140751</v>
      </c>
      <c r="I142" s="148">
        <v>0</v>
      </c>
      <c r="J142" s="148">
        <v>0</v>
      </c>
      <c r="K142" s="148" t="str">
        <f t="shared" si="2"/>
        <v>ENTITYCAPEX</v>
      </c>
    </row>
    <row r="143" spans="1:11" hidden="1">
      <c r="A143" s="148" t="s">
        <v>1518</v>
      </c>
      <c r="B143" s="148" t="s">
        <v>1519</v>
      </c>
      <c r="C143" s="148" t="s">
        <v>139</v>
      </c>
      <c r="D143" s="148" t="s">
        <v>166</v>
      </c>
      <c r="E143" s="148" t="s">
        <v>1397</v>
      </c>
      <c r="F143" s="148" t="s">
        <v>1414</v>
      </c>
      <c r="G143" s="148" t="s">
        <v>129</v>
      </c>
      <c r="H143" s="148">
        <v>1140751</v>
      </c>
      <c r="I143" s="148">
        <v>0</v>
      </c>
      <c r="J143" s="148">
        <v>0</v>
      </c>
      <c r="K143" s="148" t="str">
        <f t="shared" si="2"/>
        <v>ENTITYCAPEX_PRVS</v>
      </c>
    </row>
    <row r="144" spans="1:11" hidden="1">
      <c r="A144" s="148" t="s">
        <v>1520</v>
      </c>
      <c r="B144" s="148" t="s">
        <v>1521</v>
      </c>
      <c r="C144" s="148" t="s">
        <v>139</v>
      </c>
      <c r="D144" s="148" t="s">
        <v>170</v>
      </c>
      <c r="E144" s="148" t="s">
        <v>1394</v>
      </c>
      <c r="F144" s="148" t="s">
        <v>1414</v>
      </c>
      <c r="G144" s="148" t="s">
        <v>129</v>
      </c>
      <c r="H144" s="148">
        <v>1140751</v>
      </c>
      <c r="I144" s="148">
        <v>0</v>
      </c>
      <c r="J144" s="148">
        <v>0</v>
      </c>
      <c r="K144" s="148" t="str">
        <f t="shared" si="2"/>
        <v>ENTITYCLLCTN_MD</v>
      </c>
    </row>
    <row r="145" spans="1:11" hidden="1">
      <c r="A145" s="148" t="s">
        <v>1522</v>
      </c>
      <c r="B145" s="148" t="s">
        <v>1523</v>
      </c>
      <c r="C145" s="148" t="s">
        <v>139</v>
      </c>
      <c r="D145" s="148" t="s">
        <v>201</v>
      </c>
      <c r="E145" s="148" t="s">
        <v>1397</v>
      </c>
      <c r="F145" s="148" t="s">
        <v>1414</v>
      </c>
      <c r="G145" s="148" t="s">
        <v>129</v>
      </c>
      <c r="H145" s="148">
        <v>1140751</v>
      </c>
      <c r="I145" s="148">
        <v>0</v>
      </c>
      <c r="J145" s="148">
        <v>0</v>
      </c>
      <c r="K145" s="148" t="str">
        <f t="shared" si="2"/>
        <v>ENTITYCSH</v>
      </c>
    </row>
    <row r="146" spans="1:11" hidden="1">
      <c r="A146" s="148" t="s">
        <v>1524</v>
      </c>
      <c r="B146" s="148" t="s">
        <v>1525</v>
      </c>
      <c r="C146" s="148" t="s">
        <v>139</v>
      </c>
      <c r="D146" s="148" t="s">
        <v>202</v>
      </c>
      <c r="E146" s="148" t="s">
        <v>1397</v>
      </c>
      <c r="F146" s="148" t="s">
        <v>1414</v>
      </c>
      <c r="G146" s="148" t="s">
        <v>129</v>
      </c>
      <c r="H146" s="148">
        <v>1140751</v>
      </c>
      <c r="I146" s="148">
        <v>0</v>
      </c>
      <c r="J146" s="148">
        <v>0</v>
      </c>
      <c r="K146" s="148" t="str">
        <f t="shared" si="2"/>
        <v>ENTITYCSH_PRVS</v>
      </c>
    </row>
    <row r="147" spans="1:11" hidden="1">
      <c r="A147" s="148" t="s">
        <v>1526</v>
      </c>
      <c r="B147" s="148" t="s">
        <v>1527</v>
      </c>
      <c r="C147" s="148" t="s">
        <v>139</v>
      </c>
      <c r="D147" s="148" t="s">
        <v>364</v>
      </c>
      <c r="E147" s="148" t="s">
        <v>1397</v>
      </c>
      <c r="F147" s="148" t="s">
        <v>1414</v>
      </c>
      <c r="G147" s="148" t="s">
        <v>129</v>
      </c>
      <c r="H147" s="148">
        <v>1140751</v>
      </c>
      <c r="I147" s="148">
        <v>0</v>
      </c>
      <c r="J147" s="148">
        <v>0</v>
      </c>
      <c r="K147" s="148" t="str">
        <f t="shared" si="2"/>
        <v>ENTITYEBITDA</v>
      </c>
    </row>
    <row r="148" spans="1:11" hidden="1">
      <c r="A148" s="148" t="s">
        <v>1528</v>
      </c>
      <c r="B148" s="148" t="s">
        <v>1529</v>
      </c>
      <c r="C148" s="148" t="s">
        <v>139</v>
      </c>
      <c r="D148" s="148" t="s">
        <v>353</v>
      </c>
      <c r="E148" s="148" t="s">
        <v>1397</v>
      </c>
      <c r="F148" s="148" t="s">
        <v>1414</v>
      </c>
      <c r="G148" s="148" t="s">
        <v>129</v>
      </c>
      <c r="H148" s="148">
        <v>1140751</v>
      </c>
      <c r="I148" s="148">
        <v>0</v>
      </c>
      <c r="J148" s="148">
        <v>0</v>
      </c>
      <c r="K148" s="148" t="str">
        <f t="shared" si="2"/>
        <v>ENTITYEBITDA_PRVS</v>
      </c>
    </row>
    <row r="149" spans="1:11" hidden="1">
      <c r="A149" s="148" t="s">
        <v>1530</v>
      </c>
      <c r="B149" s="148" t="s">
        <v>1531</v>
      </c>
      <c r="C149" s="148" t="s">
        <v>139</v>
      </c>
      <c r="D149" s="148" t="s">
        <v>308</v>
      </c>
      <c r="E149" s="148" t="s">
        <v>1397</v>
      </c>
      <c r="F149" s="148" t="s">
        <v>1414</v>
      </c>
      <c r="G149" s="148" t="s">
        <v>129</v>
      </c>
      <c r="H149" s="148">
        <v>1140751</v>
      </c>
      <c r="I149" s="148">
        <v>0</v>
      </c>
      <c r="J149" s="148">
        <v>0</v>
      </c>
      <c r="K149" s="148" t="str">
        <f t="shared" si="2"/>
        <v>ENTITYEQTY</v>
      </c>
    </row>
    <row r="150" spans="1:11" hidden="1">
      <c r="A150" s="148" t="s">
        <v>1532</v>
      </c>
      <c r="B150" s="148" t="s">
        <v>1533</v>
      </c>
      <c r="C150" s="148" t="s">
        <v>139</v>
      </c>
      <c r="D150" s="148" t="s">
        <v>309</v>
      </c>
      <c r="E150" s="148" t="s">
        <v>1397</v>
      </c>
      <c r="F150" s="148" t="s">
        <v>1414</v>
      </c>
      <c r="G150" s="148" t="s">
        <v>129</v>
      </c>
      <c r="H150" s="148">
        <v>1140751</v>
      </c>
      <c r="I150" s="148">
        <v>0</v>
      </c>
      <c r="J150" s="148">
        <v>0</v>
      </c>
      <c r="K150" s="148" t="str">
        <f t="shared" si="2"/>
        <v>ENTITYEQTY_PRVS</v>
      </c>
    </row>
    <row r="151" spans="1:11" hidden="1">
      <c r="A151" s="148" t="s">
        <v>1534</v>
      </c>
      <c r="B151" s="148" t="s">
        <v>1535</v>
      </c>
      <c r="C151" s="148" t="s">
        <v>139</v>
      </c>
      <c r="D151" s="148" t="s">
        <v>347</v>
      </c>
      <c r="E151" s="148" t="s">
        <v>1397</v>
      </c>
      <c r="F151" s="148" t="s">
        <v>1414</v>
      </c>
      <c r="G151" s="148" t="s">
        <v>129</v>
      </c>
      <c r="H151" s="148">
        <v>1140751</v>
      </c>
      <c r="I151" s="148">
        <v>0</v>
      </c>
      <c r="J151" s="148">
        <v>0</v>
      </c>
      <c r="K151" s="148" t="str">
        <f t="shared" si="2"/>
        <v>ENTITYGRP_TTL_DBT</v>
      </c>
    </row>
    <row r="152" spans="1:11" hidden="1">
      <c r="A152" s="148" t="s">
        <v>1536</v>
      </c>
      <c r="B152" s="148" t="s">
        <v>1537</v>
      </c>
      <c r="C152" s="148" t="s">
        <v>139</v>
      </c>
      <c r="D152" s="148" t="s">
        <v>339</v>
      </c>
      <c r="E152" s="148" t="s">
        <v>1397</v>
      </c>
      <c r="F152" s="148" t="s">
        <v>1414</v>
      </c>
      <c r="G152" s="148" t="s">
        <v>129</v>
      </c>
      <c r="H152" s="148">
        <v>1140751</v>
      </c>
      <c r="I152" s="148">
        <v>0</v>
      </c>
      <c r="J152" s="148">
        <v>0</v>
      </c>
      <c r="K152" s="148" t="str">
        <f t="shared" si="2"/>
        <v>ENTITYGDWILL</v>
      </c>
    </row>
    <row r="153" spans="1:11" hidden="1">
      <c r="A153" s="148" t="s">
        <v>1538</v>
      </c>
      <c r="B153" s="148" t="s">
        <v>1539</v>
      </c>
      <c r="C153" s="148" t="s">
        <v>139</v>
      </c>
      <c r="D153" s="148" t="s">
        <v>340</v>
      </c>
      <c r="E153" s="148" t="s">
        <v>1397</v>
      </c>
      <c r="F153" s="148" t="s">
        <v>1414</v>
      </c>
      <c r="G153" s="148" t="s">
        <v>129</v>
      </c>
      <c r="H153" s="148">
        <v>1140751</v>
      </c>
      <c r="I153" s="148">
        <v>0</v>
      </c>
      <c r="J153" s="148">
        <v>0</v>
      </c>
      <c r="K153" s="148" t="str">
        <f t="shared" si="2"/>
        <v>ENTITYGDWILL_PRVS</v>
      </c>
    </row>
    <row r="154" spans="1:11" hidden="1">
      <c r="A154" s="148" t="s">
        <v>1540</v>
      </c>
      <c r="B154" s="148" t="s">
        <v>1541</v>
      </c>
      <c r="C154" s="148" t="s">
        <v>139</v>
      </c>
      <c r="D154" s="148" t="s">
        <v>401</v>
      </c>
      <c r="E154" s="148" t="s">
        <v>1397</v>
      </c>
      <c r="F154" s="148" t="s">
        <v>1414</v>
      </c>
      <c r="G154" s="148" t="s">
        <v>129</v>
      </c>
      <c r="H154" s="148">
        <v>1140751</v>
      </c>
      <c r="I154" s="148">
        <v>0</v>
      </c>
      <c r="J154" s="148">
        <v>0</v>
      </c>
      <c r="K154" s="148" t="str">
        <f t="shared" si="2"/>
        <v>ENTITYLTI</v>
      </c>
    </row>
    <row r="155" spans="1:11" hidden="1">
      <c r="A155" s="148" t="s">
        <v>1542</v>
      </c>
      <c r="B155" s="148" t="s">
        <v>1543</v>
      </c>
      <c r="C155" s="148" t="s">
        <v>139</v>
      </c>
      <c r="D155" s="148" t="s">
        <v>406</v>
      </c>
      <c r="E155" s="148" t="s">
        <v>1397</v>
      </c>
      <c r="F155" s="148" t="s">
        <v>1414</v>
      </c>
      <c r="G155" s="148" t="s">
        <v>129</v>
      </c>
      <c r="H155" s="148">
        <v>1140751</v>
      </c>
      <c r="I155" s="148">
        <v>0</v>
      </c>
      <c r="J155" s="148">
        <v>0</v>
      </c>
      <c r="K155" s="148" t="str">
        <f t="shared" si="2"/>
        <v>ENTITYLVRG</v>
      </c>
    </row>
    <row r="156" spans="1:11" hidden="1">
      <c r="A156" s="148" t="s">
        <v>1544</v>
      </c>
      <c r="B156" s="148" t="s">
        <v>1545</v>
      </c>
      <c r="C156" s="148" t="s">
        <v>139</v>
      </c>
      <c r="D156" s="148" t="s">
        <v>408</v>
      </c>
      <c r="E156" s="148" t="s">
        <v>1397</v>
      </c>
      <c r="F156" s="148" t="s">
        <v>1414</v>
      </c>
      <c r="G156" s="148" t="s">
        <v>129</v>
      </c>
      <c r="H156" s="148">
        <v>1140751</v>
      </c>
      <c r="I156" s="148">
        <v>0</v>
      </c>
      <c r="J156" s="148">
        <v>0</v>
      </c>
      <c r="K156" s="148" t="str">
        <f t="shared" si="2"/>
        <v>ENTITYLVRG_PRVS</v>
      </c>
    </row>
    <row r="157" spans="1:11" hidden="1">
      <c r="A157" s="148" t="s">
        <v>1546</v>
      </c>
      <c r="B157" s="148" t="s">
        <v>1547</v>
      </c>
      <c r="C157" s="148" t="s">
        <v>139</v>
      </c>
      <c r="D157" s="148" t="s">
        <v>413</v>
      </c>
      <c r="E157" s="148" t="s">
        <v>1397</v>
      </c>
      <c r="F157" s="148" t="s">
        <v>1414</v>
      </c>
      <c r="G157" s="148" t="s">
        <v>129</v>
      </c>
      <c r="H157" s="148">
        <v>1140751</v>
      </c>
      <c r="I157" s="148">
        <v>0</v>
      </c>
      <c r="J157" s="148">
        <v>0</v>
      </c>
      <c r="K157" s="148" t="str">
        <f t="shared" si="2"/>
        <v>ENTITYMNTHL_INCM</v>
      </c>
    </row>
    <row r="158" spans="1:11" hidden="1">
      <c r="A158" s="148" t="s">
        <v>1548</v>
      </c>
      <c r="B158" s="148" t="s">
        <v>1549</v>
      </c>
      <c r="C158" s="148" t="s">
        <v>139</v>
      </c>
      <c r="D158" s="148" t="s">
        <v>414</v>
      </c>
      <c r="E158" s="148" t="s">
        <v>1397</v>
      </c>
      <c r="F158" s="148" t="s">
        <v>1414</v>
      </c>
      <c r="G158" s="148" t="s">
        <v>129</v>
      </c>
      <c r="H158" s="148">
        <v>1140751</v>
      </c>
      <c r="I158" s="148">
        <v>0</v>
      </c>
      <c r="J158" s="148">
        <v>0</v>
      </c>
      <c r="K158" s="148" t="str">
        <f t="shared" si="2"/>
        <v>ENTITYMNTHL_INCM_SLR</v>
      </c>
    </row>
    <row r="159" spans="1:11" hidden="1">
      <c r="A159" s="148" t="s">
        <v>1550</v>
      </c>
      <c r="B159" s="148" t="s">
        <v>1551</v>
      </c>
      <c r="C159" s="148" t="s">
        <v>139</v>
      </c>
      <c r="D159" s="148" t="s">
        <v>415</v>
      </c>
      <c r="E159" s="148" t="s">
        <v>1397</v>
      </c>
      <c r="F159" s="148" t="s">
        <v>1414</v>
      </c>
      <c r="G159" s="148" t="s">
        <v>129</v>
      </c>
      <c r="H159" s="148">
        <v>1140751</v>
      </c>
      <c r="I159" s="148">
        <v>0</v>
      </c>
      <c r="J159" s="148">
        <v>0</v>
      </c>
      <c r="K159" s="148" t="str">
        <f t="shared" si="2"/>
        <v>ENTITYMNTHL_TRNVR</v>
      </c>
    </row>
    <row r="160" spans="1:11" hidden="1">
      <c r="A160" s="148" t="s">
        <v>1552</v>
      </c>
      <c r="B160" s="148" t="s">
        <v>1553</v>
      </c>
      <c r="C160" s="148" t="s">
        <v>139</v>
      </c>
      <c r="D160" s="148" t="s">
        <v>419</v>
      </c>
      <c r="E160" s="148" t="s">
        <v>1397</v>
      </c>
      <c r="F160" s="148" t="s">
        <v>1414</v>
      </c>
      <c r="G160" s="148" t="s">
        <v>129</v>
      </c>
      <c r="H160" s="148">
        <v>1140751</v>
      </c>
      <c r="I160" s="148">
        <v>0</v>
      </c>
      <c r="J160" s="148">
        <v>0</v>
      </c>
      <c r="K160" s="148" t="str">
        <f t="shared" si="2"/>
        <v>ENTITYNT_INCM</v>
      </c>
    </row>
    <row r="161" spans="1:11" hidden="1">
      <c r="A161" s="148" t="s">
        <v>1554</v>
      </c>
      <c r="B161" s="148" t="s">
        <v>1555</v>
      </c>
      <c r="C161" s="148" t="s">
        <v>139</v>
      </c>
      <c r="D161" s="148" t="s">
        <v>420</v>
      </c>
      <c r="E161" s="148" t="s">
        <v>1397</v>
      </c>
      <c r="F161" s="148" t="s">
        <v>1414</v>
      </c>
      <c r="G161" s="148" t="s">
        <v>129</v>
      </c>
      <c r="H161" s="148">
        <v>1140751</v>
      </c>
      <c r="I161" s="148">
        <v>0</v>
      </c>
      <c r="J161" s="148">
        <v>0</v>
      </c>
      <c r="K161" s="148" t="str">
        <f t="shared" si="2"/>
        <v>ENTITYNT_INCM_PRVS</v>
      </c>
    </row>
    <row r="162" spans="1:11" hidden="1">
      <c r="A162" s="148" t="s">
        <v>1556</v>
      </c>
      <c r="B162" s="148" t="s">
        <v>1557</v>
      </c>
      <c r="C162" s="148" t="s">
        <v>139</v>
      </c>
      <c r="D162" s="148" t="s">
        <v>522</v>
      </c>
      <c r="E162" s="148" t="s">
        <v>1397</v>
      </c>
      <c r="F162" s="148" t="s">
        <v>1414</v>
      </c>
      <c r="G162" s="148" t="s">
        <v>129</v>
      </c>
      <c r="H162" s="148">
        <v>1140751</v>
      </c>
      <c r="I162" s="148">
        <v>0</v>
      </c>
      <c r="J162" s="148">
        <v>0</v>
      </c>
      <c r="K162" s="148" t="str">
        <f t="shared" si="2"/>
        <v>ENTITYTTL_DBT</v>
      </c>
    </row>
    <row r="163" spans="1:11" hidden="1">
      <c r="A163" s="148" t="s">
        <v>1558</v>
      </c>
      <c r="B163" s="148" t="s">
        <v>1559</v>
      </c>
      <c r="C163" s="148" t="s">
        <v>139</v>
      </c>
      <c r="D163" s="148" t="s">
        <v>523</v>
      </c>
      <c r="E163" s="148" t="s">
        <v>1397</v>
      </c>
      <c r="F163" s="148" t="s">
        <v>1414</v>
      </c>
      <c r="G163" s="148" t="s">
        <v>129</v>
      </c>
      <c r="H163" s="148">
        <v>1140751</v>
      </c>
      <c r="I163" s="148">
        <v>0</v>
      </c>
      <c r="J163" s="148">
        <v>0</v>
      </c>
      <c r="K163" s="148" t="str">
        <f t="shared" si="2"/>
        <v>ENTITYTTL_DBT_PRVS</v>
      </c>
    </row>
    <row r="164" spans="1:11" hidden="1">
      <c r="A164" s="148" t="s">
        <v>1560</v>
      </c>
      <c r="B164" s="148" t="s">
        <v>1561</v>
      </c>
      <c r="C164" s="148" t="s">
        <v>139</v>
      </c>
      <c r="D164" s="148" t="s">
        <v>171</v>
      </c>
      <c r="E164" s="148" t="s">
        <v>1397</v>
      </c>
      <c r="F164" s="148" t="s">
        <v>1414</v>
      </c>
      <c r="G164" s="148" t="s">
        <v>129</v>
      </c>
      <c r="H164" s="148">
        <v>1140751</v>
      </c>
      <c r="I164" s="148">
        <v>0</v>
      </c>
      <c r="J164" s="148">
        <v>0</v>
      </c>
      <c r="K164" s="148" t="str">
        <f t="shared" si="2"/>
        <v>ENTITYTTL_INTRST_PD</v>
      </c>
    </row>
    <row r="165" spans="1:11" hidden="1">
      <c r="A165" s="148" t="s">
        <v>1562</v>
      </c>
      <c r="B165" s="148" t="s">
        <v>1563</v>
      </c>
      <c r="C165" s="148" t="s">
        <v>139</v>
      </c>
      <c r="D165" s="148" t="s">
        <v>525</v>
      </c>
      <c r="E165" s="148" t="s">
        <v>1397</v>
      </c>
      <c r="F165" s="148" t="s">
        <v>1414</v>
      </c>
      <c r="G165" s="148" t="s">
        <v>129</v>
      </c>
      <c r="H165" s="148">
        <v>1140751</v>
      </c>
      <c r="I165" s="148">
        <v>0</v>
      </c>
      <c r="J165" s="148">
        <v>0</v>
      </c>
      <c r="K165" s="148" t="str">
        <f t="shared" si="2"/>
        <v>ENTITYTTL_LVRG_RT</v>
      </c>
    </row>
    <row r="166" spans="1:11" hidden="1">
      <c r="A166" s="148" t="s">
        <v>1564</v>
      </c>
      <c r="B166" s="148" t="s">
        <v>1565</v>
      </c>
      <c r="C166" s="148" t="s">
        <v>139</v>
      </c>
      <c r="D166" s="148" t="s">
        <v>526</v>
      </c>
      <c r="E166" s="148" t="s">
        <v>1397</v>
      </c>
      <c r="F166" s="148" t="s">
        <v>1414</v>
      </c>
      <c r="G166" s="148" t="s">
        <v>129</v>
      </c>
      <c r="H166" s="148">
        <v>1140751</v>
      </c>
      <c r="I166" s="148">
        <v>0</v>
      </c>
      <c r="J166" s="148">
        <v>0</v>
      </c>
      <c r="K166" s="148" t="str">
        <f t="shared" si="2"/>
        <v>ENTITYTTL_LVRG_RT_PRVS</v>
      </c>
    </row>
    <row r="167" spans="1:11" hidden="1">
      <c r="A167" s="148" t="s">
        <v>1566</v>
      </c>
      <c r="B167" s="148" t="s">
        <v>1567</v>
      </c>
      <c r="C167" s="148" t="s">
        <v>139</v>
      </c>
      <c r="D167" s="148" t="s">
        <v>206</v>
      </c>
      <c r="E167" s="148" t="s">
        <v>1397</v>
      </c>
      <c r="F167" s="148" t="s">
        <v>1414</v>
      </c>
      <c r="G167" s="148" t="s">
        <v>129</v>
      </c>
      <c r="H167" s="148">
        <v>1140751</v>
      </c>
      <c r="I167" s="148">
        <v>0</v>
      </c>
      <c r="J167" s="148">
        <v>0</v>
      </c>
      <c r="K167" s="148" t="str">
        <f t="shared" si="2"/>
        <v>ENTITYDBT_RPYMNT_CPCTY_SNR_DBT</v>
      </c>
    </row>
    <row r="168" spans="1:11" hidden="1">
      <c r="A168" s="148" t="s">
        <v>1568</v>
      </c>
      <c r="B168" s="148" t="s">
        <v>1569</v>
      </c>
      <c r="C168" s="148" t="s">
        <v>139</v>
      </c>
      <c r="D168" s="148" t="s">
        <v>207</v>
      </c>
      <c r="E168" s="148" t="s">
        <v>1397</v>
      </c>
      <c r="F168" s="148" t="s">
        <v>1414</v>
      </c>
      <c r="G168" s="148" t="s">
        <v>129</v>
      </c>
      <c r="H168" s="148">
        <v>1140751</v>
      </c>
      <c r="I168" s="148">
        <v>0</v>
      </c>
      <c r="J168" s="148">
        <v>0</v>
      </c>
      <c r="K168" s="148" t="str">
        <f t="shared" si="2"/>
        <v>ENTITYDBT_RPYMNT_CPCTY_TTL</v>
      </c>
    </row>
    <row r="169" spans="1:11" hidden="1">
      <c r="A169" s="148" t="s">
        <v>1570</v>
      </c>
      <c r="B169" s="148" t="s">
        <v>1571</v>
      </c>
      <c r="C169" s="148" t="s">
        <v>139</v>
      </c>
      <c r="D169" s="148" t="s">
        <v>208</v>
      </c>
      <c r="E169" s="148" t="s">
        <v>1397</v>
      </c>
      <c r="F169" s="148" t="s">
        <v>1414</v>
      </c>
      <c r="G169" s="148" t="s">
        <v>129</v>
      </c>
      <c r="H169" s="148">
        <v>1140751</v>
      </c>
      <c r="I169" s="148">
        <v>0</v>
      </c>
      <c r="J169" s="148">
        <v>0</v>
      </c>
      <c r="K169" s="148" t="str">
        <f t="shared" si="2"/>
        <v>ENTITYDBT_SRVC_RT</v>
      </c>
    </row>
    <row r="170" spans="1:11" hidden="1">
      <c r="A170" s="148" t="s">
        <v>1572</v>
      </c>
      <c r="B170" s="148" t="s">
        <v>1573</v>
      </c>
      <c r="C170" s="148" t="s">
        <v>139</v>
      </c>
      <c r="D170" s="148" t="s">
        <v>209</v>
      </c>
      <c r="E170" s="148" t="s">
        <v>1397</v>
      </c>
      <c r="F170" s="148" t="s">
        <v>1414</v>
      </c>
      <c r="G170" s="148" t="s">
        <v>129</v>
      </c>
      <c r="H170" s="148">
        <v>1140751</v>
      </c>
      <c r="I170" s="148">
        <v>0</v>
      </c>
      <c r="J170" s="148">
        <v>0</v>
      </c>
      <c r="K170" s="148" t="str">
        <f t="shared" si="2"/>
        <v>ENTITYDBT_SRVC_RT_12M</v>
      </c>
    </row>
    <row r="171" spans="1:11" hidden="1">
      <c r="A171" s="148" t="s">
        <v>1574</v>
      </c>
      <c r="B171" s="148" t="s">
        <v>1575</v>
      </c>
      <c r="C171" s="148" t="s">
        <v>139</v>
      </c>
      <c r="D171" s="148" t="s">
        <v>437</v>
      </c>
      <c r="E171" s="148" t="s">
        <v>1397</v>
      </c>
      <c r="F171" s="148" t="s">
        <v>1414</v>
      </c>
      <c r="G171" s="148" t="s">
        <v>129</v>
      </c>
      <c r="H171" s="148">
        <v>1140751</v>
      </c>
      <c r="I171" s="148">
        <v>0</v>
      </c>
      <c r="J171" s="148">
        <v>0</v>
      </c>
      <c r="K171" s="148" t="str">
        <f t="shared" si="2"/>
        <v>ENTITYPD_CRR_RD</v>
      </c>
    </row>
    <row r="172" spans="1:11" hidden="1">
      <c r="A172" s="148" t="s">
        <v>1576</v>
      </c>
      <c r="B172" s="148" t="s">
        <v>1577</v>
      </c>
      <c r="C172" s="148" t="s">
        <v>139</v>
      </c>
      <c r="D172" s="148" t="s">
        <v>440</v>
      </c>
      <c r="E172" s="148" t="s">
        <v>1397</v>
      </c>
      <c r="F172" s="148" t="s">
        <v>1414</v>
      </c>
      <c r="G172" s="148" t="s">
        <v>129</v>
      </c>
      <c r="H172" s="148">
        <v>1140751</v>
      </c>
      <c r="I172" s="148">
        <v>0</v>
      </c>
      <c r="J172" s="148">
        <v>0</v>
      </c>
      <c r="K172" s="148" t="str">
        <f t="shared" si="2"/>
        <v>ENTITYPD_IFRS9_12M_RD</v>
      </c>
    </row>
    <row r="173" spans="1:11" hidden="1">
      <c r="A173" s="148" t="s">
        <v>1578</v>
      </c>
      <c r="B173" s="148" t="s">
        <v>1579</v>
      </c>
      <c r="C173" s="148" t="s">
        <v>139</v>
      </c>
      <c r="D173" s="148" t="s">
        <v>442</v>
      </c>
      <c r="E173" s="148" t="s">
        <v>1397</v>
      </c>
      <c r="F173" s="148" t="s">
        <v>1414</v>
      </c>
      <c r="G173" s="148" t="s">
        <v>129</v>
      </c>
      <c r="H173" s="148">
        <v>1140751</v>
      </c>
      <c r="I173" s="148">
        <v>0</v>
      </c>
      <c r="J173" s="148">
        <v>0</v>
      </c>
      <c r="K173" s="148" t="str">
        <f t="shared" si="2"/>
        <v>ENTITYPD_IFRS9_12M_RD_T1</v>
      </c>
    </row>
    <row r="174" spans="1:11" hidden="1">
      <c r="A174" s="148" t="s">
        <v>1580</v>
      </c>
      <c r="B174" s="148" t="s">
        <v>1581</v>
      </c>
      <c r="C174" s="148" t="s">
        <v>139</v>
      </c>
      <c r="D174" s="148" t="s">
        <v>517</v>
      </c>
      <c r="E174" s="148" t="s">
        <v>1390</v>
      </c>
      <c r="F174" s="148" t="s">
        <v>1414</v>
      </c>
      <c r="G174" s="148" t="s">
        <v>129</v>
      </c>
      <c r="H174" s="148">
        <v>1140751</v>
      </c>
      <c r="I174" s="148">
        <v>0</v>
      </c>
      <c r="J174" s="148">
        <v>0</v>
      </c>
      <c r="K174" s="148" t="str">
        <f t="shared" si="2"/>
        <v>ENTITYTAX_ID</v>
      </c>
    </row>
    <row r="175" spans="1:11" hidden="1">
      <c r="A175" s="148" t="s">
        <v>1582</v>
      </c>
      <c r="B175" s="148" t="s">
        <v>1583</v>
      </c>
      <c r="C175" s="148" t="s">
        <v>139</v>
      </c>
      <c r="D175" s="148" t="s">
        <v>150</v>
      </c>
      <c r="E175" s="148" t="s">
        <v>1397</v>
      </c>
      <c r="F175" s="148" t="s">
        <v>1414</v>
      </c>
      <c r="G175" s="148" t="s">
        <v>129</v>
      </c>
      <c r="H175" s="148">
        <v>1140751</v>
      </c>
      <c r="I175" s="148">
        <v>0</v>
      </c>
      <c r="J175" s="148">
        <v>0</v>
      </c>
      <c r="K175" s="148" t="str">
        <f t="shared" si="2"/>
        <v>ENTITYANNL_TRNVR_LE_BDR</v>
      </c>
    </row>
    <row r="176" spans="1:11" hidden="1">
      <c r="A176" s="148" t="s">
        <v>1584</v>
      </c>
      <c r="B176" s="148" t="s">
        <v>1585</v>
      </c>
      <c r="C176" s="148" t="s">
        <v>139</v>
      </c>
      <c r="D176" s="148" t="s">
        <v>152</v>
      </c>
      <c r="E176" s="148" t="s">
        <v>1397</v>
      </c>
      <c r="F176" s="148" t="s">
        <v>1414</v>
      </c>
      <c r="G176" s="148" t="s">
        <v>129</v>
      </c>
      <c r="H176" s="148">
        <v>1140751</v>
      </c>
      <c r="I176" s="148">
        <v>0</v>
      </c>
      <c r="J176" s="148">
        <v>0</v>
      </c>
      <c r="K176" s="148" t="str">
        <f t="shared" si="2"/>
        <v>ENTITYANNL_TRNVR_PRVS_BDR</v>
      </c>
    </row>
    <row r="177" spans="1:11" hidden="1">
      <c r="A177" s="148" t="s">
        <v>1586</v>
      </c>
      <c r="B177" s="148" t="s">
        <v>1587</v>
      </c>
      <c r="C177" s="148" t="s">
        <v>139</v>
      </c>
      <c r="D177" s="148" t="s">
        <v>429</v>
      </c>
      <c r="E177" s="148" t="s">
        <v>1390</v>
      </c>
      <c r="F177" s="148" t="s">
        <v>1414</v>
      </c>
      <c r="G177" s="148" t="s">
        <v>129</v>
      </c>
      <c r="H177" s="148">
        <v>1140751</v>
      </c>
      <c r="I177" s="148">
        <v>0</v>
      </c>
      <c r="J177" s="148">
        <v>0</v>
      </c>
      <c r="K177" s="148" t="str">
        <f t="shared" si="2"/>
        <v>ENTITYOSI_ID</v>
      </c>
    </row>
    <row r="178" spans="1:11" hidden="1">
      <c r="A178" s="148" t="s">
        <v>1588</v>
      </c>
      <c r="B178" s="148" t="s">
        <v>1589</v>
      </c>
      <c r="C178" s="148" t="s">
        <v>139</v>
      </c>
      <c r="D178" s="148" t="s">
        <v>438</v>
      </c>
      <c r="E178" s="148" t="s">
        <v>1397</v>
      </c>
      <c r="F178" s="148" t="s">
        <v>1414</v>
      </c>
      <c r="G178" s="148" t="s">
        <v>1011</v>
      </c>
      <c r="H178" s="148">
        <v>1140751</v>
      </c>
      <c r="I178" s="148">
        <v>233641</v>
      </c>
      <c r="J178" s="148">
        <v>20.481300000000001</v>
      </c>
      <c r="K178" s="148" t="str">
        <f t="shared" si="2"/>
        <v>ENTITYPD_CRR_RD_T1</v>
      </c>
    </row>
    <row r="179" spans="1:11" hidden="1">
      <c r="A179" s="148" t="s">
        <v>1590</v>
      </c>
      <c r="B179" s="148" t="s">
        <v>1591</v>
      </c>
      <c r="C179" s="148" t="s">
        <v>139</v>
      </c>
      <c r="D179" s="148" t="s">
        <v>297</v>
      </c>
      <c r="E179" s="148" t="s">
        <v>1390</v>
      </c>
      <c r="F179" s="148" t="s">
        <v>1414</v>
      </c>
      <c r="G179" s="148" t="s">
        <v>129</v>
      </c>
      <c r="H179" s="148">
        <v>1140751</v>
      </c>
      <c r="I179" s="148">
        <v>0</v>
      </c>
      <c r="J179" s="148">
        <v>0</v>
      </c>
      <c r="K179" s="148" t="str">
        <f t="shared" si="2"/>
        <v>ENTITYEC_GRP_ID</v>
      </c>
    </row>
    <row r="180" spans="1:11" hidden="1">
      <c r="A180" s="148" t="s">
        <v>1592</v>
      </c>
      <c r="B180" s="148" t="s">
        <v>1593</v>
      </c>
      <c r="C180" s="148" t="s">
        <v>139</v>
      </c>
      <c r="D180" s="148" t="s">
        <v>298</v>
      </c>
      <c r="E180" s="148" t="s">
        <v>1390</v>
      </c>
      <c r="F180" s="148" t="s">
        <v>1414</v>
      </c>
      <c r="G180" s="148" t="s">
        <v>129</v>
      </c>
      <c r="H180" s="148">
        <v>1140751</v>
      </c>
      <c r="I180" s="148">
        <v>0</v>
      </c>
      <c r="J180" s="148">
        <v>0</v>
      </c>
      <c r="K180" s="148" t="str">
        <f t="shared" si="2"/>
        <v>ENTITYEC_GRP_NM</v>
      </c>
    </row>
    <row r="181" spans="1:11" hidden="1">
      <c r="A181" s="148" t="s">
        <v>1594</v>
      </c>
      <c r="B181" s="148" t="s">
        <v>1595</v>
      </c>
      <c r="C181" s="148" t="s">
        <v>139</v>
      </c>
      <c r="D181" s="148" t="s">
        <v>1596</v>
      </c>
      <c r="E181" s="148" t="s">
        <v>1390</v>
      </c>
      <c r="F181" s="148" t="s">
        <v>1414</v>
      </c>
      <c r="G181" s="148" t="s">
        <v>1011</v>
      </c>
      <c r="H181" s="148">
        <v>1140751</v>
      </c>
      <c r="I181" s="148">
        <v>1140751</v>
      </c>
      <c r="J181" s="148">
        <v>100</v>
      </c>
      <c r="K181" s="148" t="str">
        <f t="shared" si="2"/>
        <v>ENTITYPST_CD</v>
      </c>
    </row>
    <row r="182" spans="1:11" hidden="1">
      <c r="A182" s="148" t="s">
        <v>1597</v>
      </c>
      <c r="B182" s="148" t="s">
        <v>1598</v>
      </c>
      <c r="C182" s="148" t="s">
        <v>139</v>
      </c>
      <c r="D182" s="148" t="s">
        <v>1599</v>
      </c>
      <c r="E182" s="148" t="s">
        <v>1394</v>
      </c>
      <c r="F182" s="148" t="s">
        <v>1414</v>
      </c>
      <c r="G182" s="148" t="s">
        <v>1011</v>
      </c>
      <c r="H182" s="148">
        <v>1140751</v>
      </c>
      <c r="I182" s="148">
        <v>1140751</v>
      </c>
      <c r="J182" s="148">
        <v>100</v>
      </c>
      <c r="K182" s="148" t="str">
        <f t="shared" si="2"/>
        <v>ENTITYESG_SBSCTR</v>
      </c>
    </row>
    <row r="183" spans="1:11" hidden="1">
      <c r="A183" s="148" t="s">
        <v>1600</v>
      </c>
      <c r="B183" s="148" t="s">
        <v>1601</v>
      </c>
      <c r="C183" s="148" t="s">
        <v>139</v>
      </c>
      <c r="D183" s="148" t="s">
        <v>1602</v>
      </c>
      <c r="E183" s="148" t="s">
        <v>1394</v>
      </c>
      <c r="F183" s="148" t="s">
        <v>1414</v>
      </c>
      <c r="G183" s="148" t="s">
        <v>1011</v>
      </c>
      <c r="H183" s="148">
        <v>1140751</v>
      </c>
      <c r="I183" s="148">
        <v>1140751</v>
      </c>
      <c r="J183" s="148">
        <v>100</v>
      </c>
      <c r="K183" s="148" t="str">
        <f t="shared" si="2"/>
        <v>ENTITYNACE_ESG</v>
      </c>
    </row>
    <row r="184" spans="1:11" hidden="1">
      <c r="A184" s="148" t="s">
        <v>1603</v>
      </c>
      <c r="B184" s="148" t="s">
        <v>1604</v>
      </c>
      <c r="C184" s="148" t="s">
        <v>139</v>
      </c>
      <c r="D184" s="148" t="s">
        <v>1605</v>
      </c>
      <c r="E184" s="148" t="s">
        <v>1397</v>
      </c>
      <c r="F184" s="148" t="s">
        <v>1414</v>
      </c>
      <c r="G184" s="148" t="s">
        <v>1011</v>
      </c>
      <c r="H184" s="148">
        <v>1140751</v>
      </c>
      <c r="I184" s="148">
        <v>1140751</v>
      </c>
      <c r="J184" s="148">
        <v>100</v>
      </c>
      <c r="K184" s="148" t="str">
        <f t="shared" si="2"/>
        <v>ENTITYTTL_LBLTY</v>
      </c>
    </row>
    <row r="185" spans="1:11" hidden="1">
      <c r="A185" s="148" t="s">
        <v>1606</v>
      </c>
      <c r="B185" s="148" t="s">
        <v>1607</v>
      </c>
      <c r="C185" s="148" t="s">
        <v>139</v>
      </c>
      <c r="D185" s="148" t="s">
        <v>1608</v>
      </c>
      <c r="E185" s="148" t="s">
        <v>1397</v>
      </c>
      <c r="F185" s="148" t="s">
        <v>1414</v>
      </c>
      <c r="G185" s="148" t="s">
        <v>1011</v>
      </c>
      <c r="H185" s="148">
        <v>1140751</v>
      </c>
      <c r="I185" s="148">
        <v>1140751</v>
      </c>
      <c r="J185" s="148">
        <v>100</v>
      </c>
      <c r="K185" s="148" t="str">
        <f t="shared" si="2"/>
        <v>ENTITYTXNMY_ELGBL_CAPEX_CCM</v>
      </c>
    </row>
    <row r="186" spans="1:11" hidden="1">
      <c r="A186" s="148" t="s">
        <v>1609</v>
      </c>
      <c r="B186" s="148" t="s">
        <v>1610</v>
      </c>
      <c r="C186" s="148" t="s">
        <v>139</v>
      </c>
      <c r="D186" s="148" t="s">
        <v>1611</v>
      </c>
      <c r="E186" s="148" t="s">
        <v>1397</v>
      </c>
      <c r="F186" s="148" t="s">
        <v>1414</v>
      </c>
      <c r="G186" s="148" t="s">
        <v>1011</v>
      </c>
      <c r="H186" s="148">
        <v>1140751</v>
      </c>
      <c r="I186" s="148">
        <v>1140751</v>
      </c>
      <c r="J186" s="148">
        <v>100</v>
      </c>
      <c r="K186" s="148" t="str">
        <f t="shared" si="2"/>
        <v>ENTITYTXNMY_ELGBL_TRNVR_CCM</v>
      </c>
    </row>
    <row r="187" spans="1:11" hidden="1">
      <c r="A187" s="148" t="s">
        <v>1612</v>
      </c>
      <c r="B187" s="148" t="s">
        <v>1613</v>
      </c>
      <c r="C187" s="148" t="s">
        <v>139</v>
      </c>
      <c r="D187" s="148" t="s">
        <v>1614</v>
      </c>
      <c r="E187" s="148" t="s">
        <v>1397</v>
      </c>
      <c r="F187" s="148" t="s">
        <v>1414</v>
      </c>
      <c r="G187" s="148" t="s">
        <v>1011</v>
      </c>
      <c r="H187" s="148">
        <v>1140751</v>
      </c>
      <c r="I187" s="148">
        <v>1140751</v>
      </c>
      <c r="J187" s="148">
        <v>100</v>
      </c>
      <c r="K187" s="148" t="str">
        <f t="shared" si="2"/>
        <v>ENTITYTXNMY_ELGBL_CAPEX_CCA</v>
      </c>
    </row>
    <row r="188" spans="1:11" hidden="1">
      <c r="A188" s="148" t="s">
        <v>1615</v>
      </c>
      <c r="B188" s="148" t="s">
        <v>1616</v>
      </c>
      <c r="C188" s="148" t="s">
        <v>139</v>
      </c>
      <c r="D188" s="148" t="s">
        <v>1617</v>
      </c>
      <c r="E188" s="148" t="s">
        <v>1397</v>
      </c>
      <c r="F188" s="148" t="s">
        <v>1414</v>
      </c>
      <c r="G188" s="148" t="s">
        <v>1011</v>
      </c>
      <c r="H188" s="148">
        <v>1140751</v>
      </c>
      <c r="I188" s="148">
        <v>1140751</v>
      </c>
      <c r="J188" s="148">
        <v>100</v>
      </c>
      <c r="K188" s="148" t="str">
        <f t="shared" si="2"/>
        <v>ENTITYTXNMY_ELGBL_TRNVR_CCA</v>
      </c>
    </row>
    <row r="189" spans="1:11" hidden="1">
      <c r="A189" s="148" t="s">
        <v>1618</v>
      </c>
      <c r="B189" s="148" t="s">
        <v>1619</v>
      </c>
      <c r="C189" s="148" t="s">
        <v>139</v>
      </c>
      <c r="D189" s="148" t="s">
        <v>1620</v>
      </c>
      <c r="E189" s="148" t="s">
        <v>1397</v>
      </c>
      <c r="F189" s="148" t="s">
        <v>1414</v>
      </c>
      <c r="G189" s="148" t="s">
        <v>1011</v>
      </c>
      <c r="H189" s="148">
        <v>1140751</v>
      </c>
      <c r="I189" s="148">
        <v>1140751</v>
      </c>
      <c r="J189" s="148">
        <v>100</v>
      </c>
      <c r="K189" s="148" t="str">
        <f t="shared" si="2"/>
        <v>ENTITYENBLNG_CAPEX_CCM</v>
      </c>
    </row>
    <row r="190" spans="1:11" hidden="1">
      <c r="A190" s="148" t="s">
        <v>1621</v>
      </c>
      <c r="B190" s="148" t="s">
        <v>1622</v>
      </c>
      <c r="C190" s="148" t="s">
        <v>139</v>
      </c>
      <c r="D190" s="148" t="s">
        <v>1623</v>
      </c>
      <c r="E190" s="148" t="s">
        <v>1397</v>
      </c>
      <c r="F190" s="148" t="s">
        <v>1414</v>
      </c>
      <c r="G190" s="148" t="s">
        <v>1011</v>
      </c>
      <c r="H190" s="148">
        <v>1140751</v>
      </c>
      <c r="I190" s="148">
        <v>1140751</v>
      </c>
      <c r="J190" s="148">
        <v>100</v>
      </c>
      <c r="K190" s="148" t="str">
        <f t="shared" si="2"/>
        <v>ENTITYENBLNG_CAPEX_CCA</v>
      </c>
    </row>
    <row r="191" spans="1:11" hidden="1">
      <c r="A191" s="148" t="s">
        <v>1624</v>
      </c>
      <c r="B191" s="148" t="s">
        <v>1625</v>
      </c>
      <c r="C191" s="148" t="s">
        <v>139</v>
      </c>
      <c r="D191" s="148" t="s">
        <v>1626</v>
      </c>
      <c r="E191" s="148" t="s">
        <v>1397</v>
      </c>
      <c r="F191" s="148" t="s">
        <v>1414</v>
      </c>
      <c r="G191" s="148" t="s">
        <v>1011</v>
      </c>
      <c r="H191" s="148">
        <v>1140751</v>
      </c>
      <c r="I191" s="148">
        <v>1140751</v>
      </c>
      <c r="J191" s="148">
        <v>100</v>
      </c>
      <c r="K191" s="148" t="str">
        <f t="shared" si="2"/>
        <v>ENTITYTRNSTNL_CAPEX</v>
      </c>
    </row>
    <row r="192" spans="1:11" hidden="1">
      <c r="A192" s="148" t="s">
        <v>1627</v>
      </c>
      <c r="B192" s="148" t="s">
        <v>1628</v>
      </c>
      <c r="C192" s="148" t="s">
        <v>139</v>
      </c>
      <c r="D192" s="148" t="s">
        <v>1629</v>
      </c>
      <c r="E192" s="148" t="s">
        <v>1397</v>
      </c>
      <c r="F192" s="148" t="s">
        <v>1414</v>
      </c>
      <c r="G192" s="148" t="s">
        <v>1011</v>
      </c>
      <c r="H192" s="148">
        <v>1140751</v>
      </c>
      <c r="I192" s="148">
        <v>1140751</v>
      </c>
      <c r="J192" s="148">
        <v>100</v>
      </c>
      <c r="K192" s="148" t="str">
        <f t="shared" si="2"/>
        <v>ENTITYPURE_CAPEX_CCM</v>
      </c>
    </row>
    <row r="193" spans="1:11" hidden="1">
      <c r="A193" s="148" t="s">
        <v>1630</v>
      </c>
      <c r="B193" s="148" t="s">
        <v>1631</v>
      </c>
      <c r="C193" s="148" t="s">
        <v>139</v>
      </c>
      <c r="D193" s="148" t="s">
        <v>1632</v>
      </c>
      <c r="E193" s="148" t="s">
        <v>1397</v>
      </c>
      <c r="F193" s="148" t="s">
        <v>1414</v>
      </c>
      <c r="G193" s="148" t="s">
        <v>1011</v>
      </c>
      <c r="H193" s="148">
        <v>1140751</v>
      </c>
      <c r="I193" s="148">
        <v>1140751</v>
      </c>
      <c r="J193" s="148">
        <v>100</v>
      </c>
      <c r="K193" s="148" t="str">
        <f t="shared" si="2"/>
        <v>ENTITYPURE_CAPEX_CCA</v>
      </c>
    </row>
    <row r="194" spans="1:11" hidden="1">
      <c r="A194" s="148" t="s">
        <v>1633</v>
      </c>
      <c r="B194" s="148" t="s">
        <v>1634</v>
      </c>
      <c r="C194" s="148" t="s">
        <v>139</v>
      </c>
      <c r="D194" s="148" t="s">
        <v>1635</v>
      </c>
      <c r="E194" s="148" t="s">
        <v>1397</v>
      </c>
      <c r="F194" s="148" t="s">
        <v>1414</v>
      </c>
      <c r="G194" s="148" t="s">
        <v>1011</v>
      </c>
      <c r="H194" s="148">
        <v>1140751</v>
      </c>
      <c r="I194" s="148">
        <v>1140751</v>
      </c>
      <c r="J194" s="148">
        <v>100</v>
      </c>
      <c r="K194" s="148" t="str">
        <f t="shared" si="2"/>
        <v>ENTITYENBLNG_TRNVR_CCM</v>
      </c>
    </row>
    <row r="195" spans="1:11" hidden="1">
      <c r="A195" s="148" t="s">
        <v>1636</v>
      </c>
      <c r="B195" s="148" t="s">
        <v>1637</v>
      </c>
      <c r="C195" s="148" t="s">
        <v>139</v>
      </c>
      <c r="D195" s="148" t="s">
        <v>1638</v>
      </c>
      <c r="E195" s="148" t="s">
        <v>1397</v>
      </c>
      <c r="F195" s="148" t="s">
        <v>1414</v>
      </c>
      <c r="G195" s="148" t="s">
        <v>1011</v>
      </c>
      <c r="H195" s="148">
        <v>1140751</v>
      </c>
      <c r="I195" s="148">
        <v>1140751</v>
      </c>
      <c r="J195" s="148">
        <v>100</v>
      </c>
      <c r="K195" s="148" t="str">
        <f t="shared" ref="K195:K258" si="3">_xlfn.CONCAT(_xlfn.IFS(ISNUMBER(SEARCH("EN",A195)),"ENTITY",ISNUMBER(SEARCH("IN",A195)),"INSTRUMENT",ISNUMBER(SEARCH("PR",A195)),"PROTECTION",ISNUMBER(SEARCH("IP",A195)),"INSTR_PROTECTION",ISNUMBER(SEARCH("IE",A195)),"INSTR_ENTITY",ISNUMBER(SEARCH("AC",A195)),"INSTR_ACTIVITY"),D195)</f>
        <v>ENTITYENBLNG_TRNVR_CCA</v>
      </c>
    </row>
    <row r="196" spans="1:11" hidden="1">
      <c r="A196" s="148" t="s">
        <v>1639</v>
      </c>
      <c r="B196" s="148" t="s">
        <v>1640</v>
      </c>
      <c r="C196" s="148" t="s">
        <v>139</v>
      </c>
      <c r="D196" s="148" t="s">
        <v>1641</v>
      </c>
      <c r="E196" s="148" t="s">
        <v>1397</v>
      </c>
      <c r="F196" s="148" t="s">
        <v>1414</v>
      </c>
      <c r="G196" s="148" t="s">
        <v>1011</v>
      </c>
      <c r="H196" s="148">
        <v>1140751</v>
      </c>
      <c r="I196" s="148">
        <v>1140751</v>
      </c>
      <c r="J196" s="148">
        <v>100</v>
      </c>
      <c r="K196" s="148" t="str">
        <f t="shared" si="3"/>
        <v>ENTITYTRNSTNL_TRNVR</v>
      </c>
    </row>
    <row r="197" spans="1:11" hidden="1">
      <c r="A197" s="148" t="s">
        <v>1642</v>
      </c>
      <c r="B197" s="148" t="s">
        <v>1643</v>
      </c>
      <c r="C197" s="148" t="s">
        <v>139</v>
      </c>
      <c r="D197" s="148" t="s">
        <v>1644</v>
      </c>
      <c r="E197" s="148" t="s">
        <v>1397</v>
      </c>
      <c r="F197" s="148" t="s">
        <v>1414</v>
      </c>
      <c r="G197" s="148" t="s">
        <v>1011</v>
      </c>
      <c r="H197" s="148">
        <v>1140751</v>
      </c>
      <c r="I197" s="148">
        <v>1140751</v>
      </c>
      <c r="J197" s="148">
        <v>100</v>
      </c>
      <c r="K197" s="148" t="str">
        <f t="shared" si="3"/>
        <v>ENTITYPURE_TRNVR_CCM</v>
      </c>
    </row>
    <row r="198" spans="1:11" hidden="1">
      <c r="A198" s="148" t="s">
        <v>1645</v>
      </c>
      <c r="B198" s="148" t="s">
        <v>1646</v>
      </c>
      <c r="C198" s="148" t="s">
        <v>139</v>
      </c>
      <c r="D198" s="148" t="s">
        <v>1647</v>
      </c>
      <c r="E198" s="148" t="s">
        <v>1397</v>
      </c>
      <c r="F198" s="148" t="s">
        <v>1414</v>
      </c>
      <c r="G198" s="148" t="s">
        <v>1011</v>
      </c>
      <c r="H198" s="148">
        <v>1140751</v>
      </c>
      <c r="I198" s="148">
        <v>1140751</v>
      </c>
      <c r="J198" s="148">
        <v>100</v>
      </c>
      <c r="K198" s="148" t="str">
        <f t="shared" si="3"/>
        <v>ENTITYPURE_TRNVR_CCA</v>
      </c>
    </row>
    <row r="199" spans="1:11" hidden="1">
      <c r="A199" s="148" t="s">
        <v>1648</v>
      </c>
      <c r="B199" s="148" t="s">
        <v>1649</v>
      </c>
      <c r="C199" s="148" t="s">
        <v>139</v>
      </c>
      <c r="D199" s="148" t="s">
        <v>1231</v>
      </c>
      <c r="E199" s="148" t="s">
        <v>1394</v>
      </c>
      <c r="F199" s="148" t="s">
        <v>1414</v>
      </c>
      <c r="G199" s="148" t="s">
        <v>1011</v>
      </c>
      <c r="H199" s="148">
        <v>1140751</v>
      </c>
      <c r="I199" s="148">
        <v>1140751</v>
      </c>
      <c r="J199" s="148">
        <v>100</v>
      </c>
      <c r="K199" s="148" t="str">
        <f t="shared" si="3"/>
        <v>ENTITYFLG_CSRD_APPLCBLTY</v>
      </c>
    </row>
    <row r="200" spans="1:11" hidden="1">
      <c r="A200" s="148" t="s">
        <v>1650</v>
      </c>
      <c r="B200" s="148" t="s">
        <v>1651</v>
      </c>
      <c r="C200" s="148" t="s">
        <v>139</v>
      </c>
      <c r="D200" s="148" t="s">
        <v>1234</v>
      </c>
      <c r="E200" s="148" t="s">
        <v>1394</v>
      </c>
      <c r="F200" s="148" t="s">
        <v>1414</v>
      </c>
      <c r="G200" s="148" t="s">
        <v>1011</v>
      </c>
      <c r="H200" s="148">
        <v>1140751</v>
      </c>
      <c r="I200" s="148">
        <v>1140751</v>
      </c>
      <c r="J200" s="148">
        <v>100</v>
      </c>
      <c r="K200" s="148" t="str">
        <f t="shared" si="3"/>
        <v>ENTITYFLG_GRP_CSRD_APPLCBLTY</v>
      </c>
    </row>
    <row r="201" spans="1:11" hidden="1">
      <c r="A201" s="148" t="s">
        <v>1652</v>
      </c>
      <c r="B201" s="148" t="s">
        <v>1653</v>
      </c>
      <c r="C201" s="148" t="s">
        <v>139</v>
      </c>
      <c r="D201" s="148" t="s">
        <v>380</v>
      </c>
      <c r="E201" s="148" t="s">
        <v>1390</v>
      </c>
      <c r="F201" s="148" t="s">
        <v>1414</v>
      </c>
      <c r="G201" s="148" t="s">
        <v>1011</v>
      </c>
      <c r="H201" s="148">
        <v>1140751</v>
      </c>
      <c r="I201" s="148">
        <v>1140751</v>
      </c>
      <c r="J201" s="148">
        <v>100</v>
      </c>
      <c r="K201" s="148" t="str">
        <f t="shared" si="3"/>
        <v>ENTITYISIN</v>
      </c>
    </row>
    <row r="202" spans="1:11" hidden="1">
      <c r="A202" s="148" t="s">
        <v>1654</v>
      </c>
      <c r="B202" s="148" t="s">
        <v>1655</v>
      </c>
      <c r="C202" s="148" t="s">
        <v>139</v>
      </c>
      <c r="D202" s="148" t="s">
        <v>1656</v>
      </c>
      <c r="E202" s="148" t="s">
        <v>1397</v>
      </c>
      <c r="F202" s="148" t="s">
        <v>1414</v>
      </c>
      <c r="G202" s="148" t="s">
        <v>1011</v>
      </c>
      <c r="H202" s="148">
        <v>1140751</v>
      </c>
      <c r="I202" s="148">
        <v>1140751</v>
      </c>
      <c r="J202" s="148">
        <v>100</v>
      </c>
      <c r="K202" s="148" t="str">
        <f t="shared" si="3"/>
        <v>ENTITYGRP_ANNL_TRNVR_LE</v>
      </c>
    </row>
    <row r="203" spans="1:11" hidden="1">
      <c r="A203" s="148" t="s">
        <v>1657</v>
      </c>
      <c r="B203" s="148" t="s">
        <v>1658</v>
      </c>
      <c r="C203" s="148" t="s">
        <v>139</v>
      </c>
      <c r="D203" s="148" t="s">
        <v>1659</v>
      </c>
      <c r="E203" s="148" t="s">
        <v>1397</v>
      </c>
      <c r="F203" s="148" t="s">
        <v>1414</v>
      </c>
      <c r="G203" s="148" t="s">
        <v>1011</v>
      </c>
      <c r="H203" s="148">
        <v>1140751</v>
      </c>
      <c r="I203" s="148">
        <v>1140751</v>
      </c>
      <c r="J203" s="148">
        <v>100</v>
      </c>
      <c r="K203" s="148" t="str">
        <f t="shared" si="3"/>
        <v>ENTITYGRP_TTL_LBLTY</v>
      </c>
    </row>
    <row r="204" spans="1:11" hidden="1">
      <c r="A204" s="148" t="s">
        <v>1660</v>
      </c>
      <c r="B204" s="148" t="s">
        <v>1661</v>
      </c>
      <c r="C204" s="148" t="s">
        <v>139</v>
      </c>
      <c r="D204" s="148" t="s">
        <v>1662</v>
      </c>
      <c r="E204" s="148" t="s">
        <v>1397</v>
      </c>
      <c r="F204" s="148" t="s">
        <v>1414</v>
      </c>
      <c r="G204" s="148" t="s">
        <v>1011</v>
      </c>
      <c r="H204" s="148">
        <v>1140751</v>
      </c>
      <c r="I204" s="148">
        <v>1140751</v>
      </c>
      <c r="J204" s="148">
        <v>100</v>
      </c>
      <c r="K204" s="148" t="str">
        <f t="shared" si="3"/>
        <v>ENTITYCNTRPRTY_EMSSNS_SCP1</v>
      </c>
    </row>
    <row r="205" spans="1:11" hidden="1">
      <c r="A205" s="148" t="s">
        <v>1663</v>
      </c>
      <c r="B205" s="148" t="s">
        <v>1664</v>
      </c>
      <c r="C205" s="148" t="s">
        <v>139</v>
      </c>
      <c r="D205" s="148" t="s">
        <v>1665</v>
      </c>
      <c r="E205" s="148" t="s">
        <v>1397</v>
      </c>
      <c r="F205" s="148" t="s">
        <v>1414</v>
      </c>
      <c r="G205" s="148" t="s">
        <v>1011</v>
      </c>
      <c r="H205" s="148">
        <v>1140751</v>
      </c>
      <c r="I205" s="148">
        <v>1140751</v>
      </c>
      <c r="J205" s="148">
        <v>100</v>
      </c>
      <c r="K205" s="148" t="str">
        <f t="shared" si="3"/>
        <v>ENTITYCNTRPRTY_EMSSNS_SCP2</v>
      </c>
    </row>
    <row r="206" spans="1:11" hidden="1">
      <c r="A206" s="148" t="s">
        <v>1666</v>
      </c>
      <c r="B206" s="148" t="s">
        <v>1667</v>
      </c>
      <c r="C206" s="148" t="s">
        <v>139</v>
      </c>
      <c r="D206" s="148" t="s">
        <v>1668</v>
      </c>
      <c r="E206" s="148" t="s">
        <v>1397</v>
      </c>
      <c r="F206" s="148" t="s">
        <v>1414</v>
      </c>
      <c r="G206" s="148" t="s">
        <v>1011</v>
      </c>
      <c r="H206" s="148">
        <v>1140751</v>
      </c>
      <c r="I206" s="148">
        <v>1140751</v>
      </c>
      <c r="J206" s="148">
        <v>100</v>
      </c>
      <c r="K206" s="148" t="str">
        <f t="shared" si="3"/>
        <v>ENTITYCNTRPRTY_EMSSNS_SCP3</v>
      </c>
    </row>
    <row r="207" spans="1:11" hidden="1">
      <c r="A207" s="148" t="s">
        <v>1669</v>
      </c>
      <c r="B207" s="148" t="s">
        <v>1670</v>
      </c>
      <c r="C207" s="148" t="s">
        <v>139</v>
      </c>
      <c r="D207" s="148" t="s">
        <v>1237</v>
      </c>
      <c r="E207" s="148" t="s">
        <v>1394</v>
      </c>
      <c r="F207" s="148" t="s">
        <v>1414</v>
      </c>
      <c r="G207" s="148" t="s">
        <v>1011</v>
      </c>
      <c r="H207" s="148">
        <v>1140751</v>
      </c>
      <c r="I207" s="148">
        <v>1140751</v>
      </c>
      <c r="J207" s="148">
        <v>100</v>
      </c>
      <c r="K207" s="148" t="str">
        <f t="shared" si="3"/>
        <v>ENTITYFLG_EXCLDD_EU_PRS_ALGND_BNCHMRK</v>
      </c>
    </row>
    <row r="208" spans="1:11" hidden="1">
      <c r="A208" s="148" t="s">
        <v>1671</v>
      </c>
      <c r="B208" s="148" t="s">
        <v>1672</v>
      </c>
      <c r="C208" s="148" t="s">
        <v>139</v>
      </c>
      <c r="D208" s="148" t="s">
        <v>1673</v>
      </c>
      <c r="E208" s="148" t="s">
        <v>1397</v>
      </c>
      <c r="F208" s="148" t="s">
        <v>1414</v>
      </c>
      <c r="G208" s="148" t="s">
        <v>1011</v>
      </c>
      <c r="H208" s="148">
        <v>1140751</v>
      </c>
      <c r="I208" s="148">
        <v>1140751</v>
      </c>
      <c r="J208" s="148">
        <v>100</v>
      </c>
      <c r="K208" s="148" t="str">
        <f t="shared" si="3"/>
        <v>ENTITYGRP_EMSSNS_SCP1</v>
      </c>
    </row>
    <row r="209" spans="1:11" hidden="1">
      <c r="A209" s="148" t="s">
        <v>1674</v>
      </c>
      <c r="B209" s="148" t="s">
        <v>1675</v>
      </c>
      <c r="C209" s="148" t="s">
        <v>139</v>
      </c>
      <c r="D209" s="148" t="s">
        <v>1676</v>
      </c>
      <c r="E209" s="148" t="s">
        <v>1397</v>
      </c>
      <c r="F209" s="148" t="s">
        <v>1414</v>
      </c>
      <c r="G209" s="148" t="s">
        <v>1011</v>
      </c>
      <c r="H209" s="148">
        <v>1140751</v>
      </c>
      <c r="I209" s="148">
        <v>1140751</v>
      </c>
      <c r="J209" s="148">
        <v>100</v>
      </c>
      <c r="K209" s="148" t="str">
        <f t="shared" si="3"/>
        <v>ENTITYGRP_EMSSNS_SCP2</v>
      </c>
    </row>
    <row r="210" spans="1:11" hidden="1">
      <c r="A210" s="148" t="s">
        <v>1677</v>
      </c>
      <c r="B210" s="148" t="s">
        <v>1678</v>
      </c>
      <c r="C210" s="148" t="s">
        <v>139</v>
      </c>
      <c r="D210" s="148" t="s">
        <v>1679</v>
      </c>
      <c r="E210" s="148" t="s">
        <v>1397</v>
      </c>
      <c r="F210" s="148" t="s">
        <v>1414</v>
      </c>
      <c r="G210" s="148" t="s">
        <v>1011</v>
      </c>
      <c r="H210" s="148">
        <v>1140751</v>
      </c>
      <c r="I210" s="148">
        <v>1140751</v>
      </c>
      <c r="J210" s="148">
        <v>100</v>
      </c>
      <c r="K210" s="148" t="str">
        <f t="shared" si="3"/>
        <v>ENTITYGRP_EMSSNS_SCP3</v>
      </c>
    </row>
    <row r="211" spans="1:11" hidden="1">
      <c r="A211" s="148" t="s">
        <v>1680</v>
      </c>
      <c r="B211" s="148" t="s">
        <v>1681</v>
      </c>
      <c r="C211" s="148" t="s">
        <v>139</v>
      </c>
      <c r="D211" s="148" t="s">
        <v>1240</v>
      </c>
      <c r="E211" s="148" t="s">
        <v>1394</v>
      </c>
      <c r="F211" s="148" t="s">
        <v>1414</v>
      </c>
      <c r="G211" s="148" t="s">
        <v>1011</v>
      </c>
      <c r="H211" s="148">
        <v>1140751</v>
      </c>
      <c r="I211" s="148">
        <v>1140751</v>
      </c>
      <c r="J211" s="148">
        <v>100</v>
      </c>
      <c r="K211" s="148" t="str">
        <f t="shared" si="3"/>
        <v>ENTITYFLG_ACT_PHYSCL_RSK</v>
      </c>
    </row>
    <row r="212" spans="1:11" hidden="1">
      <c r="A212" s="148" t="s">
        <v>1682</v>
      </c>
      <c r="B212" s="148" t="s">
        <v>1683</v>
      </c>
      <c r="C212" s="148" t="s">
        <v>139</v>
      </c>
      <c r="D212" s="148" t="s">
        <v>1243</v>
      </c>
      <c r="E212" s="148" t="s">
        <v>1394</v>
      </c>
      <c r="F212" s="148" t="s">
        <v>1414</v>
      </c>
      <c r="G212" s="148" t="s">
        <v>1011</v>
      </c>
      <c r="H212" s="148">
        <v>1140751</v>
      </c>
      <c r="I212" s="148">
        <v>1140751</v>
      </c>
      <c r="J212" s="148">
        <v>100</v>
      </c>
      <c r="K212" s="148" t="str">
        <f t="shared" si="3"/>
        <v>ENTITYFLG_CHRNC_PHYSCL_RSK</v>
      </c>
    </row>
    <row r="213" spans="1:11" hidden="1">
      <c r="A213" s="148" t="s">
        <v>1684</v>
      </c>
      <c r="B213" s="148" t="s">
        <v>1685</v>
      </c>
      <c r="C213" s="148" t="s">
        <v>139</v>
      </c>
      <c r="D213" s="148" t="s">
        <v>1686</v>
      </c>
      <c r="E213" s="148" t="s">
        <v>1394</v>
      </c>
      <c r="F213" s="148" t="s">
        <v>1414</v>
      </c>
      <c r="G213" s="148" t="s">
        <v>1011</v>
      </c>
      <c r="H213" s="148">
        <v>1140751</v>
      </c>
      <c r="I213" s="148">
        <v>1140751</v>
      </c>
      <c r="J213" s="148">
        <v>100</v>
      </c>
      <c r="K213" s="148" t="str">
        <f t="shared" si="3"/>
        <v>ENTITYGRP_ECNMC_ACTVTY</v>
      </c>
    </row>
    <row r="214" spans="1:11" hidden="1">
      <c r="A214" s="148" t="s">
        <v>1687</v>
      </c>
      <c r="B214" s="148" t="s">
        <v>1688</v>
      </c>
      <c r="C214" s="148" t="s">
        <v>139</v>
      </c>
      <c r="D214" s="148" t="s">
        <v>457</v>
      </c>
      <c r="E214" s="148" t="s">
        <v>1394</v>
      </c>
      <c r="F214" s="148" t="s">
        <v>1414</v>
      </c>
      <c r="G214" s="148" t="s">
        <v>129</v>
      </c>
      <c r="H214" s="148">
        <v>1140751</v>
      </c>
      <c r="I214" s="148">
        <v>0</v>
      </c>
      <c r="J214" s="148">
        <v>0</v>
      </c>
      <c r="K214" s="148" t="str">
        <f t="shared" si="3"/>
        <v>ENTITYPRSN_TYP</v>
      </c>
    </row>
    <row r="215" spans="1:11" hidden="1">
      <c r="A215" s="148" t="s">
        <v>1689</v>
      </c>
      <c r="B215" s="148" t="s">
        <v>1690</v>
      </c>
      <c r="C215" s="148" t="s">
        <v>139</v>
      </c>
      <c r="D215" s="148" t="s">
        <v>331</v>
      </c>
      <c r="E215" s="148" t="s">
        <v>1397</v>
      </c>
      <c r="F215" s="148" t="s">
        <v>1414</v>
      </c>
      <c r="G215" s="148" t="s">
        <v>129</v>
      </c>
      <c r="H215" s="148">
        <v>1140751</v>
      </c>
      <c r="I215" s="148">
        <v>0</v>
      </c>
      <c r="J215" s="148">
        <v>0</v>
      </c>
      <c r="K215" s="148" t="str">
        <f t="shared" si="3"/>
        <v>ENTITYFR_CSH_FLW</v>
      </c>
    </row>
    <row r="216" spans="1:11" hidden="1">
      <c r="A216" s="148" t="s">
        <v>1691</v>
      </c>
      <c r="B216" s="148" t="s">
        <v>1692</v>
      </c>
      <c r="C216" s="148" t="s">
        <v>139</v>
      </c>
      <c r="D216" s="148" t="s">
        <v>332</v>
      </c>
      <c r="E216" s="148" t="s">
        <v>1397</v>
      </c>
      <c r="F216" s="148" t="s">
        <v>1414</v>
      </c>
      <c r="G216" s="148" t="s">
        <v>129</v>
      </c>
      <c r="H216" s="148">
        <v>1140751</v>
      </c>
      <c r="I216" s="148">
        <v>0</v>
      </c>
      <c r="J216" s="148">
        <v>0</v>
      </c>
      <c r="K216" s="148" t="str">
        <f t="shared" si="3"/>
        <v>ENTITYFR_CSH_FLW_T1</v>
      </c>
    </row>
    <row r="217" spans="1:11" hidden="1">
      <c r="A217" s="148" t="s">
        <v>1693</v>
      </c>
      <c r="B217" s="148" t="s">
        <v>1694</v>
      </c>
      <c r="C217" s="148" t="s">
        <v>139</v>
      </c>
      <c r="D217" s="148" t="s">
        <v>333</v>
      </c>
      <c r="E217" s="148" t="s">
        <v>1397</v>
      </c>
      <c r="F217" s="148" t="s">
        <v>1414</v>
      </c>
      <c r="G217" s="148" t="s">
        <v>129</v>
      </c>
      <c r="H217" s="148">
        <v>1140751</v>
      </c>
      <c r="I217" s="148">
        <v>0</v>
      </c>
      <c r="J217" s="148">
        <v>0</v>
      </c>
      <c r="K217" s="148" t="str">
        <f t="shared" si="3"/>
        <v>ENTITYFR_CSH_FLW_T2</v>
      </c>
    </row>
    <row r="218" spans="1:11" hidden="1">
      <c r="A218" s="148" t="s">
        <v>1695</v>
      </c>
      <c r="B218" s="148" t="s">
        <v>1696</v>
      </c>
      <c r="C218" s="148" t="s">
        <v>139</v>
      </c>
      <c r="D218" s="148" t="s">
        <v>334</v>
      </c>
      <c r="E218" s="148" t="s">
        <v>1397</v>
      </c>
      <c r="F218" s="148" t="s">
        <v>1414</v>
      </c>
      <c r="G218" s="148" t="s">
        <v>129</v>
      </c>
      <c r="H218" s="148">
        <v>1140751</v>
      </c>
      <c r="I218" s="148">
        <v>0</v>
      </c>
      <c r="J218" s="148">
        <v>0</v>
      </c>
      <c r="K218" s="148" t="str">
        <f t="shared" si="3"/>
        <v>ENTITYFR_CSH_FLW_T3</v>
      </c>
    </row>
    <row r="219" spans="1:11" hidden="1">
      <c r="A219" s="148" t="s">
        <v>1697</v>
      </c>
      <c r="B219" s="148" t="s">
        <v>1698</v>
      </c>
      <c r="C219" s="148" t="s">
        <v>139</v>
      </c>
      <c r="D219" s="148" t="s">
        <v>543</v>
      </c>
      <c r="E219" s="148" t="s">
        <v>1390</v>
      </c>
      <c r="F219" s="148" t="s">
        <v>1414</v>
      </c>
      <c r="G219" s="148" t="s">
        <v>1011</v>
      </c>
      <c r="H219" s="148">
        <v>1140751</v>
      </c>
      <c r="I219" s="148">
        <v>1140751</v>
      </c>
      <c r="J219" s="148">
        <v>100</v>
      </c>
      <c r="K219" s="148" t="str">
        <f t="shared" si="3"/>
        <v>ENTITYADDRSS_CTY</v>
      </c>
    </row>
    <row r="220" spans="1:11" hidden="1">
      <c r="A220" s="148" t="s">
        <v>1699</v>
      </c>
      <c r="B220" s="148" t="s">
        <v>1700</v>
      </c>
      <c r="C220" s="148" t="s">
        <v>139</v>
      </c>
      <c r="D220" s="148" t="s">
        <v>545</v>
      </c>
      <c r="E220" s="148" t="s">
        <v>1390</v>
      </c>
      <c r="F220" s="148" t="s">
        <v>1414</v>
      </c>
      <c r="G220" s="148" t="s">
        <v>1011</v>
      </c>
      <c r="H220" s="148">
        <v>1140751</v>
      </c>
      <c r="I220" s="148">
        <v>1140751</v>
      </c>
      <c r="J220" s="148">
        <v>100</v>
      </c>
      <c r="K220" s="148" t="str">
        <f t="shared" si="3"/>
        <v>ENTITYADDRSS_STRT</v>
      </c>
    </row>
    <row r="221" spans="1:11" hidden="1">
      <c r="A221" s="148" t="s">
        <v>1701</v>
      </c>
      <c r="B221" s="148" t="s">
        <v>1702</v>
      </c>
      <c r="C221" s="148" t="s">
        <v>139</v>
      </c>
      <c r="D221" s="148" t="s">
        <v>546</v>
      </c>
      <c r="E221" s="148" t="s">
        <v>1387</v>
      </c>
      <c r="F221" s="148" t="s">
        <v>1414</v>
      </c>
      <c r="G221" s="148" t="s">
        <v>1011</v>
      </c>
      <c r="H221" s="148">
        <v>1140751</v>
      </c>
      <c r="I221" s="148">
        <v>1140751</v>
      </c>
      <c r="J221" s="148">
        <v>100</v>
      </c>
      <c r="K221" s="148" t="str">
        <f t="shared" si="3"/>
        <v>ENTITYDT_ENTRPRS_SZ</v>
      </c>
    </row>
    <row r="222" spans="1:11" hidden="1">
      <c r="A222" s="148" t="s">
        <v>1703</v>
      </c>
      <c r="B222" s="148" t="s">
        <v>1704</v>
      </c>
      <c r="C222" s="148" t="s">
        <v>139</v>
      </c>
      <c r="D222" s="148" t="s">
        <v>547</v>
      </c>
      <c r="E222" s="148" t="s">
        <v>1397</v>
      </c>
      <c r="F222" s="148" t="s">
        <v>1414</v>
      </c>
      <c r="G222" s="148" t="s">
        <v>1011</v>
      </c>
      <c r="H222" s="148">
        <v>1140751</v>
      </c>
      <c r="I222" s="148">
        <v>1140751</v>
      </c>
      <c r="J222" s="148">
        <v>100</v>
      </c>
      <c r="K222" s="148" t="str">
        <f t="shared" si="3"/>
        <v>ENTITYNMBR_EMPLYS</v>
      </c>
    </row>
    <row r="223" spans="1:11" hidden="1">
      <c r="A223" s="148" t="s">
        <v>1705</v>
      </c>
      <c r="B223" s="148" t="s">
        <v>1706</v>
      </c>
      <c r="C223" s="148" t="s">
        <v>139</v>
      </c>
      <c r="D223" s="148" t="s">
        <v>548</v>
      </c>
      <c r="E223" s="148" t="s">
        <v>1390</v>
      </c>
      <c r="F223" s="148" t="s">
        <v>1414</v>
      </c>
      <c r="G223" s="148" t="s">
        <v>1011</v>
      </c>
      <c r="H223" s="148">
        <v>1140751</v>
      </c>
      <c r="I223" s="148">
        <v>1140751</v>
      </c>
      <c r="J223" s="148">
        <v>100</v>
      </c>
      <c r="K223" s="148" t="str">
        <f t="shared" si="3"/>
        <v>ENTITYLGL_FRM</v>
      </c>
    </row>
    <row r="224" spans="1:11" hidden="1">
      <c r="A224" s="148" t="s">
        <v>1707</v>
      </c>
      <c r="B224" s="148" t="s">
        <v>1708</v>
      </c>
      <c r="C224" s="148" t="s">
        <v>139</v>
      </c>
      <c r="D224" s="148" t="s">
        <v>549</v>
      </c>
      <c r="E224" s="148" t="s">
        <v>1390</v>
      </c>
      <c r="F224" s="148" t="s">
        <v>1414</v>
      </c>
      <c r="G224" s="148" t="s">
        <v>1011</v>
      </c>
      <c r="H224" s="148">
        <v>1140751</v>
      </c>
      <c r="I224" s="148">
        <v>1140751</v>
      </c>
      <c r="J224" s="148">
        <v>100</v>
      </c>
      <c r="K224" s="148" t="str">
        <f t="shared" si="3"/>
        <v>ENTITYHD_OFFC_UNDRTKNG_ID</v>
      </c>
    </row>
    <row r="225" spans="1:11" hidden="1">
      <c r="A225" s="148" t="s">
        <v>1709</v>
      </c>
      <c r="B225" s="148" t="s">
        <v>1710</v>
      </c>
      <c r="C225" s="148" t="s">
        <v>139</v>
      </c>
      <c r="D225" s="148" t="s">
        <v>550</v>
      </c>
      <c r="E225" s="148" t="s">
        <v>1390</v>
      </c>
      <c r="F225" s="148" t="s">
        <v>1414</v>
      </c>
      <c r="G225" s="148" t="s">
        <v>1011</v>
      </c>
      <c r="H225" s="148">
        <v>1140751</v>
      </c>
      <c r="I225" s="148">
        <v>1140751</v>
      </c>
      <c r="J225" s="148">
        <v>100</v>
      </c>
      <c r="K225" s="148" t="str">
        <f t="shared" si="3"/>
        <v>ENTITYIMMDT_PRNT_UNDRTKNG_ID</v>
      </c>
    </row>
    <row r="226" spans="1:11" hidden="1">
      <c r="A226" s="148" t="s">
        <v>1711</v>
      </c>
      <c r="B226" s="148" t="s">
        <v>1712</v>
      </c>
      <c r="C226" s="148" t="s">
        <v>139</v>
      </c>
      <c r="D226" s="148" t="s">
        <v>551</v>
      </c>
      <c r="E226" s="148" t="s">
        <v>1390</v>
      </c>
      <c r="F226" s="148" t="s">
        <v>1414</v>
      </c>
      <c r="G226" s="148" t="s">
        <v>1011</v>
      </c>
      <c r="H226" s="148">
        <v>1140751</v>
      </c>
      <c r="I226" s="148">
        <v>1140751</v>
      </c>
      <c r="J226" s="148">
        <v>100</v>
      </c>
      <c r="K226" s="148" t="str">
        <f t="shared" si="3"/>
        <v>ENTITYULTMT_PRNT_UNDRTKNG_ID</v>
      </c>
    </row>
    <row r="227" spans="1:11" hidden="1">
      <c r="A227" s="148" t="s">
        <v>1713</v>
      </c>
      <c r="B227" s="148" t="s">
        <v>1714</v>
      </c>
      <c r="C227" s="148" t="s">
        <v>139</v>
      </c>
      <c r="D227" s="148" t="s">
        <v>552</v>
      </c>
      <c r="E227" s="148" t="s">
        <v>1397</v>
      </c>
      <c r="F227" s="148" t="s">
        <v>1414</v>
      </c>
      <c r="G227" s="148" t="s">
        <v>1011</v>
      </c>
      <c r="H227" s="148">
        <v>1140751</v>
      </c>
      <c r="I227" s="148">
        <v>1140751</v>
      </c>
      <c r="J227" s="148">
        <v>100</v>
      </c>
      <c r="K227" s="148" t="str">
        <f t="shared" si="3"/>
        <v>ENTITYTTL_ASSTS</v>
      </c>
    </row>
    <row r="228" spans="1:11" hidden="1">
      <c r="A228" s="148" t="s">
        <v>1715</v>
      </c>
      <c r="B228" s="148" t="s">
        <v>1716</v>
      </c>
      <c r="C228" s="148" t="s">
        <v>139</v>
      </c>
      <c r="D228" s="148" t="s">
        <v>1189</v>
      </c>
      <c r="E228" s="148" t="s">
        <v>1394</v>
      </c>
      <c r="F228" s="148" t="s">
        <v>1414</v>
      </c>
      <c r="G228" s="148" t="s">
        <v>129</v>
      </c>
      <c r="H228" s="148">
        <v>1140751</v>
      </c>
      <c r="I228" s="148">
        <v>0</v>
      </c>
      <c r="J228" s="148">
        <v>0</v>
      </c>
      <c r="K228" s="148" t="str">
        <f t="shared" si="3"/>
        <v>ENTITYFLLN_ANGL_NRRW_DFNTN</v>
      </c>
    </row>
    <row r="229" spans="1:11" hidden="1">
      <c r="A229" s="148" t="s">
        <v>1717</v>
      </c>
      <c r="B229" s="148" t="s">
        <v>1718</v>
      </c>
      <c r="C229" s="148" t="s">
        <v>139</v>
      </c>
      <c r="D229" s="148" t="s">
        <v>1190</v>
      </c>
      <c r="E229" s="148" t="s">
        <v>1394</v>
      </c>
      <c r="F229" s="148" t="s">
        <v>1414</v>
      </c>
      <c r="G229" s="148" t="s">
        <v>129</v>
      </c>
      <c r="H229" s="148">
        <v>1140751</v>
      </c>
      <c r="I229" s="148">
        <v>0</v>
      </c>
      <c r="J229" s="148">
        <v>0</v>
      </c>
      <c r="K229" s="148" t="str">
        <f t="shared" si="3"/>
        <v>ENTITYFLLN_ANGL_EXTNDD_DFNTN</v>
      </c>
    </row>
    <row r="230" spans="1:11" hidden="1">
      <c r="A230" s="148" t="s">
        <v>1719</v>
      </c>
      <c r="B230" s="148" t="s">
        <v>1720</v>
      </c>
      <c r="C230" s="148" t="s">
        <v>139</v>
      </c>
      <c r="D230" s="148" t="s">
        <v>553</v>
      </c>
      <c r="E230" s="148" t="s">
        <v>1390</v>
      </c>
      <c r="F230" s="148" t="s">
        <v>1414</v>
      </c>
      <c r="G230" s="148" t="s">
        <v>1011</v>
      </c>
      <c r="H230" s="148">
        <v>1140751</v>
      </c>
      <c r="I230" s="148">
        <v>1140751</v>
      </c>
      <c r="J230" s="148">
        <v>100</v>
      </c>
      <c r="K230" s="148" t="str">
        <f t="shared" si="3"/>
        <v>ENTITYENTTY_ID_BDR</v>
      </c>
    </row>
    <row r="231" spans="1:11" hidden="1">
      <c r="A231" s="148" t="s">
        <v>1721</v>
      </c>
      <c r="B231" s="148" t="s">
        <v>1722</v>
      </c>
      <c r="C231" s="148" t="s">
        <v>139</v>
      </c>
      <c r="D231" s="148" t="s">
        <v>1723</v>
      </c>
      <c r="E231" s="148" t="s">
        <v>1397</v>
      </c>
      <c r="F231" s="148" t="s">
        <v>1414</v>
      </c>
      <c r="G231" s="148" t="s">
        <v>1011</v>
      </c>
      <c r="H231" s="148">
        <v>1140751</v>
      </c>
      <c r="I231" s="148">
        <v>1140751</v>
      </c>
      <c r="J231" s="148">
        <v>100</v>
      </c>
      <c r="K231" s="148" t="str">
        <f t="shared" si="3"/>
        <v>ENTITYTXNMY_ELGBL_CAPEX_W</v>
      </c>
    </row>
    <row r="232" spans="1:11" hidden="1">
      <c r="A232" s="148" t="s">
        <v>1724</v>
      </c>
      <c r="B232" s="148" t="s">
        <v>1725</v>
      </c>
      <c r="C232" s="148" t="s">
        <v>139</v>
      </c>
      <c r="D232" s="148" t="s">
        <v>1726</v>
      </c>
      <c r="E232" s="148" t="s">
        <v>1397</v>
      </c>
      <c r="F232" s="148" t="s">
        <v>1414</v>
      </c>
      <c r="G232" s="148" t="s">
        <v>1011</v>
      </c>
      <c r="H232" s="148">
        <v>1140751</v>
      </c>
      <c r="I232" s="148">
        <v>1140751</v>
      </c>
      <c r="J232" s="148">
        <v>100</v>
      </c>
      <c r="K232" s="148" t="str">
        <f t="shared" si="3"/>
        <v>ENTITYTXNMY_ELGBL_TRNVR_W</v>
      </c>
    </row>
    <row r="233" spans="1:11" hidden="1">
      <c r="A233" s="148" t="s">
        <v>1727</v>
      </c>
      <c r="B233" s="148" t="s">
        <v>1728</v>
      </c>
      <c r="C233" s="148" t="s">
        <v>139</v>
      </c>
      <c r="D233" s="148" t="s">
        <v>1729</v>
      </c>
      <c r="E233" s="148" t="s">
        <v>1397</v>
      </c>
      <c r="F233" s="148" t="s">
        <v>1414</v>
      </c>
      <c r="G233" s="148" t="s">
        <v>1011</v>
      </c>
      <c r="H233" s="148">
        <v>1140751</v>
      </c>
      <c r="I233" s="148">
        <v>1140751</v>
      </c>
      <c r="J233" s="148">
        <v>100</v>
      </c>
      <c r="K233" s="148" t="str">
        <f t="shared" si="3"/>
        <v>ENTITYTXNMY_ELGBL_CAPEX_P</v>
      </c>
    </row>
    <row r="234" spans="1:11" hidden="1">
      <c r="A234" s="148" t="s">
        <v>1730</v>
      </c>
      <c r="B234" s="148" t="s">
        <v>1731</v>
      </c>
      <c r="C234" s="148" t="s">
        <v>139</v>
      </c>
      <c r="D234" s="148" t="s">
        <v>1732</v>
      </c>
      <c r="E234" s="148" t="s">
        <v>1397</v>
      </c>
      <c r="F234" s="148" t="s">
        <v>1414</v>
      </c>
      <c r="G234" s="148" t="s">
        <v>1011</v>
      </c>
      <c r="H234" s="148">
        <v>1140751</v>
      </c>
      <c r="I234" s="148">
        <v>1140751</v>
      </c>
      <c r="J234" s="148">
        <v>100</v>
      </c>
      <c r="K234" s="148" t="str">
        <f t="shared" si="3"/>
        <v>ENTITYTXNMY_ELGBL_TRNVR_P</v>
      </c>
    </row>
    <row r="235" spans="1:11" hidden="1">
      <c r="A235" s="148" t="s">
        <v>1733</v>
      </c>
      <c r="B235" s="148" t="s">
        <v>1734</v>
      </c>
      <c r="C235" s="148" t="s">
        <v>139</v>
      </c>
      <c r="D235" s="148" t="s">
        <v>1735</v>
      </c>
      <c r="E235" s="148" t="s">
        <v>1397</v>
      </c>
      <c r="F235" s="148" t="s">
        <v>1414</v>
      </c>
      <c r="G235" s="148" t="s">
        <v>1011</v>
      </c>
      <c r="H235" s="148">
        <v>1140751</v>
      </c>
      <c r="I235" s="148">
        <v>1140751</v>
      </c>
      <c r="J235" s="148">
        <v>100</v>
      </c>
      <c r="K235" s="148" t="str">
        <f t="shared" si="3"/>
        <v>ENTITYTXNMY_ELGBL_CAPEX_B</v>
      </c>
    </row>
    <row r="236" spans="1:11" hidden="1">
      <c r="A236" s="148" t="s">
        <v>1736</v>
      </c>
      <c r="B236" s="148" t="s">
        <v>1737</v>
      </c>
      <c r="C236" s="148" t="s">
        <v>139</v>
      </c>
      <c r="D236" s="148" t="s">
        <v>1738</v>
      </c>
      <c r="E236" s="148" t="s">
        <v>1397</v>
      </c>
      <c r="F236" s="148" t="s">
        <v>1414</v>
      </c>
      <c r="G236" s="148" t="s">
        <v>1011</v>
      </c>
      <c r="H236" s="148">
        <v>1140751</v>
      </c>
      <c r="I236" s="148">
        <v>1140751</v>
      </c>
      <c r="J236" s="148">
        <v>100</v>
      </c>
      <c r="K236" s="148" t="str">
        <f t="shared" si="3"/>
        <v>ENTITYTXNMY_ELGBL_TRNVR_B</v>
      </c>
    </row>
    <row r="237" spans="1:11" hidden="1">
      <c r="A237" s="148" t="s">
        <v>1739</v>
      </c>
      <c r="B237" s="148" t="s">
        <v>1740</v>
      </c>
      <c r="C237" s="148" t="s">
        <v>139</v>
      </c>
      <c r="D237" s="148" t="s">
        <v>1741</v>
      </c>
      <c r="E237" s="148" t="s">
        <v>1397</v>
      </c>
      <c r="F237" s="148" t="s">
        <v>1414</v>
      </c>
      <c r="G237" s="148" t="s">
        <v>1011</v>
      </c>
      <c r="H237" s="148">
        <v>1140751</v>
      </c>
      <c r="I237" s="148">
        <v>1140751</v>
      </c>
      <c r="J237" s="148">
        <v>100</v>
      </c>
      <c r="K237" s="148" t="str">
        <f t="shared" si="3"/>
        <v>ENTITYTXNMY_ELGBL_CAPEX_CE</v>
      </c>
    </row>
    <row r="238" spans="1:11" hidden="1">
      <c r="A238" s="148" t="s">
        <v>1742</v>
      </c>
      <c r="B238" s="148" t="s">
        <v>1743</v>
      </c>
      <c r="C238" s="148" t="s">
        <v>139</v>
      </c>
      <c r="D238" s="148" t="s">
        <v>1744</v>
      </c>
      <c r="E238" s="148" t="s">
        <v>1397</v>
      </c>
      <c r="F238" s="148" t="s">
        <v>1414</v>
      </c>
      <c r="G238" s="148" t="s">
        <v>1011</v>
      </c>
      <c r="H238" s="148">
        <v>1140751</v>
      </c>
      <c r="I238" s="148">
        <v>1140751</v>
      </c>
      <c r="J238" s="148">
        <v>100</v>
      </c>
      <c r="K238" s="148" t="str">
        <f t="shared" si="3"/>
        <v>ENTITYTXNMY_ELGBL_TRNVR_CE</v>
      </c>
    </row>
    <row r="239" spans="1:11" hidden="1">
      <c r="A239" s="148" t="s">
        <v>1745</v>
      </c>
      <c r="B239" s="148" t="s">
        <v>1746</v>
      </c>
      <c r="C239" s="148" t="s">
        <v>139</v>
      </c>
      <c r="D239" s="148" t="s">
        <v>1747</v>
      </c>
      <c r="E239" s="148" t="s">
        <v>1397</v>
      </c>
      <c r="F239" s="148" t="s">
        <v>1414</v>
      </c>
      <c r="G239" s="148" t="s">
        <v>1011</v>
      </c>
      <c r="H239" s="148">
        <v>1140751</v>
      </c>
      <c r="I239" s="148">
        <v>1140751</v>
      </c>
      <c r="J239" s="148">
        <v>100</v>
      </c>
      <c r="K239" s="148" t="str">
        <f t="shared" si="3"/>
        <v>ENTITYPURE_CAPEX_P</v>
      </c>
    </row>
    <row r="240" spans="1:11" hidden="1">
      <c r="A240" s="148" t="s">
        <v>1748</v>
      </c>
      <c r="B240" s="148" t="s">
        <v>1749</v>
      </c>
      <c r="C240" s="148" t="s">
        <v>139</v>
      </c>
      <c r="D240" s="148" t="s">
        <v>1750</v>
      </c>
      <c r="E240" s="148" t="s">
        <v>1397</v>
      </c>
      <c r="F240" s="148" t="s">
        <v>1414</v>
      </c>
      <c r="G240" s="148" t="s">
        <v>1011</v>
      </c>
      <c r="H240" s="148">
        <v>1140751</v>
      </c>
      <c r="I240" s="148">
        <v>1140751</v>
      </c>
      <c r="J240" s="148">
        <v>100</v>
      </c>
      <c r="K240" s="148" t="str">
        <f t="shared" si="3"/>
        <v>ENTITYPURE_TRNVR_P</v>
      </c>
    </row>
    <row r="241" spans="1:11" hidden="1">
      <c r="A241" s="148" t="s">
        <v>1751</v>
      </c>
      <c r="B241" s="148" t="s">
        <v>1752</v>
      </c>
      <c r="C241" s="148" t="s">
        <v>139</v>
      </c>
      <c r="D241" s="148" t="s">
        <v>1753</v>
      </c>
      <c r="E241" s="148" t="s">
        <v>1397</v>
      </c>
      <c r="F241" s="148" t="s">
        <v>1414</v>
      </c>
      <c r="G241" s="148" t="s">
        <v>1011</v>
      </c>
      <c r="H241" s="148">
        <v>1140751</v>
      </c>
      <c r="I241" s="148">
        <v>1140751</v>
      </c>
      <c r="J241" s="148">
        <v>100</v>
      </c>
      <c r="K241" s="148" t="str">
        <f t="shared" si="3"/>
        <v>ENTITYPURE_CAPEX_B</v>
      </c>
    </row>
    <row r="242" spans="1:11" hidden="1">
      <c r="A242" s="148" t="s">
        <v>1754</v>
      </c>
      <c r="B242" s="148" t="s">
        <v>1755</v>
      </c>
      <c r="C242" s="148" t="s">
        <v>139</v>
      </c>
      <c r="D242" s="148" t="s">
        <v>1756</v>
      </c>
      <c r="E242" s="148" t="s">
        <v>1397</v>
      </c>
      <c r="F242" s="148" t="s">
        <v>1414</v>
      </c>
      <c r="G242" s="148" t="s">
        <v>1011</v>
      </c>
      <c r="H242" s="148">
        <v>1140751</v>
      </c>
      <c r="I242" s="148">
        <v>1140751</v>
      </c>
      <c r="J242" s="148">
        <v>100</v>
      </c>
      <c r="K242" s="148" t="str">
        <f t="shared" si="3"/>
        <v>ENTITYPURE_TRNVR_B</v>
      </c>
    </row>
    <row r="243" spans="1:11" hidden="1">
      <c r="A243" s="148" t="s">
        <v>1757</v>
      </c>
      <c r="B243" s="148" t="s">
        <v>1758</v>
      </c>
      <c r="C243" s="148" t="s">
        <v>139</v>
      </c>
      <c r="D243" s="148" t="s">
        <v>1759</v>
      </c>
      <c r="E243" s="148" t="s">
        <v>1397</v>
      </c>
      <c r="F243" s="148" t="s">
        <v>1414</v>
      </c>
      <c r="G243" s="148" t="s">
        <v>1011</v>
      </c>
      <c r="H243" s="148">
        <v>1140751</v>
      </c>
      <c r="I243" s="148">
        <v>1140751</v>
      </c>
      <c r="J243" s="148">
        <v>100</v>
      </c>
      <c r="K243" s="148" t="str">
        <f t="shared" si="3"/>
        <v>ENTITYPURE_CAPEX_W</v>
      </c>
    </row>
    <row r="244" spans="1:11" hidden="1">
      <c r="A244" s="148" t="s">
        <v>1760</v>
      </c>
      <c r="B244" s="148" t="s">
        <v>1761</v>
      </c>
      <c r="C244" s="148" t="s">
        <v>139</v>
      </c>
      <c r="D244" s="148" t="s">
        <v>1762</v>
      </c>
      <c r="E244" s="148" t="s">
        <v>1397</v>
      </c>
      <c r="F244" s="148" t="s">
        <v>1414</v>
      </c>
      <c r="G244" s="148" t="s">
        <v>1011</v>
      </c>
      <c r="H244" s="148">
        <v>1140751</v>
      </c>
      <c r="I244" s="148">
        <v>1140751</v>
      </c>
      <c r="J244" s="148">
        <v>100</v>
      </c>
      <c r="K244" s="148" t="str">
        <f t="shared" si="3"/>
        <v>ENTITYPURE_TRNVR_W</v>
      </c>
    </row>
    <row r="245" spans="1:11" hidden="1">
      <c r="A245" s="148" t="s">
        <v>1763</v>
      </c>
      <c r="B245" s="148" t="s">
        <v>1764</v>
      </c>
      <c r="C245" s="148" t="s">
        <v>139</v>
      </c>
      <c r="D245" s="148" t="s">
        <v>1765</v>
      </c>
      <c r="E245" s="148" t="s">
        <v>1397</v>
      </c>
      <c r="F245" s="148" t="s">
        <v>1414</v>
      </c>
      <c r="G245" s="148" t="s">
        <v>1011</v>
      </c>
      <c r="H245" s="148">
        <v>1140751</v>
      </c>
      <c r="I245" s="148">
        <v>1140751</v>
      </c>
      <c r="J245" s="148">
        <v>100</v>
      </c>
      <c r="K245" s="148" t="str">
        <f t="shared" si="3"/>
        <v>ENTITYPURE_CAPEX_CE</v>
      </c>
    </row>
    <row r="246" spans="1:11" hidden="1">
      <c r="A246" s="148" t="s">
        <v>1766</v>
      </c>
      <c r="B246" s="148" t="s">
        <v>1767</v>
      </c>
      <c r="C246" s="148" t="s">
        <v>139</v>
      </c>
      <c r="D246" s="148" t="s">
        <v>1768</v>
      </c>
      <c r="E246" s="148" t="s">
        <v>1397</v>
      </c>
      <c r="F246" s="148" t="s">
        <v>1414</v>
      </c>
      <c r="G246" s="148" t="s">
        <v>1011</v>
      </c>
      <c r="H246" s="148">
        <v>1140751</v>
      </c>
      <c r="I246" s="148">
        <v>1140751</v>
      </c>
      <c r="J246" s="148">
        <v>100</v>
      </c>
      <c r="K246" s="148" t="str">
        <f t="shared" si="3"/>
        <v>ENTITYPURE_TRNVR_CE</v>
      </c>
    </row>
    <row r="247" spans="1:11" hidden="1">
      <c r="A247" s="148" t="s">
        <v>1769</v>
      </c>
      <c r="B247" s="148" t="s">
        <v>1770</v>
      </c>
      <c r="C247" s="148" t="s">
        <v>139</v>
      </c>
      <c r="D247" s="148" t="s">
        <v>1771</v>
      </c>
      <c r="E247" s="148" t="s">
        <v>1397</v>
      </c>
      <c r="F247" s="148" t="s">
        <v>1414</v>
      </c>
      <c r="G247" s="148" t="s">
        <v>1011</v>
      </c>
      <c r="H247" s="148">
        <v>1140751</v>
      </c>
      <c r="I247" s="148">
        <v>1140751</v>
      </c>
      <c r="J247" s="148">
        <v>100</v>
      </c>
      <c r="K247" s="148" t="str">
        <f t="shared" si="3"/>
        <v>ENTITYENBLNG_CAPEX_W</v>
      </c>
    </row>
    <row r="248" spans="1:11" hidden="1">
      <c r="A248" s="148" t="s">
        <v>1772</v>
      </c>
      <c r="B248" s="148" t="s">
        <v>1773</v>
      </c>
      <c r="C248" s="148" t="s">
        <v>139</v>
      </c>
      <c r="D248" s="148" t="s">
        <v>1774</v>
      </c>
      <c r="E248" s="148" t="s">
        <v>1397</v>
      </c>
      <c r="F248" s="148" t="s">
        <v>1414</v>
      </c>
      <c r="G248" s="148" t="s">
        <v>1011</v>
      </c>
      <c r="H248" s="148">
        <v>1140751</v>
      </c>
      <c r="I248" s="148">
        <v>1140751</v>
      </c>
      <c r="J248" s="148">
        <v>100</v>
      </c>
      <c r="K248" s="148" t="str">
        <f t="shared" si="3"/>
        <v>ENTITYENBLNG_TRNVR_W</v>
      </c>
    </row>
    <row r="249" spans="1:11" hidden="1">
      <c r="A249" s="148" t="s">
        <v>1775</v>
      </c>
      <c r="B249" s="148" t="s">
        <v>1776</v>
      </c>
      <c r="C249" s="148" t="s">
        <v>139</v>
      </c>
      <c r="D249" s="148" t="s">
        <v>1777</v>
      </c>
      <c r="E249" s="148" t="s">
        <v>1397</v>
      </c>
      <c r="F249" s="148" t="s">
        <v>1414</v>
      </c>
      <c r="G249" s="148" t="s">
        <v>1011</v>
      </c>
      <c r="H249" s="148">
        <v>1140751</v>
      </c>
      <c r="I249" s="148">
        <v>1140751</v>
      </c>
      <c r="J249" s="148">
        <v>100</v>
      </c>
      <c r="K249" s="148" t="str">
        <f t="shared" si="3"/>
        <v>ENTITYENBLNG_CAPEX_CE</v>
      </c>
    </row>
    <row r="250" spans="1:11" hidden="1">
      <c r="A250" s="148" t="s">
        <v>1778</v>
      </c>
      <c r="B250" s="148" t="s">
        <v>1779</v>
      </c>
      <c r="C250" s="148" t="s">
        <v>139</v>
      </c>
      <c r="D250" s="148" t="s">
        <v>1780</v>
      </c>
      <c r="E250" s="148" t="s">
        <v>1397</v>
      </c>
      <c r="F250" s="148" t="s">
        <v>1414</v>
      </c>
      <c r="G250" s="148" t="s">
        <v>1011</v>
      </c>
      <c r="H250" s="148">
        <v>1140751</v>
      </c>
      <c r="I250" s="148">
        <v>1140751</v>
      </c>
      <c r="J250" s="148">
        <v>100</v>
      </c>
      <c r="K250" s="148" t="str">
        <f t="shared" si="3"/>
        <v>ENTITYENBLNG_TRNVR_CE</v>
      </c>
    </row>
    <row r="251" spans="1:11" hidden="1">
      <c r="A251" s="148" t="s">
        <v>1781</v>
      </c>
      <c r="B251" s="148" t="s">
        <v>1782</v>
      </c>
      <c r="C251" s="148" t="s">
        <v>139</v>
      </c>
      <c r="D251" s="148" t="s">
        <v>1185</v>
      </c>
      <c r="E251" s="148" t="s">
        <v>1397</v>
      </c>
      <c r="F251" s="148" t="s">
        <v>1414</v>
      </c>
      <c r="G251" s="148" t="s">
        <v>129</v>
      </c>
      <c r="H251" s="148">
        <v>1140751</v>
      </c>
      <c r="I251" s="148">
        <v>0</v>
      </c>
      <c r="J251" s="148">
        <v>0</v>
      </c>
      <c r="K251" s="148" t="str">
        <f t="shared" si="3"/>
        <v>ENTITYRORAC</v>
      </c>
    </row>
    <row r="252" spans="1:11" hidden="1">
      <c r="A252" s="148" t="s">
        <v>1783</v>
      </c>
      <c r="B252" s="148" t="s">
        <v>1784</v>
      </c>
      <c r="C252" s="148" t="s">
        <v>139</v>
      </c>
      <c r="D252" s="148" t="s">
        <v>1188</v>
      </c>
      <c r="E252" s="148" t="s">
        <v>1397</v>
      </c>
      <c r="F252" s="148" t="s">
        <v>1414</v>
      </c>
      <c r="G252" s="148" t="s">
        <v>129</v>
      </c>
      <c r="H252" s="148">
        <v>1140751</v>
      </c>
      <c r="I252" s="148">
        <v>0</v>
      </c>
      <c r="J252" s="148">
        <v>0</v>
      </c>
      <c r="K252" s="148" t="str">
        <f t="shared" si="3"/>
        <v>ENTITYGRP_RORAC</v>
      </c>
    </row>
    <row r="253" spans="1:11" hidden="1">
      <c r="A253" s="148" t="s">
        <v>1785</v>
      </c>
      <c r="B253" s="148" t="s">
        <v>1786</v>
      </c>
      <c r="C253" s="148" t="s">
        <v>139</v>
      </c>
      <c r="D253" s="148" t="s">
        <v>1184</v>
      </c>
      <c r="E253" s="148" t="s">
        <v>1397</v>
      </c>
      <c r="F253" s="148" t="s">
        <v>1414</v>
      </c>
      <c r="G253" s="148" t="s">
        <v>129</v>
      </c>
      <c r="H253" s="148">
        <v>1140751</v>
      </c>
      <c r="I253" s="148">
        <v>0</v>
      </c>
      <c r="J253" s="148">
        <v>0</v>
      </c>
      <c r="K253" s="148" t="str">
        <f t="shared" si="3"/>
        <v>ENTITYRORWA</v>
      </c>
    </row>
    <row r="254" spans="1:11" hidden="1">
      <c r="A254" s="148" t="s">
        <v>1787</v>
      </c>
      <c r="B254" s="148" t="s">
        <v>1788</v>
      </c>
      <c r="C254" s="148" t="s">
        <v>139</v>
      </c>
      <c r="D254" s="148" t="s">
        <v>1187</v>
      </c>
      <c r="E254" s="148" t="s">
        <v>1397</v>
      </c>
      <c r="F254" s="148" t="s">
        <v>1414</v>
      </c>
      <c r="G254" s="148" t="s">
        <v>129</v>
      </c>
      <c r="H254" s="148">
        <v>1140751</v>
      </c>
      <c r="I254" s="148">
        <v>0</v>
      </c>
      <c r="J254" s="148">
        <v>0</v>
      </c>
      <c r="K254" s="148" t="str">
        <f t="shared" si="3"/>
        <v>ENTITYGRP_RORWA</v>
      </c>
    </row>
    <row r="255" spans="1:11" hidden="1">
      <c r="A255" s="148" t="s">
        <v>1789</v>
      </c>
      <c r="B255" s="148" t="s">
        <v>1790</v>
      </c>
      <c r="C255" s="148" t="s">
        <v>139</v>
      </c>
      <c r="D255" s="148" t="s">
        <v>1181</v>
      </c>
      <c r="E255" s="148" t="s">
        <v>1394</v>
      </c>
      <c r="F255" s="148" t="s">
        <v>1414</v>
      </c>
      <c r="G255" s="148" t="s">
        <v>129</v>
      </c>
      <c r="H255" s="148">
        <v>1140751</v>
      </c>
      <c r="I255" s="148">
        <v>0</v>
      </c>
      <c r="J255" s="148">
        <v>0</v>
      </c>
      <c r="K255" s="148" t="str">
        <f t="shared" si="3"/>
        <v>ENTITYSCAN</v>
      </c>
    </row>
    <row r="256" spans="1:11" hidden="1">
      <c r="A256" s="148" t="s">
        <v>1791</v>
      </c>
      <c r="B256" s="148" t="s">
        <v>1792</v>
      </c>
      <c r="C256" s="148" t="s">
        <v>139</v>
      </c>
      <c r="D256" s="148" t="s">
        <v>1178</v>
      </c>
      <c r="E256" s="148" t="s">
        <v>1397</v>
      </c>
      <c r="F256" s="148" t="s">
        <v>1414</v>
      </c>
      <c r="G256" s="148" t="s">
        <v>129</v>
      </c>
      <c r="H256" s="148">
        <v>1140751</v>
      </c>
      <c r="I256" s="148">
        <v>0</v>
      </c>
      <c r="J256" s="148">
        <v>0</v>
      </c>
      <c r="K256" s="148" t="str">
        <f t="shared" si="3"/>
        <v>ENTITYTTL_PRMSSBL_DBT_BLNC</v>
      </c>
    </row>
    <row r="257" spans="1:11" hidden="1">
      <c r="A257" s="148" t="s">
        <v>1793</v>
      </c>
      <c r="B257" s="148" t="s">
        <v>1413</v>
      </c>
      <c r="C257" s="148" t="s">
        <v>187</v>
      </c>
      <c r="D257" s="148" t="s">
        <v>186</v>
      </c>
      <c r="E257" s="148" t="s">
        <v>1394</v>
      </c>
      <c r="F257" s="148" t="s">
        <v>1794</v>
      </c>
      <c r="G257" s="148" t="s">
        <v>129</v>
      </c>
      <c r="H257" s="148">
        <v>2655392</v>
      </c>
      <c r="I257" s="148">
        <v>0</v>
      </c>
      <c r="J257" s="148">
        <v>0</v>
      </c>
      <c r="K257" s="148" t="str">
        <f t="shared" si="3"/>
        <v>INSTR_ENTITYCOD_SOC</v>
      </c>
    </row>
    <row r="258" spans="1:11" hidden="1">
      <c r="A258" s="148" t="s">
        <v>1795</v>
      </c>
      <c r="B258" s="148" t="s">
        <v>1386</v>
      </c>
      <c r="C258" s="148" t="s">
        <v>187</v>
      </c>
      <c r="D258" s="148" t="s">
        <v>283</v>
      </c>
      <c r="E258" s="148" t="s">
        <v>1387</v>
      </c>
      <c r="F258" s="148" t="s">
        <v>1794</v>
      </c>
      <c r="G258" s="148" t="s">
        <v>129</v>
      </c>
      <c r="H258" s="148">
        <v>2655392</v>
      </c>
      <c r="I258" s="148">
        <v>0</v>
      </c>
      <c r="J258" s="148">
        <v>0</v>
      </c>
      <c r="K258" s="148" t="str">
        <f t="shared" si="3"/>
        <v>INSTR_ENTITYDT_RFRNC</v>
      </c>
    </row>
    <row r="259" spans="1:11" hidden="1">
      <c r="A259" s="148" t="s">
        <v>1796</v>
      </c>
      <c r="B259" s="148" t="s">
        <v>1432</v>
      </c>
      <c r="C259" s="148" t="s">
        <v>187</v>
      </c>
      <c r="D259" s="148" t="s">
        <v>306</v>
      </c>
      <c r="E259" s="148" t="s">
        <v>1390</v>
      </c>
      <c r="F259" s="148" t="s">
        <v>1794</v>
      </c>
      <c r="G259" s="148" t="s">
        <v>129</v>
      </c>
      <c r="H259" s="148">
        <v>2655392</v>
      </c>
      <c r="I259" s="148">
        <v>0</v>
      </c>
      <c r="J259" s="148">
        <v>0</v>
      </c>
      <c r="K259" s="148" t="str">
        <f t="shared" ref="K259:K322" si="4">_xlfn.CONCAT(_xlfn.IFS(ISNUMBER(SEARCH("EN",A259)),"ENTITY",ISNUMBER(SEARCH("IN",A259)),"INSTRUMENT",ISNUMBER(SEARCH("PR",A259)),"PROTECTION",ISNUMBER(SEARCH("IP",A259)),"INSTR_PROTECTION",ISNUMBER(SEARCH("IE",A259)),"INSTR_ENTITY",ISNUMBER(SEARCH("AC",A259)),"INSTR_ACTIVITY"),D259)</f>
        <v>INSTR_ENTITYENTTY_ID</v>
      </c>
    </row>
    <row r="260" spans="1:11" hidden="1">
      <c r="A260" s="148" t="s">
        <v>1797</v>
      </c>
      <c r="B260" s="148" t="s">
        <v>1389</v>
      </c>
      <c r="C260" s="148" t="s">
        <v>187</v>
      </c>
      <c r="D260" s="148" t="s">
        <v>367</v>
      </c>
      <c r="E260" s="148" t="s">
        <v>1390</v>
      </c>
      <c r="F260" s="148" t="s">
        <v>1794</v>
      </c>
      <c r="G260" s="148" t="s">
        <v>129</v>
      </c>
      <c r="H260" s="148">
        <v>2655392</v>
      </c>
      <c r="I260" s="148">
        <v>0</v>
      </c>
      <c r="J260" s="148">
        <v>0</v>
      </c>
      <c r="K260" s="148" t="str">
        <f t="shared" si="4"/>
        <v>INSTR_ENTITYINSTRMNT_ID</v>
      </c>
    </row>
    <row r="261" spans="1:11" hidden="1">
      <c r="A261" s="148" t="s">
        <v>1798</v>
      </c>
      <c r="B261" s="148" t="s">
        <v>1799</v>
      </c>
      <c r="C261" s="148" t="s">
        <v>187</v>
      </c>
      <c r="D261" s="148" t="s">
        <v>390</v>
      </c>
      <c r="E261" s="148" t="s">
        <v>1397</v>
      </c>
      <c r="F261" s="148" t="s">
        <v>1794</v>
      </c>
      <c r="G261" s="148" t="s">
        <v>129</v>
      </c>
      <c r="H261" s="148">
        <v>2655392</v>
      </c>
      <c r="I261" s="148">
        <v>0</v>
      </c>
      <c r="J261" s="148">
        <v>0</v>
      </c>
      <c r="K261" s="148" t="str">
        <f t="shared" si="4"/>
        <v>INSTR_ENTITYJNT_LBLTY_AMNT</v>
      </c>
    </row>
    <row r="262" spans="1:11" hidden="1">
      <c r="A262" s="148" t="s">
        <v>1800</v>
      </c>
      <c r="B262" s="148" t="s">
        <v>930</v>
      </c>
      <c r="C262" s="148" t="s">
        <v>187</v>
      </c>
      <c r="D262" s="148" t="s">
        <v>409</v>
      </c>
      <c r="E262" s="148" t="s">
        <v>1394</v>
      </c>
      <c r="F262" s="148" t="s">
        <v>1794</v>
      </c>
      <c r="G262" s="148" t="s">
        <v>129</v>
      </c>
      <c r="H262" s="148">
        <v>2655392</v>
      </c>
      <c r="I262" s="148">
        <v>0</v>
      </c>
      <c r="J262" s="148">
        <v>0</v>
      </c>
      <c r="K262" s="148" t="str">
        <f t="shared" si="4"/>
        <v>INSTR_ENTITYMN_ENTTY_ID</v>
      </c>
    </row>
    <row r="263" spans="1:11" hidden="1">
      <c r="A263" s="148" t="s">
        <v>1801</v>
      </c>
      <c r="B263" s="148" t="s">
        <v>1413</v>
      </c>
      <c r="C263" s="148" t="s">
        <v>127</v>
      </c>
      <c r="D263" s="148" t="s">
        <v>186</v>
      </c>
      <c r="E263" s="148" t="s">
        <v>1394</v>
      </c>
      <c r="F263" s="148" t="s">
        <v>1802</v>
      </c>
      <c r="G263" s="148" t="s">
        <v>129</v>
      </c>
      <c r="H263" s="148">
        <v>2266163</v>
      </c>
      <c r="I263" s="148">
        <v>0</v>
      </c>
      <c r="J263" s="148">
        <v>0</v>
      </c>
      <c r="K263" s="148" t="str">
        <f t="shared" si="4"/>
        <v>INSTRUMENTCOD_SOC</v>
      </c>
    </row>
    <row r="264" spans="1:11" hidden="1">
      <c r="A264" s="148" t="s">
        <v>1803</v>
      </c>
      <c r="B264" s="148" t="s">
        <v>1804</v>
      </c>
      <c r="C264" s="148" t="s">
        <v>127</v>
      </c>
      <c r="D264" s="148" t="s">
        <v>510</v>
      </c>
      <c r="E264" s="148" t="s">
        <v>1394</v>
      </c>
      <c r="F264" s="148" t="s">
        <v>1802</v>
      </c>
      <c r="G264" s="148" t="s">
        <v>1011</v>
      </c>
      <c r="H264" s="148">
        <v>2266163</v>
      </c>
      <c r="I264" s="148">
        <v>37809</v>
      </c>
      <c r="J264" s="148">
        <v>1.6684000000000001</v>
      </c>
      <c r="K264" s="148" t="str">
        <f t="shared" si="4"/>
        <v>INSTRUMENTSUBPORTFOLIO_ID</v>
      </c>
    </row>
    <row r="265" spans="1:11" hidden="1">
      <c r="A265" s="148" t="s">
        <v>1805</v>
      </c>
      <c r="B265" s="148" t="s">
        <v>1067</v>
      </c>
      <c r="C265" s="148" t="s">
        <v>127</v>
      </c>
      <c r="D265" s="148" t="s">
        <v>193</v>
      </c>
      <c r="E265" s="148" t="s">
        <v>1394</v>
      </c>
      <c r="F265" s="148" t="s">
        <v>1802</v>
      </c>
      <c r="G265" s="148" t="s">
        <v>129</v>
      </c>
      <c r="H265" s="148">
        <v>2266163</v>
      </c>
      <c r="I265" s="148">
        <v>0</v>
      </c>
      <c r="J265" s="148">
        <v>0</v>
      </c>
      <c r="K265" s="148" t="str">
        <f t="shared" si="4"/>
        <v>INSTRUMENTCRE_FNRP18</v>
      </c>
    </row>
    <row r="266" spans="1:11" hidden="1">
      <c r="A266" s="148" t="s">
        <v>1806</v>
      </c>
      <c r="B266" s="148" t="s">
        <v>1807</v>
      </c>
      <c r="C266" s="148" t="s">
        <v>127</v>
      </c>
      <c r="D266" s="148" t="s">
        <v>503</v>
      </c>
      <c r="E266" s="148" t="s">
        <v>1394</v>
      </c>
      <c r="F266" s="148" t="s">
        <v>1802</v>
      </c>
      <c r="G266" s="148" t="s">
        <v>129</v>
      </c>
      <c r="H266" s="148">
        <v>2266163</v>
      </c>
      <c r="I266" s="148">
        <v>0</v>
      </c>
      <c r="J266" s="148">
        <v>0</v>
      </c>
      <c r="K266" s="148" t="str">
        <f t="shared" si="4"/>
        <v>INSTRUMENTSME_FNRP18</v>
      </c>
    </row>
    <row r="267" spans="1:11" hidden="1">
      <c r="A267" s="148" t="s">
        <v>1808</v>
      </c>
      <c r="B267" s="148" t="s">
        <v>1090</v>
      </c>
      <c r="C267" s="148" t="s">
        <v>127</v>
      </c>
      <c r="D267" s="148" t="s">
        <v>491</v>
      </c>
      <c r="E267" s="148" t="s">
        <v>1394</v>
      </c>
      <c r="F267" s="148" t="s">
        <v>1802</v>
      </c>
      <c r="G267" s="148" t="s">
        <v>129</v>
      </c>
      <c r="H267" s="148">
        <v>2266163</v>
      </c>
      <c r="I267" s="148">
        <v>0</v>
      </c>
      <c r="J267" s="148">
        <v>0</v>
      </c>
      <c r="K267" s="148" t="str">
        <f t="shared" si="4"/>
        <v>INSTRUMENTRRE_FNRP18</v>
      </c>
    </row>
    <row r="268" spans="1:11" hidden="1">
      <c r="A268" s="148" t="s">
        <v>1809</v>
      </c>
      <c r="B268" s="148" t="s">
        <v>1810</v>
      </c>
      <c r="C268" s="148" t="s">
        <v>127</v>
      </c>
      <c r="D268" s="148" t="s">
        <v>178</v>
      </c>
      <c r="E268" s="148" t="s">
        <v>1394</v>
      </c>
      <c r="F268" s="148" t="s">
        <v>1802</v>
      </c>
      <c r="G268" s="148" t="s">
        <v>129</v>
      </c>
      <c r="H268" s="148">
        <v>2266163</v>
      </c>
      <c r="I268" s="148">
        <v>0</v>
      </c>
      <c r="J268" s="148">
        <v>0</v>
      </c>
      <c r="K268" s="148" t="str">
        <f t="shared" si="4"/>
        <v>INSTRUMENTCNSMPTN_FNRP18</v>
      </c>
    </row>
    <row r="269" spans="1:11" hidden="1">
      <c r="A269" s="148" t="s">
        <v>1811</v>
      </c>
      <c r="B269" s="148" t="s">
        <v>1386</v>
      </c>
      <c r="C269" s="148" t="s">
        <v>127</v>
      </c>
      <c r="D269" s="148" t="s">
        <v>283</v>
      </c>
      <c r="E269" s="148" t="s">
        <v>1387</v>
      </c>
      <c r="F269" s="148" t="s">
        <v>1802</v>
      </c>
      <c r="G269" s="148" t="s">
        <v>129</v>
      </c>
      <c r="H269" s="148">
        <v>2266163</v>
      </c>
      <c r="I269" s="148">
        <v>0</v>
      </c>
      <c r="J269" s="148">
        <v>0</v>
      </c>
      <c r="K269" s="148" t="str">
        <f t="shared" si="4"/>
        <v>INSTRUMENTDT_RFRNC</v>
      </c>
    </row>
    <row r="270" spans="1:11" hidden="1">
      <c r="A270" s="148" t="s">
        <v>1812</v>
      </c>
      <c r="B270" s="148" t="s">
        <v>1389</v>
      </c>
      <c r="C270" s="148" t="s">
        <v>127</v>
      </c>
      <c r="D270" s="148" t="s">
        <v>367</v>
      </c>
      <c r="E270" s="148" t="s">
        <v>1390</v>
      </c>
      <c r="F270" s="148" t="s">
        <v>1802</v>
      </c>
      <c r="G270" s="148" t="s">
        <v>129</v>
      </c>
      <c r="H270" s="148">
        <v>2266163</v>
      </c>
      <c r="I270" s="148">
        <v>0</v>
      </c>
      <c r="J270" s="148">
        <v>0</v>
      </c>
      <c r="K270" s="148" t="str">
        <f t="shared" si="4"/>
        <v>INSTRUMENTINSTRMNT_ID</v>
      </c>
    </row>
    <row r="271" spans="1:11" hidden="1">
      <c r="A271" s="148" t="s">
        <v>1813</v>
      </c>
      <c r="B271" s="148" t="s">
        <v>1814</v>
      </c>
      <c r="C271" s="148" t="s">
        <v>127</v>
      </c>
      <c r="D271" s="148" t="s">
        <v>183</v>
      </c>
      <c r="E271" s="148" t="s">
        <v>1390</v>
      </c>
      <c r="F271" s="148" t="s">
        <v>1802</v>
      </c>
      <c r="G271" s="148" t="s">
        <v>129</v>
      </c>
      <c r="H271" s="148">
        <v>2266163</v>
      </c>
      <c r="I271" s="148">
        <v>0</v>
      </c>
      <c r="J271" s="148">
        <v>0</v>
      </c>
      <c r="K271" s="148" t="str">
        <f t="shared" si="4"/>
        <v>INSTRUMENTCNTRCT_ID</v>
      </c>
    </row>
    <row r="272" spans="1:11" hidden="1">
      <c r="A272" s="148" t="s">
        <v>1815</v>
      </c>
      <c r="B272" s="148" t="s">
        <v>1816</v>
      </c>
      <c r="C272" s="148" t="s">
        <v>127</v>
      </c>
      <c r="D272" s="148" t="s">
        <v>199</v>
      </c>
      <c r="E272" s="148" t="s">
        <v>1394</v>
      </c>
      <c r="F272" s="148" t="s">
        <v>1802</v>
      </c>
      <c r="G272" s="148" t="s">
        <v>129</v>
      </c>
      <c r="H272" s="148">
        <v>2266163</v>
      </c>
      <c r="I272" s="148">
        <v>0</v>
      </c>
      <c r="J272" s="148">
        <v>0</v>
      </c>
      <c r="K272" s="148" t="str">
        <f t="shared" si="4"/>
        <v>INSTRUMENTCRRNCY_DNMNTN</v>
      </c>
    </row>
    <row r="273" spans="1:11" hidden="1">
      <c r="A273" s="148" t="s">
        <v>1817</v>
      </c>
      <c r="B273" s="148" t="s">
        <v>1818</v>
      </c>
      <c r="C273" s="148" t="s">
        <v>127</v>
      </c>
      <c r="D273" s="148" t="s">
        <v>259</v>
      </c>
      <c r="E273" s="148" t="s">
        <v>1387</v>
      </c>
      <c r="F273" s="148" t="s">
        <v>1802</v>
      </c>
      <c r="G273" s="148" t="s">
        <v>129</v>
      </c>
      <c r="H273" s="148">
        <v>2266163</v>
      </c>
      <c r="I273" s="148">
        <v>0</v>
      </c>
      <c r="J273" s="148">
        <v>0</v>
      </c>
      <c r="K273" s="148" t="str">
        <f t="shared" si="4"/>
        <v>INSTRUMENTDT_INCPTN</v>
      </c>
    </row>
    <row r="274" spans="1:11" hidden="1">
      <c r="A274" s="148" t="s">
        <v>1819</v>
      </c>
      <c r="B274" s="148" t="s">
        <v>1820</v>
      </c>
      <c r="C274" s="148" t="s">
        <v>127</v>
      </c>
      <c r="D274" s="148" t="s">
        <v>424</v>
      </c>
      <c r="E274" s="148" t="s">
        <v>1390</v>
      </c>
      <c r="F274" s="148" t="s">
        <v>1802</v>
      </c>
      <c r="G274" s="148" t="s">
        <v>129</v>
      </c>
      <c r="H274" s="148">
        <v>2266163</v>
      </c>
      <c r="I274" s="148">
        <v>0</v>
      </c>
      <c r="J274" s="148">
        <v>0</v>
      </c>
      <c r="K274" s="148" t="str">
        <f t="shared" si="4"/>
        <v>INSTRUMENTOBSRVD_AGNT_ID</v>
      </c>
    </row>
    <row r="275" spans="1:11" hidden="1">
      <c r="A275" s="148" t="s">
        <v>1821</v>
      </c>
      <c r="B275" s="148" t="s">
        <v>1822</v>
      </c>
      <c r="C275" s="148" t="s">
        <v>127</v>
      </c>
      <c r="D275" s="148" t="s">
        <v>425</v>
      </c>
      <c r="E275" s="148" t="s">
        <v>1390</v>
      </c>
      <c r="F275" s="148" t="s">
        <v>1802</v>
      </c>
      <c r="G275" s="148" t="s">
        <v>129</v>
      </c>
      <c r="H275" s="148">
        <v>2266163</v>
      </c>
      <c r="I275" s="148">
        <v>0</v>
      </c>
      <c r="J275" s="148">
        <v>0</v>
      </c>
      <c r="K275" s="148" t="str">
        <f t="shared" si="4"/>
        <v>INSTRUMENTOBSRVD_AGNT_NM</v>
      </c>
    </row>
    <row r="276" spans="1:11" hidden="1">
      <c r="A276" s="148" t="s">
        <v>1823</v>
      </c>
      <c r="B276" s="148" t="s">
        <v>1824</v>
      </c>
      <c r="C276" s="148" t="s">
        <v>127</v>
      </c>
      <c r="D276" s="148" t="s">
        <v>449</v>
      </c>
      <c r="E276" s="148" t="s">
        <v>1390</v>
      </c>
      <c r="F276" s="148" t="s">
        <v>1802</v>
      </c>
      <c r="G276" s="148" t="s">
        <v>129</v>
      </c>
      <c r="H276" s="148">
        <v>2266163</v>
      </c>
      <c r="I276" s="148">
        <v>0</v>
      </c>
      <c r="J276" s="148">
        <v>0</v>
      </c>
      <c r="K276" s="148" t="str">
        <f t="shared" si="4"/>
        <v>INSTRUMENTPRDCT</v>
      </c>
    </row>
    <row r="277" spans="1:11" hidden="1">
      <c r="A277" s="148" t="s">
        <v>1825</v>
      </c>
      <c r="B277" s="148" t="s">
        <v>1826</v>
      </c>
      <c r="C277" s="148" t="s">
        <v>127</v>
      </c>
      <c r="D277" s="148" t="s">
        <v>163</v>
      </c>
      <c r="E277" s="148" t="s">
        <v>1390</v>
      </c>
      <c r="F277" s="148" t="s">
        <v>1802</v>
      </c>
      <c r="G277" s="148" t="s">
        <v>129</v>
      </c>
      <c r="H277" s="148">
        <v>2266163</v>
      </c>
      <c r="I277" s="148">
        <v>0</v>
      </c>
      <c r="J277" s="148">
        <v>0</v>
      </c>
      <c r="K277" s="148" t="str">
        <f t="shared" si="4"/>
        <v>INSTRUMENTBRCHD_CVNNTS</v>
      </c>
    </row>
    <row r="278" spans="1:11" hidden="1">
      <c r="A278" s="148" t="s">
        <v>1827</v>
      </c>
      <c r="B278" s="148" t="s">
        <v>1828</v>
      </c>
      <c r="C278" s="148" t="s">
        <v>127</v>
      </c>
      <c r="D278" s="148" t="s">
        <v>168</v>
      </c>
      <c r="E278" s="148" t="s">
        <v>1394</v>
      </c>
      <c r="F278" s="148" t="s">
        <v>1802</v>
      </c>
      <c r="G278" s="148" t="s">
        <v>129</v>
      </c>
      <c r="H278" s="148">
        <v>2266163</v>
      </c>
      <c r="I278" s="148">
        <v>0</v>
      </c>
      <c r="J278" s="148">
        <v>0</v>
      </c>
      <c r="K278" s="148" t="str">
        <f t="shared" si="4"/>
        <v>INSTRUMENTCHNNL_ORGNTN</v>
      </c>
    </row>
    <row r="279" spans="1:11" hidden="1">
      <c r="A279" s="148" t="s">
        <v>1829</v>
      </c>
      <c r="B279" s="148" t="s">
        <v>1830</v>
      </c>
      <c r="C279" s="148" t="s">
        <v>127</v>
      </c>
      <c r="D279" s="148" t="s">
        <v>203</v>
      </c>
      <c r="E279" s="148" t="s">
        <v>1394</v>
      </c>
      <c r="F279" s="148" t="s">
        <v>1802</v>
      </c>
      <c r="G279" s="148" t="s">
        <v>129</v>
      </c>
      <c r="H279" s="148">
        <v>2266163</v>
      </c>
      <c r="I279" s="148">
        <v>0</v>
      </c>
      <c r="J279" s="148">
        <v>0</v>
      </c>
      <c r="K279" s="148" t="str">
        <f t="shared" si="4"/>
        <v>INSTRUMENTCSH_SWP_TRP</v>
      </c>
    </row>
    <row r="280" spans="1:11" hidden="1">
      <c r="A280" s="148" t="s">
        <v>1831</v>
      </c>
      <c r="B280" s="148" t="s">
        <v>1832</v>
      </c>
      <c r="C280" s="148" t="s">
        <v>127</v>
      </c>
      <c r="D280" s="148" t="s">
        <v>204</v>
      </c>
      <c r="E280" s="148" t="s">
        <v>1394</v>
      </c>
      <c r="F280" s="148" t="s">
        <v>1802</v>
      </c>
      <c r="G280" s="148" t="s">
        <v>129</v>
      </c>
      <c r="H280" s="148">
        <v>2266163</v>
      </c>
      <c r="I280" s="148">
        <v>0</v>
      </c>
      <c r="J280" s="148">
        <v>0</v>
      </c>
      <c r="K280" s="148" t="str">
        <f t="shared" si="4"/>
        <v>INSTRUMENTCVNNT_STTS</v>
      </c>
    </row>
    <row r="281" spans="1:11" hidden="1">
      <c r="A281" s="148" t="s">
        <v>1833</v>
      </c>
      <c r="B281" s="148" t="s">
        <v>1834</v>
      </c>
      <c r="C281" s="148" t="s">
        <v>127</v>
      </c>
      <c r="D281" s="148" t="s">
        <v>205</v>
      </c>
      <c r="E281" s="148" t="s">
        <v>1394</v>
      </c>
      <c r="F281" s="148" t="s">
        <v>1802</v>
      </c>
      <c r="G281" s="148" t="s">
        <v>129</v>
      </c>
      <c r="H281" s="148">
        <v>2266163</v>
      </c>
      <c r="I281" s="148">
        <v>0</v>
      </c>
      <c r="J281" s="148">
        <v>0</v>
      </c>
      <c r="K281" s="148" t="str">
        <f t="shared" si="4"/>
        <v>INSTRUMENTCVNNT_TYP</v>
      </c>
    </row>
    <row r="282" spans="1:11" hidden="1">
      <c r="A282" s="148" t="s">
        <v>1835</v>
      </c>
      <c r="B282" s="148" t="s">
        <v>1836</v>
      </c>
      <c r="C282" s="148" t="s">
        <v>127</v>
      </c>
      <c r="D282" s="148" t="s">
        <v>480</v>
      </c>
      <c r="E282" s="148" t="s">
        <v>1394</v>
      </c>
      <c r="F282" s="148" t="s">
        <v>1802</v>
      </c>
      <c r="G282" s="148" t="s">
        <v>129</v>
      </c>
      <c r="H282" s="148">
        <v>2266163</v>
      </c>
      <c r="I282" s="148">
        <v>0</v>
      </c>
      <c r="J282" s="148">
        <v>0</v>
      </c>
      <c r="K282" s="148" t="str">
        <f t="shared" si="4"/>
        <v>INSTRUMENTDFLT_STTS_INSTRMNT</v>
      </c>
    </row>
    <row r="283" spans="1:11" hidden="1">
      <c r="A283" s="148" t="s">
        <v>1837</v>
      </c>
      <c r="B283" s="148" t="s">
        <v>1420</v>
      </c>
      <c r="C283" s="148" t="s">
        <v>127</v>
      </c>
      <c r="D283" s="148" t="s">
        <v>241</v>
      </c>
      <c r="E283" s="148" t="s">
        <v>1387</v>
      </c>
      <c r="F283" s="148" t="s">
        <v>1802</v>
      </c>
      <c r="G283" s="148" t="s">
        <v>129</v>
      </c>
      <c r="H283" s="148">
        <v>2266163</v>
      </c>
      <c r="I283" s="148">
        <v>0</v>
      </c>
      <c r="J283" s="148">
        <v>0</v>
      </c>
      <c r="K283" s="148" t="str">
        <f t="shared" si="4"/>
        <v>INSTRUMENTDT_DFLT_STTS_INSTRMNT</v>
      </c>
    </row>
    <row r="284" spans="1:11" hidden="1">
      <c r="A284" s="148" t="s">
        <v>1838</v>
      </c>
      <c r="B284" s="148" t="s">
        <v>1839</v>
      </c>
      <c r="C284" s="148" t="s">
        <v>127</v>
      </c>
      <c r="D284" s="148" t="s">
        <v>243</v>
      </c>
      <c r="E284" s="148" t="s">
        <v>1387</v>
      </c>
      <c r="F284" s="148" t="s">
        <v>1802</v>
      </c>
      <c r="G284" s="148" t="s">
        <v>129</v>
      </c>
      <c r="H284" s="148">
        <v>2266163</v>
      </c>
      <c r="I284" s="148">
        <v>0</v>
      </c>
      <c r="J284" s="148">
        <v>0</v>
      </c>
      <c r="K284" s="148" t="str">
        <f t="shared" si="4"/>
        <v>INSTRUMENTDT_END_GP_PPAL</v>
      </c>
    </row>
    <row r="285" spans="1:11" hidden="1">
      <c r="A285" s="148" t="s">
        <v>1840</v>
      </c>
      <c r="B285" s="148" t="s">
        <v>1841</v>
      </c>
      <c r="C285" s="148" t="s">
        <v>127</v>
      </c>
      <c r="D285" s="148" t="s">
        <v>245</v>
      </c>
      <c r="E285" s="148" t="s">
        <v>1387</v>
      </c>
      <c r="F285" s="148" t="s">
        <v>1802</v>
      </c>
      <c r="G285" s="148" t="s">
        <v>129</v>
      </c>
      <c r="H285" s="148">
        <v>2266163</v>
      </c>
      <c r="I285" s="148">
        <v>0</v>
      </c>
      <c r="J285" s="148">
        <v>0</v>
      </c>
      <c r="K285" s="148" t="str">
        <f t="shared" si="4"/>
        <v>INSTRUMENTDT_END_INTRST_ONLY</v>
      </c>
    </row>
    <row r="286" spans="1:11" hidden="1">
      <c r="A286" s="148" t="s">
        <v>1842</v>
      </c>
      <c r="B286" s="148" t="s">
        <v>1843</v>
      </c>
      <c r="C286" s="148" t="s">
        <v>127</v>
      </c>
      <c r="D286" s="148" t="s">
        <v>447</v>
      </c>
      <c r="E286" s="148" t="s">
        <v>1387</v>
      </c>
      <c r="F286" s="148" t="s">
        <v>1802</v>
      </c>
      <c r="G286" s="148" t="s">
        <v>129</v>
      </c>
      <c r="H286" s="148">
        <v>2266163</v>
      </c>
      <c r="I286" s="148">
        <v>0</v>
      </c>
      <c r="J286" s="148">
        <v>0</v>
      </c>
      <c r="K286" s="148" t="str">
        <f t="shared" si="4"/>
        <v>INSTRUMENTDT_FRBRNC_STTS</v>
      </c>
    </row>
    <row r="287" spans="1:11" hidden="1">
      <c r="A287" s="148" t="s">
        <v>1844</v>
      </c>
      <c r="B287" s="148" t="s">
        <v>1845</v>
      </c>
      <c r="C287" s="148" t="s">
        <v>127</v>
      </c>
      <c r="D287" s="148" t="s">
        <v>431</v>
      </c>
      <c r="E287" s="148" t="s">
        <v>1387</v>
      </c>
      <c r="F287" s="148" t="s">
        <v>1802</v>
      </c>
      <c r="G287" s="148" t="s">
        <v>1011</v>
      </c>
      <c r="H287" s="148">
        <v>2266163</v>
      </c>
      <c r="I287" s="148">
        <v>2235926</v>
      </c>
      <c r="J287" s="148">
        <v>98.665700000000001</v>
      </c>
      <c r="K287" s="148" t="str">
        <f t="shared" si="4"/>
        <v>INSTRUMENTDT_FRBRNC_STTS_PRVS</v>
      </c>
    </row>
    <row r="288" spans="1:11" hidden="1">
      <c r="A288" s="148" t="s">
        <v>1846</v>
      </c>
      <c r="B288" s="148" t="s">
        <v>1458</v>
      </c>
      <c r="C288" s="148" t="s">
        <v>127</v>
      </c>
      <c r="D288" s="148" t="s">
        <v>260</v>
      </c>
      <c r="E288" s="148" t="s">
        <v>1387</v>
      </c>
      <c r="F288" s="148" t="s">
        <v>1802</v>
      </c>
      <c r="G288" s="148" t="s">
        <v>129</v>
      </c>
      <c r="H288" s="148">
        <v>2266163</v>
      </c>
      <c r="I288" s="148">
        <v>0</v>
      </c>
      <c r="J288" s="148">
        <v>0</v>
      </c>
      <c r="K288" s="148" t="str">
        <f t="shared" si="4"/>
        <v>INSTRUMENTDT_INTRNL_RTNG</v>
      </c>
    </row>
    <row r="289" spans="1:11" hidden="1">
      <c r="A289" s="148" t="s">
        <v>1847</v>
      </c>
      <c r="B289" s="148" t="s">
        <v>1428</v>
      </c>
      <c r="C289" s="148" t="s">
        <v>127</v>
      </c>
      <c r="D289" s="148" t="s">
        <v>53</v>
      </c>
      <c r="E289" s="148" t="s">
        <v>1387</v>
      </c>
      <c r="F289" s="148" t="s">
        <v>1802</v>
      </c>
      <c r="G289" s="148" t="s">
        <v>129</v>
      </c>
      <c r="H289" s="148">
        <v>2266163</v>
      </c>
      <c r="I289" s="148">
        <v>0</v>
      </c>
      <c r="J289" s="148">
        <v>0</v>
      </c>
      <c r="K289" s="148" t="str">
        <f t="shared" si="4"/>
        <v>INSTRUMENTDT_PRFRMNG_STTS</v>
      </c>
    </row>
    <row r="290" spans="1:11" hidden="1">
      <c r="A290" s="148" t="s">
        <v>1848</v>
      </c>
      <c r="B290" s="148" t="s">
        <v>1849</v>
      </c>
      <c r="C290" s="148" t="s">
        <v>127</v>
      </c>
      <c r="D290" s="148" t="s">
        <v>54</v>
      </c>
      <c r="E290" s="148" t="s">
        <v>1387</v>
      </c>
      <c r="F290" s="148" t="s">
        <v>1802</v>
      </c>
      <c r="G290" s="148" t="s">
        <v>129</v>
      </c>
      <c r="H290" s="148">
        <v>2266163</v>
      </c>
      <c r="I290" s="148">
        <v>0</v>
      </c>
      <c r="J290" s="148">
        <v>0</v>
      </c>
      <c r="K290" s="148" t="str">
        <f t="shared" si="4"/>
        <v>INSTRUMENTDT_PRFRMNG_STTS_PRVS</v>
      </c>
    </row>
    <row r="291" spans="1:11" hidden="1">
      <c r="A291" s="148" t="s">
        <v>1850</v>
      </c>
      <c r="B291" s="148" t="s">
        <v>1851</v>
      </c>
      <c r="C291" s="148" t="s">
        <v>127</v>
      </c>
      <c r="D291" s="148" t="s">
        <v>285</v>
      </c>
      <c r="E291" s="148" t="s">
        <v>1387</v>
      </c>
      <c r="F291" s="148" t="s">
        <v>1802</v>
      </c>
      <c r="G291" s="148" t="s">
        <v>129</v>
      </c>
      <c r="H291" s="148">
        <v>2266163</v>
      </c>
      <c r="I291" s="148">
        <v>0</v>
      </c>
      <c r="J291" s="148">
        <v>0</v>
      </c>
      <c r="K291" s="148" t="str">
        <f t="shared" si="4"/>
        <v>INSTRUMENTDT_STRT_INTRST_ONLY</v>
      </c>
    </row>
    <row r="292" spans="1:11" hidden="1">
      <c r="A292" s="148" t="s">
        <v>1852</v>
      </c>
      <c r="B292" s="148" t="s">
        <v>1853</v>
      </c>
      <c r="C292" s="148" t="s">
        <v>127</v>
      </c>
      <c r="D292" s="148" t="s">
        <v>311</v>
      </c>
      <c r="E292" s="148" t="s">
        <v>1394</v>
      </c>
      <c r="F292" s="148" t="s">
        <v>1802</v>
      </c>
      <c r="G292" s="148" t="s">
        <v>129</v>
      </c>
      <c r="H292" s="148">
        <v>2266163</v>
      </c>
      <c r="I292" s="148">
        <v>0</v>
      </c>
      <c r="J292" s="148">
        <v>0</v>
      </c>
      <c r="K292" s="148" t="str">
        <f t="shared" si="4"/>
        <v>INSTRUMENTEXPSR_IN_SCP</v>
      </c>
    </row>
    <row r="293" spans="1:11" hidden="1">
      <c r="A293" s="148" t="s">
        <v>1854</v>
      </c>
      <c r="B293" s="148" t="s">
        <v>1855</v>
      </c>
      <c r="C293" s="148" t="s">
        <v>127</v>
      </c>
      <c r="D293" s="148" t="s">
        <v>318</v>
      </c>
      <c r="E293" s="148" t="s">
        <v>1394</v>
      </c>
      <c r="F293" s="148" t="s">
        <v>1802</v>
      </c>
      <c r="G293" s="148" t="s">
        <v>129</v>
      </c>
      <c r="H293" s="148">
        <v>2266163</v>
      </c>
      <c r="I293" s="148">
        <v>0</v>
      </c>
      <c r="J293" s="148">
        <v>0</v>
      </c>
      <c r="K293" s="148" t="str">
        <f t="shared" si="4"/>
        <v>INSTRUMENTFLD_SYNDCTN</v>
      </c>
    </row>
    <row r="294" spans="1:11" hidden="1">
      <c r="A294" s="148" t="s">
        <v>1856</v>
      </c>
      <c r="B294" s="148" t="s">
        <v>1857</v>
      </c>
      <c r="C294" s="148" t="s">
        <v>127</v>
      </c>
      <c r="D294" s="148" t="s">
        <v>324</v>
      </c>
      <c r="E294" s="148" t="s">
        <v>1394</v>
      </c>
      <c r="F294" s="148" t="s">
        <v>1802</v>
      </c>
      <c r="G294" s="148" t="s">
        <v>129</v>
      </c>
      <c r="H294" s="148">
        <v>2266163</v>
      </c>
      <c r="I294" s="148">
        <v>0</v>
      </c>
      <c r="J294" s="148">
        <v>0</v>
      </c>
      <c r="K294" s="148" t="str">
        <f t="shared" si="4"/>
        <v>INSTRUMENTFLG_LBO</v>
      </c>
    </row>
    <row r="295" spans="1:11" hidden="1">
      <c r="A295" s="148" t="s">
        <v>1858</v>
      </c>
      <c r="B295" s="148" t="s">
        <v>1859</v>
      </c>
      <c r="C295" s="148" t="s">
        <v>127</v>
      </c>
      <c r="D295" s="148" t="s">
        <v>312</v>
      </c>
      <c r="E295" s="148" t="s">
        <v>1394</v>
      </c>
      <c r="F295" s="148" t="s">
        <v>1802</v>
      </c>
      <c r="G295" s="148" t="s">
        <v>129</v>
      </c>
      <c r="H295" s="148">
        <v>2266163</v>
      </c>
      <c r="I295" s="148">
        <v>0</v>
      </c>
      <c r="J295" s="148">
        <v>0</v>
      </c>
      <c r="K295" s="148" t="str">
        <f t="shared" si="4"/>
        <v>INSTRUMENTFRBRNC_STTS_INSTRMNT</v>
      </c>
    </row>
    <row r="296" spans="1:11" hidden="1">
      <c r="A296" s="148" t="s">
        <v>1860</v>
      </c>
      <c r="B296" s="148" t="s">
        <v>683</v>
      </c>
      <c r="C296" s="148" t="s">
        <v>127</v>
      </c>
      <c r="D296" s="148" t="s">
        <v>44</v>
      </c>
      <c r="E296" s="148" t="s">
        <v>1394</v>
      </c>
      <c r="F296" s="148" t="s">
        <v>1802</v>
      </c>
      <c r="G296" s="148" t="s">
        <v>129</v>
      </c>
      <c r="H296" s="148">
        <v>2266163</v>
      </c>
      <c r="I296" s="148">
        <v>0</v>
      </c>
      <c r="J296" s="148">
        <v>0</v>
      </c>
      <c r="K296" s="148" t="str">
        <f t="shared" si="4"/>
        <v>INSTRUMENTIMPRMNT_STTS</v>
      </c>
    </row>
    <row r="297" spans="1:11" hidden="1">
      <c r="A297" s="148" t="s">
        <v>1861</v>
      </c>
      <c r="B297" s="148" t="s">
        <v>1862</v>
      </c>
      <c r="C297" s="148" t="s">
        <v>127</v>
      </c>
      <c r="D297" s="148" t="s">
        <v>46</v>
      </c>
      <c r="E297" s="148" t="s">
        <v>1394</v>
      </c>
      <c r="F297" s="148" t="s">
        <v>1802</v>
      </c>
      <c r="G297" s="148" t="s">
        <v>129</v>
      </c>
      <c r="H297" s="148">
        <v>2266163</v>
      </c>
      <c r="I297" s="148">
        <v>0</v>
      </c>
      <c r="J297" s="148">
        <v>0</v>
      </c>
      <c r="K297" s="148" t="str">
        <f t="shared" si="4"/>
        <v>INSTRUMENTIMPRMNT_STTS_PRVS</v>
      </c>
    </row>
    <row r="298" spans="1:11" hidden="1">
      <c r="A298" s="148" t="s">
        <v>1863</v>
      </c>
      <c r="B298" s="148" t="s">
        <v>1489</v>
      </c>
      <c r="C298" s="148" t="s">
        <v>127</v>
      </c>
      <c r="D298" s="148" t="s">
        <v>1864</v>
      </c>
      <c r="E298" s="148" t="s">
        <v>1390</v>
      </c>
      <c r="F298" s="148" t="s">
        <v>1802</v>
      </c>
      <c r="G298" s="148" t="s">
        <v>129</v>
      </c>
      <c r="H298" s="148">
        <v>2266163</v>
      </c>
      <c r="I298" s="148">
        <v>0</v>
      </c>
      <c r="J298" s="148">
        <v>0</v>
      </c>
      <c r="K298" s="148" t="str">
        <f t="shared" si="4"/>
        <v>INSTRUMENTIN_INTRNL_RTNG</v>
      </c>
    </row>
    <row r="299" spans="1:11" hidden="1">
      <c r="A299" s="148" t="s">
        <v>1865</v>
      </c>
      <c r="B299" s="148" t="s">
        <v>1866</v>
      </c>
      <c r="C299" s="148" t="s">
        <v>127</v>
      </c>
      <c r="D299" s="148" t="s">
        <v>370</v>
      </c>
      <c r="E299" s="148" t="s">
        <v>1390</v>
      </c>
      <c r="F299" s="148" t="s">
        <v>1802</v>
      </c>
      <c r="G299" s="148" t="s">
        <v>129</v>
      </c>
      <c r="H299" s="148">
        <v>2266163</v>
      </c>
      <c r="I299" s="148">
        <v>0</v>
      </c>
      <c r="J299" s="148">
        <v>0</v>
      </c>
      <c r="K299" s="148" t="str">
        <f t="shared" si="4"/>
        <v>INSTRUMENTINTRNL_RTNG_INCPTN</v>
      </c>
    </row>
    <row r="300" spans="1:11" hidden="1">
      <c r="A300" s="148" t="s">
        <v>1867</v>
      </c>
      <c r="B300" s="148" t="s">
        <v>1438</v>
      </c>
      <c r="C300" s="148" t="s">
        <v>127</v>
      </c>
      <c r="D300" s="148" t="s">
        <v>374</v>
      </c>
      <c r="E300" s="148" t="s">
        <v>1390</v>
      </c>
      <c r="F300" s="148" t="s">
        <v>1802</v>
      </c>
      <c r="G300" s="148" t="s">
        <v>129</v>
      </c>
      <c r="H300" s="148">
        <v>2266163</v>
      </c>
      <c r="I300" s="148">
        <v>0</v>
      </c>
      <c r="J300" s="148">
        <v>0</v>
      </c>
      <c r="K300" s="148" t="str">
        <f t="shared" si="4"/>
        <v>INSTRUMENTINTRNL_SGMNT</v>
      </c>
    </row>
    <row r="301" spans="1:11" hidden="1">
      <c r="A301" s="148" t="s">
        <v>1868</v>
      </c>
      <c r="B301" s="148" t="s">
        <v>1440</v>
      </c>
      <c r="C301" s="148" t="s">
        <v>127</v>
      </c>
      <c r="D301" s="148" t="s">
        <v>378</v>
      </c>
      <c r="E301" s="148" t="s">
        <v>1390</v>
      </c>
      <c r="F301" s="148" t="s">
        <v>1802</v>
      </c>
      <c r="G301" s="148" t="s">
        <v>129</v>
      </c>
      <c r="H301" s="148">
        <v>2266163</v>
      </c>
      <c r="I301" s="148">
        <v>0</v>
      </c>
      <c r="J301" s="148">
        <v>0</v>
      </c>
      <c r="K301" s="148" t="str">
        <f t="shared" si="4"/>
        <v>INSTRUMENTINTRNL_UNT</v>
      </c>
    </row>
    <row r="302" spans="1:11" hidden="1">
      <c r="A302" s="148" t="s">
        <v>1869</v>
      </c>
      <c r="B302" s="148" t="s">
        <v>1870</v>
      </c>
      <c r="C302" s="148" t="s">
        <v>127</v>
      </c>
      <c r="D302" s="148" t="s">
        <v>393</v>
      </c>
      <c r="E302" s="148" t="s">
        <v>1394</v>
      </c>
      <c r="F302" s="148" t="s">
        <v>1802</v>
      </c>
      <c r="G302" s="148" t="s">
        <v>129</v>
      </c>
      <c r="H302" s="148">
        <v>2266163</v>
      </c>
      <c r="I302" s="148">
        <v>0</v>
      </c>
      <c r="J302" s="148">
        <v>0</v>
      </c>
      <c r="K302" s="148" t="str">
        <f t="shared" si="4"/>
        <v>INSTRUMENTLCRE</v>
      </c>
    </row>
    <row r="303" spans="1:11" hidden="1">
      <c r="A303" s="148" t="s">
        <v>1871</v>
      </c>
      <c r="B303" s="148" t="s">
        <v>1872</v>
      </c>
      <c r="C303" s="148" t="s">
        <v>127</v>
      </c>
      <c r="D303" s="148" t="s">
        <v>397</v>
      </c>
      <c r="E303" s="148" t="s">
        <v>1394</v>
      </c>
      <c r="F303" s="148" t="s">
        <v>1802</v>
      </c>
      <c r="G303" s="148" t="s">
        <v>129</v>
      </c>
      <c r="H303" s="148">
        <v>2266163</v>
      </c>
      <c r="I303" s="148">
        <v>0</v>
      </c>
      <c r="J303" s="148">
        <v>0</v>
      </c>
      <c r="K303" s="148" t="str">
        <f t="shared" si="4"/>
        <v>INSTRUMENTLGL_PRCDNG_STTS</v>
      </c>
    </row>
    <row r="304" spans="1:11" hidden="1">
      <c r="A304" s="148" t="s">
        <v>1873</v>
      </c>
      <c r="B304" s="148" t="s">
        <v>1874</v>
      </c>
      <c r="C304" s="148" t="s">
        <v>127</v>
      </c>
      <c r="D304" s="148" t="s">
        <v>399</v>
      </c>
      <c r="E304" s="148" t="s">
        <v>1394</v>
      </c>
      <c r="F304" s="148" t="s">
        <v>1802</v>
      </c>
      <c r="G304" s="148" t="s">
        <v>129</v>
      </c>
      <c r="H304" s="148">
        <v>2266163</v>
      </c>
      <c r="I304" s="148">
        <v>0</v>
      </c>
      <c r="J304" s="148">
        <v>0</v>
      </c>
      <c r="K304" s="148" t="str">
        <f t="shared" si="4"/>
        <v>INSTRUMENTLND_DRGTN</v>
      </c>
    </row>
    <row r="305" spans="1:11" hidden="1">
      <c r="A305" s="148" t="s">
        <v>1875</v>
      </c>
      <c r="B305" s="148" t="s">
        <v>1876</v>
      </c>
      <c r="C305" s="148" t="s">
        <v>127</v>
      </c>
      <c r="D305" s="148" t="s">
        <v>287</v>
      </c>
      <c r="E305" s="148" t="s">
        <v>1394</v>
      </c>
      <c r="F305" s="148" t="s">
        <v>1802</v>
      </c>
      <c r="G305" s="148" t="s">
        <v>129</v>
      </c>
      <c r="H305" s="148">
        <v>2266163</v>
      </c>
      <c r="I305" s="148">
        <v>0</v>
      </c>
      <c r="J305" s="148">
        <v>0</v>
      </c>
      <c r="K305" s="148" t="str">
        <f t="shared" si="4"/>
        <v>INSTRUMENTPOCI</v>
      </c>
    </row>
    <row r="306" spans="1:11" hidden="1">
      <c r="A306" s="148" t="s">
        <v>1877</v>
      </c>
      <c r="B306" s="148" t="s">
        <v>1497</v>
      </c>
      <c r="C306" s="148" t="s">
        <v>127</v>
      </c>
      <c r="D306" s="148" t="s">
        <v>45</v>
      </c>
      <c r="E306" s="148" t="s">
        <v>1394</v>
      </c>
      <c r="F306" s="148" t="s">
        <v>1802</v>
      </c>
      <c r="G306" s="148" t="s">
        <v>129</v>
      </c>
      <c r="H306" s="148">
        <v>2266163</v>
      </c>
      <c r="I306" s="148">
        <v>0</v>
      </c>
      <c r="J306" s="148">
        <v>0</v>
      </c>
      <c r="K306" s="148" t="str">
        <f t="shared" si="4"/>
        <v>INSTRUMENTPRFRMNG_STTS</v>
      </c>
    </row>
    <row r="307" spans="1:11" hidden="1">
      <c r="A307" s="148" t="s">
        <v>1878</v>
      </c>
      <c r="B307" s="148" t="s">
        <v>1879</v>
      </c>
      <c r="C307" s="148" t="s">
        <v>127</v>
      </c>
      <c r="D307" s="148" t="s">
        <v>47</v>
      </c>
      <c r="E307" s="148" t="s">
        <v>1394</v>
      </c>
      <c r="F307" s="148" t="s">
        <v>1802</v>
      </c>
      <c r="G307" s="148" t="s">
        <v>129</v>
      </c>
      <c r="H307" s="148">
        <v>2266163</v>
      </c>
      <c r="I307" s="148">
        <v>0</v>
      </c>
      <c r="J307" s="148">
        <v>0</v>
      </c>
      <c r="K307" s="148" t="str">
        <f t="shared" si="4"/>
        <v>INSTRUMENTPRFRMNG_STTS_PRVS</v>
      </c>
    </row>
    <row r="308" spans="1:11" hidden="1">
      <c r="A308" s="148" t="s">
        <v>1880</v>
      </c>
      <c r="B308" s="148" t="s">
        <v>1881</v>
      </c>
      <c r="C308" s="148" t="s">
        <v>127</v>
      </c>
      <c r="D308" s="148" t="s">
        <v>452</v>
      </c>
      <c r="E308" s="148" t="s">
        <v>1394</v>
      </c>
      <c r="F308" s="148" t="s">
        <v>1802</v>
      </c>
      <c r="G308" s="148" t="s">
        <v>129</v>
      </c>
      <c r="H308" s="148">
        <v>2266163</v>
      </c>
      <c r="I308" s="148">
        <v>0</v>
      </c>
      <c r="J308" s="148">
        <v>0</v>
      </c>
      <c r="K308" s="148" t="str">
        <f t="shared" si="4"/>
        <v>INSTRUMENTPRJCT_FNNC_LN</v>
      </c>
    </row>
    <row r="309" spans="1:11" hidden="1">
      <c r="A309" s="148" t="s">
        <v>1882</v>
      </c>
      <c r="B309" s="148" t="s">
        <v>1883</v>
      </c>
      <c r="C309" s="148" t="s">
        <v>127</v>
      </c>
      <c r="D309" s="148" t="s">
        <v>456</v>
      </c>
      <c r="E309" s="148" t="s">
        <v>1394</v>
      </c>
      <c r="F309" s="148" t="s">
        <v>1802</v>
      </c>
      <c r="G309" s="148" t="s">
        <v>129</v>
      </c>
      <c r="H309" s="148">
        <v>2266163</v>
      </c>
      <c r="I309" s="148">
        <v>0</v>
      </c>
      <c r="J309" s="148">
        <v>0</v>
      </c>
      <c r="K309" s="148" t="str">
        <f t="shared" si="4"/>
        <v>INSTRUMENTPRPS</v>
      </c>
    </row>
    <row r="310" spans="1:11" hidden="1">
      <c r="A310" s="148" t="s">
        <v>1884</v>
      </c>
      <c r="B310" s="148" t="s">
        <v>1885</v>
      </c>
      <c r="C310" s="148" t="s">
        <v>127</v>
      </c>
      <c r="D310" s="148" t="s">
        <v>474</v>
      </c>
      <c r="E310" s="148" t="s">
        <v>1394</v>
      </c>
      <c r="F310" s="148" t="s">
        <v>1802</v>
      </c>
      <c r="G310" s="148" t="s">
        <v>129</v>
      </c>
      <c r="H310" s="148">
        <v>2266163</v>
      </c>
      <c r="I310" s="148">
        <v>0</v>
      </c>
      <c r="J310" s="148">
        <v>0</v>
      </c>
      <c r="K310" s="148" t="str">
        <f t="shared" si="4"/>
        <v>INSTRUMENTPYMNT_INTRST_ONLY</v>
      </c>
    </row>
    <row r="311" spans="1:11" hidden="1">
      <c r="A311" s="148" t="s">
        <v>1886</v>
      </c>
      <c r="B311" s="148" t="s">
        <v>1887</v>
      </c>
      <c r="C311" s="148" t="s">
        <v>127</v>
      </c>
      <c r="D311" s="148" t="s">
        <v>476</v>
      </c>
      <c r="E311" s="148" t="s">
        <v>1394</v>
      </c>
      <c r="F311" s="148" t="s">
        <v>1802</v>
      </c>
      <c r="G311" s="148" t="s">
        <v>129</v>
      </c>
      <c r="H311" s="148">
        <v>2266163</v>
      </c>
      <c r="I311" s="148">
        <v>0</v>
      </c>
      <c r="J311" s="148">
        <v>0</v>
      </c>
      <c r="K311" s="148" t="str">
        <f t="shared" si="4"/>
        <v>INSTRUMENTRCRS</v>
      </c>
    </row>
    <row r="312" spans="1:11" hidden="1">
      <c r="A312" s="148" t="s">
        <v>1888</v>
      </c>
      <c r="B312" s="148" t="s">
        <v>1889</v>
      </c>
      <c r="C312" s="148" t="s">
        <v>127</v>
      </c>
      <c r="D312" s="148" t="s">
        <v>215</v>
      </c>
      <c r="E312" s="148" t="s">
        <v>1394</v>
      </c>
      <c r="F312" s="148" t="s">
        <v>1802</v>
      </c>
      <c r="G312" s="148" t="s">
        <v>129</v>
      </c>
      <c r="H312" s="148">
        <v>2266163</v>
      </c>
      <c r="I312" s="148">
        <v>0</v>
      </c>
      <c r="J312" s="148">
        <v>0</v>
      </c>
      <c r="K312" s="148" t="str">
        <f t="shared" si="4"/>
        <v>INSTRUMENTRFNNC_PRPS</v>
      </c>
    </row>
    <row r="313" spans="1:11" hidden="1">
      <c r="A313" s="148" t="s">
        <v>1890</v>
      </c>
      <c r="B313" s="148" t="s">
        <v>1891</v>
      </c>
      <c r="C313" s="148" t="s">
        <v>127</v>
      </c>
      <c r="D313" s="148" t="s">
        <v>505</v>
      </c>
      <c r="E313" s="148" t="s">
        <v>1394</v>
      </c>
      <c r="F313" s="148" t="s">
        <v>1802</v>
      </c>
      <c r="G313" s="148" t="s">
        <v>129</v>
      </c>
      <c r="H313" s="148">
        <v>2266163</v>
      </c>
      <c r="I313" s="148">
        <v>0</v>
      </c>
      <c r="J313" s="148">
        <v>0</v>
      </c>
      <c r="K313" s="148" t="str">
        <f t="shared" si="4"/>
        <v>INSTRUMENTSPCLTV_LNDNG</v>
      </c>
    </row>
    <row r="314" spans="1:11" hidden="1">
      <c r="A314" s="148" t="s">
        <v>1892</v>
      </c>
      <c r="B314" s="148" t="s">
        <v>1893</v>
      </c>
      <c r="C314" s="148" t="s">
        <v>127</v>
      </c>
      <c r="D314" s="148" t="s">
        <v>509</v>
      </c>
      <c r="E314" s="148" t="s">
        <v>1394</v>
      </c>
      <c r="F314" s="148" t="s">
        <v>1802</v>
      </c>
      <c r="G314" s="148" t="s">
        <v>129</v>
      </c>
      <c r="H314" s="148">
        <v>2266163</v>
      </c>
      <c r="I314" s="148">
        <v>0</v>
      </c>
      <c r="J314" s="148">
        <v>0</v>
      </c>
      <c r="K314" s="148" t="str">
        <f t="shared" si="4"/>
        <v>INSTRUMENTSTTS_UNDRWRTTN_TRNSCTN</v>
      </c>
    </row>
    <row r="315" spans="1:11" hidden="1">
      <c r="A315" s="148" t="s">
        <v>1894</v>
      </c>
      <c r="B315" s="148" t="s">
        <v>1895</v>
      </c>
      <c r="C315" s="148" t="s">
        <v>127</v>
      </c>
      <c r="D315" s="148" t="s">
        <v>521</v>
      </c>
      <c r="E315" s="148" t="s">
        <v>1394</v>
      </c>
      <c r="F315" s="148" t="s">
        <v>1802</v>
      </c>
      <c r="G315" s="148" t="s">
        <v>129</v>
      </c>
      <c r="H315" s="148">
        <v>2266163</v>
      </c>
      <c r="I315" s="148">
        <v>0</v>
      </c>
      <c r="J315" s="148">
        <v>0</v>
      </c>
      <c r="K315" s="148" t="str">
        <f t="shared" si="4"/>
        <v>INSTRUMENTTRNCH</v>
      </c>
    </row>
    <row r="316" spans="1:11" hidden="1">
      <c r="A316" s="148" t="s">
        <v>1896</v>
      </c>
      <c r="B316" s="148" t="s">
        <v>1897</v>
      </c>
      <c r="C316" s="148" t="s">
        <v>127</v>
      </c>
      <c r="D316" s="148" t="s">
        <v>527</v>
      </c>
      <c r="E316" s="148" t="s">
        <v>1394</v>
      </c>
      <c r="F316" s="148" t="s">
        <v>1802</v>
      </c>
      <c r="G316" s="148" t="s">
        <v>129</v>
      </c>
      <c r="H316" s="148">
        <v>2266163</v>
      </c>
      <c r="I316" s="148">
        <v>0</v>
      </c>
      <c r="J316" s="148">
        <v>0</v>
      </c>
      <c r="K316" s="148" t="str">
        <f t="shared" si="4"/>
        <v>INSTRUMENTTYP_AMRTSTN</v>
      </c>
    </row>
    <row r="317" spans="1:11" hidden="1">
      <c r="A317" s="148" t="s">
        <v>1898</v>
      </c>
      <c r="B317" s="148" t="s">
        <v>1899</v>
      </c>
      <c r="C317" s="148" t="s">
        <v>127</v>
      </c>
      <c r="D317" s="148" t="s">
        <v>530</v>
      </c>
      <c r="E317" s="148" t="s">
        <v>1394</v>
      </c>
      <c r="F317" s="148" t="s">
        <v>1802</v>
      </c>
      <c r="G317" s="148" t="s">
        <v>129</v>
      </c>
      <c r="H317" s="148">
        <v>2266163</v>
      </c>
      <c r="I317" s="148">
        <v>0</v>
      </c>
      <c r="J317" s="148">
        <v>0</v>
      </c>
      <c r="K317" s="148" t="str">
        <f t="shared" si="4"/>
        <v>INSTRUMENTTYP_INSTRMNT</v>
      </c>
    </row>
    <row r="318" spans="1:11" hidden="1">
      <c r="A318" s="148" t="s">
        <v>1900</v>
      </c>
      <c r="B318" s="148" t="s">
        <v>1901</v>
      </c>
      <c r="C318" s="148" t="s">
        <v>127</v>
      </c>
      <c r="D318" s="148" t="s">
        <v>531</v>
      </c>
      <c r="E318" s="148" t="s">
        <v>1394</v>
      </c>
      <c r="F318" s="148" t="s">
        <v>1802</v>
      </c>
      <c r="G318" s="148" t="s">
        <v>129</v>
      </c>
      <c r="H318" s="148">
        <v>2266163</v>
      </c>
      <c r="I318" s="148">
        <v>0</v>
      </c>
      <c r="J318" s="148">
        <v>0</v>
      </c>
      <c r="K318" s="148" t="str">
        <f t="shared" si="4"/>
        <v>INSTRUMENTTYP_INTRST_RT</v>
      </c>
    </row>
    <row r="319" spans="1:11" hidden="1">
      <c r="A319" s="148" t="s">
        <v>1902</v>
      </c>
      <c r="B319" s="148" t="s">
        <v>1903</v>
      </c>
      <c r="C319" s="148" t="s">
        <v>127</v>
      </c>
      <c r="D319" s="148" t="s">
        <v>144</v>
      </c>
      <c r="E319" s="148" t="s">
        <v>1394</v>
      </c>
      <c r="F319" s="148" t="s">
        <v>1802</v>
      </c>
      <c r="G319" s="148" t="s">
        <v>129</v>
      </c>
      <c r="H319" s="148">
        <v>2266163</v>
      </c>
      <c r="I319" s="148">
        <v>0</v>
      </c>
      <c r="J319" s="148">
        <v>0</v>
      </c>
      <c r="K319" s="148" t="str">
        <f t="shared" si="4"/>
        <v>INSTRUMENTTYP_MRTGG</v>
      </c>
    </row>
    <row r="320" spans="1:11" hidden="1">
      <c r="A320" s="148" t="s">
        <v>1904</v>
      </c>
      <c r="B320" s="148" t="s">
        <v>1905</v>
      </c>
      <c r="C320" s="148" t="s">
        <v>127</v>
      </c>
      <c r="D320" s="148" t="s">
        <v>529</v>
      </c>
      <c r="E320" s="148" t="s">
        <v>1394</v>
      </c>
      <c r="F320" s="148" t="s">
        <v>1802</v>
      </c>
      <c r="G320" s="148" t="s">
        <v>129</v>
      </c>
      <c r="H320" s="148">
        <v>2266163</v>
      </c>
      <c r="I320" s="148">
        <v>0</v>
      </c>
      <c r="J320" s="148">
        <v>0</v>
      </c>
      <c r="K320" s="148" t="str">
        <f t="shared" si="4"/>
        <v>INSTRUMENTTYP_CRE_OPRTN</v>
      </c>
    </row>
    <row r="321" spans="1:11" hidden="1">
      <c r="A321" s="148" t="s">
        <v>1906</v>
      </c>
      <c r="B321" s="148" t="s">
        <v>1907</v>
      </c>
      <c r="C321" s="148" t="s">
        <v>127</v>
      </c>
      <c r="D321" s="148" t="s">
        <v>284</v>
      </c>
      <c r="E321" s="148" t="s">
        <v>1387</v>
      </c>
      <c r="F321" s="148" t="s">
        <v>1802</v>
      </c>
      <c r="G321" s="148" t="s">
        <v>129</v>
      </c>
      <c r="H321" s="148">
        <v>2266163</v>
      </c>
      <c r="I321" s="148">
        <v>0</v>
      </c>
      <c r="J321" s="148">
        <v>0</v>
      </c>
      <c r="K321" s="148" t="str">
        <f t="shared" si="4"/>
        <v>INSTRUMENTDT_STRT_GP_PPAL</v>
      </c>
    </row>
    <row r="322" spans="1:11" hidden="1">
      <c r="A322" s="148" t="s">
        <v>1908</v>
      </c>
      <c r="B322" s="148" t="s">
        <v>1909</v>
      </c>
      <c r="C322" s="148" t="s">
        <v>127</v>
      </c>
      <c r="D322" s="148" t="s">
        <v>348</v>
      </c>
      <c r="E322" s="148" t="s">
        <v>1397</v>
      </c>
      <c r="F322" s="148" t="s">
        <v>1802</v>
      </c>
      <c r="G322" s="148" t="s">
        <v>129</v>
      </c>
      <c r="H322" s="148">
        <v>2266163</v>
      </c>
      <c r="I322" s="148">
        <v>0</v>
      </c>
      <c r="J322" s="148">
        <v>0</v>
      </c>
      <c r="K322" s="148" t="str">
        <f t="shared" si="4"/>
        <v>INSTRUMENTGRSS_CRRYNG_AMNT_INSTRMNT</v>
      </c>
    </row>
    <row r="323" spans="1:11" hidden="1">
      <c r="A323" s="148" t="s">
        <v>1910</v>
      </c>
      <c r="B323" s="148" t="s">
        <v>973</v>
      </c>
      <c r="C323" s="148" t="s">
        <v>127</v>
      </c>
      <c r="D323" s="148" t="s">
        <v>128</v>
      </c>
      <c r="E323" s="148" t="s">
        <v>1397</v>
      </c>
      <c r="F323" s="148" t="s">
        <v>1802</v>
      </c>
      <c r="G323" s="148" t="s">
        <v>129</v>
      </c>
      <c r="H323" s="148">
        <v>2266163</v>
      </c>
      <c r="I323" s="148">
        <v>0</v>
      </c>
      <c r="J323" s="148">
        <v>0</v>
      </c>
      <c r="K323" s="148" t="str">
        <f t="shared" ref="K323:K386" si="5">_xlfn.CONCAT(_xlfn.IFS(ISNUMBER(SEARCH("EN",A323)),"ENTITY",ISNUMBER(SEARCH("IN",A323)),"INSTRUMENT",ISNUMBER(SEARCH("PR",A323)),"PROTECTION",ISNUMBER(SEARCH("IP",A323)),"INSTR_PROTECTION",ISNUMBER(SEARCH("IE",A323)),"INSTR_ENTITY",ISNUMBER(SEARCH("AC",A323)),"INSTR_ACTIVITY"),D323)</f>
        <v>INSTRUMENTACCMLTD_CHNGS_FV_CR_INSTRMNT</v>
      </c>
    </row>
    <row r="324" spans="1:11" hidden="1">
      <c r="A324" s="148" t="s">
        <v>1911</v>
      </c>
      <c r="B324" s="148" t="s">
        <v>1912</v>
      </c>
      <c r="C324" s="148" t="s">
        <v>127</v>
      </c>
      <c r="D324" s="148" t="s">
        <v>138</v>
      </c>
      <c r="E324" s="148" t="s">
        <v>1394</v>
      </c>
      <c r="F324" s="148" t="s">
        <v>1802</v>
      </c>
      <c r="G324" s="148" t="s">
        <v>129</v>
      </c>
      <c r="H324" s="148">
        <v>2266163</v>
      </c>
      <c r="I324" s="148">
        <v>0</v>
      </c>
      <c r="J324" s="148">
        <v>0</v>
      </c>
      <c r="K324" s="148" t="str">
        <f t="shared" si="5"/>
        <v>INSTRUMENTACCNTNG_CLSSFCTN</v>
      </c>
    </row>
    <row r="325" spans="1:11" hidden="1">
      <c r="A325" s="148" t="s">
        <v>1913</v>
      </c>
      <c r="B325" s="148" t="s">
        <v>1914</v>
      </c>
      <c r="C325" s="148" t="s">
        <v>127</v>
      </c>
      <c r="D325" s="148" t="s">
        <v>524</v>
      </c>
      <c r="E325" s="148" t="s">
        <v>1397</v>
      </c>
      <c r="F325" s="148" t="s">
        <v>1802</v>
      </c>
      <c r="G325" s="148" t="s">
        <v>129</v>
      </c>
      <c r="H325" s="148">
        <v>2266163</v>
      </c>
      <c r="I325" s="148">
        <v>0</v>
      </c>
      <c r="J325" s="148">
        <v>0</v>
      </c>
      <c r="K325" s="148" t="str">
        <f t="shared" si="5"/>
        <v>INSTRUMENTACCRD_INTRST_INSTRMNT</v>
      </c>
    </row>
    <row r="326" spans="1:11" hidden="1">
      <c r="A326" s="148" t="s">
        <v>1915</v>
      </c>
      <c r="B326" s="148" t="s">
        <v>1916</v>
      </c>
      <c r="C326" s="148" t="s">
        <v>127</v>
      </c>
      <c r="D326" s="148" t="s">
        <v>148</v>
      </c>
      <c r="E326" s="148" t="s">
        <v>1397</v>
      </c>
      <c r="F326" s="148" t="s">
        <v>1802</v>
      </c>
      <c r="G326" s="148" t="s">
        <v>129</v>
      </c>
      <c r="H326" s="148">
        <v>2266163</v>
      </c>
      <c r="I326" s="148">
        <v>0</v>
      </c>
      <c r="J326" s="148">
        <v>0</v>
      </c>
      <c r="K326" s="148" t="str">
        <f t="shared" si="5"/>
        <v>INSTRUMENTAMNT_D_AT_MTRTY</v>
      </c>
    </row>
    <row r="327" spans="1:11" hidden="1">
      <c r="A327" s="148" t="s">
        <v>1917</v>
      </c>
      <c r="B327" s="148" t="s">
        <v>1918</v>
      </c>
      <c r="C327" s="148" t="s">
        <v>127</v>
      </c>
      <c r="D327" s="148" t="s">
        <v>167</v>
      </c>
      <c r="E327" s="148" t="s">
        <v>1397</v>
      </c>
      <c r="F327" s="148" t="s">
        <v>1802</v>
      </c>
      <c r="G327" s="148" t="s">
        <v>129</v>
      </c>
      <c r="H327" s="148">
        <v>2266163</v>
      </c>
      <c r="I327" s="148">
        <v>0</v>
      </c>
      <c r="J327" s="148">
        <v>0</v>
      </c>
      <c r="K327" s="148" t="str">
        <f t="shared" si="5"/>
        <v>INSTRUMENTCCF</v>
      </c>
    </row>
    <row r="328" spans="1:11" hidden="1">
      <c r="A328" s="148" t="s">
        <v>1919</v>
      </c>
      <c r="B328" s="148" t="s">
        <v>1920</v>
      </c>
      <c r="C328" s="148" t="s">
        <v>127</v>
      </c>
      <c r="D328" s="148" t="s">
        <v>173</v>
      </c>
      <c r="E328" s="148" t="s">
        <v>1397</v>
      </c>
      <c r="F328" s="148" t="s">
        <v>1802</v>
      </c>
      <c r="G328" s="148" t="s">
        <v>129</v>
      </c>
      <c r="H328" s="148">
        <v>2266163</v>
      </c>
      <c r="I328" s="148">
        <v>0</v>
      </c>
      <c r="J328" s="148">
        <v>0</v>
      </c>
      <c r="K328" s="148" t="str">
        <f t="shared" si="5"/>
        <v>INSTRUMENTCMMTMNT_INCPTN_INSTRMNT</v>
      </c>
    </row>
    <row r="329" spans="1:11" hidden="1">
      <c r="A329" s="148" t="s">
        <v>1921</v>
      </c>
      <c r="B329" s="148" t="s">
        <v>1922</v>
      </c>
      <c r="C329" s="148" t="s">
        <v>127</v>
      </c>
      <c r="D329" s="148" t="s">
        <v>482</v>
      </c>
      <c r="E329" s="148" t="s">
        <v>1397</v>
      </c>
      <c r="F329" s="148" t="s">
        <v>1802</v>
      </c>
      <c r="G329" s="148" t="s">
        <v>129</v>
      </c>
      <c r="H329" s="148">
        <v>2266163</v>
      </c>
      <c r="I329" s="148">
        <v>0</v>
      </c>
      <c r="J329" s="148">
        <v>0</v>
      </c>
      <c r="K329" s="148" t="str">
        <f t="shared" si="5"/>
        <v>INSTRUMENTCMMTMNT_INSTRMNT</v>
      </c>
    </row>
    <row r="330" spans="1:11" hidden="1">
      <c r="A330" s="148" t="s">
        <v>1923</v>
      </c>
      <c r="B330" s="148" t="s">
        <v>1924</v>
      </c>
      <c r="C330" s="148" t="s">
        <v>127</v>
      </c>
      <c r="D330" s="148" t="s">
        <v>200</v>
      </c>
      <c r="E330" s="148" t="s">
        <v>1397</v>
      </c>
      <c r="F330" s="148" t="s">
        <v>1802</v>
      </c>
      <c r="G330" s="148" t="s">
        <v>129</v>
      </c>
      <c r="H330" s="148">
        <v>2266163</v>
      </c>
      <c r="I330" s="148">
        <v>0</v>
      </c>
      <c r="J330" s="148">
        <v>0</v>
      </c>
      <c r="K330" s="148" t="str">
        <f t="shared" si="5"/>
        <v>INSTRUMENTCRRYNG_AMNT_INSTRMNT</v>
      </c>
    </row>
    <row r="331" spans="1:11" hidden="1">
      <c r="A331" s="148" t="s">
        <v>1925</v>
      </c>
      <c r="B331" s="148" t="s">
        <v>1926</v>
      </c>
      <c r="C331" s="148" t="s">
        <v>127</v>
      </c>
      <c r="D331" s="148" t="s">
        <v>210</v>
      </c>
      <c r="E331" s="148" t="s">
        <v>1397</v>
      </c>
      <c r="F331" s="148" t="s">
        <v>1802</v>
      </c>
      <c r="G331" s="148" t="s">
        <v>129</v>
      </c>
      <c r="H331" s="148">
        <v>2266163</v>
      </c>
      <c r="I331" s="148">
        <v>0</v>
      </c>
      <c r="J331" s="148">
        <v>0</v>
      </c>
      <c r="K331" s="148" t="str">
        <f t="shared" si="5"/>
        <v>INSTRUMENTDBT_YLD</v>
      </c>
    </row>
    <row r="332" spans="1:11" hidden="1">
      <c r="A332" s="148" t="s">
        <v>1927</v>
      </c>
      <c r="B332" s="148" t="s">
        <v>1928</v>
      </c>
      <c r="C332" s="148" t="s">
        <v>127</v>
      </c>
      <c r="D332" s="148" t="s">
        <v>496</v>
      </c>
      <c r="E332" s="148" t="s">
        <v>1387</v>
      </c>
      <c r="F332" s="148" t="s">
        <v>1802</v>
      </c>
      <c r="G332" s="148" t="s">
        <v>129</v>
      </c>
      <c r="H332" s="148">
        <v>2266163</v>
      </c>
      <c r="I332" s="148">
        <v>0</v>
      </c>
      <c r="J332" s="148">
        <v>0</v>
      </c>
      <c r="K332" s="148" t="str">
        <f t="shared" si="5"/>
        <v>INSTRUMENTDT_LGL_FNL_MTRTY</v>
      </c>
    </row>
    <row r="333" spans="1:11" hidden="1">
      <c r="A333" s="148" t="s">
        <v>1929</v>
      </c>
      <c r="B333" s="148" t="s">
        <v>1930</v>
      </c>
      <c r="C333" s="148" t="s">
        <v>127</v>
      </c>
      <c r="D333" s="148" t="s">
        <v>500</v>
      </c>
      <c r="E333" s="148" t="s">
        <v>1387</v>
      </c>
      <c r="F333" s="148" t="s">
        <v>1802</v>
      </c>
      <c r="G333" s="148" t="s">
        <v>129</v>
      </c>
      <c r="H333" s="148">
        <v>2266163</v>
      </c>
      <c r="I333" s="148">
        <v>0</v>
      </c>
      <c r="J333" s="148">
        <v>0</v>
      </c>
      <c r="K333" s="148" t="str">
        <f t="shared" si="5"/>
        <v>INSTRUMENTDT_NXT_INTRST_RT_RST</v>
      </c>
    </row>
    <row r="334" spans="1:11" hidden="1">
      <c r="A334" s="148" t="s">
        <v>1931</v>
      </c>
      <c r="B334" s="148" t="s">
        <v>1932</v>
      </c>
      <c r="C334" s="148" t="s">
        <v>127</v>
      </c>
      <c r="D334" s="148" t="s">
        <v>274</v>
      </c>
      <c r="E334" s="148" t="s">
        <v>1387</v>
      </c>
      <c r="F334" s="148" t="s">
        <v>1802</v>
      </c>
      <c r="G334" s="148" t="s">
        <v>129</v>
      </c>
      <c r="H334" s="148">
        <v>2266163</v>
      </c>
      <c r="I334" s="148">
        <v>0</v>
      </c>
      <c r="J334" s="148">
        <v>0</v>
      </c>
      <c r="K334" s="148" t="str">
        <f t="shared" si="5"/>
        <v>INSTRUMENTDT_ORGNL_MTRTY</v>
      </c>
    </row>
    <row r="335" spans="1:11" hidden="1">
      <c r="A335" s="148" t="s">
        <v>1933</v>
      </c>
      <c r="B335" s="148" t="s">
        <v>754</v>
      </c>
      <c r="C335" s="148" t="s">
        <v>127</v>
      </c>
      <c r="D335" s="148" t="s">
        <v>278</v>
      </c>
      <c r="E335" s="148" t="s">
        <v>1397</v>
      </c>
      <c r="F335" s="148" t="s">
        <v>1802</v>
      </c>
      <c r="G335" s="148" t="s">
        <v>129</v>
      </c>
      <c r="H335" s="148">
        <v>2266163</v>
      </c>
      <c r="I335" s="148">
        <v>0</v>
      </c>
      <c r="J335" s="148">
        <v>0</v>
      </c>
      <c r="K335" s="148" t="str">
        <f t="shared" si="5"/>
        <v>INSTRUMENTIFRS9_BHVRL_MTRTY</v>
      </c>
    </row>
    <row r="336" spans="1:11" hidden="1">
      <c r="A336" s="148" t="s">
        <v>1934</v>
      </c>
      <c r="B336" s="148" t="s">
        <v>1935</v>
      </c>
      <c r="C336" s="148" t="s">
        <v>127</v>
      </c>
      <c r="D336" s="148" t="s">
        <v>289</v>
      </c>
      <c r="E336" s="148" t="s">
        <v>1397</v>
      </c>
      <c r="F336" s="148" t="s">
        <v>1802</v>
      </c>
      <c r="G336" s="148" t="s">
        <v>129</v>
      </c>
      <c r="H336" s="148">
        <v>2266163</v>
      </c>
      <c r="I336" s="148">
        <v>0</v>
      </c>
      <c r="J336" s="148">
        <v>0</v>
      </c>
      <c r="K336" s="148" t="str">
        <f t="shared" si="5"/>
        <v>INSTRUMENTEAD</v>
      </c>
    </row>
    <row r="337" spans="1:11" hidden="1">
      <c r="A337" s="148" t="s">
        <v>1936</v>
      </c>
      <c r="B337" s="148" t="s">
        <v>1937</v>
      </c>
      <c r="C337" s="148" t="s">
        <v>127</v>
      </c>
      <c r="D337" s="148" t="s">
        <v>355</v>
      </c>
      <c r="E337" s="148" t="s">
        <v>1397</v>
      </c>
      <c r="F337" s="148" t="s">
        <v>1802</v>
      </c>
      <c r="G337" s="148" t="s">
        <v>129</v>
      </c>
      <c r="H337" s="148">
        <v>2266163</v>
      </c>
      <c r="I337" s="148">
        <v>0</v>
      </c>
      <c r="J337" s="148">
        <v>0</v>
      </c>
      <c r="K337" s="148" t="str">
        <f t="shared" si="5"/>
        <v>INSTRUMENTIFRS9_CCF</v>
      </c>
    </row>
    <row r="338" spans="1:11" hidden="1">
      <c r="A338" s="148" t="s">
        <v>1938</v>
      </c>
      <c r="B338" s="148" t="s">
        <v>1939</v>
      </c>
      <c r="C338" s="148" t="s">
        <v>127</v>
      </c>
      <c r="D338" s="148" t="s">
        <v>357</v>
      </c>
      <c r="E338" s="148" t="s">
        <v>1397</v>
      </c>
      <c r="F338" s="148" t="s">
        <v>1802</v>
      </c>
      <c r="G338" s="148" t="s">
        <v>129</v>
      </c>
      <c r="H338" s="148">
        <v>2266163</v>
      </c>
      <c r="I338" s="148">
        <v>0</v>
      </c>
      <c r="J338" s="148">
        <v>0</v>
      </c>
      <c r="K338" s="148" t="str">
        <f t="shared" si="5"/>
        <v>INSTRUMENTIFRS9_EAD</v>
      </c>
    </row>
    <row r="339" spans="1:11" hidden="1">
      <c r="A339" s="148" t="s">
        <v>1940</v>
      </c>
      <c r="B339" s="148" t="s">
        <v>1941</v>
      </c>
      <c r="C339" s="148" t="s">
        <v>127</v>
      </c>
      <c r="D339" s="148" t="s">
        <v>295</v>
      </c>
      <c r="E339" s="148" t="s">
        <v>1397</v>
      </c>
      <c r="F339" s="148" t="s">
        <v>1802</v>
      </c>
      <c r="G339" s="148" t="s">
        <v>129</v>
      </c>
      <c r="H339" s="148">
        <v>2266163</v>
      </c>
      <c r="I339" s="148">
        <v>0</v>
      </c>
      <c r="J339" s="148">
        <v>0</v>
      </c>
      <c r="K339" s="148" t="str">
        <f t="shared" si="5"/>
        <v>INSTRUMENTINSTLMNT_PAY</v>
      </c>
    </row>
    <row r="340" spans="1:11" hidden="1">
      <c r="A340" s="148" t="s">
        <v>1942</v>
      </c>
      <c r="B340" s="148" t="s">
        <v>1943</v>
      </c>
      <c r="C340" s="148" t="s">
        <v>127</v>
      </c>
      <c r="D340" s="148" t="s">
        <v>426</v>
      </c>
      <c r="E340" s="148" t="s">
        <v>1397</v>
      </c>
      <c r="F340" s="148" t="s">
        <v>1802</v>
      </c>
      <c r="G340" s="148" t="s">
        <v>129</v>
      </c>
      <c r="H340" s="148">
        <v>2266163</v>
      </c>
      <c r="I340" s="148">
        <v>0</v>
      </c>
      <c r="J340" s="148">
        <v>0</v>
      </c>
      <c r="K340" s="148" t="str">
        <f t="shared" si="5"/>
        <v>INSTRUMENTOFF_BLNC_SHT_AMNT_INSTRMNT</v>
      </c>
    </row>
    <row r="341" spans="1:11" hidden="1">
      <c r="A341" s="148" t="s">
        <v>1944</v>
      </c>
      <c r="B341" s="148" t="s">
        <v>910</v>
      </c>
      <c r="C341" s="148" t="s">
        <v>127</v>
      </c>
      <c r="D341" s="148" t="s">
        <v>427</v>
      </c>
      <c r="E341" s="148" t="s">
        <v>1397</v>
      </c>
      <c r="F341" s="148" t="s">
        <v>1802</v>
      </c>
      <c r="G341" s="148" t="s">
        <v>129</v>
      </c>
      <c r="H341" s="148">
        <v>2266163</v>
      </c>
      <c r="I341" s="148">
        <v>0</v>
      </c>
      <c r="J341" s="148">
        <v>0</v>
      </c>
      <c r="K341" s="148" t="str">
        <f t="shared" si="5"/>
        <v>INSTRUMENTOFF_BLNC_SHT_AMNT_INSTRMNT_PRVS</v>
      </c>
    </row>
    <row r="342" spans="1:11" hidden="1">
      <c r="A342" s="148" t="s">
        <v>1945</v>
      </c>
      <c r="B342" s="148" t="s">
        <v>1946</v>
      </c>
      <c r="C342" s="148" t="s">
        <v>127</v>
      </c>
      <c r="D342" s="148" t="s">
        <v>292</v>
      </c>
      <c r="E342" s="148" t="s">
        <v>1397</v>
      </c>
      <c r="F342" s="148" t="s">
        <v>1802</v>
      </c>
      <c r="G342" s="148" t="s">
        <v>129</v>
      </c>
      <c r="H342" s="148">
        <v>2266163</v>
      </c>
      <c r="I342" s="148">
        <v>0</v>
      </c>
      <c r="J342" s="148">
        <v>0</v>
      </c>
      <c r="K342" s="148" t="str">
        <f t="shared" si="5"/>
        <v>INSTRUMENTOTSTNDNG_NMNL_AMNT_INSTRMNT_PRVS</v>
      </c>
    </row>
    <row r="343" spans="1:11" hidden="1">
      <c r="A343" s="148" t="s">
        <v>1947</v>
      </c>
      <c r="B343" s="148" t="s">
        <v>1124</v>
      </c>
      <c r="C343" s="148" t="s">
        <v>127</v>
      </c>
      <c r="D343" s="148" t="s">
        <v>292</v>
      </c>
      <c r="E343" s="148" t="s">
        <v>1004</v>
      </c>
      <c r="F343" s="148" t="s">
        <v>1005</v>
      </c>
      <c r="G343" s="148" t="s">
        <v>1011</v>
      </c>
      <c r="H343" s="148">
        <v>2138963</v>
      </c>
      <c r="I343" s="148">
        <v>9</v>
      </c>
      <c r="J343" s="148">
        <v>4.0000000000000002E-4</v>
      </c>
      <c r="K343" s="148" t="str">
        <f t="shared" si="5"/>
        <v>INSTRUMENTOTSTNDNG_NMNL_AMNT_INSTRMNT_PRVS</v>
      </c>
    </row>
    <row r="344" spans="1:11" hidden="1">
      <c r="A344" s="148" t="s">
        <v>1948</v>
      </c>
      <c r="B344" s="148" t="s">
        <v>1949</v>
      </c>
      <c r="C344" s="148" t="s">
        <v>127</v>
      </c>
      <c r="D344" s="148" t="s">
        <v>470</v>
      </c>
      <c r="E344" s="148" t="s">
        <v>1397</v>
      </c>
      <c r="F344" s="148" t="s">
        <v>1802</v>
      </c>
      <c r="G344" s="148" t="s">
        <v>129</v>
      </c>
      <c r="H344" s="148">
        <v>2266163</v>
      </c>
      <c r="I344" s="148">
        <v>0</v>
      </c>
      <c r="J344" s="148">
        <v>0</v>
      </c>
      <c r="K344" s="148" t="str">
        <f t="shared" si="5"/>
        <v>INSTRUMENTPRVSNS_OFF_BLNC_SHT</v>
      </c>
    </row>
    <row r="345" spans="1:11" hidden="1">
      <c r="A345" s="148" t="s">
        <v>1950</v>
      </c>
      <c r="B345" s="148" t="s">
        <v>1951</v>
      </c>
      <c r="C345" s="148" t="s">
        <v>127</v>
      </c>
      <c r="D345" s="148" t="s">
        <v>471</v>
      </c>
      <c r="E345" s="148" t="s">
        <v>1394</v>
      </c>
      <c r="F345" s="148" t="s">
        <v>1802</v>
      </c>
      <c r="G345" s="148" t="s">
        <v>129</v>
      </c>
      <c r="H345" s="148">
        <v>2266163</v>
      </c>
      <c r="I345" s="148">
        <v>0</v>
      </c>
      <c r="J345" s="148">
        <v>0</v>
      </c>
      <c r="K345" s="148" t="str">
        <f t="shared" si="5"/>
        <v>INSTRUMENTPYMNT_FRQNCY</v>
      </c>
    </row>
    <row r="346" spans="1:11" hidden="1">
      <c r="A346" s="148" t="s">
        <v>1952</v>
      </c>
      <c r="B346" s="148" t="s">
        <v>1953</v>
      </c>
      <c r="C346" s="148" t="s">
        <v>127</v>
      </c>
      <c r="D346" s="148" t="s">
        <v>494</v>
      </c>
      <c r="E346" s="148" t="s">
        <v>1397</v>
      </c>
      <c r="F346" s="148" t="s">
        <v>1802</v>
      </c>
      <c r="G346" s="148" t="s">
        <v>129</v>
      </c>
      <c r="H346" s="148">
        <v>2266163</v>
      </c>
      <c r="I346" s="148">
        <v>0</v>
      </c>
      <c r="J346" s="148">
        <v>0</v>
      </c>
      <c r="K346" s="148" t="str">
        <f t="shared" si="5"/>
        <v>INSTRUMENTRTNTN_SHR</v>
      </c>
    </row>
    <row r="347" spans="1:11" hidden="1">
      <c r="A347" s="148" t="s">
        <v>1954</v>
      </c>
      <c r="B347" s="148" t="s">
        <v>1955</v>
      </c>
      <c r="C347" s="148" t="s">
        <v>127</v>
      </c>
      <c r="D347" s="148" t="s">
        <v>495</v>
      </c>
      <c r="E347" s="148" t="s">
        <v>1397</v>
      </c>
      <c r="F347" s="148" t="s">
        <v>1802</v>
      </c>
      <c r="G347" s="148" t="s">
        <v>129</v>
      </c>
      <c r="H347" s="148">
        <v>2266163</v>
      </c>
      <c r="I347" s="148">
        <v>0</v>
      </c>
      <c r="J347" s="148">
        <v>0</v>
      </c>
      <c r="K347" s="148" t="str">
        <f t="shared" si="5"/>
        <v>INSTRUMENTRWA</v>
      </c>
    </row>
    <row r="348" spans="1:11" hidden="1">
      <c r="A348" s="148" t="s">
        <v>1956</v>
      </c>
      <c r="B348" s="148" t="s">
        <v>1957</v>
      </c>
      <c r="C348" s="148" t="s">
        <v>127</v>
      </c>
      <c r="D348" s="148" t="s">
        <v>421</v>
      </c>
      <c r="E348" s="148" t="s">
        <v>1394</v>
      </c>
      <c r="F348" s="148" t="s">
        <v>1802</v>
      </c>
      <c r="G348" s="148" t="s">
        <v>129</v>
      </c>
      <c r="H348" s="148">
        <v>2266163</v>
      </c>
      <c r="I348" s="148">
        <v>0</v>
      </c>
      <c r="J348" s="148">
        <v>0</v>
      </c>
      <c r="K348" s="148" t="str">
        <f t="shared" si="5"/>
        <v>INSTRUMENTRWA_MTHD</v>
      </c>
    </row>
    <row r="349" spans="1:11" hidden="1">
      <c r="A349" s="148" t="s">
        <v>1958</v>
      </c>
      <c r="B349" s="148" t="s">
        <v>1959</v>
      </c>
      <c r="C349" s="148" t="s">
        <v>127</v>
      </c>
      <c r="D349" s="148" t="s">
        <v>506</v>
      </c>
      <c r="E349" s="148" t="s">
        <v>1390</v>
      </c>
      <c r="F349" s="148" t="s">
        <v>1802</v>
      </c>
      <c r="G349" s="148" t="s">
        <v>129</v>
      </c>
      <c r="H349" s="148">
        <v>2266163</v>
      </c>
      <c r="I349" s="148">
        <v>0</v>
      </c>
      <c r="J349" s="148">
        <v>0</v>
      </c>
      <c r="K349" s="148" t="str">
        <f t="shared" si="5"/>
        <v>INSTRUMENTSPNSR_NM</v>
      </c>
    </row>
    <row r="350" spans="1:11" hidden="1">
      <c r="A350" s="148" t="s">
        <v>1960</v>
      </c>
      <c r="B350" s="148" t="s">
        <v>1961</v>
      </c>
      <c r="C350" s="148" t="s">
        <v>127</v>
      </c>
      <c r="D350" s="148" t="s">
        <v>133</v>
      </c>
      <c r="E350" s="148" t="s">
        <v>1397</v>
      </c>
      <c r="F350" s="148" t="s">
        <v>1802</v>
      </c>
      <c r="G350" s="148" t="s">
        <v>129</v>
      </c>
      <c r="H350" s="148">
        <v>2266163</v>
      </c>
      <c r="I350" s="148">
        <v>0</v>
      </c>
      <c r="J350" s="148">
        <v>0</v>
      </c>
      <c r="K350" s="148" t="str">
        <f t="shared" si="5"/>
        <v>INSTRUMENTACCMLTD_IMPRMNT_INSTRMNT</v>
      </c>
    </row>
    <row r="351" spans="1:11" hidden="1">
      <c r="A351" s="148" t="s">
        <v>1962</v>
      </c>
      <c r="B351" s="148" t="s">
        <v>1963</v>
      </c>
      <c r="C351" s="148" t="s">
        <v>127</v>
      </c>
      <c r="D351" s="148" t="s">
        <v>134</v>
      </c>
      <c r="E351" s="148" t="s">
        <v>1397</v>
      </c>
      <c r="F351" s="148" t="s">
        <v>1802</v>
      </c>
      <c r="G351" s="148" t="s">
        <v>129</v>
      </c>
      <c r="H351" s="148">
        <v>2266163</v>
      </c>
      <c r="I351" s="148">
        <v>0</v>
      </c>
      <c r="J351" s="148">
        <v>0</v>
      </c>
      <c r="K351" s="148" t="str">
        <f t="shared" si="5"/>
        <v>INSTRUMENTACCMLTD_IMPRMNT_INSTRMNT_PRVS</v>
      </c>
    </row>
    <row r="352" spans="1:11" hidden="1">
      <c r="A352" s="148" t="s">
        <v>1964</v>
      </c>
      <c r="B352" s="148" t="s">
        <v>1965</v>
      </c>
      <c r="C352" s="148" t="s">
        <v>127</v>
      </c>
      <c r="D352" s="148" t="s">
        <v>137</v>
      </c>
      <c r="E352" s="148" t="s">
        <v>1397</v>
      </c>
      <c r="F352" s="148" t="s">
        <v>1802</v>
      </c>
      <c r="G352" s="148" t="s">
        <v>129</v>
      </c>
      <c r="H352" s="148">
        <v>2266163</v>
      </c>
      <c r="I352" s="148">
        <v>0</v>
      </c>
      <c r="J352" s="148">
        <v>0</v>
      </c>
      <c r="K352" s="148" t="str">
        <f t="shared" si="5"/>
        <v>INSTRUMENTACCMLTD_WRTFFS_INSTRMNT</v>
      </c>
    </row>
    <row r="353" spans="1:11" hidden="1">
      <c r="A353" s="148" t="s">
        <v>1966</v>
      </c>
      <c r="B353" s="148" t="s">
        <v>1967</v>
      </c>
      <c r="C353" s="148" t="s">
        <v>127</v>
      </c>
      <c r="D353" s="148" t="s">
        <v>160</v>
      </c>
      <c r="E353" s="148" t="s">
        <v>1397</v>
      </c>
      <c r="F353" s="148" t="s">
        <v>1802</v>
      </c>
      <c r="G353" s="148" t="s">
        <v>129</v>
      </c>
      <c r="H353" s="148">
        <v>2266163</v>
      </c>
      <c r="I353" s="148">
        <v>0</v>
      </c>
      <c r="J353" s="148">
        <v>0</v>
      </c>
      <c r="K353" s="148" t="str">
        <f t="shared" si="5"/>
        <v>INSTRUMENTARRRS_INSTRMNT</v>
      </c>
    </row>
    <row r="354" spans="1:11" hidden="1">
      <c r="A354" s="148" t="s">
        <v>1968</v>
      </c>
      <c r="B354" s="148" t="s">
        <v>1969</v>
      </c>
      <c r="C354" s="148" t="s">
        <v>127</v>
      </c>
      <c r="D354" s="148" t="s">
        <v>161</v>
      </c>
      <c r="E354" s="148" t="s">
        <v>1397</v>
      </c>
      <c r="F354" s="148" t="s">
        <v>1802</v>
      </c>
      <c r="G354" s="148" t="s">
        <v>129</v>
      </c>
      <c r="H354" s="148">
        <v>2266163</v>
      </c>
      <c r="I354" s="148">
        <v>0</v>
      </c>
      <c r="J354" s="148">
        <v>0</v>
      </c>
      <c r="K354" s="148" t="str">
        <f t="shared" si="5"/>
        <v>INSTRUMENTARRRS_INSTRMNT_12M</v>
      </c>
    </row>
    <row r="355" spans="1:11" hidden="1">
      <c r="A355" s="148" t="s">
        <v>1970</v>
      </c>
      <c r="B355" s="148" t="s">
        <v>1971</v>
      </c>
      <c r="C355" s="148" t="s">
        <v>127</v>
      </c>
      <c r="D355" s="148" t="s">
        <v>487</v>
      </c>
      <c r="E355" s="148" t="s">
        <v>1397</v>
      </c>
      <c r="F355" s="148" t="s">
        <v>1802</v>
      </c>
      <c r="G355" s="148" t="s">
        <v>129</v>
      </c>
      <c r="H355" s="148">
        <v>2266163</v>
      </c>
      <c r="I355" s="148">
        <v>0</v>
      </c>
      <c r="J355" s="148">
        <v>0</v>
      </c>
      <c r="K355" s="148" t="str">
        <f t="shared" si="5"/>
        <v>INSTRUMENTCMLTV_RCVRS_SNC_DFLT_INSTRMNT</v>
      </c>
    </row>
    <row r="356" spans="1:11" hidden="1">
      <c r="A356" s="148" t="s">
        <v>1972</v>
      </c>
      <c r="B356" s="148" t="s">
        <v>1973</v>
      </c>
      <c r="C356" s="148" t="s">
        <v>127</v>
      </c>
      <c r="D356" s="148" t="s">
        <v>218</v>
      </c>
      <c r="E356" s="148" t="s">
        <v>1397</v>
      </c>
      <c r="F356" s="148" t="s">
        <v>1802</v>
      </c>
      <c r="G356" s="148" t="s">
        <v>129</v>
      </c>
      <c r="H356" s="148">
        <v>2266163</v>
      </c>
      <c r="I356" s="148">
        <v>0</v>
      </c>
      <c r="J356" s="148">
        <v>0</v>
      </c>
      <c r="K356" s="148" t="str">
        <f t="shared" si="5"/>
        <v>INSTRUMENTDPD</v>
      </c>
    </row>
    <row r="357" spans="1:11" hidden="1">
      <c r="A357" s="148" t="s">
        <v>1974</v>
      </c>
      <c r="B357" s="148" t="s">
        <v>1975</v>
      </c>
      <c r="C357" s="148" t="s">
        <v>127</v>
      </c>
      <c r="D357" s="148" t="s">
        <v>219</v>
      </c>
      <c r="E357" s="148" t="s">
        <v>1397</v>
      </c>
      <c r="F357" s="148" t="s">
        <v>1802</v>
      </c>
      <c r="G357" s="148" t="s">
        <v>129</v>
      </c>
      <c r="H357" s="148">
        <v>2266163</v>
      </c>
      <c r="I357" s="148">
        <v>0</v>
      </c>
      <c r="J357" s="148">
        <v>0</v>
      </c>
      <c r="K357" s="148" t="str">
        <f t="shared" si="5"/>
        <v>INSTRUMENTDPD_12M</v>
      </c>
    </row>
    <row r="358" spans="1:11" hidden="1">
      <c r="A358" s="148" t="s">
        <v>1976</v>
      </c>
      <c r="B358" s="148" t="s">
        <v>1977</v>
      </c>
      <c r="C358" s="148" t="s">
        <v>127</v>
      </c>
      <c r="D358" s="148" t="s">
        <v>220</v>
      </c>
      <c r="E358" s="148" t="s">
        <v>1397</v>
      </c>
      <c r="F358" s="148" t="s">
        <v>1802</v>
      </c>
      <c r="G358" s="148" t="s">
        <v>129</v>
      </c>
      <c r="H358" s="148">
        <v>2266163</v>
      </c>
      <c r="I358" s="148">
        <v>0</v>
      </c>
      <c r="J358" s="148">
        <v>0</v>
      </c>
      <c r="K358" s="148" t="str">
        <f t="shared" si="5"/>
        <v>INSTRUMENTDPD_12M_FRBRNC_STTS</v>
      </c>
    </row>
    <row r="359" spans="1:11" hidden="1">
      <c r="A359" s="148" t="s">
        <v>1978</v>
      </c>
      <c r="B359" s="148" t="s">
        <v>1979</v>
      </c>
      <c r="C359" s="148" t="s">
        <v>127</v>
      </c>
      <c r="D359" s="148" t="s">
        <v>48</v>
      </c>
      <c r="E359" s="148" t="s">
        <v>1397</v>
      </c>
      <c r="F359" s="148" t="s">
        <v>1802</v>
      </c>
      <c r="G359" s="148" t="s">
        <v>129</v>
      </c>
      <c r="H359" s="148">
        <v>2266163</v>
      </c>
      <c r="I359" s="148">
        <v>0</v>
      </c>
      <c r="J359" s="148">
        <v>0</v>
      </c>
      <c r="K359" s="148" t="str">
        <f t="shared" si="5"/>
        <v>INSTRUMENTDPD_12M_PRFRMNG_STTS</v>
      </c>
    </row>
    <row r="360" spans="1:11" hidden="1">
      <c r="A360" s="148" t="s">
        <v>1980</v>
      </c>
      <c r="B360" s="148" t="s">
        <v>1981</v>
      </c>
      <c r="C360" s="148" t="s">
        <v>127</v>
      </c>
      <c r="D360" s="148" t="s">
        <v>223</v>
      </c>
      <c r="E360" s="148" t="s">
        <v>1397</v>
      </c>
      <c r="F360" s="148" t="s">
        <v>1802</v>
      </c>
      <c r="G360" s="148" t="s">
        <v>129</v>
      </c>
      <c r="H360" s="148">
        <v>2266163</v>
      </c>
      <c r="I360" s="148">
        <v>0</v>
      </c>
      <c r="J360" s="148">
        <v>0</v>
      </c>
      <c r="K360" s="148" t="str">
        <f t="shared" si="5"/>
        <v>INSTRUMENTDPD_24M_FRBRNC_STTS</v>
      </c>
    </row>
    <row r="361" spans="1:11" hidden="1">
      <c r="A361" s="148" t="s">
        <v>1982</v>
      </c>
      <c r="B361" s="148" t="s">
        <v>1983</v>
      </c>
      <c r="C361" s="148" t="s">
        <v>127</v>
      </c>
      <c r="D361" s="148" t="s">
        <v>49</v>
      </c>
      <c r="E361" s="148" t="s">
        <v>1397</v>
      </c>
      <c r="F361" s="148" t="s">
        <v>1802</v>
      </c>
      <c r="G361" s="148" t="s">
        <v>129</v>
      </c>
      <c r="H361" s="148">
        <v>2266163</v>
      </c>
      <c r="I361" s="148">
        <v>0</v>
      </c>
      <c r="J361" s="148">
        <v>0</v>
      </c>
      <c r="K361" s="148" t="str">
        <f t="shared" si="5"/>
        <v>INSTRUMENTDPD_24M_PRFRMNG_STTS</v>
      </c>
    </row>
    <row r="362" spans="1:11" hidden="1">
      <c r="A362" s="148" t="s">
        <v>1984</v>
      </c>
      <c r="B362" s="148" t="s">
        <v>1985</v>
      </c>
      <c r="C362" s="148" t="s">
        <v>127</v>
      </c>
      <c r="D362" s="148" t="s">
        <v>225</v>
      </c>
      <c r="E362" s="148" t="s">
        <v>1397</v>
      </c>
      <c r="F362" s="148" t="s">
        <v>1802</v>
      </c>
      <c r="G362" s="148" t="s">
        <v>129</v>
      </c>
      <c r="H362" s="148">
        <v>2266163</v>
      </c>
      <c r="I362" s="148">
        <v>0</v>
      </c>
      <c r="J362" s="148">
        <v>0</v>
      </c>
      <c r="K362" s="148" t="str">
        <f t="shared" si="5"/>
        <v>INSTRUMENTDPD_FRBRNC_STTS</v>
      </c>
    </row>
    <row r="363" spans="1:11" hidden="1">
      <c r="A363" s="148" t="s">
        <v>1986</v>
      </c>
      <c r="B363" s="148" t="s">
        <v>1987</v>
      </c>
      <c r="C363" s="148" t="s">
        <v>127</v>
      </c>
      <c r="D363" s="148" t="s">
        <v>50</v>
      </c>
      <c r="E363" s="148" t="s">
        <v>1397</v>
      </c>
      <c r="F363" s="148" t="s">
        <v>1802</v>
      </c>
      <c r="G363" s="148" t="s">
        <v>129</v>
      </c>
      <c r="H363" s="148">
        <v>2266163</v>
      </c>
      <c r="I363" s="148">
        <v>0</v>
      </c>
      <c r="J363" s="148">
        <v>0</v>
      </c>
      <c r="K363" s="148" t="str">
        <f t="shared" si="5"/>
        <v>INSTRUMENTDPD_PRFRMNG_STTS</v>
      </c>
    </row>
    <row r="364" spans="1:11" hidden="1">
      <c r="A364" s="148" t="s">
        <v>1988</v>
      </c>
      <c r="B364" s="148" t="s">
        <v>1989</v>
      </c>
      <c r="C364" s="148" t="s">
        <v>127</v>
      </c>
      <c r="D364" s="148" t="s">
        <v>51</v>
      </c>
      <c r="E364" s="148" t="s">
        <v>1387</v>
      </c>
      <c r="F364" s="148" t="s">
        <v>1802</v>
      </c>
      <c r="G364" s="148" t="s">
        <v>129</v>
      </c>
      <c r="H364" s="148">
        <v>2266163</v>
      </c>
      <c r="I364" s="148">
        <v>0</v>
      </c>
      <c r="J364" s="148">
        <v>0</v>
      </c>
      <c r="K364" s="148" t="str">
        <f t="shared" si="5"/>
        <v>INSTRUMENTDT_IMPRMNT_STTS</v>
      </c>
    </row>
    <row r="365" spans="1:11" hidden="1">
      <c r="A365" s="148" t="s">
        <v>1990</v>
      </c>
      <c r="B365" s="148" t="s">
        <v>1991</v>
      </c>
      <c r="C365" s="148" t="s">
        <v>127</v>
      </c>
      <c r="D365" s="148" t="s">
        <v>52</v>
      </c>
      <c r="E365" s="148" t="s">
        <v>1387</v>
      </c>
      <c r="F365" s="148" t="s">
        <v>1802</v>
      </c>
      <c r="G365" s="148" t="s">
        <v>129</v>
      </c>
      <c r="H365" s="148">
        <v>2266163</v>
      </c>
      <c r="I365" s="148">
        <v>0</v>
      </c>
      <c r="J365" s="148">
        <v>0</v>
      </c>
      <c r="K365" s="148" t="str">
        <f t="shared" si="5"/>
        <v>INSTRUMENTDT_IMPRMNT_STTS_PRVS</v>
      </c>
    </row>
    <row r="366" spans="1:11" hidden="1">
      <c r="A366" s="148" t="s">
        <v>1992</v>
      </c>
      <c r="B366" s="148" t="s">
        <v>1993</v>
      </c>
      <c r="C366" s="148" t="s">
        <v>127</v>
      </c>
      <c r="D366" s="148" t="s">
        <v>282</v>
      </c>
      <c r="E366" s="148" t="s">
        <v>1387</v>
      </c>
      <c r="F366" s="148" t="s">
        <v>1802</v>
      </c>
      <c r="G366" s="148" t="s">
        <v>129</v>
      </c>
      <c r="H366" s="148">
        <v>2266163</v>
      </c>
      <c r="I366" s="148">
        <v>0</v>
      </c>
      <c r="J366" s="148">
        <v>0</v>
      </c>
      <c r="K366" s="148" t="str">
        <f t="shared" si="5"/>
        <v>INSTRUMENTDT_PST_D</v>
      </c>
    </row>
    <row r="367" spans="1:11" hidden="1">
      <c r="A367" s="148" t="s">
        <v>1994</v>
      </c>
      <c r="B367" s="148" t="s">
        <v>1995</v>
      </c>
      <c r="C367" s="148" t="s">
        <v>127</v>
      </c>
      <c r="D367" s="148" t="s">
        <v>359</v>
      </c>
      <c r="E367" s="148" t="s">
        <v>1394</v>
      </c>
      <c r="F367" s="148" t="s">
        <v>1802</v>
      </c>
      <c r="G367" s="148" t="s">
        <v>129</v>
      </c>
      <c r="H367" s="148">
        <v>2266163</v>
      </c>
      <c r="I367" s="148">
        <v>0</v>
      </c>
      <c r="J367" s="148">
        <v>0</v>
      </c>
      <c r="K367" s="148" t="str">
        <f t="shared" si="5"/>
        <v>INSTRUMENTIMPRMNT_ASSSSMNT_MTHD</v>
      </c>
    </row>
    <row r="368" spans="1:11" hidden="1">
      <c r="A368" s="148" t="s">
        <v>1996</v>
      </c>
      <c r="B368" s="148" t="s">
        <v>1997</v>
      </c>
      <c r="C368" s="148" t="s">
        <v>127</v>
      </c>
      <c r="D368" s="148" t="s">
        <v>360</v>
      </c>
      <c r="E368" s="148" t="s">
        <v>1394</v>
      </c>
      <c r="F368" s="148" t="s">
        <v>1802</v>
      </c>
      <c r="G368" s="148" t="s">
        <v>129</v>
      </c>
      <c r="H368" s="148">
        <v>2266163</v>
      </c>
      <c r="I368" s="148">
        <v>0</v>
      </c>
      <c r="J368" s="148">
        <v>0</v>
      </c>
      <c r="K368" s="148" t="str">
        <f t="shared" si="5"/>
        <v>INSTRUMENTIMPRMNT_CLCLTN_MTHD</v>
      </c>
    </row>
    <row r="369" spans="1:11" hidden="1">
      <c r="A369" s="148" t="s">
        <v>1998</v>
      </c>
      <c r="B369" s="148" t="s">
        <v>1999</v>
      </c>
      <c r="C369" s="148" t="s">
        <v>127</v>
      </c>
      <c r="D369" s="148" t="s">
        <v>418</v>
      </c>
      <c r="E369" s="148" t="s">
        <v>1397</v>
      </c>
      <c r="F369" s="148" t="s">
        <v>1802</v>
      </c>
      <c r="G369" s="148" t="s">
        <v>129</v>
      </c>
      <c r="H369" s="148">
        <v>2266163</v>
      </c>
      <c r="I369" s="148">
        <v>0</v>
      </c>
      <c r="J369" s="148">
        <v>0</v>
      </c>
      <c r="K369" s="148" t="str">
        <f t="shared" si="5"/>
        <v>INSTRUMENTNMBR_FRBRNC_MSRS</v>
      </c>
    </row>
    <row r="370" spans="1:11" hidden="1">
      <c r="A370" s="148" t="s">
        <v>2000</v>
      </c>
      <c r="B370" s="148" t="s">
        <v>2001</v>
      </c>
      <c r="C370" s="148" t="s">
        <v>127</v>
      </c>
      <c r="D370" s="148" t="s">
        <v>358</v>
      </c>
      <c r="E370" s="148" t="s">
        <v>1397</v>
      </c>
      <c r="F370" s="148" t="s">
        <v>1802</v>
      </c>
      <c r="G370" s="148" t="s">
        <v>129</v>
      </c>
      <c r="H370" s="148">
        <v>2266163</v>
      </c>
      <c r="I370" s="148">
        <v>0</v>
      </c>
      <c r="J370" s="148">
        <v>0</v>
      </c>
      <c r="K370" s="148" t="str">
        <f t="shared" si="5"/>
        <v>INSTRUMENTIFRS9_LGD</v>
      </c>
    </row>
    <row r="371" spans="1:11" hidden="1">
      <c r="A371" s="148" t="s">
        <v>2002</v>
      </c>
      <c r="B371" s="148" t="s">
        <v>2003</v>
      </c>
      <c r="C371" s="148" t="s">
        <v>127</v>
      </c>
      <c r="D371" s="148" t="s">
        <v>396</v>
      </c>
      <c r="E371" s="148" t="s">
        <v>1397</v>
      </c>
      <c r="F371" s="148" t="s">
        <v>1802</v>
      </c>
      <c r="G371" s="148" t="s">
        <v>129</v>
      </c>
      <c r="H371" s="148">
        <v>2266163</v>
      </c>
      <c r="I371" s="148">
        <v>0</v>
      </c>
      <c r="J371" s="148">
        <v>0</v>
      </c>
      <c r="K371" s="148" t="str">
        <f t="shared" si="5"/>
        <v>INSTRUMENTLGD</v>
      </c>
    </row>
    <row r="372" spans="1:11" hidden="1">
      <c r="A372" s="148" t="s">
        <v>2004</v>
      </c>
      <c r="B372" s="148" t="s">
        <v>2005</v>
      </c>
      <c r="C372" s="148" t="s">
        <v>127</v>
      </c>
      <c r="D372" s="148" t="s">
        <v>403</v>
      </c>
      <c r="E372" s="148" t="s">
        <v>1397</v>
      </c>
      <c r="F372" s="148" t="s">
        <v>1802</v>
      </c>
      <c r="G372" s="148" t="s">
        <v>129</v>
      </c>
      <c r="H372" s="148">
        <v>2266163</v>
      </c>
      <c r="I372" s="148">
        <v>0</v>
      </c>
      <c r="J372" s="148">
        <v>0</v>
      </c>
      <c r="K372" s="148" t="str">
        <f t="shared" si="5"/>
        <v>INSTRUMENTLTV</v>
      </c>
    </row>
    <row r="373" spans="1:11" hidden="1">
      <c r="A373" s="148" t="s">
        <v>2006</v>
      </c>
      <c r="B373" s="148" t="s">
        <v>2007</v>
      </c>
      <c r="C373" s="148" t="s">
        <v>127</v>
      </c>
      <c r="D373" s="148" t="s">
        <v>404</v>
      </c>
      <c r="E373" s="148" t="s">
        <v>1397</v>
      </c>
      <c r="F373" s="148" t="s">
        <v>1802</v>
      </c>
      <c r="G373" s="148" t="s">
        <v>129</v>
      </c>
      <c r="H373" s="148">
        <v>2266163</v>
      </c>
      <c r="I373" s="148">
        <v>0</v>
      </c>
      <c r="J373" s="148">
        <v>0</v>
      </c>
      <c r="K373" s="148" t="str">
        <f t="shared" si="5"/>
        <v>INSTRUMENTLTV_INCPTN</v>
      </c>
    </row>
    <row r="374" spans="1:11" hidden="1">
      <c r="A374" s="148" t="s">
        <v>2008</v>
      </c>
      <c r="B374" s="148" t="s">
        <v>2009</v>
      </c>
      <c r="C374" s="148" t="s">
        <v>127</v>
      </c>
      <c r="D374" s="148" t="s">
        <v>405</v>
      </c>
      <c r="E374" s="148" t="s">
        <v>1397</v>
      </c>
      <c r="F374" s="148" t="s">
        <v>1802</v>
      </c>
      <c r="G374" s="148" t="s">
        <v>129</v>
      </c>
      <c r="H374" s="148">
        <v>2266163</v>
      </c>
      <c r="I374" s="148">
        <v>0</v>
      </c>
      <c r="J374" s="148">
        <v>0</v>
      </c>
      <c r="K374" s="148" t="str">
        <f t="shared" si="5"/>
        <v>INSTRUMENTLTV_NPE</v>
      </c>
    </row>
    <row r="375" spans="1:11" hidden="1">
      <c r="A375" s="148" t="s">
        <v>2010</v>
      </c>
      <c r="B375" s="148" t="s">
        <v>2011</v>
      </c>
      <c r="C375" s="148" t="s">
        <v>127</v>
      </c>
      <c r="D375" s="148" t="s">
        <v>435</v>
      </c>
      <c r="E375" s="148" t="s">
        <v>1397</v>
      </c>
      <c r="F375" s="148" t="s">
        <v>1802</v>
      </c>
      <c r="G375" s="148" t="s">
        <v>129</v>
      </c>
      <c r="H375" s="148">
        <v>2266163</v>
      </c>
      <c r="I375" s="148">
        <v>0</v>
      </c>
      <c r="J375" s="148">
        <v>0</v>
      </c>
      <c r="K375" s="148" t="str">
        <f t="shared" si="5"/>
        <v>INSTRUMENTPD_CRR_INCPTN</v>
      </c>
    </row>
    <row r="376" spans="1:11" hidden="1">
      <c r="A376" s="148" t="s">
        <v>2012</v>
      </c>
      <c r="B376" s="148" t="s">
        <v>1575</v>
      </c>
      <c r="C376" s="148" t="s">
        <v>127</v>
      </c>
      <c r="D376" s="148" t="s">
        <v>437</v>
      </c>
      <c r="E376" s="148" t="s">
        <v>1397</v>
      </c>
      <c r="F376" s="148" t="s">
        <v>1802</v>
      </c>
      <c r="G376" s="148" t="s">
        <v>129</v>
      </c>
      <c r="H376" s="148">
        <v>2266163</v>
      </c>
      <c r="I376" s="148">
        <v>0</v>
      </c>
      <c r="J376" s="148">
        <v>0</v>
      </c>
      <c r="K376" s="148" t="str">
        <f t="shared" si="5"/>
        <v>INSTRUMENTPD_CRR_RD</v>
      </c>
    </row>
    <row r="377" spans="1:11" hidden="1">
      <c r="A377" s="148" t="s">
        <v>2013</v>
      </c>
      <c r="B377" s="148" t="s">
        <v>1589</v>
      </c>
      <c r="C377" s="148" t="s">
        <v>127</v>
      </c>
      <c r="D377" s="148" t="s">
        <v>438</v>
      </c>
      <c r="E377" s="148" t="s">
        <v>1397</v>
      </c>
      <c r="F377" s="148" t="s">
        <v>1802</v>
      </c>
      <c r="G377" s="148" t="s">
        <v>129</v>
      </c>
      <c r="H377" s="148">
        <v>2266163</v>
      </c>
      <c r="I377" s="148">
        <v>0</v>
      </c>
      <c r="J377" s="148">
        <v>0</v>
      </c>
      <c r="K377" s="148" t="str">
        <f t="shared" si="5"/>
        <v>INSTRUMENTPD_CRR_RD_T1</v>
      </c>
    </row>
    <row r="378" spans="1:11" hidden="1">
      <c r="A378" s="148" t="s">
        <v>2014</v>
      </c>
      <c r="B378" s="148" t="s">
        <v>2015</v>
      </c>
      <c r="C378" s="148" t="s">
        <v>127</v>
      </c>
      <c r="D378" s="148" t="s">
        <v>439</v>
      </c>
      <c r="E378" s="148" t="s">
        <v>1397</v>
      </c>
      <c r="F378" s="148" t="s">
        <v>1802</v>
      </c>
      <c r="G378" s="148" t="s">
        <v>129</v>
      </c>
      <c r="H378" s="148">
        <v>2266163</v>
      </c>
      <c r="I378" s="148">
        <v>0</v>
      </c>
      <c r="J378" s="148">
        <v>0</v>
      </c>
      <c r="K378" s="148" t="str">
        <f t="shared" si="5"/>
        <v>INSTRUMENTPD_IFRS9_12M_INCPTN</v>
      </c>
    </row>
    <row r="379" spans="1:11" hidden="1">
      <c r="A379" s="148" t="s">
        <v>2016</v>
      </c>
      <c r="B379" s="148" t="s">
        <v>1577</v>
      </c>
      <c r="C379" s="148" t="s">
        <v>127</v>
      </c>
      <c r="D379" s="148" t="s">
        <v>440</v>
      </c>
      <c r="E379" s="148" t="s">
        <v>1397</v>
      </c>
      <c r="F379" s="148" t="s">
        <v>1802</v>
      </c>
      <c r="G379" s="148" t="s">
        <v>129</v>
      </c>
      <c r="H379" s="148">
        <v>2266163</v>
      </c>
      <c r="I379" s="148">
        <v>0</v>
      </c>
      <c r="J379" s="148">
        <v>0</v>
      </c>
      <c r="K379" s="148" t="str">
        <f t="shared" si="5"/>
        <v>INSTRUMENTPD_IFRS9_12M_RD</v>
      </c>
    </row>
    <row r="380" spans="1:11" hidden="1">
      <c r="A380" s="148" t="s">
        <v>2017</v>
      </c>
      <c r="B380" s="148" t="s">
        <v>1579</v>
      </c>
      <c r="C380" s="148" t="s">
        <v>127</v>
      </c>
      <c r="D380" s="148" t="s">
        <v>442</v>
      </c>
      <c r="E380" s="148" t="s">
        <v>1397</v>
      </c>
      <c r="F380" s="148" t="s">
        <v>1802</v>
      </c>
      <c r="G380" s="148" t="s">
        <v>129</v>
      </c>
      <c r="H380" s="148">
        <v>2266163</v>
      </c>
      <c r="I380" s="148">
        <v>0</v>
      </c>
      <c r="J380" s="148">
        <v>0</v>
      </c>
      <c r="K380" s="148" t="str">
        <f t="shared" si="5"/>
        <v>INSTRUMENTPD_IFRS9_12M_RD_T1</v>
      </c>
    </row>
    <row r="381" spans="1:11" hidden="1">
      <c r="A381" s="148" t="s">
        <v>2018</v>
      </c>
      <c r="B381" s="148" t="s">
        <v>2019</v>
      </c>
      <c r="C381" s="148" t="s">
        <v>127</v>
      </c>
      <c r="D381" s="148" t="s">
        <v>443</v>
      </c>
      <c r="E381" s="148" t="s">
        <v>1397</v>
      </c>
      <c r="F381" s="148" t="s">
        <v>1802</v>
      </c>
      <c r="G381" s="148" t="s">
        <v>129</v>
      </c>
      <c r="H381" s="148">
        <v>2266163</v>
      </c>
      <c r="I381" s="148">
        <v>0</v>
      </c>
      <c r="J381" s="148">
        <v>0</v>
      </c>
      <c r="K381" s="148" t="str">
        <f t="shared" si="5"/>
        <v>INSTRUMENTPD_IFRS9_LFTM_INCPTN</v>
      </c>
    </row>
    <row r="382" spans="1:11" hidden="1">
      <c r="A382" s="148" t="s">
        <v>2020</v>
      </c>
      <c r="B382" s="148" t="s">
        <v>2021</v>
      </c>
      <c r="C382" s="148" t="s">
        <v>127</v>
      </c>
      <c r="D382" s="148" t="s">
        <v>444</v>
      </c>
      <c r="E382" s="148" t="s">
        <v>1397</v>
      </c>
      <c r="F382" s="148" t="s">
        <v>1802</v>
      </c>
      <c r="G382" s="148" t="s">
        <v>129</v>
      </c>
      <c r="H382" s="148">
        <v>2266163</v>
      </c>
      <c r="I382" s="148">
        <v>0</v>
      </c>
      <c r="J382" s="148">
        <v>0</v>
      </c>
      <c r="K382" s="148" t="str">
        <f t="shared" si="5"/>
        <v>INSTRUMENTPD_IFRS9_RMNNG_LFTM_INCPTN</v>
      </c>
    </row>
    <row r="383" spans="1:11" hidden="1">
      <c r="A383" s="148" t="s">
        <v>2022</v>
      </c>
      <c r="B383" s="148" t="s">
        <v>2023</v>
      </c>
      <c r="C383" s="148" t="s">
        <v>127</v>
      </c>
      <c r="D383" s="148" t="s">
        <v>445</v>
      </c>
      <c r="E383" s="148" t="s">
        <v>1397</v>
      </c>
      <c r="F383" s="148" t="s">
        <v>1802</v>
      </c>
      <c r="G383" s="148" t="s">
        <v>129</v>
      </c>
      <c r="H383" s="148">
        <v>2266163</v>
      </c>
      <c r="I383" s="148">
        <v>0</v>
      </c>
      <c r="J383" s="148">
        <v>0</v>
      </c>
      <c r="K383" s="148" t="str">
        <f t="shared" si="5"/>
        <v>INSTRUMENTPD_IFRS9_RMNNG_LFTM_RD</v>
      </c>
    </row>
    <row r="384" spans="1:11" hidden="1">
      <c r="A384" s="148" t="s">
        <v>2024</v>
      </c>
      <c r="B384" s="148" t="s">
        <v>1499</v>
      </c>
      <c r="C384" s="148" t="s">
        <v>127</v>
      </c>
      <c r="D384" s="148" t="s">
        <v>492</v>
      </c>
      <c r="E384" s="148" t="s">
        <v>1394</v>
      </c>
      <c r="F384" s="148" t="s">
        <v>1802</v>
      </c>
      <c r="G384" s="148" t="s">
        <v>1011</v>
      </c>
      <c r="H384" s="148">
        <v>2266163</v>
      </c>
      <c r="I384" s="148">
        <v>8</v>
      </c>
      <c r="J384" s="148">
        <v>4.0000000000000002E-4</v>
      </c>
      <c r="K384" s="148" t="str">
        <f t="shared" si="5"/>
        <v>INSTRUMENTRTNG_MTHD</v>
      </c>
    </row>
    <row r="385" spans="1:11" hidden="1">
      <c r="A385" s="148" t="s">
        <v>2025</v>
      </c>
      <c r="B385" s="148" t="s">
        <v>1501</v>
      </c>
      <c r="C385" s="148" t="s">
        <v>127</v>
      </c>
      <c r="D385" s="148" t="s">
        <v>493</v>
      </c>
      <c r="E385" s="148" t="s">
        <v>1394</v>
      </c>
      <c r="F385" s="148" t="s">
        <v>1802</v>
      </c>
      <c r="G385" s="148" t="s">
        <v>129</v>
      </c>
      <c r="H385" s="148">
        <v>2266163</v>
      </c>
      <c r="I385" s="148">
        <v>0</v>
      </c>
      <c r="J385" s="148">
        <v>0</v>
      </c>
      <c r="K385" s="148" t="str">
        <f t="shared" si="5"/>
        <v>INSTRUMENTRTNG_SCL</v>
      </c>
    </row>
    <row r="386" spans="1:11" hidden="1">
      <c r="A386" s="148" t="s">
        <v>2026</v>
      </c>
      <c r="B386" s="148" t="s">
        <v>649</v>
      </c>
      <c r="C386" s="148" t="s">
        <v>127</v>
      </c>
      <c r="D386" s="148" t="s">
        <v>270</v>
      </c>
      <c r="E386" s="148" t="s">
        <v>1394</v>
      </c>
      <c r="F386" s="148" t="s">
        <v>1802</v>
      </c>
      <c r="G386" s="148" t="s">
        <v>129</v>
      </c>
      <c r="H386" s="148">
        <v>2266163</v>
      </c>
      <c r="I386" s="148">
        <v>0</v>
      </c>
      <c r="J386" s="148">
        <v>0</v>
      </c>
      <c r="K386" s="148" t="str">
        <f t="shared" si="5"/>
        <v>INSTRUMENTSICR_ASSSSMNT_MTHD</v>
      </c>
    </row>
    <row r="387" spans="1:11" hidden="1">
      <c r="A387" s="148" t="s">
        <v>2027</v>
      </c>
      <c r="B387" s="148" t="s">
        <v>2028</v>
      </c>
      <c r="C387" s="148" t="s">
        <v>127</v>
      </c>
      <c r="D387" s="148" t="s">
        <v>153</v>
      </c>
      <c r="E387" s="148" t="s">
        <v>1397</v>
      </c>
      <c r="F387" s="148" t="s">
        <v>1802</v>
      </c>
      <c r="G387" s="148" t="s">
        <v>129</v>
      </c>
      <c r="H387" s="148">
        <v>2266163</v>
      </c>
      <c r="I387" s="148">
        <v>0</v>
      </c>
      <c r="J387" s="148">
        <v>0</v>
      </c>
      <c r="K387" s="148" t="str">
        <f t="shared" ref="K387:K450" si="6">_xlfn.CONCAT(_xlfn.IFS(ISNUMBER(SEARCH("EN",A387)),"ENTITY",ISNUMBER(SEARCH("IN",A387)),"INSTRUMENT",ISNUMBER(SEARCH("PR",A387)),"PROTECTION",ISNUMBER(SEARCH("IP",A387)),"INSTR_PROTECTION",ISNUMBER(SEARCH("IE",A387)),"INSTR_ENTITY",ISNUMBER(SEARCH("AC",A387)),"INSTR_ACTIVITY"),D387)</f>
        <v>INSTRUMENTANNLSD_AGRD_RT</v>
      </c>
    </row>
    <row r="388" spans="1:11" hidden="1">
      <c r="A388" s="148" t="s">
        <v>2029</v>
      </c>
      <c r="B388" s="148" t="s">
        <v>2030</v>
      </c>
      <c r="C388" s="148" t="s">
        <v>127</v>
      </c>
      <c r="D388" s="148" t="s">
        <v>300</v>
      </c>
      <c r="E388" s="148" t="s">
        <v>1397</v>
      </c>
      <c r="F388" s="148" t="s">
        <v>1802</v>
      </c>
      <c r="G388" s="148" t="s">
        <v>129</v>
      </c>
      <c r="H388" s="148">
        <v>2266163</v>
      </c>
      <c r="I388" s="148">
        <v>0</v>
      </c>
      <c r="J388" s="148">
        <v>0</v>
      </c>
      <c r="K388" s="148" t="str">
        <f t="shared" si="6"/>
        <v>INSTRUMENTEIR</v>
      </c>
    </row>
    <row r="389" spans="1:11" hidden="1">
      <c r="A389" s="148" t="s">
        <v>2031</v>
      </c>
      <c r="B389" s="148" t="s">
        <v>2032</v>
      </c>
      <c r="C389" s="148" t="s">
        <v>127</v>
      </c>
      <c r="D389" s="148" t="s">
        <v>301</v>
      </c>
      <c r="E389" s="148" t="s">
        <v>1397</v>
      </c>
      <c r="F389" s="148" t="s">
        <v>1802</v>
      </c>
      <c r="G389" s="148" t="s">
        <v>129</v>
      </c>
      <c r="H389" s="148">
        <v>2266163</v>
      </c>
      <c r="I389" s="148">
        <v>0</v>
      </c>
      <c r="J389" s="148">
        <v>0</v>
      </c>
      <c r="K389" s="148" t="str">
        <f t="shared" si="6"/>
        <v>INSTRUMENTEIR_INCPTN</v>
      </c>
    </row>
    <row r="390" spans="1:11" hidden="1">
      <c r="A390" s="148" t="s">
        <v>2033</v>
      </c>
      <c r="B390" s="148" t="s">
        <v>2034</v>
      </c>
      <c r="C390" s="148" t="s">
        <v>127</v>
      </c>
      <c r="D390" s="148" t="s">
        <v>379</v>
      </c>
      <c r="E390" s="148" t="s">
        <v>1394</v>
      </c>
      <c r="F390" s="148" t="s">
        <v>1802</v>
      </c>
      <c r="G390" s="148" t="s">
        <v>129</v>
      </c>
      <c r="H390" s="148">
        <v>2266163</v>
      </c>
      <c r="I390" s="148">
        <v>0</v>
      </c>
      <c r="J390" s="148">
        <v>0</v>
      </c>
      <c r="K390" s="148" t="str">
        <f t="shared" si="6"/>
        <v>INSTRUMENTINTRST_RT_RST_FRQNCY</v>
      </c>
    </row>
    <row r="391" spans="1:11" hidden="1">
      <c r="A391" s="148" t="s">
        <v>2035</v>
      </c>
      <c r="B391" s="148" t="s">
        <v>2036</v>
      </c>
      <c r="C391" s="148" t="s">
        <v>127</v>
      </c>
      <c r="D391" s="148" t="s">
        <v>477</v>
      </c>
      <c r="E391" s="148" t="s">
        <v>1397</v>
      </c>
      <c r="F391" s="148" t="s">
        <v>1802</v>
      </c>
      <c r="G391" s="148" t="s">
        <v>129</v>
      </c>
      <c r="H391" s="148">
        <v>2266163</v>
      </c>
      <c r="I391" s="148">
        <v>0</v>
      </c>
      <c r="J391" s="148">
        <v>0</v>
      </c>
      <c r="K391" s="148" t="str">
        <f t="shared" si="6"/>
        <v>INSTRUMENTRCVD_AMRTSTN_12M</v>
      </c>
    </row>
    <row r="392" spans="1:11" hidden="1">
      <c r="A392" s="148" t="s">
        <v>2037</v>
      </c>
      <c r="B392" s="148" t="s">
        <v>2038</v>
      </c>
      <c r="C392" s="148" t="s">
        <v>127</v>
      </c>
      <c r="D392" s="148" t="s">
        <v>478</v>
      </c>
      <c r="E392" s="148" t="s">
        <v>1397</v>
      </c>
      <c r="F392" s="148" t="s">
        <v>1802</v>
      </c>
      <c r="G392" s="148" t="s">
        <v>129</v>
      </c>
      <c r="H392" s="148">
        <v>2266163</v>
      </c>
      <c r="I392" s="148">
        <v>0</v>
      </c>
      <c r="J392" s="148">
        <v>0</v>
      </c>
      <c r="K392" s="148" t="str">
        <f t="shared" si="6"/>
        <v>INSTRUMENTRCVD_AMRTSTN_24M</v>
      </c>
    </row>
    <row r="393" spans="1:11" hidden="1">
      <c r="A393" s="148" t="s">
        <v>2039</v>
      </c>
      <c r="B393" s="148" t="s">
        <v>2040</v>
      </c>
      <c r="C393" s="148" t="s">
        <v>127</v>
      </c>
      <c r="D393" s="148" t="s">
        <v>254</v>
      </c>
      <c r="E393" s="148" t="s">
        <v>1397</v>
      </c>
      <c r="F393" s="148" t="s">
        <v>1802</v>
      </c>
      <c r="G393" s="148" t="s">
        <v>129</v>
      </c>
      <c r="H393" s="148">
        <v>2266163</v>
      </c>
      <c r="I393" s="148">
        <v>0</v>
      </c>
      <c r="J393" s="148">
        <v>0</v>
      </c>
      <c r="K393" s="148" t="str">
        <f t="shared" si="6"/>
        <v>INSTRUMENTRCVD_INTRST_12M</v>
      </c>
    </row>
    <row r="394" spans="1:11" hidden="1">
      <c r="A394" s="148" t="s">
        <v>2041</v>
      </c>
      <c r="B394" s="148" t="s">
        <v>2042</v>
      </c>
      <c r="C394" s="148" t="s">
        <v>127</v>
      </c>
      <c r="D394" s="148" t="s">
        <v>251</v>
      </c>
      <c r="E394" s="148" t="s">
        <v>1397</v>
      </c>
      <c r="F394" s="148" t="s">
        <v>1802</v>
      </c>
      <c r="G394" s="148" t="s">
        <v>129</v>
      </c>
      <c r="H394" s="148">
        <v>2266163</v>
      </c>
      <c r="I394" s="148">
        <v>0</v>
      </c>
      <c r="J394" s="148">
        <v>0</v>
      </c>
      <c r="K394" s="148" t="str">
        <f t="shared" si="6"/>
        <v>INSTRUMENTRCVD_INTRST_24M</v>
      </c>
    </row>
    <row r="395" spans="1:11" hidden="1">
      <c r="A395" s="148" t="s">
        <v>2043</v>
      </c>
      <c r="B395" s="148" t="s">
        <v>2044</v>
      </c>
      <c r="C395" s="148" t="s">
        <v>127</v>
      </c>
      <c r="D395" s="148" t="s">
        <v>511</v>
      </c>
      <c r="E395" s="148" t="s">
        <v>1394</v>
      </c>
      <c r="F395" s="148" t="s">
        <v>1802</v>
      </c>
      <c r="G395" s="148" t="s">
        <v>129</v>
      </c>
      <c r="H395" s="148">
        <v>2266163</v>
      </c>
      <c r="I395" s="148">
        <v>0</v>
      </c>
      <c r="J395" s="148">
        <v>0</v>
      </c>
      <c r="K395" s="148" t="str">
        <f t="shared" si="6"/>
        <v>INSTRUMENTSYNDCT_RL</v>
      </c>
    </row>
    <row r="396" spans="1:11" hidden="1">
      <c r="A396" s="148" t="s">
        <v>2045</v>
      </c>
      <c r="B396" s="148" t="s">
        <v>2046</v>
      </c>
      <c r="C396" s="148" t="s">
        <v>127</v>
      </c>
      <c r="D396" s="148" t="s">
        <v>512</v>
      </c>
      <c r="E396" s="148" t="s">
        <v>1390</v>
      </c>
      <c r="F396" s="148" t="s">
        <v>1802</v>
      </c>
      <c r="G396" s="148" t="s">
        <v>129</v>
      </c>
      <c r="H396" s="148">
        <v>2266163</v>
      </c>
      <c r="I396" s="148">
        <v>0</v>
      </c>
      <c r="J396" s="148">
        <v>0</v>
      </c>
      <c r="K396" s="148" t="str">
        <f t="shared" si="6"/>
        <v>INSTRUMENTSYNDCTD_AGNT</v>
      </c>
    </row>
    <row r="397" spans="1:11" hidden="1">
      <c r="A397" s="148" t="s">
        <v>2047</v>
      </c>
      <c r="B397" s="148" t="s">
        <v>2048</v>
      </c>
      <c r="C397" s="148" t="s">
        <v>127</v>
      </c>
      <c r="D397" s="148" t="s">
        <v>513</v>
      </c>
      <c r="E397" s="148" t="s">
        <v>1390</v>
      </c>
      <c r="F397" s="148" t="s">
        <v>1802</v>
      </c>
      <c r="G397" s="148" t="s">
        <v>129</v>
      </c>
      <c r="H397" s="148">
        <v>2266163</v>
      </c>
      <c r="I397" s="148">
        <v>0</v>
      </c>
      <c r="J397" s="148">
        <v>0</v>
      </c>
      <c r="K397" s="148" t="str">
        <f t="shared" si="6"/>
        <v>INSTRUMENTSYNDCTD_CNTRCT_ID</v>
      </c>
    </row>
    <row r="398" spans="1:11" hidden="1">
      <c r="A398" s="148" t="s">
        <v>2049</v>
      </c>
      <c r="B398" s="148" t="s">
        <v>2050</v>
      </c>
      <c r="C398" s="148" t="s">
        <v>127</v>
      </c>
      <c r="D398" s="148" t="s">
        <v>514</v>
      </c>
      <c r="E398" s="148" t="s">
        <v>1390</v>
      </c>
      <c r="F398" s="148" t="s">
        <v>1802</v>
      </c>
      <c r="G398" s="148" t="s">
        <v>129</v>
      </c>
      <c r="H398" s="148">
        <v>2266163</v>
      </c>
      <c r="I398" s="148">
        <v>0</v>
      </c>
      <c r="J398" s="148">
        <v>0</v>
      </c>
      <c r="K398" s="148" t="str">
        <f t="shared" si="6"/>
        <v>INSTRUMENTSYNDCTD_LNDRS</v>
      </c>
    </row>
    <row r="399" spans="1:11" hidden="1">
      <c r="A399" s="148" t="s">
        <v>2051</v>
      </c>
      <c r="B399" s="148" t="s">
        <v>2052</v>
      </c>
      <c r="C399" s="148" t="s">
        <v>127</v>
      </c>
      <c r="D399" s="148" t="s">
        <v>515</v>
      </c>
      <c r="E399" s="148" t="s">
        <v>1397</v>
      </c>
      <c r="F399" s="148" t="s">
        <v>1802</v>
      </c>
      <c r="G399" s="148" t="s">
        <v>129</v>
      </c>
      <c r="H399" s="148">
        <v>2266163</v>
      </c>
      <c r="I399" s="148">
        <v>0</v>
      </c>
      <c r="J399" s="148">
        <v>0</v>
      </c>
      <c r="K399" s="148" t="str">
        <f t="shared" si="6"/>
        <v>INSTRUMENTSYNDCTD_SHR</v>
      </c>
    </row>
    <row r="400" spans="1:11" hidden="1">
      <c r="A400" s="148" t="s">
        <v>2053</v>
      </c>
      <c r="B400" s="148" t="s">
        <v>2054</v>
      </c>
      <c r="C400" s="148" t="s">
        <v>127</v>
      </c>
      <c r="D400" s="148" t="s">
        <v>516</v>
      </c>
      <c r="E400" s="148" t="s">
        <v>1394</v>
      </c>
      <c r="F400" s="148" t="s">
        <v>1802</v>
      </c>
      <c r="G400" s="148" t="s">
        <v>129</v>
      </c>
      <c r="H400" s="148">
        <v>2266163</v>
      </c>
      <c r="I400" s="148">
        <v>0</v>
      </c>
      <c r="J400" s="148">
        <v>0</v>
      </c>
      <c r="K400" s="148" t="str">
        <f t="shared" si="6"/>
        <v>INSTRUMENTSYNDCTN_TYP</v>
      </c>
    </row>
    <row r="401" spans="1:11" hidden="1">
      <c r="A401" s="148" t="s">
        <v>2055</v>
      </c>
      <c r="B401" s="148" t="s">
        <v>2056</v>
      </c>
      <c r="C401" s="148" t="s">
        <v>127</v>
      </c>
      <c r="D401" s="148" t="s">
        <v>162</v>
      </c>
      <c r="E401" s="148" t="s">
        <v>1394</v>
      </c>
      <c r="F401" s="148" t="s">
        <v>1802</v>
      </c>
      <c r="G401" s="148" t="s">
        <v>129</v>
      </c>
      <c r="H401" s="148">
        <v>2266163</v>
      </c>
      <c r="I401" s="148">
        <v>0</v>
      </c>
      <c r="J401" s="148">
        <v>0</v>
      </c>
      <c r="K401" s="148" t="str">
        <f t="shared" si="6"/>
        <v>INSTRUMENTASST_SCRT_CLSS</v>
      </c>
    </row>
    <row r="402" spans="1:11" hidden="1">
      <c r="A402" s="148" t="s">
        <v>2057</v>
      </c>
      <c r="B402" s="148" t="s">
        <v>2058</v>
      </c>
      <c r="C402" s="148" t="s">
        <v>127</v>
      </c>
      <c r="D402" s="148" t="s">
        <v>190</v>
      </c>
      <c r="E402" s="148" t="s">
        <v>1394</v>
      </c>
      <c r="F402" s="148" t="s">
        <v>1802</v>
      </c>
      <c r="G402" s="148" t="s">
        <v>129</v>
      </c>
      <c r="H402" s="148">
        <v>2266163</v>
      </c>
      <c r="I402" s="148">
        <v>0</v>
      </c>
      <c r="J402" s="148">
        <v>0</v>
      </c>
      <c r="K402" s="148" t="str">
        <f t="shared" si="6"/>
        <v>INSTRUMENTCPN_CRRNCY</v>
      </c>
    </row>
    <row r="403" spans="1:11" hidden="1">
      <c r="A403" s="148" t="s">
        <v>2059</v>
      </c>
      <c r="B403" s="148" t="s">
        <v>2060</v>
      </c>
      <c r="C403" s="148" t="s">
        <v>127</v>
      </c>
      <c r="D403" s="148" t="s">
        <v>191</v>
      </c>
      <c r="E403" s="148" t="s">
        <v>1397</v>
      </c>
      <c r="F403" s="148" t="s">
        <v>1802</v>
      </c>
      <c r="G403" s="148" t="s">
        <v>129</v>
      </c>
      <c r="H403" s="148">
        <v>2266163</v>
      </c>
      <c r="I403" s="148">
        <v>0</v>
      </c>
      <c r="J403" s="148">
        <v>0</v>
      </c>
      <c r="K403" s="148" t="str">
        <f t="shared" si="6"/>
        <v>INSTRUMENTCPN_RT_FXD</v>
      </c>
    </row>
    <row r="404" spans="1:11" hidden="1">
      <c r="A404" s="148" t="s">
        <v>2061</v>
      </c>
      <c r="B404" s="148" t="s">
        <v>2062</v>
      </c>
      <c r="C404" s="148" t="s">
        <v>127</v>
      </c>
      <c r="D404" s="148" t="s">
        <v>286</v>
      </c>
      <c r="E404" s="148" t="s">
        <v>1387</v>
      </c>
      <c r="F404" s="148" t="s">
        <v>1802</v>
      </c>
      <c r="G404" s="148" t="s">
        <v>129</v>
      </c>
      <c r="H404" s="148">
        <v>2266163</v>
      </c>
      <c r="I404" s="148">
        <v>0</v>
      </c>
      <c r="J404" s="148">
        <v>0</v>
      </c>
      <c r="K404" s="148" t="str">
        <f t="shared" si="6"/>
        <v>INSTRUMENTDT_VLTN</v>
      </c>
    </row>
    <row r="405" spans="1:11" hidden="1">
      <c r="A405" s="148" t="s">
        <v>2063</v>
      </c>
      <c r="B405" s="148" t="s">
        <v>2064</v>
      </c>
      <c r="C405" s="148" t="s">
        <v>127</v>
      </c>
      <c r="D405" s="148" t="s">
        <v>302</v>
      </c>
      <c r="E405" s="148" t="s">
        <v>1394</v>
      </c>
      <c r="F405" s="148" t="s">
        <v>1802</v>
      </c>
      <c r="G405" s="148" t="s">
        <v>129</v>
      </c>
      <c r="H405" s="148">
        <v>2266163</v>
      </c>
      <c r="I405" s="148">
        <v>0</v>
      </c>
      <c r="J405" s="148">
        <v>0</v>
      </c>
      <c r="K405" s="148" t="str">
        <f t="shared" si="6"/>
        <v>INSTRUMENTELGBLTY_ECB</v>
      </c>
    </row>
    <row r="406" spans="1:11" hidden="1">
      <c r="A406" s="148" t="s">
        <v>2065</v>
      </c>
      <c r="B406" s="148" t="s">
        <v>2066</v>
      </c>
      <c r="C406" s="148" t="s">
        <v>127</v>
      </c>
      <c r="D406" s="148" t="s">
        <v>342</v>
      </c>
      <c r="E406" s="148" t="s">
        <v>1390</v>
      </c>
      <c r="F406" s="148" t="s">
        <v>1802</v>
      </c>
      <c r="G406" s="148" t="s">
        <v>129</v>
      </c>
      <c r="H406" s="148">
        <v>2266163</v>
      </c>
      <c r="I406" s="148">
        <v>0</v>
      </c>
      <c r="J406" s="148">
        <v>0</v>
      </c>
      <c r="K406" s="148" t="str">
        <f t="shared" si="6"/>
        <v>INSTRUMENTGRNTR_ID</v>
      </c>
    </row>
    <row r="407" spans="1:11" hidden="1">
      <c r="A407" s="148" t="s">
        <v>2067</v>
      </c>
      <c r="B407" s="148" t="s">
        <v>2068</v>
      </c>
      <c r="C407" s="148" t="s">
        <v>127</v>
      </c>
      <c r="D407" s="148" t="s">
        <v>343</v>
      </c>
      <c r="E407" s="148" t="s">
        <v>1394</v>
      </c>
      <c r="F407" s="148" t="s">
        <v>1802</v>
      </c>
      <c r="G407" s="148" t="s">
        <v>129</v>
      </c>
      <c r="H407" s="148">
        <v>2266163</v>
      </c>
      <c r="I407" s="148">
        <v>0</v>
      </c>
      <c r="J407" s="148">
        <v>0</v>
      </c>
      <c r="K407" s="148" t="str">
        <f t="shared" si="6"/>
        <v>INSTRUMENTGRNTR_ID_TYP</v>
      </c>
    </row>
    <row r="408" spans="1:11" hidden="1">
      <c r="A408" s="148" t="s">
        <v>2069</v>
      </c>
      <c r="B408" s="148" t="s">
        <v>2070</v>
      </c>
      <c r="C408" s="148" t="s">
        <v>127</v>
      </c>
      <c r="D408" s="148" t="s">
        <v>349</v>
      </c>
      <c r="E408" s="148" t="s">
        <v>1390</v>
      </c>
      <c r="F408" s="148" t="s">
        <v>1802</v>
      </c>
      <c r="G408" s="148" t="s">
        <v>129</v>
      </c>
      <c r="H408" s="148">
        <v>2266163</v>
      </c>
      <c r="I408" s="148">
        <v>0</v>
      </c>
      <c r="J408" s="148">
        <v>0</v>
      </c>
      <c r="K408" s="148" t="str">
        <f t="shared" si="6"/>
        <v>INSTRUMENTHEDGE_ID</v>
      </c>
    </row>
    <row r="409" spans="1:11" hidden="1">
      <c r="A409" s="148" t="s">
        <v>2071</v>
      </c>
      <c r="B409" s="148" t="s">
        <v>2072</v>
      </c>
      <c r="C409" s="148" t="s">
        <v>127</v>
      </c>
      <c r="D409" s="148" t="s">
        <v>365</v>
      </c>
      <c r="E409" s="148" t="s">
        <v>1394</v>
      </c>
      <c r="F409" s="148" t="s">
        <v>1802</v>
      </c>
      <c r="G409" s="148" t="s">
        <v>129</v>
      </c>
      <c r="H409" s="148">
        <v>2266163</v>
      </c>
      <c r="I409" s="148">
        <v>0</v>
      </c>
      <c r="J409" s="148">
        <v>0</v>
      </c>
      <c r="K409" s="148" t="str">
        <f t="shared" si="6"/>
        <v>INSTRUMENTINSTR_SNRTY_CLSS</v>
      </c>
    </row>
    <row r="410" spans="1:11" hidden="1">
      <c r="A410" s="148" t="s">
        <v>2073</v>
      </c>
      <c r="B410" s="148" t="s">
        <v>2074</v>
      </c>
      <c r="C410" s="148" t="s">
        <v>127</v>
      </c>
      <c r="D410" s="148" t="s">
        <v>366</v>
      </c>
      <c r="E410" s="148" t="s">
        <v>1394</v>
      </c>
      <c r="F410" s="148" t="s">
        <v>1802</v>
      </c>
      <c r="G410" s="148" t="s">
        <v>129</v>
      </c>
      <c r="H410" s="148">
        <v>2266163</v>
      </c>
      <c r="I410" s="148">
        <v>0</v>
      </c>
      <c r="J410" s="148">
        <v>0</v>
      </c>
      <c r="K410" s="148" t="str">
        <f t="shared" si="6"/>
        <v>INSTRUMENTINSTRMNT_CLSS</v>
      </c>
    </row>
    <row r="411" spans="1:11" hidden="1">
      <c r="A411" s="148" t="s">
        <v>2075</v>
      </c>
      <c r="B411" s="148" t="s">
        <v>1653</v>
      </c>
      <c r="C411" s="148" t="s">
        <v>127</v>
      </c>
      <c r="D411" s="148" t="s">
        <v>380</v>
      </c>
      <c r="E411" s="148" t="s">
        <v>1390</v>
      </c>
      <c r="F411" s="148" t="s">
        <v>1802</v>
      </c>
      <c r="G411" s="148" t="s">
        <v>129</v>
      </c>
      <c r="H411" s="148">
        <v>2266163</v>
      </c>
      <c r="I411" s="148">
        <v>0</v>
      </c>
      <c r="J411" s="148">
        <v>0</v>
      </c>
      <c r="K411" s="148" t="str">
        <f t="shared" si="6"/>
        <v>INSTRUMENTISIN</v>
      </c>
    </row>
    <row r="412" spans="1:11" hidden="1">
      <c r="A412" s="148" t="s">
        <v>2076</v>
      </c>
      <c r="B412" s="148" t="s">
        <v>2077</v>
      </c>
      <c r="C412" s="148" t="s">
        <v>127</v>
      </c>
      <c r="D412" s="148" t="s">
        <v>382</v>
      </c>
      <c r="E412" s="148" t="s">
        <v>1394</v>
      </c>
      <c r="F412" s="148" t="s">
        <v>1802</v>
      </c>
      <c r="G412" s="148" t="s">
        <v>129</v>
      </c>
      <c r="H412" s="148">
        <v>2266163</v>
      </c>
      <c r="I412" s="148">
        <v>0</v>
      </c>
      <c r="J412" s="148">
        <v>0</v>
      </c>
      <c r="K412" s="148" t="str">
        <f t="shared" si="6"/>
        <v>INSTRUMENTISSR_CNTRY</v>
      </c>
    </row>
    <row r="413" spans="1:11" hidden="1">
      <c r="A413" s="148" t="s">
        <v>2078</v>
      </c>
      <c r="B413" s="148" t="s">
        <v>2079</v>
      </c>
      <c r="C413" s="148" t="s">
        <v>127</v>
      </c>
      <c r="D413" s="148" t="s">
        <v>383</v>
      </c>
      <c r="E413" s="148" t="s">
        <v>1394</v>
      </c>
      <c r="F413" s="148" t="s">
        <v>1802</v>
      </c>
      <c r="G413" s="148" t="s">
        <v>1011</v>
      </c>
      <c r="H413" s="148">
        <v>2266163</v>
      </c>
      <c r="I413" s="148">
        <v>19</v>
      </c>
      <c r="J413" s="148">
        <v>8.0000000000000004E-4</v>
      </c>
      <c r="K413" s="148" t="str">
        <f t="shared" si="6"/>
        <v>INSTRUMENTISSR_ESA_2010</v>
      </c>
    </row>
    <row r="414" spans="1:11" hidden="1">
      <c r="A414" s="148" t="s">
        <v>2080</v>
      </c>
      <c r="B414" s="148" t="s">
        <v>2081</v>
      </c>
      <c r="C414" s="148" t="s">
        <v>127</v>
      </c>
      <c r="D414" s="148" t="s">
        <v>384</v>
      </c>
      <c r="E414" s="148" t="s">
        <v>1390</v>
      </c>
      <c r="F414" s="148" t="s">
        <v>1802</v>
      </c>
      <c r="G414" s="148" t="s">
        <v>129</v>
      </c>
      <c r="H414" s="148">
        <v>2266163</v>
      </c>
      <c r="I414" s="148">
        <v>0</v>
      </c>
      <c r="J414" s="148">
        <v>0</v>
      </c>
      <c r="K414" s="148" t="str">
        <f t="shared" si="6"/>
        <v>INSTRUMENTISSR_ID</v>
      </c>
    </row>
    <row r="415" spans="1:11" hidden="1">
      <c r="A415" s="148" t="s">
        <v>2082</v>
      </c>
      <c r="B415" s="148" t="s">
        <v>970</v>
      </c>
      <c r="C415" s="148" t="s">
        <v>127</v>
      </c>
      <c r="D415" s="148" t="s">
        <v>385</v>
      </c>
      <c r="E415" s="148" t="s">
        <v>1394</v>
      </c>
      <c r="F415" s="148" t="s">
        <v>1802</v>
      </c>
      <c r="G415" s="148" t="s">
        <v>129</v>
      </c>
      <c r="H415" s="148">
        <v>2266163</v>
      </c>
      <c r="I415" s="148">
        <v>0</v>
      </c>
      <c r="J415" s="148">
        <v>0</v>
      </c>
      <c r="K415" s="148" t="str">
        <f t="shared" si="6"/>
        <v>INSTRUMENTISSR_ID_TYP</v>
      </c>
    </row>
    <row r="416" spans="1:11" hidden="1">
      <c r="A416" s="148" t="s">
        <v>2083</v>
      </c>
      <c r="B416" s="148" t="s">
        <v>2084</v>
      </c>
      <c r="C416" s="148" t="s">
        <v>127</v>
      </c>
      <c r="D416" s="148" t="s">
        <v>386</v>
      </c>
      <c r="E416" s="148" t="s">
        <v>1394</v>
      </c>
      <c r="F416" s="148" t="s">
        <v>1802</v>
      </c>
      <c r="G416" s="148" t="s">
        <v>129</v>
      </c>
      <c r="H416" s="148">
        <v>2266163</v>
      </c>
      <c r="I416" s="148">
        <v>0</v>
      </c>
      <c r="J416" s="148">
        <v>0</v>
      </c>
      <c r="K416" s="148" t="str">
        <f t="shared" si="6"/>
        <v>INSTRUMENTISSR_NACE_SCTR</v>
      </c>
    </row>
    <row r="417" spans="1:11" hidden="1">
      <c r="A417" s="148" t="s">
        <v>2085</v>
      </c>
      <c r="B417" s="148" t="s">
        <v>2086</v>
      </c>
      <c r="C417" s="148" t="s">
        <v>127</v>
      </c>
      <c r="D417" s="148" t="s">
        <v>387</v>
      </c>
      <c r="E417" s="148" t="s">
        <v>2087</v>
      </c>
      <c r="F417" s="148" t="s">
        <v>1802</v>
      </c>
      <c r="G417" s="148" t="s">
        <v>129</v>
      </c>
      <c r="H417" s="148">
        <v>2266163</v>
      </c>
      <c r="I417" s="148">
        <v>0</v>
      </c>
      <c r="J417" s="148">
        <v>0</v>
      </c>
      <c r="K417" s="148" t="str">
        <f t="shared" si="6"/>
        <v>INSTRUMENTISSR_RTNG</v>
      </c>
    </row>
    <row r="418" spans="1:11" hidden="1">
      <c r="A418" s="148" t="s">
        <v>2088</v>
      </c>
      <c r="B418" s="148" t="s">
        <v>2089</v>
      </c>
      <c r="C418" s="148" t="s">
        <v>127</v>
      </c>
      <c r="D418" s="148" t="s">
        <v>388</v>
      </c>
      <c r="E418" s="148" t="s">
        <v>1390</v>
      </c>
      <c r="F418" s="148" t="s">
        <v>1802</v>
      </c>
      <c r="G418" s="148" t="s">
        <v>129</v>
      </c>
      <c r="H418" s="148">
        <v>2266163</v>
      </c>
      <c r="I418" s="148">
        <v>0</v>
      </c>
      <c r="J418" s="148">
        <v>0</v>
      </c>
      <c r="K418" s="148" t="str">
        <f t="shared" si="6"/>
        <v>INSTRUMENTISSR_RTNG_SRC</v>
      </c>
    </row>
    <row r="419" spans="1:11" hidden="1">
      <c r="A419" s="148" t="s">
        <v>2090</v>
      </c>
      <c r="B419" s="148" t="s">
        <v>2091</v>
      </c>
      <c r="C419" s="148" t="s">
        <v>127</v>
      </c>
      <c r="D419" s="148" t="s">
        <v>389</v>
      </c>
      <c r="E419" s="148" t="s">
        <v>1394</v>
      </c>
      <c r="F419" s="148" t="s">
        <v>1802</v>
      </c>
      <c r="G419" s="148" t="s">
        <v>129</v>
      </c>
      <c r="H419" s="148">
        <v>2266163</v>
      </c>
      <c r="I419" s="148">
        <v>0</v>
      </c>
      <c r="J419" s="148">
        <v>0</v>
      </c>
      <c r="K419" s="148" t="str">
        <f t="shared" si="6"/>
        <v>INSTRUMENTISSR_TYP</v>
      </c>
    </row>
    <row r="420" spans="1:11" hidden="1">
      <c r="A420" s="148" t="s">
        <v>2092</v>
      </c>
      <c r="B420" s="148" t="s">
        <v>2093</v>
      </c>
      <c r="C420" s="148" t="s">
        <v>127</v>
      </c>
      <c r="D420" s="148" t="s">
        <v>392</v>
      </c>
      <c r="E420" s="148" t="s">
        <v>1394</v>
      </c>
      <c r="F420" s="148" t="s">
        <v>1802</v>
      </c>
      <c r="G420" s="148" t="s">
        <v>129</v>
      </c>
      <c r="H420" s="148">
        <v>2266163</v>
      </c>
      <c r="I420" s="148">
        <v>0</v>
      </c>
      <c r="J420" s="148">
        <v>0</v>
      </c>
      <c r="K420" s="148" t="str">
        <f t="shared" si="6"/>
        <v>INSTRUMENTLCR_BFFR_CTGRY</v>
      </c>
    </row>
    <row r="421" spans="1:11" hidden="1">
      <c r="A421" s="148" t="s">
        <v>2094</v>
      </c>
      <c r="B421" s="148" t="s">
        <v>2095</v>
      </c>
      <c r="C421" s="148" t="s">
        <v>127</v>
      </c>
      <c r="D421" s="148" t="s">
        <v>448</v>
      </c>
      <c r="E421" s="148" t="s">
        <v>1394</v>
      </c>
      <c r="F421" s="148" t="s">
        <v>1802</v>
      </c>
      <c r="G421" s="148" t="s">
        <v>129</v>
      </c>
      <c r="H421" s="148">
        <v>2266163</v>
      </c>
      <c r="I421" s="148">
        <v>0</v>
      </c>
      <c r="J421" s="148">
        <v>0</v>
      </c>
      <c r="K421" s="148" t="str">
        <f t="shared" si="6"/>
        <v>INSTRUMENTPRCH_UNDR_RSL_AGR</v>
      </c>
    </row>
    <row r="422" spans="1:11" hidden="1">
      <c r="A422" s="148" t="s">
        <v>2096</v>
      </c>
      <c r="B422" s="148" t="s">
        <v>2097</v>
      </c>
      <c r="C422" s="148" t="s">
        <v>127</v>
      </c>
      <c r="D422" s="148" t="s">
        <v>450</v>
      </c>
      <c r="E422" s="148" t="s">
        <v>1394</v>
      </c>
      <c r="F422" s="148" t="s">
        <v>1802</v>
      </c>
      <c r="G422" s="148" t="s">
        <v>129</v>
      </c>
      <c r="H422" s="148">
        <v>2266163</v>
      </c>
      <c r="I422" s="148">
        <v>0</v>
      </c>
      <c r="J422" s="148">
        <v>0</v>
      </c>
      <c r="K422" s="148" t="str">
        <f t="shared" si="6"/>
        <v>INSTRUMENTPRDNTL_PRTFL</v>
      </c>
    </row>
    <row r="423" spans="1:11" hidden="1">
      <c r="A423" s="148" t="s">
        <v>2098</v>
      </c>
      <c r="B423" s="148" t="s">
        <v>2099</v>
      </c>
      <c r="C423" s="148" t="s">
        <v>127</v>
      </c>
      <c r="D423" s="148" t="s">
        <v>455</v>
      </c>
      <c r="E423" s="148" t="s">
        <v>1394</v>
      </c>
      <c r="F423" s="148" t="s">
        <v>1802</v>
      </c>
      <c r="G423" s="148" t="s">
        <v>129</v>
      </c>
      <c r="H423" s="148">
        <v>2266163</v>
      </c>
      <c r="I423" s="148">
        <v>0</v>
      </c>
      <c r="J423" s="148">
        <v>0</v>
      </c>
      <c r="K423" s="148" t="str">
        <f t="shared" si="6"/>
        <v>INSTRUMENTPRMRY_ASST_CLSSF</v>
      </c>
    </row>
    <row r="424" spans="1:11" hidden="1">
      <c r="A424" s="148" t="s">
        <v>2100</v>
      </c>
      <c r="B424" s="148" t="s">
        <v>2101</v>
      </c>
      <c r="C424" s="148" t="s">
        <v>127</v>
      </c>
      <c r="D424" s="148" t="s">
        <v>458</v>
      </c>
      <c r="E424" s="148" t="s">
        <v>1394</v>
      </c>
      <c r="F424" s="148" t="s">
        <v>1802</v>
      </c>
      <c r="G424" s="148" t="s">
        <v>129</v>
      </c>
      <c r="H424" s="148">
        <v>2266163</v>
      </c>
      <c r="I424" s="148">
        <v>0</v>
      </c>
      <c r="J424" s="148">
        <v>0</v>
      </c>
      <c r="K424" s="148" t="str">
        <f t="shared" si="6"/>
        <v>INSTRUMENTPRT_LCR_BFFR</v>
      </c>
    </row>
    <row r="425" spans="1:11" hidden="1">
      <c r="A425" s="148" t="s">
        <v>2102</v>
      </c>
      <c r="B425" s="148" t="s">
        <v>2103</v>
      </c>
      <c r="C425" s="148" t="s">
        <v>127</v>
      </c>
      <c r="D425" s="148" t="s">
        <v>554</v>
      </c>
      <c r="E425" s="148" t="s">
        <v>1397</v>
      </c>
      <c r="F425" s="148" t="s">
        <v>1802</v>
      </c>
      <c r="G425" s="148" t="s">
        <v>1011</v>
      </c>
      <c r="H425" s="148">
        <v>2266163</v>
      </c>
      <c r="I425" s="148">
        <v>2266163</v>
      </c>
      <c r="J425" s="148">
        <v>100</v>
      </c>
      <c r="K425" s="148" t="str">
        <f t="shared" si="6"/>
        <v>INSTRUMENTCPN_RT_FLTNG</v>
      </c>
    </row>
    <row r="426" spans="1:11" hidden="1">
      <c r="A426" s="148" t="s">
        <v>2104</v>
      </c>
      <c r="B426" s="148" t="s">
        <v>2105</v>
      </c>
      <c r="C426" s="148" t="s">
        <v>127</v>
      </c>
      <c r="D426" s="148" t="s">
        <v>507</v>
      </c>
      <c r="E426" s="148" t="s">
        <v>1397</v>
      </c>
      <c r="F426" s="148" t="s">
        <v>1802</v>
      </c>
      <c r="G426" s="148" t="s">
        <v>129</v>
      </c>
      <c r="H426" s="148">
        <v>2266163</v>
      </c>
      <c r="I426" s="148">
        <v>0</v>
      </c>
      <c r="J426" s="148">
        <v>0</v>
      </c>
      <c r="K426" s="148" t="str">
        <f t="shared" si="6"/>
        <v>INSTRUMENTSPRD</v>
      </c>
    </row>
    <row r="427" spans="1:11" hidden="1">
      <c r="A427" s="148" t="s">
        <v>2106</v>
      </c>
      <c r="B427" s="148" t="s">
        <v>2107</v>
      </c>
      <c r="C427" s="148" t="s">
        <v>127</v>
      </c>
      <c r="D427" s="148" t="s">
        <v>508</v>
      </c>
      <c r="E427" s="148" t="s">
        <v>1394</v>
      </c>
      <c r="F427" s="148" t="s">
        <v>1802</v>
      </c>
      <c r="G427" s="148" t="s">
        <v>129</v>
      </c>
      <c r="H427" s="148">
        <v>2266163</v>
      </c>
      <c r="I427" s="148">
        <v>0</v>
      </c>
      <c r="J427" s="148">
        <v>0</v>
      </c>
      <c r="K427" s="148" t="str">
        <f t="shared" si="6"/>
        <v>INSTRUMENTSRCS_ENCMBRNC</v>
      </c>
    </row>
    <row r="428" spans="1:11" hidden="1">
      <c r="A428" s="148" t="s">
        <v>2108</v>
      </c>
      <c r="B428" s="148" t="s">
        <v>2109</v>
      </c>
      <c r="C428" s="148" t="s">
        <v>127</v>
      </c>
      <c r="D428" s="148" t="s">
        <v>538</v>
      </c>
      <c r="E428" s="148" t="s">
        <v>1394</v>
      </c>
      <c r="F428" s="148" t="s">
        <v>1802</v>
      </c>
      <c r="G428" s="148" t="s">
        <v>129</v>
      </c>
      <c r="H428" s="148">
        <v>2266163</v>
      </c>
      <c r="I428" s="148">
        <v>0</v>
      </c>
      <c r="J428" s="148">
        <v>0</v>
      </c>
      <c r="K428" s="148" t="str">
        <f t="shared" si="6"/>
        <v>INSTRUMENTTYPE_OF_PLCMNT</v>
      </c>
    </row>
    <row r="429" spans="1:11" hidden="1">
      <c r="A429" s="148" t="s">
        <v>2110</v>
      </c>
      <c r="B429" s="148" t="s">
        <v>2111</v>
      </c>
      <c r="C429" s="148" t="s">
        <v>127</v>
      </c>
      <c r="D429" s="148" t="s">
        <v>539</v>
      </c>
      <c r="E429" s="148" t="s">
        <v>1394</v>
      </c>
      <c r="F429" s="148" t="s">
        <v>1802</v>
      </c>
      <c r="G429" s="148" t="s">
        <v>129</v>
      </c>
      <c r="H429" s="148">
        <v>2266163</v>
      </c>
      <c r="I429" s="148">
        <v>0</v>
      </c>
      <c r="J429" s="148">
        <v>0</v>
      </c>
      <c r="K429" s="148" t="str">
        <f t="shared" si="6"/>
        <v>INSTRUMENTVLTN_CRRNCY</v>
      </c>
    </row>
    <row r="430" spans="1:11" hidden="1">
      <c r="A430" s="148" t="s">
        <v>2112</v>
      </c>
      <c r="B430" s="148" t="s">
        <v>2113</v>
      </c>
      <c r="C430" s="148" t="s">
        <v>127</v>
      </c>
      <c r="D430" s="148" t="s">
        <v>540</v>
      </c>
      <c r="E430" s="148" t="s">
        <v>1394</v>
      </c>
      <c r="F430" s="148" t="s">
        <v>1802</v>
      </c>
      <c r="G430" s="148" t="s">
        <v>129</v>
      </c>
      <c r="H430" s="148">
        <v>2266163</v>
      </c>
      <c r="I430" s="148">
        <v>0</v>
      </c>
      <c r="J430" s="148">
        <v>0</v>
      </c>
      <c r="K430" s="148" t="str">
        <f t="shared" si="6"/>
        <v>INSTRUMENTVLTN_TYP</v>
      </c>
    </row>
    <row r="431" spans="1:11" hidden="1">
      <c r="A431" s="148" t="s">
        <v>2114</v>
      </c>
      <c r="B431" s="148" t="s">
        <v>2115</v>
      </c>
      <c r="C431" s="148" t="s">
        <v>127</v>
      </c>
      <c r="D431" s="148" t="s">
        <v>407</v>
      </c>
      <c r="E431" s="148" t="s">
        <v>1394</v>
      </c>
      <c r="F431" s="148" t="s">
        <v>1802</v>
      </c>
      <c r="G431" s="148" t="s">
        <v>129</v>
      </c>
      <c r="H431" s="148">
        <v>2266163</v>
      </c>
      <c r="I431" s="148">
        <v>0</v>
      </c>
      <c r="J431" s="148">
        <v>0</v>
      </c>
      <c r="K431" s="148" t="str">
        <f t="shared" si="6"/>
        <v>INSTRUMENTLVRG_FNNC_FLG</v>
      </c>
    </row>
    <row r="432" spans="1:11" hidden="1">
      <c r="A432" s="148" t="s">
        <v>2116</v>
      </c>
      <c r="B432" s="148" t="s">
        <v>2117</v>
      </c>
      <c r="C432" s="148" t="s">
        <v>127</v>
      </c>
      <c r="D432" s="148" t="s">
        <v>377</v>
      </c>
      <c r="E432" s="148" t="s">
        <v>1390</v>
      </c>
      <c r="F432" s="148" t="s">
        <v>1802</v>
      </c>
      <c r="G432" s="148" t="s">
        <v>129</v>
      </c>
      <c r="H432" s="148">
        <v>2266163</v>
      </c>
      <c r="I432" s="148">
        <v>0</v>
      </c>
      <c r="J432" s="148">
        <v>0</v>
      </c>
      <c r="K432" s="148" t="str">
        <f t="shared" si="6"/>
        <v>INSTRUMENTINTRNL_SGMNT_IFRS9</v>
      </c>
    </row>
    <row r="433" spans="1:11" hidden="1">
      <c r="A433" s="148" t="s">
        <v>2118</v>
      </c>
      <c r="B433" s="148" t="s">
        <v>2119</v>
      </c>
      <c r="C433" s="148" t="s">
        <v>127</v>
      </c>
      <c r="D433" s="148" t="s">
        <v>375</v>
      </c>
      <c r="E433" s="148" t="s">
        <v>2087</v>
      </c>
      <c r="F433" s="148" t="s">
        <v>1802</v>
      </c>
      <c r="G433" s="148" t="s">
        <v>1011</v>
      </c>
      <c r="H433" s="148">
        <v>2266163</v>
      </c>
      <c r="I433" s="148">
        <v>841</v>
      </c>
      <c r="J433" s="148">
        <v>3.7100000000000001E-2</v>
      </c>
      <c r="K433" s="148" t="str">
        <f t="shared" si="6"/>
        <v>INSTRUMENTINTRNL_SGMNT_CAT_MSTA</v>
      </c>
    </row>
    <row r="434" spans="1:11" hidden="1">
      <c r="A434" s="148" t="s">
        <v>2120</v>
      </c>
      <c r="B434" s="148" t="s">
        <v>2121</v>
      </c>
      <c r="C434" s="148" t="s">
        <v>127</v>
      </c>
      <c r="D434" s="148" t="s">
        <v>376</v>
      </c>
      <c r="E434" s="148" t="s">
        <v>2087</v>
      </c>
      <c r="F434" s="148" t="s">
        <v>1802</v>
      </c>
      <c r="G434" s="148" t="s">
        <v>1011</v>
      </c>
      <c r="H434" s="148">
        <v>2266163</v>
      </c>
      <c r="I434" s="148">
        <v>456626</v>
      </c>
      <c r="J434" s="148">
        <v>20.149699999999999</v>
      </c>
      <c r="K434" s="148" t="str">
        <f t="shared" si="6"/>
        <v>INSTRUMENTINTRNL_SGMNT_CATGSUB</v>
      </c>
    </row>
    <row r="435" spans="1:11" hidden="1">
      <c r="A435" s="148" t="s">
        <v>2122</v>
      </c>
      <c r="B435" s="148" t="s">
        <v>2123</v>
      </c>
      <c r="C435" s="148" t="s">
        <v>127</v>
      </c>
      <c r="D435" s="148" t="s">
        <v>198</v>
      </c>
      <c r="E435" s="148" t="s">
        <v>1397</v>
      </c>
      <c r="F435" s="148" t="s">
        <v>1802</v>
      </c>
      <c r="G435" s="148" t="s">
        <v>129</v>
      </c>
      <c r="H435" s="148">
        <v>2266163</v>
      </c>
      <c r="I435" s="148">
        <v>0</v>
      </c>
      <c r="J435" s="148">
        <v>0</v>
      </c>
      <c r="K435" s="148" t="str">
        <f t="shared" si="6"/>
        <v>INSTRUMENTCRRLTN_CFFCNT</v>
      </c>
    </row>
    <row r="436" spans="1:11" hidden="1">
      <c r="A436" s="148" t="s">
        <v>2124</v>
      </c>
      <c r="B436" s="148" t="s">
        <v>2125</v>
      </c>
      <c r="C436" s="148" t="s">
        <v>127</v>
      </c>
      <c r="D436" s="148" t="s">
        <v>381</v>
      </c>
      <c r="E436" s="148" t="s">
        <v>1390</v>
      </c>
      <c r="F436" s="148" t="s">
        <v>1802</v>
      </c>
      <c r="G436" s="148" t="s">
        <v>129</v>
      </c>
      <c r="H436" s="148">
        <v>2266163</v>
      </c>
      <c r="I436" s="148">
        <v>0</v>
      </c>
      <c r="J436" s="148">
        <v>0</v>
      </c>
      <c r="K436" s="148" t="str">
        <f t="shared" si="6"/>
        <v>INSTRUMENTISIN_SCRTSTN</v>
      </c>
    </row>
    <row r="437" spans="1:11" hidden="1">
      <c r="A437" s="148" t="s">
        <v>2126</v>
      </c>
      <c r="B437" s="148" t="s">
        <v>2127</v>
      </c>
      <c r="C437" s="148" t="s">
        <v>127</v>
      </c>
      <c r="D437" s="148" t="s">
        <v>184</v>
      </c>
      <c r="E437" s="148" t="s">
        <v>1390</v>
      </c>
      <c r="F437" s="148" t="s">
        <v>1802</v>
      </c>
      <c r="G437" s="148" t="s">
        <v>129</v>
      </c>
      <c r="H437" s="148">
        <v>2266163</v>
      </c>
      <c r="I437" s="148">
        <v>0</v>
      </c>
      <c r="J437" s="148">
        <v>0</v>
      </c>
      <c r="K437" s="148" t="str">
        <f t="shared" si="6"/>
        <v>INSTRUMENTCNTRCT_ID_BDR</v>
      </c>
    </row>
    <row r="438" spans="1:11" hidden="1">
      <c r="A438" s="148" t="s">
        <v>2128</v>
      </c>
      <c r="B438" s="148" t="s">
        <v>2129</v>
      </c>
      <c r="C438" s="148" t="s">
        <v>127</v>
      </c>
      <c r="D438" s="148" t="s">
        <v>189</v>
      </c>
      <c r="E438" s="148" t="s">
        <v>1394</v>
      </c>
      <c r="F438" s="148" t="s">
        <v>1802</v>
      </c>
      <c r="G438" s="148" t="s">
        <v>129</v>
      </c>
      <c r="H438" s="148">
        <v>2266163</v>
      </c>
      <c r="I438" s="148">
        <v>0</v>
      </c>
      <c r="J438" s="148">
        <v>0</v>
      </c>
      <c r="K438" s="148" t="str">
        <f t="shared" si="6"/>
        <v>INSTRUMENTCOD_SOC_INTRGRP</v>
      </c>
    </row>
    <row r="439" spans="1:11" hidden="1">
      <c r="A439" s="148" t="s">
        <v>2130</v>
      </c>
      <c r="B439" s="148" t="s">
        <v>2131</v>
      </c>
      <c r="C439" s="148" t="s">
        <v>127</v>
      </c>
      <c r="D439" s="148" t="s">
        <v>391</v>
      </c>
      <c r="E439" s="148" t="s">
        <v>1390</v>
      </c>
      <c r="F439" s="148" t="s">
        <v>1802</v>
      </c>
      <c r="G439" s="148" t="s">
        <v>129</v>
      </c>
      <c r="H439" s="148">
        <v>2266163</v>
      </c>
      <c r="I439" s="148">
        <v>0</v>
      </c>
      <c r="J439" s="148">
        <v>0</v>
      </c>
      <c r="K439" s="148" t="str">
        <f t="shared" si="6"/>
        <v>INSTRUMENTLCL_INSTMRNT_ID</v>
      </c>
    </row>
    <row r="440" spans="1:11" hidden="1">
      <c r="A440" s="148" t="s">
        <v>2132</v>
      </c>
      <c r="B440" s="148" t="s">
        <v>2133</v>
      </c>
      <c r="C440" s="148" t="s">
        <v>127</v>
      </c>
      <c r="D440" s="148" t="s">
        <v>2134</v>
      </c>
      <c r="E440" s="148" t="s">
        <v>1397</v>
      </c>
      <c r="F440" s="148" t="s">
        <v>1802</v>
      </c>
      <c r="G440" s="148" t="s">
        <v>129</v>
      </c>
      <c r="H440" s="148">
        <v>2266163</v>
      </c>
      <c r="I440" s="148">
        <v>0</v>
      </c>
      <c r="J440" s="148">
        <v>0</v>
      </c>
      <c r="K440" s="148" t="str">
        <f t="shared" si="6"/>
        <v>INSTRUMENTAVRG_BLNC</v>
      </c>
    </row>
    <row r="441" spans="1:11" hidden="1">
      <c r="A441" s="148" t="s">
        <v>2135</v>
      </c>
      <c r="B441" s="148" t="s">
        <v>2136</v>
      </c>
      <c r="C441" s="148" t="s">
        <v>127</v>
      </c>
      <c r="D441" s="148" t="s">
        <v>1299</v>
      </c>
      <c r="E441" s="148" t="s">
        <v>1394</v>
      </c>
      <c r="F441" s="148" t="s">
        <v>1802</v>
      </c>
      <c r="G441" s="148" t="s">
        <v>1011</v>
      </c>
      <c r="H441" s="148">
        <v>2266163</v>
      </c>
      <c r="I441" s="148">
        <v>1129</v>
      </c>
      <c r="J441" s="148">
        <v>4.9799999999999997E-2</v>
      </c>
      <c r="K441" s="148" t="str">
        <f t="shared" si="6"/>
        <v>INSTRUMENTNW_BSNSS</v>
      </c>
    </row>
    <row r="442" spans="1:11" hidden="1">
      <c r="A442" s="148" t="s">
        <v>2137</v>
      </c>
      <c r="B442" s="148" t="s">
        <v>2138</v>
      </c>
      <c r="C442" s="148" t="s">
        <v>127</v>
      </c>
      <c r="D442" s="148" t="s">
        <v>2139</v>
      </c>
      <c r="E442" s="148" t="s">
        <v>1397</v>
      </c>
      <c r="F442" s="148" t="s">
        <v>1802</v>
      </c>
      <c r="G442" s="148" t="s">
        <v>129</v>
      </c>
      <c r="H442" s="148">
        <v>2266163</v>
      </c>
      <c r="I442" s="148">
        <v>0</v>
      </c>
      <c r="J442" s="148">
        <v>0</v>
      </c>
      <c r="K442" s="148" t="str">
        <f t="shared" si="6"/>
        <v>INSTRUMENTGRSS_INTRST_INCM</v>
      </c>
    </row>
    <row r="443" spans="1:11" hidden="1">
      <c r="A443" s="148" t="s">
        <v>2140</v>
      </c>
      <c r="B443" s="148" t="s">
        <v>2141</v>
      </c>
      <c r="C443" s="148" t="s">
        <v>127</v>
      </c>
      <c r="D443" s="148" t="s">
        <v>2142</v>
      </c>
      <c r="E443" s="148" t="s">
        <v>1397</v>
      </c>
      <c r="F443" s="148" t="s">
        <v>1802</v>
      </c>
      <c r="G443" s="148" t="s">
        <v>129</v>
      </c>
      <c r="H443" s="148">
        <v>2266163</v>
      </c>
      <c r="I443" s="148">
        <v>0</v>
      </c>
      <c r="J443" s="148">
        <v>0</v>
      </c>
      <c r="K443" s="148" t="str">
        <f t="shared" si="6"/>
        <v>INSTRUMENTGRSS_CMMSSN_INCM</v>
      </c>
    </row>
    <row r="444" spans="1:11" hidden="1">
      <c r="A444" s="148" t="s">
        <v>2143</v>
      </c>
      <c r="B444" s="148" t="s">
        <v>2144</v>
      </c>
      <c r="C444" s="148" t="s">
        <v>127</v>
      </c>
      <c r="D444" s="148" t="s">
        <v>2145</v>
      </c>
      <c r="E444" s="148" t="s">
        <v>1397</v>
      </c>
      <c r="F444" s="148" t="s">
        <v>1802</v>
      </c>
      <c r="G444" s="148" t="s">
        <v>129</v>
      </c>
      <c r="H444" s="148">
        <v>2266163</v>
      </c>
      <c r="I444" s="148">
        <v>0</v>
      </c>
      <c r="J444" s="148">
        <v>0</v>
      </c>
      <c r="K444" s="148" t="str">
        <f t="shared" si="6"/>
        <v>INSTRUMENTINTRNL_TRNSFR_RT</v>
      </c>
    </row>
    <row r="445" spans="1:11" hidden="1">
      <c r="A445" s="148" t="s">
        <v>2146</v>
      </c>
      <c r="B445" s="148" t="s">
        <v>2147</v>
      </c>
      <c r="C445" s="148" t="s">
        <v>127</v>
      </c>
      <c r="D445" s="148" t="s">
        <v>2148</v>
      </c>
      <c r="E445" s="148" t="s">
        <v>1397</v>
      </c>
      <c r="F445" s="148" t="s">
        <v>1802</v>
      </c>
      <c r="G445" s="148" t="s">
        <v>129</v>
      </c>
      <c r="H445" s="148">
        <v>2266163</v>
      </c>
      <c r="I445" s="148">
        <v>0</v>
      </c>
      <c r="J445" s="148">
        <v>0</v>
      </c>
      <c r="K445" s="148" t="str">
        <f t="shared" si="6"/>
        <v>INSTRUMENTNT_LN_LSS_PRVSN</v>
      </c>
    </row>
    <row r="446" spans="1:11" hidden="1">
      <c r="A446" s="148" t="s">
        <v>2149</v>
      </c>
      <c r="B446" s="148" t="s">
        <v>2150</v>
      </c>
      <c r="C446" s="148" t="s">
        <v>127</v>
      </c>
      <c r="D446" s="148" t="s">
        <v>1302</v>
      </c>
      <c r="E446" s="148" t="s">
        <v>1394</v>
      </c>
      <c r="F446" s="148" t="s">
        <v>1802</v>
      </c>
      <c r="G446" s="148" t="s">
        <v>1011</v>
      </c>
      <c r="H446" s="148">
        <v>2266163</v>
      </c>
      <c r="I446" s="148">
        <v>1129</v>
      </c>
      <c r="J446" s="148">
        <v>4.9799999999999997E-2</v>
      </c>
      <c r="K446" s="148" t="str">
        <f t="shared" si="6"/>
        <v>INSTRUMENTBSNSS_AREA</v>
      </c>
    </row>
    <row r="447" spans="1:11" hidden="1">
      <c r="A447" s="148" t="s">
        <v>2151</v>
      </c>
      <c r="B447" s="148" t="s">
        <v>2152</v>
      </c>
      <c r="C447" s="148" t="s">
        <v>127</v>
      </c>
      <c r="D447" s="148" t="s">
        <v>1305</v>
      </c>
      <c r="E447" s="148" t="s">
        <v>1394</v>
      </c>
      <c r="F447" s="148" t="s">
        <v>1802</v>
      </c>
      <c r="G447" s="148" t="s">
        <v>1011</v>
      </c>
      <c r="H447" s="148">
        <v>2266163</v>
      </c>
      <c r="I447" s="148">
        <v>1129</v>
      </c>
      <c r="J447" s="148">
        <v>4.9799999999999997E-2</v>
      </c>
      <c r="K447" s="148" t="str">
        <f t="shared" si="6"/>
        <v>INSTRUMENTMNGMNT_PRDCT</v>
      </c>
    </row>
    <row r="448" spans="1:11" hidden="1">
      <c r="A448" s="148" t="s">
        <v>2153</v>
      </c>
      <c r="B448" s="148" t="s">
        <v>2154</v>
      </c>
      <c r="C448" s="148" t="s">
        <v>127</v>
      </c>
      <c r="D448" s="148" t="s">
        <v>2155</v>
      </c>
      <c r="E448" s="148" t="s">
        <v>1397</v>
      </c>
      <c r="F448" s="148" t="s">
        <v>1802</v>
      </c>
      <c r="G448" s="148" t="s">
        <v>129</v>
      </c>
      <c r="H448" s="148">
        <v>2266163</v>
      </c>
      <c r="I448" s="148">
        <v>0</v>
      </c>
      <c r="J448" s="148">
        <v>0</v>
      </c>
      <c r="K448" s="148" t="str">
        <f t="shared" si="6"/>
        <v>INSTRUMENTGRSS_CMMSSN_EXPNS</v>
      </c>
    </row>
    <row r="449" spans="1:11" hidden="1">
      <c r="A449" s="148" t="s">
        <v>2156</v>
      </c>
      <c r="B449" s="148" t="s">
        <v>2157</v>
      </c>
      <c r="C449" s="148" t="s">
        <v>127</v>
      </c>
      <c r="D449" s="148" t="s">
        <v>2158</v>
      </c>
      <c r="E449" s="148" t="s">
        <v>1397</v>
      </c>
      <c r="F449" s="148" t="s">
        <v>1802</v>
      </c>
      <c r="G449" s="148" t="s">
        <v>129</v>
      </c>
      <c r="H449" s="148">
        <v>2266163</v>
      </c>
      <c r="I449" s="148">
        <v>0</v>
      </c>
      <c r="J449" s="148">
        <v>0</v>
      </c>
      <c r="K449" s="148" t="str">
        <f t="shared" si="6"/>
        <v>INSTRUMENTGNS_FNNCL_TRNSCTN_EXCHNG_DFFRNCS</v>
      </c>
    </row>
    <row r="450" spans="1:11" hidden="1">
      <c r="A450" s="148" t="s">
        <v>2159</v>
      </c>
      <c r="B450" s="148" t="s">
        <v>2160</v>
      </c>
      <c r="C450" s="148" t="s">
        <v>127</v>
      </c>
      <c r="D450" s="148" t="s">
        <v>1308</v>
      </c>
      <c r="E450" s="148" t="s">
        <v>1394</v>
      </c>
      <c r="F450" s="148" t="s">
        <v>1802</v>
      </c>
      <c r="G450" s="148" t="s">
        <v>1011</v>
      </c>
      <c r="H450" s="148">
        <v>2266163</v>
      </c>
      <c r="I450" s="148">
        <v>1129</v>
      </c>
      <c r="J450" s="148">
        <v>4.9799999999999997E-2</v>
      </c>
      <c r="K450" s="148" t="str">
        <f t="shared" si="6"/>
        <v>INSTRUMENTFLG_INTRBSNSS</v>
      </c>
    </row>
    <row r="451" spans="1:11" hidden="1">
      <c r="A451" s="148" t="s">
        <v>2161</v>
      </c>
      <c r="B451" s="148" t="s">
        <v>2162</v>
      </c>
      <c r="C451" s="148" t="s">
        <v>127</v>
      </c>
      <c r="D451" s="148" t="s">
        <v>2163</v>
      </c>
      <c r="E451" s="148" t="s">
        <v>1394</v>
      </c>
      <c r="F451" s="148" t="s">
        <v>1802</v>
      </c>
      <c r="G451" s="148" t="s">
        <v>129</v>
      </c>
      <c r="H451" s="148">
        <v>2266163</v>
      </c>
      <c r="I451" s="148">
        <v>0</v>
      </c>
      <c r="J451" s="148">
        <v>0</v>
      </c>
      <c r="K451" s="148" t="str">
        <f t="shared" ref="K451:K514" si="7">_xlfn.CONCAT(_xlfn.IFS(ISNUMBER(SEARCH("EN",A451)),"ENTITY",ISNUMBER(SEARCH("IN",A451)),"INSTRUMENT",ISNUMBER(SEARCH("PR",A451)),"PROTECTION",ISNUMBER(SEARCH("IP",A451)),"INSTR_PROTECTION",ISNUMBER(SEARCH("IE",A451)),"INSTR_ENTITY",ISNUMBER(SEARCH("AC",A451)),"INSTR_ACTIVITY"),D451)</f>
        <v>INSTRUMENTINTRBSNSS_ADJ_COD</v>
      </c>
    </row>
    <row r="452" spans="1:11" hidden="1">
      <c r="A452" s="148" t="s">
        <v>2164</v>
      </c>
      <c r="B452" s="148" t="s">
        <v>2165</v>
      </c>
      <c r="C452" s="148" t="s">
        <v>127</v>
      </c>
      <c r="D452" s="148" t="s">
        <v>2166</v>
      </c>
      <c r="E452" s="148" t="s">
        <v>1394</v>
      </c>
      <c r="F452" s="148" t="s">
        <v>1802</v>
      </c>
      <c r="G452" s="148" t="s">
        <v>129</v>
      </c>
      <c r="H452" s="148">
        <v>2266163</v>
      </c>
      <c r="I452" s="148">
        <v>0</v>
      </c>
      <c r="J452" s="148">
        <v>0</v>
      </c>
      <c r="K452" s="148" t="str">
        <f t="shared" si="7"/>
        <v>INSTRUMENTCOD_SOC_DSTNTN</v>
      </c>
    </row>
    <row r="453" spans="1:11" hidden="1">
      <c r="A453" s="148" t="s">
        <v>2167</v>
      </c>
      <c r="B453" s="148" t="s">
        <v>2168</v>
      </c>
      <c r="C453" s="148" t="s">
        <v>127</v>
      </c>
      <c r="D453" s="148" t="s">
        <v>2169</v>
      </c>
      <c r="E453" s="148" t="s">
        <v>1394</v>
      </c>
      <c r="F453" s="148" t="s">
        <v>1802</v>
      </c>
      <c r="G453" s="148" t="s">
        <v>129</v>
      </c>
      <c r="H453" s="148">
        <v>2266163</v>
      </c>
      <c r="I453" s="148">
        <v>0</v>
      </c>
      <c r="J453" s="148">
        <v>0</v>
      </c>
      <c r="K453" s="148" t="str">
        <f t="shared" si="7"/>
        <v>INSTRUMENTBSNSS_AREA_DSTNTN</v>
      </c>
    </row>
    <row r="454" spans="1:11" hidden="1">
      <c r="A454" s="148" t="s">
        <v>2170</v>
      </c>
      <c r="B454" s="148" t="s">
        <v>2171</v>
      </c>
      <c r="C454" s="148" t="s">
        <v>127</v>
      </c>
      <c r="D454" s="148" t="s">
        <v>2172</v>
      </c>
      <c r="E454" s="148" t="s">
        <v>1397</v>
      </c>
      <c r="F454" s="148" t="s">
        <v>1802</v>
      </c>
      <c r="G454" s="148" t="s">
        <v>129</v>
      </c>
      <c r="H454" s="148">
        <v>2266163</v>
      </c>
      <c r="I454" s="148">
        <v>0</v>
      </c>
      <c r="J454" s="148">
        <v>0</v>
      </c>
      <c r="K454" s="148" t="str">
        <f t="shared" si="7"/>
        <v>INSTRUMENTAVRG_BLNC_OFF_BLNC</v>
      </c>
    </row>
    <row r="455" spans="1:11" hidden="1">
      <c r="A455" s="148" t="s">
        <v>2173</v>
      </c>
      <c r="B455" s="148" t="s">
        <v>2174</v>
      </c>
      <c r="C455" s="148" t="s">
        <v>127</v>
      </c>
      <c r="D455" s="148" t="s">
        <v>2175</v>
      </c>
      <c r="E455" s="148" t="s">
        <v>1397</v>
      </c>
      <c r="F455" s="148" t="s">
        <v>1802</v>
      </c>
      <c r="G455" s="148" t="s">
        <v>129</v>
      </c>
      <c r="H455" s="148">
        <v>2266163</v>
      </c>
      <c r="I455" s="148">
        <v>0</v>
      </c>
      <c r="J455" s="148">
        <v>0</v>
      </c>
      <c r="K455" s="148" t="str">
        <f t="shared" si="7"/>
        <v>INSTRUMENTINTRNL_TRNSFR_RT_OFF_BLNC</v>
      </c>
    </row>
    <row r="456" spans="1:11" hidden="1">
      <c r="A456" s="148" t="s">
        <v>2176</v>
      </c>
      <c r="B456" s="148" t="s">
        <v>2177</v>
      </c>
      <c r="C456" s="148" t="s">
        <v>127</v>
      </c>
      <c r="D456" s="148" t="s">
        <v>2178</v>
      </c>
      <c r="E456" s="148" t="s">
        <v>1397</v>
      </c>
      <c r="F456" s="148" t="s">
        <v>1802</v>
      </c>
      <c r="G456" s="148" t="s">
        <v>129</v>
      </c>
      <c r="H456" s="148">
        <v>2266163</v>
      </c>
      <c r="I456" s="148">
        <v>0</v>
      </c>
      <c r="J456" s="148">
        <v>0</v>
      </c>
      <c r="K456" s="148" t="str">
        <f t="shared" si="7"/>
        <v>INSTRUMENTGRSS_CMMSSN_INCM_OFF_BLNC</v>
      </c>
    </row>
    <row r="457" spans="1:11" hidden="1">
      <c r="A457" s="148" t="s">
        <v>2179</v>
      </c>
      <c r="B457" s="148" t="s">
        <v>2180</v>
      </c>
      <c r="C457" s="148" t="s">
        <v>127</v>
      </c>
      <c r="D457" s="148" t="s">
        <v>2181</v>
      </c>
      <c r="E457" s="148" t="s">
        <v>1397</v>
      </c>
      <c r="F457" s="148" t="s">
        <v>1802</v>
      </c>
      <c r="G457" s="148" t="s">
        <v>129</v>
      </c>
      <c r="H457" s="148">
        <v>2266163</v>
      </c>
      <c r="I457" s="148">
        <v>0</v>
      </c>
      <c r="J457" s="148">
        <v>0</v>
      </c>
      <c r="K457" s="148" t="str">
        <f t="shared" si="7"/>
        <v>INSTRUMENTGRSS_CMMSSN_EXPNS_OFF_BLNC</v>
      </c>
    </row>
    <row r="458" spans="1:11" hidden="1">
      <c r="A458" s="148" t="s">
        <v>2182</v>
      </c>
      <c r="B458" s="148" t="s">
        <v>2183</v>
      </c>
      <c r="C458" s="148" t="s">
        <v>127</v>
      </c>
      <c r="D458" s="148" t="s">
        <v>2184</v>
      </c>
      <c r="E458" s="148" t="s">
        <v>1397</v>
      </c>
      <c r="F458" s="148" t="s">
        <v>1802</v>
      </c>
      <c r="G458" s="148" t="s">
        <v>129</v>
      </c>
      <c r="H458" s="148">
        <v>2266163</v>
      </c>
      <c r="I458" s="148">
        <v>0</v>
      </c>
      <c r="J458" s="148">
        <v>0</v>
      </c>
      <c r="K458" s="148" t="str">
        <f t="shared" si="7"/>
        <v>INSTRUMENTRWA_OFF_BLNC</v>
      </c>
    </row>
    <row r="459" spans="1:11" hidden="1">
      <c r="A459" s="148" t="s">
        <v>2185</v>
      </c>
      <c r="B459" s="148" t="s">
        <v>2186</v>
      </c>
      <c r="C459" s="148" t="s">
        <v>127</v>
      </c>
      <c r="D459" s="148" t="s">
        <v>2187</v>
      </c>
      <c r="E459" s="148" t="s">
        <v>1397</v>
      </c>
      <c r="F459" s="148" t="s">
        <v>1802</v>
      </c>
      <c r="G459" s="148" t="s">
        <v>129</v>
      </c>
      <c r="H459" s="148">
        <v>2266163</v>
      </c>
      <c r="I459" s="148">
        <v>0</v>
      </c>
      <c r="J459" s="148">
        <v>0</v>
      </c>
      <c r="K459" s="148" t="str">
        <f t="shared" si="7"/>
        <v>INSTRUMENTGRSS_INTRST_EXPNS</v>
      </c>
    </row>
    <row r="460" spans="1:11" hidden="1">
      <c r="A460" s="148" t="s">
        <v>2188</v>
      </c>
      <c r="B460" s="148" t="s">
        <v>2189</v>
      </c>
      <c r="C460" s="148" t="s">
        <v>127</v>
      </c>
      <c r="D460" s="148" t="s">
        <v>2190</v>
      </c>
      <c r="E460" s="148" t="s">
        <v>1397</v>
      </c>
      <c r="F460" s="148" t="s">
        <v>1802</v>
      </c>
      <c r="G460" s="148" t="s">
        <v>129</v>
      </c>
      <c r="H460" s="148">
        <v>2266163</v>
      </c>
      <c r="I460" s="148">
        <v>0</v>
      </c>
      <c r="J460" s="148">
        <v>0</v>
      </c>
      <c r="K460" s="148" t="str">
        <f t="shared" si="7"/>
        <v>INSTRUMENTNT_LN_LSS_PRVSN_OFF_BLNC</v>
      </c>
    </row>
    <row r="461" spans="1:11" hidden="1">
      <c r="A461" s="148" t="s">
        <v>2191</v>
      </c>
      <c r="B461" s="148" t="s">
        <v>2192</v>
      </c>
      <c r="C461" s="148" t="s">
        <v>127</v>
      </c>
      <c r="D461" s="148" t="s">
        <v>2193</v>
      </c>
      <c r="E461" s="148" t="s">
        <v>1397</v>
      </c>
      <c r="F461" s="148" t="s">
        <v>1802</v>
      </c>
      <c r="G461" s="148" t="s">
        <v>129</v>
      </c>
      <c r="H461" s="148">
        <v>2266163</v>
      </c>
      <c r="I461" s="148">
        <v>0</v>
      </c>
      <c r="J461" s="148">
        <v>0</v>
      </c>
      <c r="K461" s="148" t="str">
        <f t="shared" si="7"/>
        <v>INSTRUMENTGRSS_INTRST_INCM_CCRR</v>
      </c>
    </row>
    <row r="462" spans="1:11" hidden="1">
      <c r="A462" s="148" t="s">
        <v>2194</v>
      </c>
      <c r="B462" s="148" t="s">
        <v>2195</v>
      </c>
      <c r="C462" s="148" t="s">
        <v>127</v>
      </c>
      <c r="D462" s="148" t="s">
        <v>2196</v>
      </c>
      <c r="E462" s="148" t="s">
        <v>1397</v>
      </c>
      <c r="F462" s="148" t="s">
        <v>1802</v>
      </c>
      <c r="G462" s="148" t="s">
        <v>129</v>
      </c>
      <c r="H462" s="148">
        <v>2266163</v>
      </c>
      <c r="I462" s="148">
        <v>0</v>
      </c>
      <c r="J462" s="148">
        <v>0</v>
      </c>
      <c r="K462" s="148" t="str">
        <f t="shared" si="7"/>
        <v>INSTRUMENTGRSS_INTRST_EXPNS_CCRR</v>
      </c>
    </row>
    <row r="463" spans="1:11" hidden="1">
      <c r="A463" s="148" t="s">
        <v>2197</v>
      </c>
      <c r="B463" s="148" t="s">
        <v>2198</v>
      </c>
      <c r="C463" s="148" t="s">
        <v>127</v>
      </c>
      <c r="D463" s="148" t="s">
        <v>2199</v>
      </c>
      <c r="E463" s="148" t="s">
        <v>1397</v>
      </c>
      <c r="F463" s="148" t="s">
        <v>1802</v>
      </c>
      <c r="G463" s="148" t="s">
        <v>129</v>
      </c>
      <c r="H463" s="148">
        <v>2266163</v>
      </c>
      <c r="I463" s="148">
        <v>0</v>
      </c>
      <c r="J463" s="148">
        <v>0</v>
      </c>
      <c r="K463" s="148" t="str">
        <f t="shared" si="7"/>
        <v>INSTRUMENTGRSS_CMMSSN_INCM_CCRR</v>
      </c>
    </row>
    <row r="464" spans="1:11" hidden="1">
      <c r="A464" s="148" t="s">
        <v>2200</v>
      </c>
      <c r="B464" s="148" t="s">
        <v>2201</v>
      </c>
      <c r="C464" s="148" t="s">
        <v>127</v>
      </c>
      <c r="D464" s="148" t="s">
        <v>2202</v>
      </c>
      <c r="E464" s="148" t="s">
        <v>1397</v>
      </c>
      <c r="F464" s="148" t="s">
        <v>1802</v>
      </c>
      <c r="G464" s="148" t="s">
        <v>129</v>
      </c>
      <c r="H464" s="148">
        <v>2266163</v>
      </c>
      <c r="I464" s="148">
        <v>0</v>
      </c>
      <c r="J464" s="148">
        <v>0</v>
      </c>
      <c r="K464" s="148" t="str">
        <f t="shared" si="7"/>
        <v>INSTRUMENTGRSS_CMMSSN_EXPNS_CCRR</v>
      </c>
    </row>
    <row r="465" spans="1:11" hidden="1">
      <c r="A465" s="148" t="s">
        <v>2203</v>
      </c>
      <c r="B465" s="148" t="s">
        <v>2204</v>
      </c>
      <c r="C465" s="148" t="s">
        <v>127</v>
      </c>
      <c r="D465" s="148" t="s">
        <v>2205</v>
      </c>
      <c r="E465" s="148" t="s">
        <v>1397</v>
      </c>
      <c r="F465" s="148" t="s">
        <v>1802</v>
      </c>
      <c r="G465" s="148" t="s">
        <v>129</v>
      </c>
      <c r="H465" s="148">
        <v>2266163</v>
      </c>
      <c r="I465" s="148">
        <v>0</v>
      </c>
      <c r="J465" s="148">
        <v>0</v>
      </c>
      <c r="K465" s="148" t="str">
        <f t="shared" si="7"/>
        <v>INSTRUMENTGNS_FNNCL_TRNSCTN_EXCHNG_CCRR</v>
      </c>
    </row>
    <row r="466" spans="1:11" hidden="1">
      <c r="A466" s="148" t="s">
        <v>2206</v>
      </c>
      <c r="B466" s="148" t="s">
        <v>2207</v>
      </c>
      <c r="C466" s="148" t="s">
        <v>127</v>
      </c>
      <c r="D466" s="148" t="s">
        <v>1311</v>
      </c>
      <c r="E466" s="148" t="s">
        <v>1394</v>
      </c>
      <c r="F466" s="148" t="s">
        <v>1802</v>
      </c>
      <c r="G466" s="148" t="s">
        <v>1011</v>
      </c>
      <c r="H466" s="148">
        <v>2266163</v>
      </c>
      <c r="I466" s="148">
        <v>2266163</v>
      </c>
      <c r="J466" s="148">
        <v>100</v>
      </c>
      <c r="K466" s="148" t="str">
        <f t="shared" si="7"/>
        <v>INSTRUMENTBSNSS_AREA_CCRR</v>
      </c>
    </row>
    <row r="467" spans="1:11" hidden="1">
      <c r="A467" s="148" t="s">
        <v>2208</v>
      </c>
      <c r="B467" s="148" t="s">
        <v>2209</v>
      </c>
      <c r="C467" s="148" t="s">
        <v>127</v>
      </c>
      <c r="D467" s="148" t="s">
        <v>2210</v>
      </c>
      <c r="E467" s="148" t="s">
        <v>1397</v>
      </c>
      <c r="F467" s="148" t="s">
        <v>1802</v>
      </c>
      <c r="G467" s="148" t="s">
        <v>129</v>
      </c>
      <c r="H467" s="148">
        <v>2266163</v>
      </c>
      <c r="I467" s="148">
        <v>0</v>
      </c>
      <c r="J467" s="148">
        <v>0</v>
      </c>
      <c r="K467" s="148" t="str">
        <f t="shared" si="7"/>
        <v>INSTRUMENTGRSS_CMMSSN_INCM_OFF_BLNC_CCRR</v>
      </c>
    </row>
    <row r="468" spans="1:11" hidden="1">
      <c r="A468" s="148" t="s">
        <v>2211</v>
      </c>
      <c r="B468" s="148" t="s">
        <v>2212</v>
      </c>
      <c r="C468" s="148" t="s">
        <v>127</v>
      </c>
      <c r="D468" s="148" t="s">
        <v>2213</v>
      </c>
      <c r="E468" s="148" t="s">
        <v>1397</v>
      </c>
      <c r="F468" s="148" t="s">
        <v>1802</v>
      </c>
      <c r="G468" s="148" t="s">
        <v>129</v>
      </c>
      <c r="H468" s="148">
        <v>2266163</v>
      </c>
      <c r="I468" s="148">
        <v>0</v>
      </c>
      <c r="J468" s="148">
        <v>0</v>
      </c>
      <c r="K468" s="148" t="str">
        <f t="shared" si="7"/>
        <v>INSTRUMENTGRSS_CMMSSN_EXPNS_OFF_BLNC_CCRR</v>
      </c>
    </row>
    <row r="469" spans="1:11" hidden="1">
      <c r="A469" s="148" t="s">
        <v>2214</v>
      </c>
      <c r="B469" s="148" t="s">
        <v>2215</v>
      </c>
      <c r="C469" s="148" t="s">
        <v>127</v>
      </c>
      <c r="D469" s="148" t="s">
        <v>1314</v>
      </c>
      <c r="E469" s="148" t="s">
        <v>1394</v>
      </c>
      <c r="F469" s="148" t="s">
        <v>1802</v>
      </c>
      <c r="G469" s="148" t="s">
        <v>1011</v>
      </c>
      <c r="H469" s="148">
        <v>2266163</v>
      </c>
      <c r="I469" s="148">
        <v>2266163</v>
      </c>
      <c r="J469" s="148">
        <v>100</v>
      </c>
      <c r="K469" s="148" t="str">
        <f t="shared" si="7"/>
        <v>INSTRUMENTRSK_MTGTD_CCT</v>
      </c>
    </row>
    <row r="470" spans="1:11" hidden="1">
      <c r="A470" s="148" t="s">
        <v>2216</v>
      </c>
      <c r="B470" s="148" t="s">
        <v>2217</v>
      </c>
      <c r="C470" s="148" t="s">
        <v>127</v>
      </c>
      <c r="D470" s="148" t="s">
        <v>1317</v>
      </c>
      <c r="E470" s="148" t="s">
        <v>1394</v>
      </c>
      <c r="F470" s="148" t="s">
        <v>1802</v>
      </c>
      <c r="G470" s="148" t="s">
        <v>1011</v>
      </c>
      <c r="H470" s="148">
        <v>2266163</v>
      </c>
      <c r="I470" s="148">
        <v>2266163</v>
      </c>
      <c r="J470" s="148">
        <v>100</v>
      </c>
      <c r="K470" s="148" t="str">
        <f t="shared" si="7"/>
        <v>INSTRUMENTRSK_MTGTD_CCP</v>
      </c>
    </row>
    <row r="471" spans="1:11" hidden="1">
      <c r="A471" s="148" t="s">
        <v>2218</v>
      </c>
      <c r="B471" s="148" t="s">
        <v>2219</v>
      </c>
      <c r="C471" s="148" t="s">
        <v>127</v>
      </c>
      <c r="D471" s="148" t="s">
        <v>2220</v>
      </c>
      <c r="E471" s="148" t="s">
        <v>1394</v>
      </c>
      <c r="F471" s="148" t="s">
        <v>1802</v>
      </c>
      <c r="G471" s="148" t="s">
        <v>1011</v>
      </c>
      <c r="H471" s="148">
        <v>2266163</v>
      </c>
      <c r="I471" s="148">
        <v>2266163</v>
      </c>
      <c r="J471" s="148">
        <v>100</v>
      </c>
      <c r="K471" s="148" t="str">
        <f t="shared" si="7"/>
        <v>INSTRUMENTLNS_CLLTRLZD_CLSSFCTN</v>
      </c>
    </row>
    <row r="472" spans="1:11" hidden="1">
      <c r="A472" s="148" t="s">
        <v>2221</v>
      </c>
      <c r="B472" s="148" t="s">
        <v>2222</v>
      </c>
      <c r="C472" s="148" t="s">
        <v>127</v>
      </c>
      <c r="D472" s="148" t="s">
        <v>2223</v>
      </c>
      <c r="E472" s="148" t="s">
        <v>1394</v>
      </c>
      <c r="F472" s="148" t="s">
        <v>1802</v>
      </c>
      <c r="G472" s="148" t="s">
        <v>1011</v>
      </c>
      <c r="H472" s="148">
        <v>2266163</v>
      </c>
      <c r="I472" s="148">
        <v>2266163</v>
      </c>
      <c r="J472" s="148">
        <v>100</v>
      </c>
      <c r="K472" s="148" t="str">
        <f t="shared" si="7"/>
        <v>INSTRUMENTMTHD_USD_INSTRMNT_SCP_1</v>
      </c>
    </row>
    <row r="473" spans="1:11" hidden="1">
      <c r="A473" s="148" t="s">
        <v>2224</v>
      </c>
      <c r="B473" s="148" t="s">
        <v>2225</v>
      </c>
      <c r="C473" s="148" t="s">
        <v>127</v>
      </c>
      <c r="D473" s="148" t="s">
        <v>2226</v>
      </c>
      <c r="E473" s="148" t="s">
        <v>1394</v>
      </c>
      <c r="F473" s="148" t="s">
        <v>1802</v>
      </c>
      <c r="G473" s="148" t="s">
        <v>1011</v>
      </c>
      <c r="H473" s="148">
        <v>2266163</v>
      </c>
      <c r="I473" s="148">
        <v>2266163</v>
      </c>
      <c r="J473" s="148">
        <v>100</v>
      </c>
      <c r="K473" s="148" t="str">
        <f t="shared" si="7"/>
        <v>INSTRUMENTMTHD_USD_INSTRMNT_SCP_2</v>
      </c>
    </row>
    <row r="474" spans="1:11" hidden="1">
      <c r="A474" s="148" t="s">
        <v>2227</v>
      </c>
      <c r="B474" s="148" t="s">
        <v>2228</v>
      </c>
      <c r="C474" s="148" t="s">
        <v>127</v>
      </c>
      <c r="D474" s="148" t="s">
        <v>2229</v>
      </c>
      <c r="E474" s="148" t="s">
        <v>1394</v>
      </c>
      <c r="F474" s="148" t="s">
        <v>1802</v>
      </c>
      <c r="G474" s="148" t="s">
        <v>1011</v>
      </c>
      <c r="H474" s="148">
        <v>2266163</v>
      </c>
      <c r="I474" s="148">
        <v>2266163</v>
      </c>
      <c r="J474" s="148">
        <v>100</v>
      </c>
      <c r="K474" s="148" t="str">
        <f t="shared" si="7"/>
        <v>INSTRUMENTMTHD_USD_INSTRMNT_SCP_3</v>
      </c>
    </row>
    <row r="475" spans="1:11" hidden="1">
      <c r="A475" s="148" t="s">
        <v>2230</v>
      </c>
      <c r="B475" s="148" t="s">
        <v>2231</v>
      </c>
      <c r="C475" s="148" t="s">
        <v>127</v>
      </c>
      <c r="D475" s="148" t="s">
        <v>2232</v>
      </c>
      <c r="E475" s="148" t="s">
        <v>1394</v>
      </c>
      <c r="F475" s="148" t="s">
        <v>1802</v>
      </c>
      <c r="G475" s="148" t="s">
        <v>1011</v>
      </c>
      <c r="H475" s="148">
        <v>2266163</v>
      </c>
      <c r="I475" s="148">
        <v>1129</v>
      </c>
      <c r="J475" s="148">
        <v>4.9799999999999997E-2</v>
      </c>
      <c r="K475" s="148" t="str">
        <f t="shared" si="7"/>
        <v>INSTRUMENTCNCLLD_INSTRMNT_STTS</v>
      </c>
    </row>
    <row r="476" spans="1:11" hidden="1">
      <c r="A476" s="148" t="s">
        <v>2233</v>
      </c>
      <c r="B476" s="148" t="s">
        <v>2234</v>
      </c>
      <c r="C476" s="148" t="s">
        <v>127</v>
      </c>
      <c r="D476" s="148" t="s">
        <v>351</v>
      </c>
      <c r="E476" s="148" t="s">
        <v>1394</v>
      </c>
      <c r="F476" s="148" t="s">
        <v>1802</v>
      </c>
      <c r="G476" s="148" t="s">
        <v>1011</v>
      </c>
      <c r="H476" s="148">
        <v>2266163</v>
      </c>
      <c r="I476" s="148">
        <v>30</v>
      </c>
      <c r="J476" s="148">
        <v>1.2999999999999999E-3</v>
      </c>
      <c r="K476" s="148" t="str">
        <f t="shared" si="7"/>
        <v>INSTRUMENTIDCMB</v>
      </c>
    </row>
    <row r="477" spans="1:11" hidden="1">
      <c r="A477" s="148" t="s">
        <v>2235</v>
      </c>
      <c r="B477" s="148" t="s">
        <v>2236</v>
      </c>
      <c r="C477" s="148" t="s">
        <v>127</v>
      </c>
      <c r="D477" s="148" t="s">
        <v>310</v>
      </c>
      <c r="E477" s="148" t="s">
        <v>1397</v>
      </c>
      <c r="F477" s="148" t="s">
        <v>1802</v>
      </c>
      <c r="G477" s="148" t="s">
        <v>129</v>
      </c>
      <c r="H477" s="148">
        <v>2266163</v>
      </c>
      <c r="I477" s="148">
        <v>0</v>
      </c>
      <c r="J477" s="148">
        <v>0</v>
      </c>
      <c r="K477" s="148" t="str">
        <f t="shared" si="7"/>
        <v>INSTRUMENTEXPCTD_LSS_CRR</v>
      </c>
    </row>
    <row r="478" spans="1:11" hidden="1">
      <c r="A478" s="148" t="s">
        <v>2237</v>
      </c>
      <c r="B478" s="148" t="s">
        <v>2238</v>
      </c>
      <c r="C478" s="148" t="s">
        <v>127</v>
      </c>
      <c r="D478" s="148" t="s">
        <v>400</v>
      </c>
      <c r="E478" s="148" t="s">
        <v>1397</v>
      </c>
      <c r="F478" s="148" t="s">
        <v>1802</v>
      </c>
      <c r="G478" s="148" t="s">
        <v>1011</v>
      </c>
      <c r="H478" s="148">
        <v>2266163</v>
      </c>
      <c r="I478" s="148">
        <v>2138963</v>
      </c>
      <c r="J478" s="148">
        <v>94.387</v>
      </c>
      <c r="K478" s="148" t="str">
        <f t="shared" si="7"/>
        <v>INSTRUMENTLSTI</v>
      </c>
    </row>
    <row r="479" spans="1:11" hidden="1">
      <c r="A479" s="148" t="s">
        <v>2239</v>
      </c>
      <c r="B479" s="148" t="s">
        <v>2240</v>
      </c>
      <c r="C479" s="148" t="s">
        <v>127</v>
      </c>
      <c r="D479" s="148" t="s">
        <v>226</v>
      </c>
      <c r="E479" s="148" t="s">
        <v>1397</v>
      </c>
      <c r="F479" s="148" t="s">
        <v>1802</v>
      </c>
      <c r="G479" s="148" t="s">
        <v>1011</v>
      </c>
      <c r="H479" s="148">
        <v>2266163</v>
      </c>
      <c r="I479" s="148">
        <v>2138963</v>
      </c>
      <c r="J479" s="148">
        <v>94.387</v>
      </c>
      <c r="K479" s="148" t="str">
        <f t="shared" si="7"/>
        <v>INSTRUMENTDSTI</v>
      </c>
    </row>
    <row r="480" spans="1:11" hidden="1">
      <c r="A480" s="148" t="s">
        <v>2241</v>
      </c>
      <c r="B480" s="148" t="s">
        <v>1541</v>
      </c>
      <c r="C480" s="148" t="s">
        <v>127</v>
      </c>
      <c r="D480" s="148" t="s">
        <v>402</v>
      </c>
      <c r="E480" s="148" t="s">
        <v>1397</v>
      </c>
      <c r="F480" s="148" t="s">
        <v>1802</v>
      </c>
      <c r="G480" s="148" t="s">
        <v>1011</v>
      </c>
      <c r="H480" s="148">
        <v>2266163</v>
      </c>
      <c r="I480" s="148">
        <v>2138963</v>
      </c>
      <c r="J480" s="148">
        <v>94.387</v>
      </c>
      <c r="K480" s="148" t="str">
        <f t="shared" si="7"/>
        <v>INSTRUMENTLTI_INSTRMNT</v>
      </c>
    </row>
    <row r="481" spans="1:11" hidden="1">
      <c r="A481" s="148" t="s">
        <v>2242</v>
      </c>
      <c r="B481" s="148" t="s">
        <v>2243</v>
      </c>
      <c r="C481" s="148" t="s">
        <v>127</v>
      </c>
      <c r="D481" s="148" t="s">
        <v>555</v>
      </c>
      <c r="E481" s="148" t="s">
        <v>1397</v>
      </c>
      <c r="F481" s="148" t="s">
        <v>1802</v>
      </c>
      <c r="G481" s="148" t="s">
        <v>1011</v>
      </c>
      <c r="H481" s="148">
        <v>2266163</v>
      </c>
      <c r="I481" s="148">
        <v>2266163</v>
      </c>
      <c r="J481" s="148">
        <v>100</v>
      </c>
      <c r="K481" s="148" t="str">
        <f t="shared" si="7"/>
        <v>INSTRUMENTINTRST_RT_CP</v>
      </c>
    </row>
    <row r="482" spans="1:11" hidden="1">
      <c r="A482" s="148" t="s">
        <v>2244</v>
      </c>
      <c r="B482" s="148" t="s">
        <v>2245</v>
      </c>
      <c r="C482" s="148" t="s">
        <v>127</v>
      </c>
      <c r="D482" s="148" t="s">
        <v>556</v>
      </c>
      <c r="E482" s="148" t="s">
        <v>1397</v>
      </c>
      <c r="F482" s="148" t="s">
        <v>1802</v>
      </c>
      <c r="G482" s="148" t="s">
        <v>1011</v>
      </c>
      <c r="H482" s="148">
        <v>2266163</v>
      </c>
      <c r="I482" s="148">
        <v>2266163</v>
      </c>
      <c r="J482" s="148">
        <v>100</v>
      </c>
      <c r="K482" s="148" t="str">
        <f t="shared" si="7"/>
        <v>INSTRUMENTINTRST_RT_FLR</v>
      </c>
    </row>
    <row r="483" spans="1:11" hidden="1">
      <c r="A483" s="148" t="s">
        <v>2246</v>
      </c>
      <c r="B483" s="148" t="s">
        <v>2247</v>
      </c>
      <c r="C483" s="148" t="s">
        <v>127</v>
      </c>
      <c r="D483" s="148" t="s">
        <v>557</v>
      </c>
      <c r="E483" s="148" t="s">
        <v>1397</v>
      </c>
      <c r="F483" s="148" t="s">
        <v>1802</v>
      </c>
      <c r="G483" s="148" t="s">
        <v>1011</v>
      </c>
      <c r="H483" s="148">
        <v>2266163</v>
      </c>
      <c r="I483" s="148">
        <v>2266163</v>
      </c>
      <c r="J483" s="148">
        <v>100</v>
      </c>
      <c r="K483" s="148" t="str">
        <f t="shared" si="7"/>
        <v>INSTRUMENTNMNL_INTRST_RT_FEE</v>
      </c>
    </row>
    <row r="484" spans="1:11" hidden="1">
      <c r="A484" s="148" t="s">
        <v>2248</v>
      </c>
      <c r="B484" s="148" t="s">
        <v>2249</v>
      </c>
      <c r="C484" s="148" t="s">
        <v>127</v>
      </c>
      <c r="D484" s="148" t="s">
        <v>485</v>
      </c>
      <c r="E484" s="148" t="s">
        <v>1394</v>
      </c>
      <c r="F484" s="148" t="s">
        <v>1802</v>
      </c>
      <c r="G484" s="148" t="s">
        <v>1011</v>
      </c>
      <c r="H484" s="148">
        <v>2266163</v>
      </c>
      <c r="I484" s="148">
        <v>2266163</v>
      </c>
      <c r="J484" s="148">
        <v>100</v>
      </c>
      <c r="K484" s="148" t="str">
        <f t="shared" si="7"/>
        <v>INSTRUMENTRFRNC_RT</v>
      </c>
    </row>
    <row r="485" spans="1:11" hidden="1">
      <c r="A485" s="148" t="s">
        <v>2250</v>
      </c>
      <c r="B485" s="148" t="s">
        <v>2251</v>
      </c>
      <c r="C485" s="148" t="s">
        <v>127</v>
      </c>
      <c r="D485" s="148" t="s">
        <v>558</v>
      </c>
      <c r="E485" s="148" t="s">
        <v>1387</v>
      </c>
      <c r="F485" s="148" t="s">
        <v>1802</v>
      </c>
      <c r="G485" s="148" t="s">
        <v>1011</v>
      </c>
      <c r="H485" s="148">
        <v>2266163</v>
      </c>
      <c r="I485" s="148">
        <v>2266163</v>
      </c>
      <c r="J485" s="148">
        <v>100</v>
      </c>
      <c r="K485" s="148" t="str">
        <f t="shared" si="7"/>
        <v>INSTRUMENTDT_STTLMNT</v>
      </c>
    </row>
    <row r="486" spans="1:11" hidden="1">
      <c r="A486" s="148" t="s">
        <v>2252</v>
      </c>
      <c r="B486" s="148" t="s">
        <v>2253</v>
      </c>
      <c r="C486" s="148" t="s">
        <v>127</v>
      </c>
      <c r="D486" s="148" t="s">
        <v>559</v>
      </c>
      <c r="E486" s="148" t="s">
        <v>1397</v>
      </c>
      <c r="F486" s="148" t="s">
        <v>1802</v>
      </c>
      <c r="G486" s="148" t="s">
        <v>1011</v>
      </c>
      <c r="H486" s="148">
        <v>2266163</v>
      </c>
      <c r="I486" s="148">
        <v>2266163</v>
      </c>
      <c r="J486" s="148">
        <v>100</v>
      </c>
      <c r="K486" s="148" t="str">
        <f t="shared" si="7"/>
        <v>INSTRUMENTTRNSFRRD_AMNT</v>
      </c>
    </row>
    <row r="487" spans="1:11" hidden="1">
      <c r="A487" s="148" t="s">
        <v>2254</v>
      </c>
      <c r="B487" s="148" t="s">
        <v>2255</v>
      </c>
      <c r="C487" s="148" t="s">
        <v>127</v>
      </c>
      <c r="D487" s="148" t="s">
        <v>560</v>
      </c>
      <c r="E487" s="148" t="s">
        <v>1394</v>
      </c>
      <c r="F487" s="148" t="s">
        <v>1802</v>
      </c>
      <c r="G487" s="148" t="s">
        <v>1011</v>
      </c>
      <c r="H487" s="148">
        <v>2266163</v>
      </c>
      <c r="I487" s="148">
        <v>2266163</v>
      </c>
      <c r="J487" s="148">
        <v>100</v>
      </c>
      <c r="K487" s="148" t="str">
        <f t="shared" si="7"/>
        <v>INSTRUMENTTYP_SCRTZTN</v>
      </c>
    </row>
    <row r="488" spans="1:11" hidden="1">
      <c r="A488" s="148" t="s">
        <v>2256</v>
      </c>
      <c r="B488" s="148" t="s">
        <v>2257</v>
      </c>
      <c r="C488" s="148" t="s">
        <v>127</v>
      </c>
      <c r="D488" s="148" t="s">
        <v>561</v>
      </c>
      <c r="E488" s="148" t="s">
        <v>1394</v>
      </c>
      <c r="F488" s="148" t="s">
        <v>1802</v>
      </c>
      <c r="G488" s="148" t="s">
        <v>129</v>
      </c>
      <c r="H488" s="148">
        <v>2266163</v>
      </c>
      <c r="I488" s="148">
        <v>0</v>
      </c>
      <c r="J488" s="148">
        <v>0</v>
      </c>
      <c r="K488" s="148" t="str">
        <f t="shared" si="7"/>
        <v>INSTRUMENTTYP_OFF_BLNC_PRDCT</v>
      </c>
    </row>
    <row r="489" spans="1:11" hidden="1">
      <c r="A489" s="148" t="s">
        <v>2258</v>
      </c>
      <c r="B489" s="148" t="s">
        <v>2259</v>
      </c>
      <c r="C489" s="148" t="s">
        <v>127</v>
      </c>
      <c r="D489" s="148" t="s">
        <v>562</v>
      </c>
      <c r="E489" s="148" t="s">
        <v>1394</v>
      </c>
      <c r="F489" s="148" t="s">
        <v>1802</v>
      </c>
      <c r="G489" s="148" t="s">
        <v>1011</v>
      </c>
      <c r="H489" s="148">
        <v>2266163</v>
      </c>
      <c r="I489" s="148">
        <v>2266163</v>
      </c>
      <c r="J489" s="148">
        <v>100</v>
      </c>
      <c r="K489" s="148" t="str">
        <f t="shared" si="7"/>
        <v>INSTRUMENTBLNC_SHT_RCGNTN</v>
      </c>
    </row>
    <row r="490" spans="1:11" hidden="1">
      <c r="A490" s="148" t="s">
        <v>2260</v>
      </c>
      <c r="B490" s="148" t="s">
        <v>2261</v>
      </c>
      <c r="C490" s="148" t="s">
        <v>127</v>
      </c>
      <c r="D490" s="148" t="s">
        <v>563</v>
      </c>
      <c r="E490" s="148" t="s">
        <v>1394</v>
      </c>
      <c r="F490" s="148" t="s">
        <v>1802</v>
      </c>
      <c r="G490" s="148" t="s">
        <v>1011</v>
      </c>
      <c r="H490" s="148">
        <v>2266163</v>
      </c>
      <c r="I490" s="148">
        <v>2266163</v>
      </c>
      <c r="J490" s="148">
        <v>100</v>
      </c>
      <c r="K490" s="148" t="str">
        <f t="shared" si="7"/>
        <v>INSTRUMENTFLG_DFLT</v>
      </c>
    </row>
    <row r="491" spans="1:11" hidden="1">
      <c r="A491" s="148" t="s">
        <v>2262</v>
      </c>
      <c r="B491" s="148" t="s">
        <v>2263</v>
      </c>
      <c r="C491" s="148" t="s">
        <v>127</v>
      </c>
      <c r="D491" s="148" t="s">
        <v>564</v>
      </c>
      <c r="E491" s="148" t="s">
        <v>1394</v>
      </c>
      <c r="F491" s="148" t="s">
        <v>1802</v>
      </c>
      <c r="G491" s="148" t="s">
        <v>1011</v>
      </c>
      <c r="H491" s="148">
        <v>2266163</v>
      </c>
      <c r="I491" s="148">
        <v>2266163</v>
      </c>
      <c r="J491" s="148">
        <v>100</v>
      </c>
      <c r="K491" s="148" t="str">
        <f t="shared" si="7"/>
        <v>INSTRUMENTFLG_HGH_RSK</v>
      </c>
    </row>
    <row r="492" spans="1:11" hidden="1">
      <c r="A492" s="148" t="s">
        <v>2264</v>
      </c>
      <c r="B492" s="148" t="s">
        <v>2265</v>
      </c>
      <c r="C492" s="148" t="s">
        <v>127</v>
      </c>
      <c r="D492" s="148" t="s">
        <v>1130</v>
      </c>
      <c r="E492" s="148" t="s">
        <v>1394</v>
      </c>
      <c r="F492" s="148" t="s">
        <v>1802</v>
      </c>
      <c r="G492" s="148" t="s">
        <v>129</v>
      </c>
      <c r="H492" s="148">
        <v>2266163</v>
      </c>
      <c r="I492" s="148">
        <v>0</v>
      </c>
      <c r="J492" s="148">
        <v>0</v>
      </c>
      <c r="K492" s="148" t="str">
        <f t="shared" si="7"/>
        <v>INSTRUMENTEXCLDD_LF</v>
      </c>
    </row>
    <row r="493" spans="1:11" hidden="1">
      <c r="A493" s="148" t="s">
        <v>2266</v>
      </c>
      <c r="B493" s="148" t="s">
        <v>2267</v>
      </c>
      <c r="C493" s="148" t="s">
        <v>127</v>
      </c>
      <c r="D493" s="148" t="s">
        <v>1183</v>
      </c>
      <c r="E493" s="148" t="s">
        <v>1397</v>
      </c>
      <c r="F493" s="148" t="s">
        <v>1802</v>
      </c>
      <c r="G493" s="148" t="s">
        <v>129</v>
      </c>
      <c r="H493" s="148">
        <v>2266163</v>
      </c>
      <c r="I493" s="148">
        <v>0</v>
      </c>
      <c r="J493" s="148">
        <v>0</v>
      </c>
      <c r="K493" s="148" t="str">
        <f t="shared" si="7"/>
        <v>INSTRUMENTRWA_MTGTN</v>
      </c>
    </row>
    <row r="494" spans="1:11" hidden="1">
      <c r="A494" s="148" t="s">
        <v>2268</v>
      </c>
      <c r="B494" s="148" t="s">
        <v>2269</v>
      </c>
      <c r="C494" s="148" t="s">
        <v>127</v>
      </c>
      <c r="D494" s="148" t="s">
        <v>1182</v>
      </c>
      <c r="E494" s="148" t="s">
        <v>1397</v>
      </c>
      <c r="F494" s="148" t="s">
        <v>1802</v>
      </c>
      <c r="G494" s="148" t="s">
        <v>129</v>
      </c>
      <c r="H494" s="148">
        <v>2266163</v>
      </c>
      <c r="I494" s="148">
        <v>0</v>
      </c>
      <c r="J494" s="148">
        <v>0</v>
      </c>
      <c r="K494" s="148" t="str">
        <f t="shared" si="7"/>
        <v>INSTRUMENTRWA_PRMTGTN</v>
      </c>
    </row>
    <row r="495" spans="1:11" hidden="1">
      <c r="A495" s="148" t="s">
        <v>2270</v>
      </c>
      <c r="B495" s="148" t="s">
        <v>2271</v>
      </c>
      <c r="C495" s="148" t="s">
        <v>127</v>
      </c>
      <c r="D495" s="148" t="s">
        <v>1174</v>
      </c>
      <c r="E495" s="148" t="s">
        <v>1394</v>
      </c>
      <c r="F495" s="148" t="s">
        <v>1802</v>
      </c>
      <c r="G495" s="148" t="s">
        <v>129</v>
      </c>
      <c r="H495" s="148">
        <v>2266163</v>
      </c>
      <c r="I495" s="148">
        <v>0</v>
      </c>
      <c r="J495" s="148">
        <v>0</v>
      </c>
      <c r="K495" s="148" t="str">
        <f t="shared" si="7"/>
        <v>INSTRUMENTUS_PRCDS</v>
      </c>
    </row>
    <row r="496" spans="1:11" hidden="1">
      <c r="A496" s="148" t="s">
        <v>2272</v>
      </c>
      <c r="B496" s="148" t="s">
        <v>2273</v>
      </c>
      <c r="C496" s="148" t="s">
        <v>127</v>
      </c>
      <c r="D496" s="148" t="s">
        <v>1180</v>
      </c>
      <c r="E496" s="148" t="s">
        <v>1397</v>
      </c>
      <c r="F496" s="148" t="s">
        <v>1802</v>
      </c>
      <c r="G496" s="148" t="s">
        <v>129</v>
      </c>
      <c r="H496" s="148">
        <v>2266163</v>
      </c>
      <c r="I496" s="148">
        <v>0</v>
      </c>
      <c r="J496" s="148">
        <v>0</v>
      </c>
      <c r="K496" s="148" t="str">
        <f t="shared" si="7"/>
        <v>INSTRUMENTTTL_LVRG_RT_INCPTN</v>
      </c>
    </row>
    <row r="497" spans="1:11" hidden="1">
      <c r="A497" s="148" t="s">
        <v>2274</v>
      </c>
      <c r="B497" s="148" t="s">
        <v>2275</v>
      </c>
      <c r="C497" s="148" t="s">
        <v>127</v>
      </c>
      <c r="D497" s="148" t="s">
        <v>1175</v>
      </c>
      <c r="E497" s="148" t="s">
        <v>1394</v>
      </c>
      <c r="F497" s="148" t="s">
        <v>1802</v>
      </c>
      <c r="G497" s="148" t="s">
        <v>129</v>
      </c>
      <c r="H497" s="148">
        <v>2266163</v>
      </c>
      <c r="I497" s="148">
        <v>0</v>
      </c>
      <c r="J497" s="148">
        <v>0</v>
      </c>
      <c r="K497" s="148" t="str">
        <f t="shared" si="7"/>
        <v>INSTRUMENTTYP_FCLTY</v>
      </c>
    </row>
    <row r="498" spans="1:11" hidden="1">
      <c r="A498" s="148" t="s">
        <v>2276</v>
      </c>
      <c r="B498" s="148" t="s">
        <v>2277</v>
      </c>
      <c r="C498" s="148" t="s">
        <v>127</v>
      </c>
      <c r="D498" s="148" t="s">
        <v>1177</v>
      </c>
      <c r="E498" s="148" t="s">
        <v>1394</v>
      </c>
      <c r="F498" s="148" t="s">
        <v>1802</v>
      </c>
      <c r="G498" s="148" t="s">
        <v>129</v>
      </c>
      <c r="H498" s="148">
        <v>2266163</v>
      </c>
      <c r="I498" s="148">
        <v>0</v>
      </c>
      <c r="J498" s="148">
        <v>0</v>
      </c>
      <c r="K498" s="148" t="str">
        <f t="shared" si="7"/>
        <v>INSTRUMENTTYP_CL</v>
      </c>
    </row>
    <row r="499" spans="1:11" hidden="1">
      <c r="A499" s="148" t="s">
        <v>2278</v>
      </c>
      <c r="B499" s="148" t="s">
        <v>2279</v>
      </c>
      <c r="C499" s="148" t="s">
        <v>127</v>
      </c>
      <c r="D499" s="148" t="s">
        <v>1334</v>
      </c>
      <c r="E499" s="148" t="s">
        <v>1394</v>
      </c>
      <c r="F499" s="148" t="s">
        <v>1802</v>
      </c>
      <c r="G499" s="148" t="s">
        <v>1011</v>
      </c>
      <c r="H499" s="148">
        <v>2266163</v>
      </c>
      <c r="I499" s="148">
        <v>2266163</v>
      </c>
      <c r="J499" s="148">
        <v>100</v>
      </c>
      <c r="K499" s="148" t="str">
        <f t="shared" si="7"/>
        <v>INSTRUMENTFLG_MNMM_SFGRDS</v>
      </c>
    </row>
    <row r="500" spans="1:11" hidden="1">
      <c r="A500" s="148" t="s">
        <v>2280</v>
      </c>
      <c r="B500" s="148" t="s">
        <v>2281</v>
      </c>
      <c r="C500" s="148" t="s">
        <v>127</v>
      </c>
      <c r="D500" s="148" t="s">
        <v>1185</v>
      </c>
      <c r="E500" s="148" t="s">
        <v>1397</v>
      </c>
      <c r="F500" s="148" t="s">
        <v>1802</v>
      </c>
      <c r="G500" s="148" t="s">
        <v>129</v>
      </c>
      <c r="H500" s="148">
        <v>2266163</v>
      </c>
      <c r="I500" s="148">
        <v>0</v>
      </c>
      <c r="J500" s="148">
        <v>0</v>
      </c>
      <c r="K500" s="148" t="str">
        <f t="shared" si="7"/>
        <v>INSTRUMENTRORAC</v>
      </c>
    </row>
    <row r="501" spans="1:11" hidden="1">
      <c r="A501" s="148" t="s">
        <v>2282</v>
      </c>
      <c r="B501" s="148" t="s">
        <v>2283</v>
      </c>
      <c r="C501" s="148" t="s">
        <v>127</v>
      </c>
      <c r="D501" s="148" t="s">
        <v>1184</v>
      </c>
      <c r="E501" s="148" t="s">
        <v>1397</v>
      </c>
      <c r="F501" s="148" t="s">
        <v>1802</v>
      </c>
      <c r="G501" s="148" t="s">
        <v>129</v>
      </c>
      <c r="H501" s="148">
        <v>2266163</v>
      </c>
      <c r="I501" s="148">
        <v>0</v>
      </c>
      <c r="J501" s="148">
        <v>0</v>
      </c>
      <c r="K501" s="148" t="str">
        <f t="shared" si="7"/>
        <v>INSTRUMENTRORWA</v>
      </c>
    </row>
    <row r="502" spans="1:11" hidden="1">
      <c r="A502" s="148" t="s">
        <v>2284</v>
      </c>
      <c r="B502" s="148" t="s">
        <v>2285</v>
      </c>
      <c r="C502" s="148" t="s">
        <v>127</v>
      </c>
      <c r="D502" s="148" t="s">
        <v>1176</v>
      </c>
      <c r="E502" s="148" t="s">
        <v>1394</v>
      </c>
      <c r="F502" s="148" t="s">
        <v>1802</v>
      </c>
      <c r="G502" s="148" t="s">
        <v>129</v>
      </c>
      <c r="H502" s="148">
        <v>2266163</v>
      </c>
      <c r="I502" s="148">
        <v>0</v>
      </c>
      <c r="J502" s="148">
        <v>0</v>
      </c>
      <c r="K502" s="148" t="str">
        <f t="shared" si="7"/>
        <v>INSTRUMENTTYP_DL</v>
      </c>
    </row>
    <row r="503" spans="1:11" hidden="1">
      <c r="A503" s="148" t="s">
        <v>2286</v>
      </c>
      <c r="B503" s="148" t="s">
        <v>2287</v>
      </c>
      <c r="C503" s="148" t="s">
        <v>127</v>
      </c>
      <c r="D503" s="148" t="s">
        <v>1192</v>
      </c>
      <c r="E503" s="148" t="s">
        <v>1394</v>
      </c>
      <c r="F503" s="148" t="s">
        <v>1802</v>
      </c>
      <c r="G503" s="148" t="s">
        <v>129</v>
      </c>
      <c r="H503" s="148">
        <v>2266163</v>
      </c>
      <c r="I503" s="148">
        <v>0</v>
      </c>
      <c r="J503" s="148">
        <v>0</v>
      </c>
      <c r="K503" s="148" t="str">
        <f t="shared" si="7"/>
        <v>INSTRUMENTDSTNTN_FNDS</v>
      </c>
    </row>
    <row r="504" spans="1:11" hidden="1">
      <c r="A504" s="148" t="s">
        <v>2288</v>
      </c>
      <c r="B504" s="148" t="s">
        <v>2289</v>
      </c>
      <c r="C504" s="148" t="s">
        <v>127</v>
      </c>
      <c r="D504" s="148" t="s">
        <v>565</v>
      </c>
      <c r="E504" s="148" t="s">
        <v>1390</v>
      </c>
      <c r="F504" s="148" t="s">
        <v>1802</v>
      </c>
      <c r="G504" s="148" t="s">
        <v>1011</v>
      </c>
      <c r="H504" s="148">
        <v>2266163</v>
      </c>
      <c r="I504" s="148">
        <v>2266163</v>
      </c>
      <c r="J504" s="148">
        <v>100</v>
      </c>
      <c r="K504" s="148" t="str">
        <f t="shared" si="7"/>
        <v>INSTRUMENTPRTNR</v>
      </c>
    </row>
    <row r="505" spans="1:11" hidden="1">
      <c r="A505" s="148" t="s">
        <v>2290</v>
      </c>
      <c r="B505" s="148" t="s">
        <v>2291</v>
      </c>
      <c r="C505" s="148" t="s">
        <v>127</v>
      </c>
      <c r="D505" s="148" t="s">
        <v>566</v>
      </c>
      <c r="E505" s="148" t="s">
        <v>1397</v>
      </c>
      <c r="F505" s="148" t="s">
        <v>1802</v>
      </c>
      <c r="G505" s="148" t="s">
        <v>1011</v>
      </c>
      <c r="H505" s="148">
        <v>2266163</v>
      </c>
      <c r="I505" s="148">
        <v>2266163</v>
      </c>
      <c r="J505" s="148">
        <v>100</v>
      </c>
      <c r="K505" s="148" t="str">
        <f t="shared" si="7"/>
        <v>INSTRUMENTINCNTVS</v>
      </c>
    </row>
    <row r="506" spans="1:11" hidden="1">
      <c r="A506" s="148" t="s">
        <v>2292</v>
      </c>
      <c r="B506" s="148" t="s">
        <v>2293</v>
      </c>
      <c r="C506" s="148" t="s">
        <v>127</v>
      </c>
      <c r="D506" s="148" t="s">
        <v>567</v>
      </c>
      <c r="E506" s="148" t="s">
        <v>1397</v>
      </c>
      <c r="F506" s="148" t="s">
        <v>1802</v>
      </c>
      <c r="G506" s="148" t="s">
        <v>1011</v>
      </c>
      <c r="H506" s="148">
        <v>2266163</v>
      </c>
      <c r="I506" s="148">
        <v>2266163</v>
      </c>
      <c r="J506" s="148">
        <v>100</v>
      </c>
      <c r="K506" s="148" t="str">
        <f t="shared" si="7"/>
        <v>INSTRUMENTOTHR_OPRTNG_INCM</v>
      </c>
    </row>
    <row r="507" spans="1:11" hidden="1">
      <c r="A507" s="148" t="s">
        <v>2294</v>
      </c>
      <c r="B507" s="148" t="s">
        <v>2295</v>
      </c>
      <c r="C507" s="148" t="s">
        <v>127</v>
      </c>
      <c r="D507" s="148" t="s">
        <v>568</v>
      </c>
      <c r="E507" s="148" t="s">
        <v>1397</v>
      </c>
      <c r="F507" s="148" t="s">
        <v>1802</v>
      </c>
      <c r="G507" s="148" t="s">
        <v>1011</v>
      </c>
      <c r="H507" s="148">
        <v>2266163</v>
      </c>
      <c r="I507" s="148">
        <v>2266163</v>
      </c>
      <c r="J507" s="148">
        <v>100</v>
      </c>
      <c r="K507" s="148" t="str">
        <f t="shared" si="7"/>
        <v>INSTRUMENTRFRRL_FS</v>
      </c>
    </row>
    <row r="508" spans="1:11" hidden="1">
      <c r="A508" s="148" t="s">
        <v>2296</v>
      </c>
      <c r="B508" s="148" t="s">
        <v>2297</v>
      </c>
      <c r="C508" s="148" t="s">
        <v>127</v>
      </c>
      <c r="D508" s="148" t="s">
        <v>569</v>
      </c>
      <c r="E508" s="148" t="s">
        <v>1397</v>
      </c>
      <c r="F508" s="148" t="s">
        <v>1802</v>
      </c>
      <c r="G508" s="148" t="s">
        <v>1011</v>
      </c>
      <c r="H508" s="148">
        <v>2266163</v>
      </c>
      <c r="I508" s="148">
        <v>2266163</v>
      </c>
      <c r="J508" s="148">
        <v>100</v>
      </c>
      <c r="K508" s="148" t="str">
        <f t="shared" si="7"/>
        <v>INSTRUMENTINSRNC_CMSSNS</v>
      </c>
    </row>
    <row r="509" spans="1:11" hidden="1">
      <c r="A509" s="148" t="s">
        <v>2298</v>
      </c>
      <c r="B509" s="148" t="s">
        <v>2299</v>
      </c>
      <c r="C509" s="148" t="s">
        <v>127</v>
      </c>
      <c r="D509" s="148" t="s">
        <v>570</v>
      </c>
      <c r="E509" s="148" t="s">
        <v>1397</v>
      </c>
      <c r="F509" s="148" t="s">
        <v>1802</v>
      </c>
      <c r="G509" s="148" t="s">
        <v>1011</v>
      </c>
      <c r="H509" s="148">
        <v>2266163</v>
      </c>
      <c r="I509" s="148">
        <v>2266163</v>
      </c>
      <c r="J509" s="148">
        <v>100</v>
      </c>
      <c r="K509" s="148" t="str">
        <f t="shared" si="7"/>
        <v>INSTRUMENTOTHR_INCM_AND_CHRGS</v>
      </c>
    </row>
    <row r="510" spans="1:11" hidden="1">
      <c r="A510" s="148" t="s">
        <v>2300</v>
      </c>
      <c r="B510" s="148" t="s">
        <v>2301</v>
      </c>
      <c r="C510" s="148" t="s">
        <v>127</v>
      </c>
      <c r="D510" s="148" t="s">
        <v>571</v>
      </c>
      <c r="E510" s="148" t="s">
        <v>1397</v>
      </c>
      <c r="F510" s="148" t="s">
        <v>1802</v>
      </c>
      <c r="G510" s="148" t="s">
        <v>1011</v>
      </c>
      <c r="H510" s="148">
        <v>2266163</v>
      </c>
      <c r="I510" s="148">
        <v>2266163</v>
      </c>
      <c r="J510" s="148">
        <v>100</v>
      </c>
      <c r="K510" s="148" t="str">
        <f t="shared" si="7"/>
        <v>INSTRUMENTTX_ON_PRFT</v>
      </c>
    </row>
    <row r="511" spans="1:11" hidden="1">
      <c r="A511" s="148" t="s">
        <v>2302</v>
      </c>
      <c r="B511" s="148" t="s">
        <v>2303</v>
      </c>
      <c r="C511" s="148" t="s">
        <v>127</v>
      </c>
      <c r="D511" s="148" t="s">
        <v>1132</v>
      </c>
      <c r="E511" s="148" t="s">
        <v>1397</v>
      </c>
      <c r="F511" s="148" t="s">
        <v>1802</v>
      </c>
      <c r="G511" s="148" t="s">
        <v>129</v>
      </c>
      <c r="H511" s="148">
        <v>2266163</v>
      </c>
      <c r="I511" s="148">
        <v>0</v>
      </c>
      <c r="J511" s="148">
        <v>0</v>
      </c>
      <c r="K511" s="148" t="str">
        <f t="shared" si="7"/>
        <v>INSTRUMENTPD_EC_INCPTN</v>
      </c>
    </row>
    <row r="512" spans="1:11" hidden="1">
      <c r="A512" s="148" t="s">
        <v>2304</v>
      </c>
      <c r="B512" s="148" t="s">
        <v>2305</v>
      </c>
      <c r="C512" s="148" t="s">
        <v>127</v>
      </c>
      <c r="D512" s="148" t="s">
        <v>1131</v>
      </c>
      <c r="E512" s="148" t="s">
        <v>1397</v>
      </c>
      <c r="F512" s="148" t="s">
        <v>1802</v>
      </c>
      <c r="G512" s="148" t="s">
        <v>129</v>
      </c>
      <c r="H512" s="148">
        <v>2266163</v>
      </c>
      <c r="I512" s="148">
        <v>0</v>
      </c>
      <c r="J512" s="148">
        <v>0</v>
      </c>
      <c r="K512" s="148" t="str">
        <f t="shared" si="7"/>
        <v>INSTRUMENTPD_EC_RD</v>
      </c>
    </row>
    <row r="513" spans="1:11" hidden="1">
      <c r="A513" s="148" t="s">
        <v>2306</v>
      </c>
      <c r="B513" s="148" t="s">
        <v>2307</v>
      </c>
      <c r="C513" s="148" t="s">
        <v>127</v>
      </c>
      <c r="D513" s="148" t="s">
        <v>1179</v>
      </c>
      <c r="E513" s="148" t="s">
        <v>1397</v>
      </c>
      <c r="F513" s="148" t="s">
        <v>1802</v>
      </c>
      <c r="G513" s="148" t="s">
        <v>129</v>
      </c>
      <c r="H513" s="148">
        <v>2266163</v>
      </c>
      <c r="I513" s="148">
        <v>0</v>
      </c>
      <c r="J513" s="148">
        <v>0</v>
      </c>
      <c r="K513" s="148" t="str">
        <f t="shared" si="7"/>
        <v>INSTRUMENTTTL_LVRG_RT_INCPTN_HLT</v>
      </c>
    </row>
    <row r="514" spans="1:11" hidden="1">
      <c r="A514" s="148" t="s">
        <v>2308</v>
      </c>
      <c r="B514" s="148" t="s">
        <v>2309</v>
      </c>
      <c r="C514" s="148" t="s">
        <v>127</v>
      </c>
      <c r="D514" s="148" t="s">
        <v>1191</v>
      </c>
      <c r="E514" s="148" t="s">
        <v>1387</v>
      </c>
      <c r="F514" s="148" t="s">
        <v>1802</v>
      </c>
      <c r="G514" s="148" t="s">
        <v>129</v>
      </c>
      <c r="H514" s="148">
        <v>2266163</v>
      </c>
      <c r="I514" s="148">
        <v>0</v>
      </c>
      <c r="J514" s="148">
        <v>0</v>
      </c>
      <c r="K514" s="148" t="str">
        <f t="shared" si="7"/>
        <v>INSTRUMENTDT_MDFCTN</v>
      </c>
    </row>
    <row r="515" spans="1:11" hidden="1">
      <c r="A515" s="148" t="s">
        <v>2310</v>
      </c>
      <c r="B515" s="148" t="s">
        <v>1413</v>
      </c>
      <c r="C515" s="148" t="s">
        <v>188</v>
      </c>
      <c r="D515" s="148" t="s">
        <v>186</v>
      </c>
      <c r="E515" s="148" t="s">
        <v>1394</v>
      </c>
      <c r="F515" s="148" t="s">
        <v>2311</v>
      </c>
      <c r="G515" s="148" t="s">
        <v>129</v>
      </c>
      <c r="H515" s="148">
        <v>783914</v>
      </c>
      <c r="I515" s="148">
        <v>0</v>
      </c>
      <c r="J515" s="148">
        <v>0</v>
      </c>
      <c r="K515" s="148" t="str">
        <f t="shared" ref="K515:K578" si="8">_xlfn.CONCAT(_xlfn.IFS(ISNUMBER(SEARCH("EN",A515)),"ENTITY",ISNUMBER(SEARCH("IN",A515)),"INSTRUMENT",ISNUMBER(SEARCH("PR",A515)),"PROTECTION",ISNUMBER(SEARCH("IP",A515)),"INSTR_PROTECTION",ISNUMBER(SEARCH("IE",A515)),"INSTR_ENTITY",ISNUMBER(SEARCH("AC",A515)),"INSTR_ACTIVITY"),D515)</f>
        <v>INSTR_PROTECTIONCOD_SOC</v>
      </c>
    </row>
    <row r="516" spans="1:11" hidden="1">
      <c r="A516" s="148" t="s">
        <v>2312</v>
      </c>
      <c r="B516" s="148" t="s">
        <v>1386</v>
      </c>
      <c r="C516" s="148" t="s">
        <v>188</v>
      </c>
      <c r="D516" s="148" t="s">
        <v>283</v>
      </c>
      <c r="E516" s="148" t="s">
        <v>1387</v>
      </c>
      <c r="F516" s="148" t="s">
        <v>2311</v>
      </c>
      <c r="G516" s="148" t="s">
        <v>129</v>
      </c>
      <c r="H516" s="148">
        <v>783914</v>
      </c>
      <c r="I516" s="148">
        <v>0</v>
      </c>
      <c r="J516" s="148">
        <v>0</v>
      </c>
      <c r="K516" s="148" t="str">
        <f t="shared" si="8"/>
        <v>INSTR_PROTECTIONDT_RFRNC</v>
      </c>
    </row>
    <row r="517" spans="1:11" hidden="1">
      <c r="A517" s="148" t="s">
        <v>2313</v>
      </c>
      <c r="B517" s="148" t="s">
        <v>1389</v>
      </c>
      <c r="C517" s="148" t="s">
        <v>188</v>
      </c>
      <c r="D517" s="148" t="s">
        <v>367</v>
      </c>
      <c r="E517" s="148" t="s">
        <v>1390</v>
      </c>
      <c r="F517" s="148" t="s">
        <v>2311</v>
      </c>
      <c r="G517" s="148" t="s">
        <v>129</v>
      </c>
      <c r="H517" s="148">
        <v>783914</v>
      </c>
      <c r="I517" s="148">
        <v>0</v>
      </c>
      <c r="J517" s="148">
        <v>0</v>
      </c>
      <c r="K517" s="148" t="str">
        <f t="shared" si="8"/>
        <v>INSTR_PROTECTIONINSTRMNT_ID</v>
      </c>
    </row>
    <row r="518" spans="1:11" hidden="1">
      <c r="A518" s="148" t="s">
        <v>2314</v>
      </c>
      <c r="B518" s="148" t="s">
        <v>2315</v>
      </c>
      <c r="C518" s="148" t="s">
        <v>188</v>
      </c>
      <c r="D518" s="148" t="s">
        <v>462</v>
      </c>
      <c r="E518" s="148" t="s">
        <v>1390</v>
      </c>
      <c r="F518" s="148" t="s">
        <v>2311</v>
      </c>
      <c r="G518" s="148" t="s">
        <v>129</v>
      </c>
      <c r="H518" s="148">
        <v>783914</v>
      </c>
      <c r="I518" s="148">
        <v>0</v>
      </c>
      <c r="J518" s="148">
        <v>0</v>
      </c>
      <c r="K518" s="148" t="str">
        <f t="shared" si="8"/>
        <v>INSTR_PROTECTIONPRTCTN_ID</v>
      </c>
    </row>
    <row r="519" spans="1:11" hidden="1">
      <c r="A519" s="148" t="s">
        <v>2316</v>
      </c>
      <c r="B519" s="148" t="s">
        <v>2317</v>
      </c>
      <c r="C519" s="148" t="s">
        <v>188</v>
      </c>
      <c r="D519" s="148" t="s">
        <v>459</v>
      </c>
      <c r="E519" s="148" t="s">
        <v>1397</v>
      </c>
      <c r="F519" s="148" t="s">
        <v>2311</v>
      </c>
      <c r="G519" s="148" t="s">
        <v>129</v>
      </c>
      <c r="H519" s="148">
        <v>783914</v>
      </c>
      <c r="I519" s="148">
        <v>0</v>
      </c>
      <c r="J519" s="148">
        <v>0</v>
      </c>
      <c r="K519" s="148" t="str">
        <f t="shared" si="8"/>
        <v>INSTR_PROTECTIONPRTCTN_ALLCTD_VL</v>
      </c>
    </row>
    <row r="520" spans="1:11" hidden="1">
      <c r="A520" s="148" t="s">
        <v>2318</v>
      </c>
      <c r="B520" s="148" t="s">
        <v>2319</v>
      </c>
      <c r="C520" s="148" t="s">
        <v>188</v>
      </c>
      <c r="D520" s="148" t="s">
        <v>520</v>
      </c>
      <c r="E520" s="148" t="s">
        <v>1397</v>
      </c>
      <c r="F520" s="148" t="s">
        <v>2311</v>
      </c>
      <c r="G520" s="148" t="s">
        <v>129</v>
      </c>
      <c r="H520" s="148">
        <v>783914</v>
      </c>
      <c r="I520" s="148">
        <v>0</v>
      </c>
      <c r="J520" s="148">
        <v>0</v>
      </c>
      <c r="K520" s="148" t="str">
        <f t="shared" si="8"/>
        <v>INSTR_PROTECTIONTHRD_PRTY_PRRTY_CLMS</v>
      </c>
    </row>
    <row r="521" spans="1:11" hidden="1">
      <c r="A521" s="148" t="s">
        <v>2320</v>
      </c>
      <c r="B521" s="148" t="s">
        <v>2321</v>
      </c>
      <c r="C521" s="148" t="s">
        <v>188</v>
      </c>
      <c r="D521" s="148" t="s">
        <v>1344</v>
      </c>
      <c r="E521" s="148" t="s">
        <v>1394</v>
      </c>
      <c r="F521" s="148" t="s">
        <v>2311</v>
      </c>
      <c r="G521" s="148" t="s">
        <v>129</v>
      </c>
      <c r="H521" s="148">
        <v>783914</v>
      </c>
      <c r="I521" s="148">
        <v>0</v>
      </c>
      <c r="J521" s="148">
        <v>0</v>
      </c>
      <c r="K521" s="148" t="str">
        <f t="shared" si="8"/>
        <v>INSTR_PROTECTIONTYP_RLTN</v>
      </c>
    </row>
    <row r="522" spans="1:11" hidden="1">
      <c r="A522" s="148" t="s">
        <v>2322</v>
      </c>
      <c r="B522" s="148" t="s">
        <v>2323</v>
      </c>
      <c r="C522" s="148" t="s">
        <v>156</v>
      </c>
      <c r="D522" s="148" t="s">
        <v>1186</v>
      </c>
      <c r="E522" s="148" t="s">
        <v>1394</v>
      </c>
      <c r="F522" s="148" t="s">
        <v>2311</v>
      </c>
      <c r="G522" s="148" t="s">
        <v>129</v>
      </c>
      <c r="H522" s="148">
        <v>783914</v>
      </c>
      <c r="I522" s="148">
        <v>0</v>
      </c>
      <c r="J522" s="148">
        <v>0</v>
      </c>
      <c r="K522" s="148" t="str">
        <f t="shared" si="8"/>
        <v>INSTR_PROTECTIONGRP_SPPRT</v>
      </c>
    </row>
    <row r="523" spans="1:11" hidden="1">
      <c r="A523" s="148" t="s">
        <v>2324</v>
      </c>
      <c r="B523" s="148" t="s">
        <v>1413</v>
      </c>
      <c r="C523" s="148" t="s">
        <v>156</v>
      </c>
      <c r="D523" s="148" t="s">
        <v>186</v>
      </c>
      <c r="E523" s="148" t="s">
        <v>1394</v>
      </c>
      <c r="F523" s="148" t="s">
        <v>2325</v>
      </c>
      <c r="G523" s="148" t="s">
        <v>129</v>
      </c>
      <c r="H523" s="148">
        <v>465126</v>
      </c>
      <c r="I523" s="148">
        <v>0</v>
      </c>
      <c r="J523" s="148">
        <v>0</v>
      </c>
      <c r="K523" s="148" t="str">
        <f t="shared" si="8"/>
        <v>PROTECTIONCOD_SOC</v>
      </c>
    </row>
    <row r="524" spans="1:11" hidden="1">
      <c r="A524" s="148" t="s">
        <v>2326</v>
      </c>
      <c r="B524" s="148" t="s">
        <v>2327</v>
      </c>
      <c r="C524" s="148" t="s">
        <v>156</v>
      </c>
      <c r="D524" s="148" t="s">
        <v>269</v>
      </c>
      <c r="E524" s="148" t="s">
        <v>1387</v>
      </c>
      <c r="F524" s="148" t="s">
        <v>2325</v>
      </c>
      <c r="G524" s="148" t="s">
        <v>129</v>
      </c>
      <c r="H524" s="148">
        <v>465126</v>
      </c>
      <c r="I524" s="148">
        <v>0</v>
      </c>
      <c r="J524" s="148">
        <v>0</v>
      </c>
      <c r="K524" s="148" t="str">
        <f t="shared" si="8"/>
        <v>PROTECTIONDT_MTRTY_PRTCTN</v>
      </c>
    </row>
    <row r="525" spans="1:11" hidden="1">
      <c r="A525" s="148" t="s">
        <v>2328</v>
      </c>
      <c r="B525" s="148" t="s">
        <v>1386</v>
      </c>
      <c r="C525" s="148" t="s">
        <v>156</v>
      </c>
      <c r="D525" s="148" t="s">
        <v>283</v>
      </c>
      <c r="E525" s="148" t="s">
        <v>1387</v>
      </c>
      <c r="F525" s="148" t="s">
        <v>2325</v>
      </c>
      <c r="G525" s="148" t="s">
        <v>129</v>
      </c>
      <c r="H525" s="148">
        <v>465126</v>
      </c>
      <c r="I525" s="148">
        <v>0</v>
      </c>
      <c r="J525" s="148">
        <v>0</v>
      </c>
      <c r="K525" s="148" t="str">
        <f t="shared" si="8"/>
        <v>PROTECTIONDT_RFRNC</v>
      </c>
    </row>
    <row r="526" spans="1:11" hidden="1">
      <c r="A526" s="148" t="s">
        <v>2329</v>
      </c>
      <c r="B526" s="148" t="s">
        <v>765</v>
      </c>
      <c r="C526" s="148" t="s">
        <v>156</v>
      </c>
      <c r="D526" s="148" t="s">
        <v>275</v>
      </c>
      <c r="E526" s="148" t="s">
        <v>1390</v>
      </c>
      <c r="F526" s="148" t="s">
        <v>2325</v>
      </c>
      <c r="G526" s="148" t="s">
        <v>129</v>
      </c>
      <c r="H526" s="148">
        <v>465126</v>
      </c>
      <c r="I526" s="148">
        <v>0</v>
      </c>
      <c r="J526" s="148">
        <v>0</v>
      </c>
      <c r="K526" s="148" t="str">
        <f t="shared" si="8"/>
        <v>PROTECTIONNTNL_ID</v>
      </c>
    </row>
    <row r="527" spans="1:11" hidden="1">
      <c r="A527" s="148" t="s">
        <v>2330</v>
      </c>
      <c r="B527" s="148" t="s">
        <v>2315</v>
      </c>
      <c r="C527" s="148" t="s">
        <v>156</v>
      </c>
      <c r="D527" s="148" t="s">
        <v>462</v>
      </c>
      <c r="E527" s="148" t="s">
        <v>1390</v>
      </c>
      <c r="F527" s="148" t="s">
        <v>2325</v>
      </c>
      <c r="G527" s="148" t="s">
        <v>129</v>
      </c>
      <c r="H527" s="148">
        <v>465126</v>
      </c>
      <c r="I527" s="148">
        <v>0</v>
      </c>
      <c r="J527" s="148">
        <v>0</v>
      </c>
      <c r="K527" s="148" t="str">
        <f t="shared" si="8"/>
        <v>PROTECTIONPRTCTN_ID</v>
      </c>
    </row>
    <row r="528" spans="1:11" hidden="1">
      <c r="A528" s="148" t="s">
        <v>2331</v>
      </c>
      <c r="B528" s="148" t="s">
        <v>2332</v>
      </c>
      <c r="C528" s="148" t="s">
        <v>156</v>
      </c>
      <c r="D528" s="148" t="s">
        <v>463</v>
      </c>
      <c r="E528" s="148" t="s">
        <v>1390</v>
      </c>
      <c r="F528" s="148" t="s">
        <v>2325</v>
      </c>
      <c r="G528" s="148" t="s">
        <v>129</v>
      </c>
      <c r="H528" s="148">
        <v>465126</v>
      </c>
      <c r="I528" s="148">
        <v>0</v>
      </c>
      <c r="J528" s="148">
        <v>0</v>
      </c>
      <c r="K528" s="148" t="str">
        <f t="shared" si="8"/>
        <v>PROTECTIONPRTCTN_PRVDR_ID</v>
      </c>
    </row>
    <row r="529" spans="1:11" hidden="1">
      <c r="A529" s="148" t="s">
        <v>2333</v>
      </c>
      <c r="B529" s="148" t="s">
        <v>2334</v>
      </c>
      <c r="C529" s="148" t="s">
        <v>156</v>
      </c>
      <c r="D529" s="148" t="s">
        <v>486</v>
      </c>
      <c r="E529" s="148" t="s">
        <v>1390</v>
      </c>
      <c r="F529" s="148" t="s">
        <v>2325</v>
      </c>
      <c r="G529" s="148" t="s">
        <v>129</v>
      </c>
      <c r="H529" s="148">
        <v>465126</v>
      </c>
      <c r="I529" s="148">
        <v>0</v>
      </c>
      <c r="J529" s="148">
        <v>0</v>
      </c>
      <c r="K529" s="148" t="str">
        <f t="shared" si="8"/>
        <v>PROTECTIONRL_ESTT_ADDRSS</v>
      </c>
    </row>
    <row r="530" spans="1:11" hidden="1">
      <c r="A530" s="148" t="s">
        <v>2335</v>
      </c>
      <c r="B530" s="148" t="s">
        <v>2336</v>
      </c>
      <c r="C530" s="148" t="s">
        <v>156</v>
      </c>
      <c r="D530" s="148" t="s">
        <v>175</v>
      </c>
      <c r="E530" s="148" t="s">
        <v>1394</v>
      </c>
      <c r="F530" s="148" t="s">
        <v>2325</v>
      </c>
      <c r="G530" s="148" t="s">
        <v>129</v>
      </c>
      <c r="H530" s="148">
        <v>465126</v>
      </c>
      <c r="I530" s="148">
        <v>0</v>
      </c>
      <c r="J530" s="148">
        <v>0</v>
      </c>
      <c r="K530" s="148" t="str">
        <f t="shared" si="8"/>
        <v>PROTECTIONRL_ESTT_CLLTRL_LCTN</v>
      </c>
    </row>
    <row r="531" spans="1:11" hidden="1">
      <c r="A531" s="148" t="s">
        <v>2337</v>
      </c>
      <c r="B531" s="148" t="s">
        <v>2338</v>
      </c>
      <c r="C531" s="148" t="s">
        <v>156</v>
      </c>
      <c r="D531" s="148" t="s">
        <v>488</v>
      </c>
      <c r="E531" s="148" t="s">
        <v>1390</v>
      </c>
      <c r="F531" s="148" t="s">
        <v>2325</v>
      </c>
      <c r="G531" s="148" t="s">
        <v>129</v>
      </c>
      <c r="H531" s="148">
        <v>465126</v>
      </c>
      <c r="I531" s="148">
        <v>0</v>
      </c>
      <c r="J531" s="148">
        <v>0</v>
      </c>
      <c r="K531" s="148" t="str">
        <f t="shared" si="8"/>
        <v>PROTECTIONRL_ESTT_CLLTRL_LCTN_INT</v>
      </c>
    </row>
    <row r="532" spans="1:11" hidden="1">
      <c r="A532" s="148" t="s">
        <v>2339</v>
      </c>
      <c r="B532" s="148" t="s">
        <v>2340</v>
      </c>
      <c r="C532" s="148" t="s">
        <v>156</v>
      </c>
      <c r="D532" s="148" t="s">
        <v>489</v>
      </c>
      <c r="E532" s="148" t="s">
        <v>1390</v>
      </c>
      <c r="F532" s="148" t="s">
        <v>2325</v>
      </c>
      <c r="G532" s="148" t="s">
        <v>129</v>
      </c>
      <c r="H532" s="148">
        <v>465126</v>
      </c>
      <c r="I532" s="148">
        <v>0</v>
      </c>
      <c r="J532" s="148">
        <v>0</v>
      </c>
      <c r="K532" s="148" t="str">
        <f t="shared" si="8"/>
        <v>PROTECTIONRL_ESTT_CTY</v>
      </c>
    </row>
    <row r="533" spans="1:11" hidden="1">
      <c r="A533" s="148" t="s">
        <v>2341</v>
      </c>
      <c r="B533" s="148" t="s">
        <v>1595</v>
      </c>
      <c r="C533" s="148" t="s">
        <v>156</v>
      </c>
      <c r="D533" s="148" t="s">
        <v>490</v>
      </c>
      <c r="E533" s="148" t="s">
        <v>1390</v>
      </c>
      <c r="F533" s="148" t="s">
        <v>2325</v>
      </c>
      <c r="G533" s="148" t="s">
        <v>129</v>
      </c>
      <c r="H533" s="148">
        <v>465126</v>
      </c>
      <c r="I533" s="148">
        <v>0</v>
      </c>
      <c r="J533" s="148">
        <v>0</v>
      </c>
      <c r="K533" s="148" t="str">
        <f t="shared" si="8"/>
        <v>PROTECTIONRL_ESTT_PST_CD</v>
      </c>
    </row>
    <row r="534" spans="1:11" hidden="1">
      <c r="A534" s="148" t="s">
        <v>2342</v>
      </c>
      <c r="B534" s="148" t="s">
        <v>2343</v>
      </c>
      <c r="C534" s="148" t="s">
        <v>156</v>
      </c>
      <c r="D534" s="148" t="s">
        <v>350</v>
      </c>
      <c r="E534" s="148" t="s">
        <v>1397</v>
      </c>
      <c r="F534" s="148" t="s">
        <v>2325</v>
      </c>
      <c r="G534" s="148" t="s">
        <v>129</v>
      </c>
      <c r="H534" s="148">
        <v>465126</v>
      </c>
      <c r="I534" s="148">
        <v>0</v>
      </c>
      <c r="J534" s="148">
        <v>0</v>
      </c>
      <c r="K534" s="148" t="str">
        <f t="shared" si="8"/>
        <v>PROTECTIONHRCT_MV</v>
      </c>
    </row>
    <row r="535" spans="1:11" hidden="1">
      <c r="A535" s="148" t="s">
        <v>2344</v>
      </c>
      <c r="B535" s="148" t="s">
        <v>2345</v>
      </c>
      <c r="C535" s="148" t="s">
        <v>156</v>
      </c>
      <c r="D535" s="148" t="s">
        <v>460</v>
      </c>
      <c r="E535" s="148" t="s">
        <v>1394</v>
      </c>
      <c r="F535" s="148" t="s">
        <v>2325</v>
      </c>
      <c r="G535" s="148" t="s">
        <v>129</v>
      </c>
      <c r="H535" s="148">
        <v>465126</v>
      </c>
      <c r="I535" s="148">
        <v>0</v>
      </c>
      <c r="J535" s="148">
        <v>0</v>
      </c>
      <c r="K535" s="148" t="str">
        <f t="shared" si="8"/>
        <v>PROTECTIONPRTCTN_CLLD</v>
      </c>
    </row>
    <row r="536" spans="1:11" hidden="1">
      <c r="A536" s="148" t="s">
        <v>2346</v>
      </c>
      <c r="B536" s="148" t="s">
        <v>654</v>
      </c>
      <c r="C536" s="148" t="s">
        <v>156</v>
      </c>
      <c r="D536" s="148" t="s">
        <v>228</v>
      </c>
      <c r="E536" s="148" t="s">
        <v>1394</v>
      </c>
      <c r="F536" s="148" t="s">
        <v>2325</v>
      </c>
      <c r="G536" s="148" t="s">
        <v>129</v>
      </c>
      <c r="H536" s="148">
        <v>465126</v>
      </c>
      <c r="I536" s="148">
        <v>0</v>
      </c>
      <c r="J536" s="148">
        <v>0</v>
      </c>
      <c r="K536" s="148" t="str">
        <f t="shared" si="8"/>
        <v>PROTECTIONTYP_PRTCTN</v>
      </c>
    </row>
    <row r="537" spans="1:11" hidden="1">
      <c r="A537" s="148" t="s">
        <v>2347</v>
      </c>
      <c r="B537" s="148" t="s">
        <v>2348</v>
      </c>
      <c r="C537" s="148" t="s">
        <v>156</v>
      </c>
      <c r="D537" s="148" t="s">
        <v>536</v>
      </c>
      <c r="E537" s="148" t="s">
        <v>1390</v>
      </c>
      <c r="F537" s="148" t="s">
        <v>2325</v>
      </c>
      <c r="G537" s="148" t="s">
        <v>129</v>
      </c>
      <c r="H537" s="148">
        <v>465126</v>
      </c>
      <c r="I537" s="148">
        <v>0</v>
      </c>
      <c r="J537" s="148">
        <v>0</v>
      </c>
      <c r="K537" s="148" t="str">
        <f t="shared" si="8"/>
        <v>PROTECTIONTYP_PRTCTN_INTRNL</v>
      </c>
    </row>
    <row r="538" spans="1:11" hidden="1">
      <c r="A538" s="148" t="s">
        <v>2349</v>
      </c>
      <c r="B538" s="148" t="s">
        <v>2350</v>
      </c>
      <c r="C538" s="148" t="s">
        <v>156</v>
      </c>
      <c r="D538" s="148" t="s">
        <v>537</v>
      </c>
      <c r="E538" s="148" t="s">
        <v>1394</v>
      </c>
      <c r="F538" s="148" t="s">
        <v>2325</v>
      </c>
      <c r="G538" s="148" t="s">
        <v>129</v>
      </c>
      <c r="H538" s="148">
        <v>465126</v>
      </c>
      <c r="I538" s="148">
        <v>0</v>
      </c>
      <c r="J538" s="148">
        <v>0</v>
      </c>
      <c r="K538" s="148" t="str">
        <f t="shared" si="8"/>
        <v>PROTECTIONTYP_PRTCTN_VL</v>
      </c>
    </row>
    <row r="539" spans="1:11" hidden="1">
      <c r="A539" s="148" t="s">
        <v>2351</v>
      </c>
      <c r="B539" s="148" t="s">
        <v>2352</v>
      </c>
      <c r="C539" s="148" t="s">
        <v>156</v>
      </c>
      <c r="D539" s="148" t="s">
        <v>157</v>
      </c>
      <c r="E539" s="148" t="s">
        <v>1394</v>
      </c>
      <c r="F539" s="148" t="s">
        <v>2325</v>
      </c>
      <c r="G539" s="148" t="s">
        <v>129</v>
      </c>
      <c r="H539" s="148">
        <v>465126</v>
      </c>
      <c r="I539" s="148">
        <v>0</v>
      </c>
      <c r="J539" s="148">
        <v>0</v>
      </c>
      <c r="K539" s="148" t="str">
        <f t="shared" si="8"/>
        <v>PROTECTIONAPPRSL_CRRNCY</v>
      </c>
    </row>
    <row r="540" spans="1:11" hidden="1">
      <c r="A540" s="148" t="s">
        <v>2353</v>
      </c>
      <c r="B540" s="148" t="s">
        <v>2354</v>
      </c>
      <c r="C540" s="148" t="s">
        <v>156</v>
      </c>
      <c r="D540" s="148" t="s">
        <v>159</v>
      </c>
      <c r="E540" s="148" t="s">
        <v>1390</v>
      </c>
      <c r="F540" s="148" t="s">
        <v>2325</v>
      </c>
      <c r="G540" s="148" t="s">
        <v>129</v>
      </c>
      <c r="H540" s="148">
        <v>465126</v>
      </c>
      <c r="I540" s="148">
        <v>0</v>
      </c>
      <c r="J540" s="148">
        <v>0</v>
      </c>
      <c r="K540" s="148" t="str">
        <f t="shared" si="8"/>
        <v>PROTECTIONAPPRSR</v>
      </c>
    </row>
    <row r="541" spans="1:11" hidden="1">
      <c r="A541" s="148" t="s">
        <v>2355</v>
      </c>
      <c r="B541" s="148" t="s">
        <v>887</v>
      </c>
      <c r="C541" s="148" t="s">
        <v>156</v>
      </c>
      <c r="D541" s="148" t="s">
        <v>267</v>
      </c>
      <c r="E541" s="148" t="s">
        <v>1387</v>
      </c>
      <c r="F541" s="148" t="s">
        <v>2325</v>
      </c>
      <c r="G541" s="148" t="s">
        <v>129</v>
      </c>
      <c r="H541" s="148">
        <v>465126</v>
      </c>
      <c r="I541" s="148">
        <v>0</v>
      </c>
      <c r="J541" s="148">
        <v>0</v>
      </c>
      <c r="K541" s="148" t="str">
        <f t="shared" si="8"/>
        <v>PROTECTIONDT_LST_FLL_APPRSL</v>
      </c>
    </row>
    <row r="542" spans="1:11" hidden="1">
      <c r="A542" s="148" t="s">
        <v>2356</v>
      </c>
      <c r="B542" s="148" t="s">
        <v>796</v>
      </c>
      <c r="C542" s="148" t="s">
        <v>156</v>
      </c>
      <c r="D542" s="148" t="s">
        <v>43</v>
      </c>
      <c r="E542" s="148" t="s">
        <v>1387</v>
      </c>
      <c r="F542" s="148" t="s">
        <v>2325</v>
      </c>
      <c r="G542" s="148" t="s">
        <v>129</v>
      </c>
      <c r="H542" s="148">
        <v>465126</v>
      </c>
      <c r="I542" s="148">
        <v>0</v>
      </c>
      <c r="J542" s="148">
        <v>0</v>
      </c>
      <c r="K542" s="148" t="str">
        <f t="shared" si="8"/>
        <v>PROTECTIONDT_ORGNL_PRTCTN_VL</v>
      </c>
    </row>
    <row r="543" spans="1:11" hidden="1">
      <c r="A543" s="148" t="s">
        <v>2357</v>
      </c>
      <c r="B543" s="148" t="s">
        <v>724</v>
      </c>
      <c r="C543" s="148" t="s">
        <v>156</v>
      </c>
      <c r="D543" s="148" t="s">
        <v>235</v>
      </c>
      <c r="E543" s="148" t="s">
        <v>1387</v>
      </c>
      <c r="F543" s="148" t="s">
        <v>2325</v>
      </c>
      <c r="G543" s="148" t="s">
        <v>129</v>
      </c>
      <c r="H543" s="148">
        <v>465126</v>
      </c>
      <c r="I543" s="148">
        <v>0</v>
      </c>
      <c r="J543" s="148">
        <v>0</v>
      </c>
      <c r="K543" s="148" t="str">
        <f t="shared" si="8"/>
        <v>PROTECTIONDT_PRTCTN_VL</v>
      </c>
    </row>
    <row r="544" spans="1:11" hidden="1">
      <c r="A544" s="148" t="s">
        <v>2358</v>
      </c>
      <c r="B544" s="148" t="s">
        <v>809</v>
      </c>
      <c r="C544" s="148" t="s">
        <v>156</v>
      </c>
      <c r="D544" s="148" t="s">
        <v>41</v>
      </c>
      <c r="E544" s="148" t="s">
        <v>1397</v>
      </c>
      <c r="F544" s="148" t="s">
        <v>2325</v>
      </c>
      <c r="G544" s="148" t="s">
        <v>129</v>
      </c>
      <c r="H544" s="148">
        <v>465126</v>
      </c>
      <c r="I544" s="148">
        <v>0</v>
      </c>
      <c r="J544" s="148">
        <v>0</v>
      </c>
      <c r="K544" s="148" t="str">
        <f t="shared" si="8"/>
        <v>PROTECTIONORGNL_PRTCTN_VL</v>
      </c>
    </row>
    <row r="545" spans="1:11" hidden="1">
      <c r="A545" s="148" t="s">
        <v>2359</v>
      </c>
      <c r="B545" s="148" t="s">
        <v>2360</v>
      </c>
      <c r="C545" s="148" t="s">
        <v>156</v>
      </c>
      <c r="D545" s="148" t="s">
        <v>461</v>
      </c>
      <c r="E545" s="148" t="s">
        <v>1397</v>
      </c>
      <c r="F545" s="148" t="s">
        <v>2325</v>
      </c>
      <c r="G545" s="148" t="s">
        <v>129</v>
      </c>
      <c r="H545" s="148">
        <v>465126</v>
      </c>
      <c r="I545" s="148">
        <v>0</v>
      </c>
      <c r="J545" s="148">
        <v>0</v>
      </c>
      <c r="K545" s="148" t="str">
        <f t="shared" si="8"/>
        <v>PROTECTIONPRTCTN_FRCD_SL_VL</v>
      </c>
    </row>
    <row r="546" spans="1:11" hidden="1">
      <c r="A546" s="148" t="s">
        <v>2361</v>
      </c>
      <c r="B546" s="148" t="s">
        <v>738</v>
      </c>
      <c r="C546" s="148" t="s">
        <v>156</v>
      </c>
      <c r="D546" s="148" t="s">
        <v>78</v>
      </c>
      <c r="E546" s="148" t="s">
        <v>1397</v>
      </c>
      <c r="F546" s="148" t="s">
        <v>2325</v>
      </c>
      <c r="G546" s="148" t="s">
        <v>129</v>
      </c>
      <c r="H546" s="148">
        <v>465126</v>
      </c>
      <c r="I546" s="148">
        <v>0</v>
      </c>
      <c r="J546" s="148">
        <v>0</v>
      </c>
      <c r="K546" s="148" t="str">
        <f t="shared" si="8"/>
        <v>PROTECTIONPRTCTN_VL</v>
      </c>
    </row>
    <row r="547" spans="1:11" hidden="1">
      <c r="A547" s="148" t="s">
        <v>2362</v>
      </c>
      <c r="B547" s="148" t="s">
        <v>2363</v>
      </c>
      <c r="C547" s="148" t="s">
        <v>156</v>
      </c>
      <c r="D547" s="148" t="s">
        <v>534</v>
      </c>
      <c r="E547" s="148" t="s">
        <v>1397</v>
      </c>
      <c r="F547" s="148" t="s">
        <v>2325</v>
      </c>
      <c r="G547" s="148" t="s">
        <v>129</v>
      </c>
      <c r="H547" s="148">
        <v>465126</v>
      </c>
      <c r="I547" s="148">
        <v>0</v>
      </c>
      <c r="J547" s="148">
        <v>0</v>
      </c>
      <c r="K547" s="148" t="str">
        <f t="shared" si="8"/>
        <v>PROTECTIONPRTCTN_VL_NPE</v>
      </c>
    </row>
    <row r="548" spans="1:11" hidden="1">
      <c r="A548" s="148" t="s">
        <v>2364</v>
      </c>
      <c r="B548" s="148" t="s">
        <v>2365</v>
      </c>
      <c r="C548" s="148" t="s">
        <v>156</v>
      </c>
      <c r="D548" s="148" t="s">
        <v>469</v>
      </c>
      <c r="E548" s="148" t="s">
        <v>1394</v>
      </c>
      <c r="F548" s="148" t="s">
        <v>2325</v>
      </c>
      <c r="G548" s="148" t="s">
        <v>129</v>
      </c>
      <c r="H548" s="148">
        <v>465126</v>
      </c>
      <c r="I548" s="148">
        <v>0</v>
      </c>
      <c r="J548" s="148">
        <v>0</v>
      </c>
      <c r="K548" s="148" t="str">
        <f t="shared" si="8"/>
        <v>PROTECTIONPRTCTN_VLTN_APPRCH</v>
      </c>
    </row>
    <row r="549" spans="1:11" hidden="1">
      <c r="A549" s="148" t="s">
        <v>2366</v>
      </c>
      <c r="B549" s="148" t="s">
        <v>669</v>
      </c>
      <c r="C549" s="148" t="s">
        <v>156</v>
      </c>
      <c r="D549" s="148" t="s">
        <v>179</v>
      </c>
      <c r="E549" s="148" t="s">
        <v>1387</v>
      </c>
      <c r="F549" s="148" t="s">
        <v>2325</v>
      </c>
      <c r="G549" s="148" t="s">
        <v>129</v>
      </c>
      <c r="H549" s="148">
        <v>465126</v>
      </c>
      <c r="I549" s="148">
        <v>0</v>
      </c>
      <c r="J549" s="148">
        <v>0</v>
      </c>
      <c r="K549" s="148" t="str">
        <f t="shared" si="8"/>
        <v>PROTECTIONDT_APPRSL_PRVS</v>
      </c>
    </row>
    <row r="550" spans="1:11">
      <c r="A550" s="148" t="s">
        <v>2367</v>
      </c>
      <c r="B550" s="148" t="s">
        <v>2368</v>
      </c>
      <c r="C550" s="148" t="s">
        <v>156</v>
      </c>
      <c r="D550" s="148" t="s">
        <v>468</v>
      </c>
      <c r="E550" s="148" t="s">
        <v>1397</v>
      </c>
      <c r="F550" s="148" t="s">
        <v>2325</v>
      </c>
      <c r="G550" s="148" t="s">
        <v>129</v>
      </c>
      <c r="H550" s="148">
        <v>465126</v>
      </c>
      <c r="I550" s="148">
        <v>0</v>
      </c>
      <c r="J550" s="148">
        <v>0</v>
      </c>
      <c r="K550" s="148" t="str">
        <f t="shared" si="8"/>
        <v>PROTECTIONPRTCTN_VL_PRVS</v>
      </c>
    </row>
    <row r="551" spans="1:11" hidden="1">
      <c r="A551" s="148" t="s">
        <v>2369</v>
      </c>
      <c r="B551" s="148" t="s">
        <v>771</v>
      </c>
      <c r="C551" s="148" t="s">
        <v>156</v>
      </c>
      <c r="D551" s="148" t="s">
        <v>247</v>
      </c>
      <c r="E551" s="148" t="s">
        <v>1394</v>
      </c>
      <c r="F551" s="148" t="s">
        <v>2325</v>
      </c>
      <c r="G551" s="148" t="s">
        <v>129</v>
      </c>
      <c r="H551" s="148">
        <v>465126</v>
      </c>
      <c r="I551" s="148">
        <v>0</v>
      </c>
      <c r="J551" s="148">
        <v>0</v>
      </c>
      <c r="K551" s="148" t="str">
        <f t="shared" si="8"/>
        <v>PROTECTIONCNSTRCTN_STTS</v>
      </c>
    </row>
    <row r="552" spans="1:11" hidden="1">
      <c r="A552" s="148" t="s">
        <v>2370</v>
      </c>
      <c r="B552" s="148" t="s">
        <v>2371</v>
      </c>
      <c r="C552" s="148" t="s">
        <v>156</v>
      </c>
      <c r="D552" s="148" t="s">
        <v>67</v>
      </c>
      <c r="E552" s="148" t="s">
        <v>1387</v>
      </c>
      <c r="F552" s="148" t="s">
        <v>2325</v>
      </c>
      <c r="G552" s="148" t="s">
        <v>129</v>
      </c>
      <c r="H552" s="148">
        <v>465126</v>
      </c>
      <c r="I552" s="148">
        <v>0</v>
      </c>
      <c r="J552" s="148">
        <v>0</v>
      </c>
      <c r="K552" s="148" t="str">
        <f t="shared" si="8"/>
        <v>PROTECTIONDT_CNSTRCTN_STTS</v>
      </c>
    </row>
    <row r="553" spans="1:11" hidden="1">
      <c r="A553" s="148" t="s">
        <v>2372</v>
      </c>
      <c r="B553" s="148" t="s">
        <v>2373</v>
      </c>
      <c r="C553" s="148" t="s">
        <v>156</v>
      </c>
      <c r="D553" s="148" t="s">
        <v>256</v>
      </c>
      <c r="E553" s="148" t="s">
        <v>1387</v>
      </c>
      <c r="F553" s="148" t="s">
        <v>2325</v>
      </c>
      <c r="G553" s="148" t="s">
        <v>129</v>
      </c>
      <c r="H553" s="148">
        <v>465126</v>
      </c>
      <c r="I553" s="148">
        <v>0</v>
      </c>
      <c r="J553" s="148">
        <v>0</v>
      </c>
      <c r="K553" s="148" t="str">
        <f t="shared" si="8"/>
        <v>PROTECTIONDT_FRST_USG</v>
      </c>
    </row>
    <row r="554" spans="1:11" hidden="1">
      <c r="A554" s="148" t="s">
        <v>2374</v>
      </c>
      <c r="B554" s="148" t="s">
        <v>790</v>
      </c>
      <c r="C554" s="148" t="s">
        <v>156</v>
      </c>
      <c r="D554" s="148" t="s">
        <v>264</v>
      </c>
      <c r="E554" s="148" t="s">
        <v>1394</v>
      </c>
      <c r="F554" s="148" t="s">
        <v>2325</v>
      </c>
      <c r="G554" s="148" t="s">
        <v>129</v>
      </c>
      <c r="H554" s="148">
        <v>465126</v>
      </c>
      <c r="I554" s="148">
        <v>0</v>
      </c>
      <c r="J554" s="148">
        <v>0</v>
      </c>
      <c r="K554" s="148" t="str">
        <f t="shared" si="8"/>
        <v>PROTECTIONDVLPMNT_STTS</v>
      </c>
    </row>
    <row r="555" spans="1:11" hidden="1">
      <c r="A555" s="148" t="s">
        <v>2375</v>
      </c>
      <c r="B555" s="148" t="s">
        <v>2376</v>
      </c>
      <c r="C555" s="148" t="s">
        <v>156</v>
      </c>
      <c r="D555" s="148" t="s">
        <v>412</v>
      </c>
      <c r="E555" s="148" t="s">
        <v>1394</v>
      </c>
      <c r="F555" s="148" t="s">
        <v>2325</v>
      </c>
      <c r="G555" s="148" t="s">
        <v>129</v>
      </c>
      <c r="H555" s="148">
        <v>465126</v>
      </c>
      <c r="I555" s="148">
        <v>0</v>
      </c>
      <c r="J555" s="148">
        <v>0</v>
      </c>
      <c r="K555" s="148" t="str">
        <f t="shared" si="8"/>
        <v>PROTECTIONMN_PRPS</v>
      </c>
    </row>
    <row r="556" spans="1:11" hidden="1">
      <c r="A556" s="148" t="s">
        <v>2377</v>
      </c>
      <c r="B556" s="148" t="s">
        <v>2378</v>
      </c>
      <c r="C556" s="148" t="s">
        <v>156</v>
      </c>
      <c r="D556" s="148" t="s">
        <v>453</v>
      </c>
      <c r="E556" s="148" t="s">
        <v>1394</v>
      </c>
      <c r="F556" s="148" t="s">
        <v>2325</v>
      </c>
      <c r="G556" s="148" t="s">
        <v>129</v>
      </c>
      <c r="H556" s="148">
        <v>465126</v>
      </c>
      <c r="I556" s="148">
        <v>0</v>
      </c>
      <c r="J556" s="148">
        <v>0</v>
      </c>
      <c r="K556" s="148" t="str">
        <f t="shared" si="8"/>
        <v>PROTECTIONPRM_LCTN</v>
      </c>
    </row>
    <row r="557" spans="1:11" hidden="1">
      <c r="A557" s="148" t="s">
        <v>2379</v>
      </c>
      <c r="B557" s="148" t="s">
        <v>2380</v>
      </c>
      <c r="C557" s="148" t="s">
        <v>156</v>
      </c>
      <c r="D557" s="148" t="s">
        <v>194</v>
      </c>
      <c r="E557" s="148" t="s">
        <v>1394</v>
      </c>
      <c r="F557" s="148" t="s">
        <v>2325</v>
      </c>
      <c r="G557" s="148" t="s">
        <v>129</v>
      </c>
      <c r="H557" s="148">
        <v>465126</v>
      </c>
      <c r="I557" s="148">
        <v>0</v>
      </c>
      <c r="J557" s="148">
        <v>0</v>
      </c>
      <c r="K557" s="148" t="str">
        <f t="shared" si="8"/>
        <v>PROTECTIONCRE_INCM_CRRNCY</v>
      </c>
    </row>
    <row r="558" spans="1:11" hidden="1">
      <c r="A558" s="148" t="s">
        <v>2381</v>
      </c>
      <c r="B558" s="148" t="s">
        <v>2382</v>
      </c>
      <c r="C558" s="148" t="s">
        <v>156</v>
      </c>
      <c r="D558" s="148" t="s">
        <v>196</v>
      </c>
      <c r="E558" s="148" t="s">
        <v>1397</v>
      </c>
      <c r="F558" s="148" t="s">
        <v>2325</v>
      </c>
      <c r="G558" s="148" t="s">
        <v>129</v>
      </c>
      <c r="H558" s="148">
        <v>465126</v>
      </c>
      <c r="I558" s="148">
        <v>0</v>
      </c>
      <c r="J558" s="148">
        <v>0</v>
      </c>
      <c r="K558" s="148" t="str">
        <f t="shared" si="8"/>
        <v>PROTECTIONCRE_YRLY_EXPNSS</v>
      </c>
    </row>
    <row r="559" spans="1:11" hidden="1">
      <c r="A559" s="148" t="s">
        <v>2383</v>
      </c>
      <c r="B559" s="148" t="s">
        <v>2384</v>
      </c>
      <c r="C559" s="148" t="s">
        <v>156</v>
      </c>
      <c r="D559" s="148" t="s">
        <v>197</v>
      </c>
      <c r="E559" s="148" t="s">
        <v>1397</v>
      </c>
      <c r="F559" s="148" t="s">
        <v>2325</v>
      </c>
      <c r="G559" s="148" t="s">
        <v>129</v>
      </c>
      <c r="H559" s="148">
        <v>465126</v>
      </c>
      <c r="I559" s="148">
        <v>0</v>
      </c>
      <c r="J559" s="148">
        <v>0</v>
      </c>
      <c r="K559" s="148" t="str">
        <f t="shared" si="8"/>
        <v>PROTECTIONCRE_YRLY_INCM</v>
      </c>
    </row>
    <row r="560" spans="1:11" hidden="1">
      <c r="A560" s="148" t="s">
        <v>2385</v>
      </c>
      <c r="B560" s="148" t="s">
        <v>1581</v>
      </c>
      <c r="C560" s="148" t="s">
        <v>156</v>
      </c>
      <c r="D560" s="148" t="s">
        <v>517</v>
      </c>
      <c r="E560" s="148" t="s">
        <v>1390</v>
      </c>
      <c r="F560" s="148" t="s">
        <v>2325</v>
      </c>
      <c r="G560" s="148" t="s">
        <v>129</v>
      </c>
      <c r="H560" s="148">
        <v>465126</v>
      </c>
      <c r="I560" s="148">
        <v>0</v>
      </c>
      <c r="J560" s="148">
        <v>0</v>
      </c>
      <c r="K560" s="148" t="str">
        <f t="shared" si="8"/>
        <v>PROTECTIONTAX_ID</v>
      </c>
    </row>
    <row r="561" spans="1:11" hidden="1">
      <c r="A561" s="148" t="s">
        <v>2386</v>
      </c>
      <c r="B561" s="148" t="s">
        <v>2387</v>
      </c>
      <c r="C561" s="148" t="s">
        <v>156</v>
      </c>
      <c r="D561" s="148" t="s">
        <v>2388</v>
      </c>
      <c r="E561" s="148" t="s">
        <v>1394</v>
      </c>
      <c r="F561" s="148" t="s">
        <v>2325</v>
      </c>
      <c r="G561" s="148" t="s">
        <v>1011</v>
      </c>
      <c r="H561" s="148">
        <v>465126</v>
      </c>
      <c r="I561" s="148">
        <v>465126</v>
      </c>
      <c r="J561" s="148">
        <v>100</v>
      </c>
      <c r="K561" s="148" t="str">
        <f t="shared" si="8"/>
        <v>PROTECTIONTYP_EP_SCR</v>
      </c>
    </row>
    <row r="562" spans="1:11" hidden="1">
      <c r="A562" s="148" t="s">
        <v>2389</v>
      </c>
      <c r="B562" s="148" t="s">
        <v>2390</v>
      </c>
      <c r="C562" s="148" t="s">
        <v>156</v>
      </c>
      <c r="D562" s="148" t="s">
        <v>2391</v>
      </c>
      <c r="E562" s="148" t="s">
        <v>1394</v>
      </c>
      <c r="F562" s="148" t="s">
        <v>2325</v>
      </c>
      <c r="G562" s="148" t="s">
        <v>1011</v>
      </c>
      <c r="H562" s="148">
        <v>465126</v>
      </c>
      <c r="I562" s="148">
        <v>465126</v>
      </c>
      <c r="J562" s="148">
        <v>100</v>
      </c>
      <c r="K562" s="148" t="str">
        <f t="shared" si="8"/>
        <v>PROTECTIONEP_SCR</v>
      </c>
    </row>
    <row r="563" spans="1:11" hidden="1">
      <c r="A563" s="148" t="s">
        <v>2392</v>
      </c>
      <c r="B563" s="148" t="s">
        <v>2393</v>
      </c>
      <c r="C563" s="148" t="s">
        <v>156</v>
      </c>
      <c r="D563" s="148" t="s">
        <v>2394</v>
      </c>
      <c r="E563" s="148" t="s">
        <v>1394</v>
      </c>
      <c r="F563" s="148" t="s">
        <v>2325</v>
      </c>
      <c r="G563" s="148" t="s">
        <v>1011</v>
      </c>
      <c r="H563" s="148">
        <v>465126</v>
      </c>
      <c r="I563" s="148">
        <v>465126</v>
      </c>
      <c r="J563" s="148">
        <v>100</v>
      </c>
      <c r="K563" s="148" t="str">
        <f t="shared" si="8"/>
        <v>PROTECTIONTYP_EPC_LBL</v>
      </c>
    </row>
    <row r="564" spans="1:11" hidden="1">
      <c r="A564" s="148" t="s">
        <v>2395</v>
      </c>
      <c r="B564" s="148" t="s">
        <v>2396</v>
      </c>
      <c r="C564" s="148" t="s">
        <v>156</v>
      </c>
      <c r="D564" s="148" t="s">
        <v>2397</v>
      </c>
      <c r="E564" s="148" t="s">
        <v>1394</v>
      </c>
      <c r="F564" s="148" t="s">
        <v>2325</v>
      </c>
      <c r="G564" s="148" t="s">
        <v>1011</v>
      </c>
      <c r="H564" s="148">
        <v>465126</v>
      </c>
      <c r="I564" s="148">
        <v>465126</v>
      </c>
      <c r="J564" s="148">
        <v>100</v>
      </c>
      <c r="K564" s="148" t="str">
        <f t="shared" si="8"/>
        <v>PROTECTIONEPC_LBL</v>
      </c>
    </row>
    <row r="565" spans="1:11" hidden="1">
      <c r="A565" s="148" t="s">
        <v>2398</v>
      </c>
      <c r="B565" s="148" t="s">
        <v>2399</v>
      </c>
      <c r="C565" s="148" t="s">
        <v>156</v>
      </c>
      <c r="D565" s="148" t="s">
        <v>2400</v>
      </c>
      <c r="E565" s="148" t="s">
        <v>1394</v>
      </c>
      <c r="F565" s="148" t="s">
        <v>2325</v>
      </c>
      <c r="G565" s="148" t="s">
        <v>1011</v>
      </c>
      <c r="H565" s="148">
        <v>465126</v>
      </c>
      <c r="I565" s="148">
        <v>465126</v>
      </c>
      <c r="J565" s="148">
        <v>100</v>
      </c>
      <c r="K565" s="148" t="str">
        <f t="shared" si="8"/>
        <v>PROTECTIONTYP_EMSSNS_LBL</v>
      </c>
    </row>
    <row r="566" spans="1:11" hidden="1">
      <c r="A566" s="148" t="s">
        <v>2401</v>
      </c>
      <c r="B566" s="148" t="s">
        <v>2402</v>
      </c>
      <c r="C566" s="148" t="s">
        <v>156</v>
      </c>
      <c r="D566" s="148" t="s">
        <v>2403</v>
      </c>
      <c r="E566" s="148" t="s">
        <v>1394</v>
      </c>
      <c r="F566" s="148" t="s">
        <v>2325</v>
      </c>
      <c r="G566" s="148" t="s">
        <v>1011</v>
      </c>
      <c r="H566" s="148">
        <v>465126</v>
      </c>
      <c r="I566" s="148">
        <v>465126</v>
      </c>
      <c r="J566" s="148">
        <v>100</v>
      </c>
      <c r="K566" s="148" t="str">
        <f t="shared" si="8"/>
        <v>PROTECTIONEPC_EMSSNS_LBL</v>
      </c>
    </row>
    <row r="567" spans="1:11" hidden="1">
      <c r="A567" s="148" t="s">
        <v>2404</v>
      </c>
      <c r="B567" s="148" t="s">
        <v>2405</v>
      </c>
      <c r="C567" s="148" t="s">
        <v>156</v>
      </c>
      <c r="D567" s="148" t="s">
        <v>2406</v>
      </c>
      <c r="E567" s="148" t="s">
        <v>1390</v>
      </c>
      <c r="F567" s="148" t="s">
        <v>2325</v>
      </c>
      <c r="G567" s="148" t="s">
        <v>1011</v>
      </c>
      <c r="H567" s="148">
        <v>465126</v>
      </c>
      <c r="I567" s="148">
        <v>465126</v>
      </c>
      <c r="J567" s="148">
        <v>100</v>
      </c>
      <c r="K567" s="148" t="str">
        <f t="shared" si="8"/>
        <v>PROTECTIONVHCL_EMSSNS_LBL</v>
      </c>
    </row>
    <row r="568" spans="1:11" hidden="1">
      <c r="A568" s="148" t="s">
        <v>2407</v>
      </c>
      <c r="B568" s="148" t="s">
        <v>2408</v>
      </c>
      <c r="C568" s="148" t="s">
        <v>156</v>
      </c>
      <c r="D568" s="148" t="s">
        <v>2409</v>
      </c>
      <c r="E568" s="148" t="s">
        <v>1394</v>
      </c>
      <c r="F568" s="148" t="s">
        <v>2325</v>
      </c>
      <c r="G568" s="148" t="s">
        <v>1011</v>
      </c>
      <c r="H568" s="148">
        <v>465126</v>
      </c>
      <c r="I568" s="148">
        <v>465126</v>
      </c>
      <c r="J568" s="148">
        <v>100</v>
      </c>
      <c r="K568" s="148" t="str">
        <f t="shared" si="8"/>
        <v>PROTECTIONTYP_EMSSNS_SCR</v>
      </c>
    </row>
    <row r="569" spans="1:11" hidden="1">
      <c r="A569" s="148" t="s">
        <v>2410</v>
      </c>
      <c r="B569" s="148" t="s">
        <v>2411</v>
      </c>
      <c r="C569" s="148" t="s">
        <v>156</v>
      </c>
      <c r="D569" s="148" t="s">
        <v>2412</v>
      </c>
      <c r="E569" s="148" t="s">
        <v>1397</v>
      </c>
      <c r="F569" s="148" t="s">
        <v>2325</v>
      </c>
      <c r="G569" s="148" t="s">
        <v>1011</v>
      </c>
      <c r="H569" s="148">
        <v>465126</v>
      </c>
      <c r="I569" s="148">
        <v>465126</v>
      </c>
      <c r="J569" s="148">
        <v>100</v>
      </c>
      <c r="K569" s="148" t="str">
        <f t="shared" si="8"/>
        <v>PROTECTIONEPC_EMSSNS_SCR</v>
      </c>
    </row>
    <row r="570" spans="1:11" hidden="1">
      <c r="A570" s="148" t="s">
        <v>2413</v>
      </c>
      <c r="B570" s="148" t="s">
        <v>2414</v>
      </c>
      <c r="C570" s="148" t="s">
        <v>156</v>
      </c>
      <c r="D570" s="148" t="s">
        <v>2415</v>
      </c>
      <c r="E570" s="148" t="s">
        <v>1397</v>
      </c>
      <c r="F570" s="148" t="s">
        <v>2325</v>
      </c>
      <c r="G570" s="148" t="s">
        <v>1011</v>
      </c>
      <c r="H570" s="148">
        <v>465126</v>
      </c>
      <c r="I570" s="148">
        <v>465126</v>
      </c>
      <c r="J570" s="148">
        <v>100</v>
      </c>
      <c r="K570" s="148" t="str">
        <f t="shared" si="8"/>
        <v>PROTECTIONVHCL_EMSSNS_SCR</v>
      </c>
    </row>
    <row r="571" spans="1:11" hidden="1">
      <c r="A571" s="148" t="s">
        <v>2416</v>
      </c>
      <c r="B571" s="148" t="s">
        <v>2417</v>
      </c>
      <c r="C571" s="148" t="s">
        <v>156</v>
      </c>
      <c r="D571" s="148" t="s">
        <v>2418</v>
      </c>
      <c r="E571" s="148" t="s">
        <v>1397</v>
      </c>
      <c r="F571" s="148" t="s">
        <v>2325</v>
      </c>
      <c r="G571" s="148" t="s">
        <v>1011</v>
      </c>
      <c r="H571" s="148">
        <v>465126</v>
      </c>
      <c r="I571" s="148">
        <v>465126</v>
      </c>
      <c r="J571" s="148">
        <v>100</v>
      </c>
      <c r="K571" s="148" t="str">
        <f t="shared" si="8"/>
        <v>PROTECTIONEMSSNS_SCP1_PRTCTN</v>
      </c>
    </row>
    <row r="572" spans="1:11" hidden="1">
      <c r="A572" s="148" t="s">
        <v>2419</v>
      </c>
      <c r="B572" s="148" t="s">
        <v>2420</v>
      </c>
      <c r="C572" s="148" t="s">
        <v>156</v>
      </c>
      <c r="D572" s="148" t="s">
        <v>2421</v>
      </c>
      <c r="E572" s="148" t="s">
        <v>1397</v>
      </c>
      <c r="F572" s="148" t="s">
        <v>2325</v>
      </c>
      <c r="G572" s="148" t="s">
        <v>1011</v>
      </c>
      <c r="H572" s="148">
        <v>465126</v>
      </c>
      <c r="I572" s="148">
        <v>465126</v>
      </c>
      <c r="J572" s="148">
        <v>100</v>
      </c>
      <c r="K572" s="148" t="str">
        <f t="shared" si="8"/>
        <v>PROTECTIONEMSSNS_SCP2_PRTCTN</v>
      </c>
    </row>
    <row r="573" spans="1:11" hidden="1">
      <c r="A573" s="148" t="s">
        <v>2422</v>
      </c>
      <c r="B573" s="148" t="s">
        <v>2423</v>
      </c>
      <c r="C573" s="148" t="s">
        <v>156</v>
      </c>
      <c r="D573" s="148" t="s">
        <v>2424</v>
      </c>
      <c r="E573" s="148" t="s">
        <v>1397</v>
      </c>
      <c r="F573" s="148" t="s">
        <v>2325</v>
      </c>
      <c r="G573" s="148" t="s">
        <v>1011</v>
      </c>
      <c r="H573" s="148">
        <v>465126</v>
      </c>
      <c r="I573" s="148">
        <v>465126</v>
      </c>
      <c r="J573" s="148">
        <v>100</v>
      </c>
      <c r="K573" s="148" t="str">
        <f t="shared" si="8"/>
        <v>PROTECTIONEMSSNS_SCP3_PRTCTN</v>
      </c>
    </row>
    <row r="574" spans="1:11" hidden="1">
      <c r="A574" s="148" t="s">
        <v>2425</v>
      </c>
      <c r="B574" s="148" t="s">
        <v>2426</v>
      </c>
      <c r="C574" s="148" t="s">
        <v>156</v>
      </c>
      <c r="D574" s="148" t="s">
        <v>2427</v>
      </c>
      <c r="E574" s="148" t="s">
        <v>1394</v>
      </c>
      <c r="F574" s="148" t="s">
        <v>2325</v>
      </c>
      <c r="G574" s="148" t="s">
        <v>1011</v>
      </c>
      <c r="H574" s="148">
        <v>465126</v>
      </c>
      <c r="I574" s="148">
        <v>465126</v>
      </c>
      <c r="J574" s="148">
        <v>100</v>
      </c>
      <c r="K574" s="148" t="str">
        <f t="shared" si="8"/>
        <v>PROTECTIONMTHD_USD_PRTCTN_SCP_1</v>
      </c>
    </row>
    <row r="575" spans="1:11" hidden="1">
      <c r="A575" s="148" t="s">
        <v>2428</v>
      </c>
      <c r="B575" s="148" t="s">
        <v>2429</v>
      </c>
      <c r="C575" s="148" t="s">
        <v>156</v>
      </c>
      <c r="D575" s="148" t="s">
        <v>2430</v>
      </c>
      <c r="E575" s="148" t="s">
        <v>1394</v>
      </c>
      <c r="F575" s="148" t="s">
        <v>2325</v>
      </c>
      <c r="G575" s="148" t="s">
        <v>1011</v>
      </c>
      <c r="H575" s="148">
        <v>465126</v>
      </c>
      <c r="I575" s="148">
        <v>465126</v>
      </c>
      <c r="J575" s="148">
        <v>100</v>
      </c>
      <c r="K575" s="148" t="str">
        <f t="shared" si="8"/>
        <v>PROTECTIONMTHD_USD_PRTCTN_SCP_2</v>
      </c>
    </row>
    <row r="576" spans="1:11" hidden="1">
      <c r="A576" s="148" t="s">
        <v>2431</v>
      </c>
      <c r="B576" s="148" t="s">
        <v>2432</v>
      </c>
      <c r="C576" s="148" t="s">
        <v>156</v>
      </c>
      <c r="D576" s="148" t="s">
        <v>2433</v>
      </c>
      <c r="E576" s="148" t="s">
        <v>1394</v>
      </c>
      <c r="F576" s="148" t="s">
        <v>2325</v>
      </c>
      <c r="G576" s="148" t="s">
        <v>1011</v>
      </c>
      <c r="H576" s="148">
        <v>465126</v>
      </c>
      <c r="I576" s="148">
        <v>465126</v>
      </c>
      <c r="J576" s="148">
        <v>100</v>
      </c>
      <c r="K576" s="148" t="str">
        <f t="shared" si="8"/>
        <v>PROTECTIONMTHD_USD_PRTCTN_SCP_3</v>
      </c>
    </row>
    <row r="577" spans="1:11" hidden="1">
      <c r="A577" s="148" t="s">
        <v>2434</v>
      </c>
      <c r="B577" s="148" t="s">
        <v>2435</v>
      </c>
      <c r="C577" s="148" t="s">
        <v>156</v>
      </c>
      <c r="D577" s="148" t="s">
        <v>1240</v>
      </c>
      <c r="E577" s="148" t="s">
        <v>1394</v>
      </c>
      <c r="F577" s="148" t="s">
        <v>2325</v>
      </c>
      <c r="G577" s="148" t="s">
        <v>1011</v>
      </c>
      <c r="H577" s="148">
        <v>465126</v>
      </c>
      <c r="I577" s="148">
        <v>465126</v>
      </c>
      <c r="J577" s="148">
        <v>100</v>
      </c>
      <c r="K577" s="148" t="str">
        <f t="shared" si="8"/>
        <v>PROTECTIONFLG_ACT_PHYSCL_RSK</v>
      </c>
    </row>
    <row r="578" spans="1:11" hidden="1">
      <c r="A578" s="148" t="s">
        <v>2436</v>
      </c>
      <c r="B578" s="148" t="s">
        <v>2437</v>
      </c>
      <c r="C578" s="148" t="s">
        <v>156</v>
      </c>
      <c r="D578" s="148" t="s">
        <v>1243</v>
      </c>
      <c r="E578" s="148" t="s">
        <v>1394</v>
      </c>
      <c r="F578" s="148" t="s">
        <v>2325</v>
      </c>
      <c r="G578" s="148" t="s">
        <v>1011</v>
      </c>
      <c r="H578" s="148">
        <v>465126</v>
      </c>
      <c r="I578" s="148">
        <v>465126</v>
      </c>
      <c r="J578" s="148">
        <v>100</v>
      </c>
      <c r="K578" s="148" t="str">
        <f t="shared" si="8"/>
        <v>PROTECTIONFLG_CHRNC_PHYSCL_RSK</v>
      </c>
    </row>
    <row r="579" spans="1:11" hidden="1">
      <c r="A579" s="148" t="s">
        <v>2438</v>
      </c>
      <c r="B579" s="148" t="s">
        <v>2439</v>
      </c>
      <c r="C579" s="148" t="s">
        <v>156</v>
      </c>
      <c r="D579" s="148" t="s">
        <v>2440</v>
      </c>
      <c r="E579" s="148" t="s">
        <v>1390</v>
      </c>
      <c r="F579" s="148" t="s">
        <v>2325</v>
      </c>
      <c r="G579" s="148" t="s">
        <v>1011</v>
      </c>
      <c r="H579" s="148">
        <v>465126</v>
      </c>
      <c r="I579" s="148">
        <v>465126</v>
      </c>
      <c r="J579" s="148">
        <v>100</v>
      </c>
      <c r="K579" s="148" t="str">
        <f t="shared" ref="K579:K642" si="9">_xlfn.CONCAT(_xlfn.IFS(ISNUMBER(SEARCH("EN",A579)),"ENTITY",ISNUMBER(SEARCH("IN",A579)),"INSTRUMENT",ISNUMBER(SEARCH("PR",A579)),"PROTECTION",ISNUMBER(SEARCH("IP",A579)),"INSTR_PROTECTION",ISNUMBER(SEARCH("IE",A579)),"INSTR_ENTITY",ISNUMBER(SEARCH("AC",A579)),"INSTR_ACTIVITY"),D579)</f>
        <v>PROTECTIONINSRNC_ID</v>
      </c>
    </row>
    <row r="580" spans="1:11" hidden="1">
      <c r="A580" s="148" t="s">
        <v>2441</v>
      </c>
      <c r="B580" s="148" t="s">
        <v>2442</v>
      </c>
      <c r="C580" s="148" t="s">
        <v>156</v>
      </c>
      <c r="D580" s="148" t="s">
        <v>2443</v>
      </c>
      <c r="E580" s="148" t="s">
        <v>2087</v>
      </c>
      <c r="F580" s="148" t="s">
        <v>2325</v>
      </c>
      <c r="G580" s="148" t="s">
        <v>1011</v>
      </c>
      <c r="H580" s="148">
        <v>465126</v>
      </c>
      <c r="I580" s="148">
        <v>465126</v>
      </c>
      <c r="J580" s="148">
        <v>100</v>
      </c>
      <c r="K580" s="148" t="str">
        <f t="shared" si="9"/>
        <v>PROTECTIONTYP_HZRDS_INSRD</v>
      </c>
    </row>
    <row r="581" spans="1:11" hidden="1">
      <c r="A581" s="148" t="s">
        <v>2444</v>
      </c>
      <c r="B581" s="148" t="s">
        <v>2445</v>
      </c>
      <c r="C581" s="148" t="s">
        <v>156</v>
      </c>
      <c r="D581" s="148" t="s">
        <v>2446</v>
      </c>
      <c r="E581" s="148" t="s">
        <v>1397</v>
      </c>
      <c r="F581" s="148" t="s">
        <v>2325</v>
      </c>
      <c r="G581" s="148" t="s">
        <v>1011</v>
      </c>
      <c r="H581" s="148">
        <v>465126</v>
      </c>
      <c r="I581" s="148">
        <v>465126</v>
      </c>
      <c r="J581" s="148">
        <v>100</v>
      </c>
      <c r="K581" s="148" t="str">
        <f t="shared" si="9"/>
        <v>PROTECTIONAMNT_CVRD_INSRNC</v>
      </c>
    </row>
    <row r="582" spans="1:11" hidden="1">
      <c r="A582" s="148" t="s">
        <v>2447</v>
      </c>
      <c r="B582" s="148" t="s">
        <v>2448</v>
      </c>
      <c r="C582" s="148" t="s">
        <v>156</v>
      </c>
      <c r="D582" s="148" t="s">
        <v>2449</v>
      </c>
      <c r="E582" s="148" t="s">
        <v>1387</v>
      </c>
      <c r="F582" s="148" t="s">
        <v>2325</v>
      </c>
      <c r="G582" s="148" t="s">
        <v>1011</v>
      </c>
      <c r="H582" s="148">
        <v>465126</v>
      </c>
      <c r="I582" s="148">
        <v>465126</v>
      </c>
      <c r="J582" s="148">
        <v>100</v>
      </c>
      <c r="K582" s="148" t="str">
        <f t="shared" si="9"/>
        <v>PROTECTIONDT_MTRTY_INSRNC</v>
      </c>
    </row>
    <row r="583" spans="1:11" hidden="1">
      <c r="A583" s="148" t="s">
        <v>2450</v>
      </c>
      <c r="B583" s="148" t="s">
        <v>2451</v>
      </c>
      <c r="C583" s="148" t="s">
        <v>156</v>
      </c>
      <c r="D583" s="148" t="s">
        <v>1358</v>
      </c>
      <c r="E583" s="148" t="s">
        <v>1394</v>
      </c>
      <c r="F583" s="148" t="s">
        <v>2325</v>
      </c>
      <c r="G583" s="148" t="s">
        <v>1011</v>
      </c>
      <c r="H583" s="148">
        <v>465126</v>
      </c>
      <c r="I583" s="148">
        <v>465126</v>
      </c>
      <c r="J583" s="148">
        <v>100</v>
      </c>
      <c r="K583" s="148" t="str">
        <f t="shared" si="9"/>
        <v>PROTECTIONFLG_FRST_HM</v>
      </c>
    </row>
    <row r="584" spans="1:11" hidden="1">
      <c r="A584" s="148" t="s">
        <v>2452</v>
      </c>
      <c r="B584" s="148" t="s">
        <v>2453</v>
      </c>
      <c r="C584" s="148" t="s">
        <v>156</v>
      </c>
      <c r="D584" s="148" t="s">
        <v>542</v>
      </c>
      <c r="E584" s="148" t="s">
        <v>1397</v>
      </c>
      <c r="F584" s="148" t="s">
        <v>2325</v>
      </c>
      <c r="G584" s="148" t="s">
        <v>129</v>
      </c>
      <c r="H584" s="148">
        <v>465126</v>
      </c>
      <c r="I584" s="148">
        <v>0</v>
      </c>
      <c r="J584" s="148">
        <v>0</v>
      </c>
      <c r="K584" s="148" t="str">
        <f t="shared" si="9"/>
        <v>PROTECTIONYR_CNSTRCTN</v>
      </c>
    </row>
    <row r="585" spans="1:11" hidden="1">
      <c r="A585" s="148" t="s">
        <v>2454</v>
      </c>
      <c r="B585" s="148" t="s">
        <v>2455</v>
      </c>
      <c r="C585" s="148" t="s">
        <v>156</v>
      </c>
      <c r="D585" s="148" t="s">
        <v>2456</v>
      </c>
      <c r="E585" s="148" t="s">
        <v>1397</v>
      </c>
      <c r="F585" s="148" t="s">
        <v>2325</v>
      </c>
      <c r="G585" s="148" t="s">
        <v>1011</v>
      </c>
      <c r="H585" s="148">
        <v>465126</v>
      </c>
      <c r="I585" s="148">
        <v>465126</v>
      </c>
      <c r="J585" s="148">
        <v>100</v>
      </c>
      <c r="K585" s="148" t="str">
        <f t="shared" si="9"/>
        <v>PROTECTIONBLDNG_AR</v>
      </c>
    </row>
    <row r="586" spans="1:11" hidden="1">
      <c r="A586" s="148" t="s">
        <v>2457</v>
      </c>
      <c r="B586" s="148" t="s">
        <v>2458</v>
      </c>
      <c r="C586" s="148" t="s">
        <v>156</v>
      </c>
      <c r="D586" s="148" t="s">
        <v>572</v>
      </c>
      <c r="E586" s="148" t="s">
        <v>1397</v>
      </c>
      <c r="F586" s="148" t="s">
        <v>2325</v>
      </c>
      <c r="G586" s="148" t="s">
        <v>1011</v>
      </c>
      <c r="H586" s="148">
        <v>465126</v>
      </c>
      <c r="I586" s="148">
        <v>465126</v>
      </c>
      <c r="J586" s="148">
        <v>100</v>
      </c>
      <c r="K586" s="148" t="str">
        <f t="shared" si="9"/>
        <v>PROTECTIONLND_AR</v>
      </c>
    </row>
    <row r="587" spans="1:11" hidden="1">
      <c r="A587" s="148" t="s">
        <v>2459</v>
      </c>
      <c r="B587" s="148" t="s">
        <v>2460</v>
      </c>
      <c r="C587" s="148" t="s">
        <v>156</v>
      </c>
      <c r="D587" s="148" t="s">
        <v>573</v>
      </c>
      <c r="E587" s="148" t="s">
        <v>1397</v>
      </c>
      <c r="F587" s="148" t="s">
        <v>2325</v>
      </c>
      <c r="G587" s="148" t="s">
        <v>1011</v>
      </c>
      <c r="H587" s="148">
        <v>465126</v>
      </c>
      <c r="I587" s="148">
        <v>465126</v>
      </c>
      <c r="J587" s="148">
        <v>100</v>
      </c>
      <c r="K587" s="148" t="str">
        <f t="shared" si="9"/>
        <v>PROTECTIONLN_PSTN</v>
      </c>
    </row>
    <row r="588" spans="1:11" hidden="1">
      <c r="A588" s="148" t="s">
        <v>2461</v>
      </c>
      <c r="B588" s="148" t="s">
        <v>2462</v>
      </c>
      <c r="C588" s="148" t="s">
        <v>156</v>
      </c>
      <c r="D588" s="148" t="s">
        <v>2463</v>
      </c>
      <c r="E588" s="148" t="s">
        <v>1394</v>
      </c>
      <c r="F588" s="148" t="s">
        <v>2325</v>
      </c>
      <c r="G588" s="148" t="s">
        <v>1011</v>
      </c>
      <c r="H588" s="148">
        <v>465126</v>
      </c>
      <c r="I588" s="148">
        <v>465126</v>
      </c>
      <c r="J588" s="148">
        <v>100</v>
      </c>
      <c r="K588" s="148" t="str">
        <f t="shared" si="9"/>
        <v>PROTECTIONRL_ESTT_CRTFCTN</v>
      </c>
    </row>
    <row r="589" spans="1:11" hidden="1">
      <c r="A589" s="148" t="s">
        <v>2464</v>
      </c>
      <c r="B589" s="148" t="s">
        <v>2465</v>
      </c>
      <c r="C589" s="148" t="s">
        <v>156</v>
      </c>
      <c r="D589" s="148" t="s">
        <v>2466</v>
      </c>
      <c r="E589" s="148" t="s">
        <v>1394</v>
      </c>
      <c r="F589" s="148" t="s">
        <v>2325</v>
      </c>
      <c r="G589" s="148" t="s">
        <v>129</v>
      </c>
      <c r="H589" s="148">
        <v>465126</v>
      </c>
      <c r="I589" s="148">
        <v>0</v>
      </c>
      <c r="J589" s="148">
        <v>0</v>
      </c>
      <c r="K589" s="148" t="str">
        <f t="shared" si="9"/>
        <v>PROTECTIONTYP_VHCL</v>
      </c>
    </row>
    <row r="590" spans="1:11" hidden="1">
      <c r="A590" s="148" t="s">
        <v>2467</v>
      </c>
      <c r="B590" s="148" t="s">
        <v>2468</v>
      </c>
      <c r="C590" s="148" t="s">
        <v>156</v>
      </c>
      <c r="D590" s="148" t="s">
        <v>2469</v>
      </c>
      <c r="E590" s="148" t="s">
        <v>1387</v>
      </c>
      <c r="F590" s="148" t="s">
        <v>2325</v>
      </c>
      <c r="G590" s="148" t="s">
        <v>1011</v>
      </c>
      <c r="H590" s="148">
        <v>465126</v>
      </c>
      <c r="I590" s="148">
        <v>465126</v>
      </c>
      <c r="J590" s="148">
        <v>100</v>
      </c>
      <c r="K590" s="148" t="str">
        <f t="shared" si="9"/>
        <v>PROTECTIONDT_RGSTRTN</v>
      </c>
    </row>
    <row r="591" spans="1:11" hidden="1">
      <c r="A591" s="148" t="s">
        <v>2470</v>
      </c>
      <c r="B591" s="148" t="s">
        <v>2471</v>
      </c>
      <c r="C591" s="148" t="s">
        <v>156</v>
      </c>
      <c r="D591" s="148" t="s">
        <v>2472</v>
      </c>
      <c r="E591" s="148" t="s">
        <v>1397</v>
      </c>
      <c r="F591" s="148" t="s">
        <v>2325</v>
      </c>
      <c r="G591" s="148" t="s">
        <v>1011</v>
      </c>
      <c r="H591" s="148">
        <v>465126</v>
      </c>
      <c r="I591" s="148">
        <v>465126</v>
      </c>
      <c r="J591" s="148">
        <v>100</v>
      </c>
      <c r="K591" s="148" t="str">
        <f t="shared" si="9"/>
        <v>PROTECTIONPRMRY_ENRGY_DMND_NN_RNWBL</v>
      </c>
    </row>
    <row r="592" spans="1:11" hidden="1">
      <c r="A592" s="148" t="s">
        <v>2473</v>
      </c>
      <c r="B592" s="148" t="s">
        <v>2474</v>
      </c>
      <c r="C592" s="148" t="s">
        <v>156</v>
      </c>
      <c r="D592" s="148" t="s">
        <v>2475</v>
      </c>
      <c r="E592" s="148" t="s">
        <v>1397</v>
      </c>
      <c r="F592" s="148" t="s">
        <v>2325</v>
      </c>
      <c r="G592" s="148" t="s">
        <v>1011</v>
      </c>
      <c r="H592" s="148">
        <v>465126</v>
      </c>
      <c r="I592" s="148">
        <v>465126</v>
      </c>
      <c r="J592" s="148">
        <v>100</v>
      </c>
      <c r="K592" s="148" t="str">
        <f t="shared" si="9"/>
        <v>PROTECTIONPRMRY_ENRGY_DMND_TTL</v>
      </c>
    </row>
    <row r="593" spans="1:11" hidden="1">
      <c r="A593" s="148" t="s">
        <v>2476</v>
      </c>
      <c r="B593" s="148" t="s">
        <v>2477</v>
      </c>
      <c r="C593" s="148" t="s">
        <v>156</v>
      </c>
      <c r="D593" s="148" t="s">
        <v>2478</v>
      </c>
      <c r="E593" s="148" t="s">
        <v>1397</v>
      </c>
      <c r="F593" s="148" t="s">
        <v>2325</v>
      </c>
      <c r="G593" s="148" t="s">
        <v>1011</v>
      </c>
      <c r="H593" s="148">
        <v>465126</v>
      </c>
      <c r="I593" s="148">
        <v>465126</v>
      </c>
      <c r="J593" s="148">
        <v>100</v>
      </c>
      <c r="K593" s="148" t="str">
        <f t="shared" si="9"/>
        <v>PROTECTIONPRMRY_ENRGY_DMND_RFRNC_VL</v>
      </c>
    </row>
    <row r="594" spans="1:11" hidden="1">
      <c r="A594" s="148" t="s">
        <v>2479</v>
      </c>
      <c r="B594" s="148" t="s">
        <v>2480</v>
      </c>
      <c r="C594" s="148" t="s">
        <v>156</v>
      </c>
      <c r="D594" s="148" t="s">
        <v>2481</v>
      </c>
      <c r="E594" s="148" t="s">
        <v>1394</v>
      </c>
      <c r="F594" s="148" t="s">
        <v>2325</v>
      </c>
      <c r="G594" s="148" t="s">
        <v>1011</v>
      </c>
      <c r="H594" s="148">
        <v>465126</v>
      </c>
      <c r="I594" s="148">
        <v>465126</v>
      </c>
      <c r="J594" s="148">
        <v>100</v>
      </c>
      <c r="K594" s="148" t="str">
        <f t="shared" si="9"/>
        <v>PROTECTIONRL_ESTT_CLMT_ZN</v>
      </c>
    </row>
    <row r="595" spans="1:11" hidden="1">
      <c r="A595" s="148" t="s">
        <v>2482</v>
      </c>
      <c r="B595" s="148" t="s">
        <v>2483</v>
      </c>
      <c r="C595" s="148" t="s">
        <v>156</v>
      </c>
      <c r="D595" s="148" t="s">
        <v>574</v>
      </c>
      <c r="E595" s="148" t="s">
        <v>1397</v>
      </c>
      <c r="F595" s="148" t="s">
        <v>2325</v>
      </c>
      <c r="G595" s="148" t="s">
        <v>1011</v>
      </c>
      <c r="H595" s="148">
        <v>465126</v>
      </c>
      <c r="I595" s="148">
        <v>465126</v>
      </c>
      <c r="J595" s="148">
        <v>100</v>
      </c>
      <c r="K595" s="148" t="str">
        <f t="shared" si="9"/>
        <v>PROTECTIONRL_ESTT_LNGTD</v>
      </c>
    </row>
    <row r="596" spans="1:11" hidden="1">
      <c r="A596" s="148" t="s">
        <v>2484</v>
      </c>
      <c r="B596" s="148" t="s">
        <v>2485</v>
      </c>
      <c r="C596" s="148" t="s">
        <v>156</v>
      </c>
      <c r="D596" s="148" t="s">
        <v>575</v>
      </c>
      <c r="E596" s="148" t="s">
        <v>1397</v>
      </c>
      <c r="F596" s="148" t="s">
        <v>2325</v>
      </c>
      <c r="G596" s="148" t="s">
        <v>1011</v>
      </c>
      <c r="H596" s="148">
        <v>465126</v>
      </c>
      <c r="I596" s="148">
        <v>465126</v>
      </c>
      <c r="J596" s="148">
        <v>100</v>
      </c>
      <c r="K596" s="148" t="str">
        <f t="shared" si="9"/>
        <v>PROTECTIONRL_ESTT_LTTD</v>
      </c>
    </row>
    <row r="597" spans="1:11" hidden="1">
      <c r="A597" s="148" t="s">
        <v>2486</v>
      </c>
      <c r="B597" s="148" t="s">
        <v>2487</v>
      </c>
      <c r="C597" s="148" t="s">
        <v>156</v>
      </c>
      <c r="D597" s="148" t="s">
        <v>1361</v>
      </c>
      <c r="E597" s="148" t="s">
        <v>1394</v>
      </c>
      <c r="F597" s="148" t="s">
        <v>2325</v>
      </c>
      <c r="G597" s="148" t="s">
        <v>129</v>
      </c>
      <c r="H597" s="148">
        <v>465126</v>
      </c>
      <c r="I597" s="148">
        <v>0</v>
      </c>
      <c r="J597" s="148">
        <v>0</v>
      </c>
      <c r="K597" s="148" t="str">
        <f t="shared" si="9"/>
        <v>PROTECTIONFLG_ELCTRC_VHCL</v>
      </c>
    </row>
    <row r="598" spans="1:11" hidden="1">
      <c r="A598" s="148" t="s">
        <v>2488</v>
      </c>
      <c r="B598" s="148" t="s">
        <v>2489</v>
      </c>
      <c r="C598" s="148" t="s">
        <v>576</v>
      </c>
      <c r="D598" s="148" t="s">
        <v>367</v>
      </c>
      <c r="E598" s="148" t="s">
        <v>2490</v>
      </c>
      <c r="F598" s="148" t="s">
        <v>2491</v>
      </c>
      <c r="G598" s="148" t="s">
        <v>129</v>
      </c>
      <c r="H598" s="148">
        <v>2138988</v>
      </c>
      <c r="I598" s="148">
        <v>0</v>
      </c>
      <c r="J598" s="148">
        <v>0</v>
      </c>
      <c r="K598" s="148" t="str">
        <f t="shared" si="9"/>
        <v>INSTR_ACTIVITYINSTRMNT_ID</v>
      </c>
    </row>
    <row r="599" spans="1:11" hidden="1">
      <c r="A599" s="148" t="s">
        <v>2492</v>
      </c>
      <c r="B599" s="148" t="s">
        <v>2493</v>
      </c>
      <c r="C599" s="148" t="s">
        <v>139</v>
      </c>
      <c r="D599" s="148" t="s">
        <v>306</v>
      </c>
      <c r="E599" s="148" t="s">
        <v>2490</v>
      </c>
      <c r="F599" s="148" t="s">
        <v>2491</v>
      </c>
      <c r="G599" s="148" t="s">
        <v>129</v>
      </c>
      <c r="H599" s="148">
        <v>1140751</v>
      </c>
      <c r="I599" s="148">
        <v>0</v>
      </c>
      <c r="J599" s="148">
        <v>0</v>
      </c>
      <c r="K599" s="148" t="str">
        <f t="shared" si="9"/>
        <v>ENTITYENTTY_ID</v>
      </c>
    </row>
    <row r="600" spans="1:11" hidden="1">
      <c r="A600" s="148" t="s">
        <v>2494</v>
      </c>
      <c r="B600" s="148" t="s">
        <v>2495</v>
      </c>
      <c r="C600" s="148" t="s">
        <v>187</v>
      </c>
      <c r="D600" s="148" t="s">
        <v>306</v>
      </c>
      <c r="E600" s="148" t="s">
        <v>2490</v>
      </c>
      <c r="F600" s="148" t="s">
        <v>2491</v>
      </c>
      <c r="G600" s="148" t="s">
        <v>129</v>
      </c>
      <c r="H600" s="148">
        <v>2655392</v>
      </c>
      <c r="I600" s="148">
        <v>0</v>
      </c>
      <c r="J600" s="148">
        <v>0</v>
      </c>
      <c r="K600" s="148" t="str">
        <f t="shared" si="9"/>
        <v>INSTR_ENTITYENTTY_ID</v>
      </c>
    </row>
    <row r="601" spans="1:11" hidden="1">
      <c r="A601" s="148" t="s">
        <v>2496</v>
      </c>
      <c r="B601" s="148" t="s">
        <v>2497</v>
      </c>
      <c r="C601" s="148" t="s">
        <v>187</v>
      </c>
      <c r="D601" s="148" t="s">
        <v>306</v>
      </c>
      <c r="E601" s="148" t="s">
        <v>2498</v>
      </c>
      <c r="F601" s="148" t="s">
        <v>2491</v>
      </c>
      <c r="G601" s="148" t="s">
        <v>1011</v>
      </c>
      <c r="H601" s="148">
        <v>907109</v>
      </c>
      <c r="I601" s="148">
        <v>23</v>
      </c>
      <c r="J601" s="148">
        <v>2.5000000000000001E-3</v>
      </c>
      <c r="K601" s="148" t="str">
        <f t="shared" si="9"/>
        <v>INSTR_ENTITYENTTY_ID</v>
      </c>
    </row>
    <row r="602" spans="1:11" hidden="1">
      <c r="A602" s="148" t="s">
        <v>2499</v>
      </c>
      <c r="B602" s="148" t="s">
        <v>2500</v>
      </c>
      <c r="C602" s="148" t="s">
        <v>187</v>
      </c>
      <c r="D602" s="148" t="s">
        <v>367</v>
      </c>
      <c r="E602" s="148" t="s">
        <v>2490</v>
      </c>
      <c r="F602" s="148" t="s">
        <v>2491</v>
      </c>
      <c r="G602" s="148" t="s">
        <v>129</v>
      </c>
      <c r="H602" s="148">
        <v>2655392</v>
      </c>
      <c r="I602" s="148">
        <v>0</v>
      </c>
      <c r="J602" s="148">
        <v>0</v>
      </c>
      <c r="K602" s="148" t="str">
        <f t="shared" si="9"/>
        <v>INSTR_ENTITYINSTRMNT_ID</v>
      </c>
    </row>
    <row r="603" spans="1:11" hidden="1">
      <c r="A603" s="148" t="s">
        <v>2501</v>
      </c>
      <c r="B603" s="148" t="s">
        <v>2502</v>
      </c>
      <c r="C603" s="148" t="s">
        <v>187</v>
      </c>
      <c r="D603" s="148" t="s">
        <v>367</v>
      </c>
      <c r="E603" s="148" t="s">
        <v>2503</v>
      </c>
      <c r="F603" s="148" t="s">
        <v>2491</v>
      </c>
      <c r="G603" s="148" t="s">
        <v>129</v>
      </c>
      <c r="H603" s="148">
        <v>2617674</v>
      </c>
      <c r="I603" s="148">
        <v>0</v>
      </c>
      <c r="J603" s="148">
        <v>0</v>
      </c>
      <c r="K603" s="148" t="str">
        <f t="shared" si="9"/>
        <v>INSTR_ENTITYINSTRMNT_ID</v>
      </c>
    </row>
    <row r="604" spans="1:11" hidden="1">
      <c r="A604" s="148" t="s">
        <v>2504</v>
      </c>
      <c r="B604" s="148" t="s">
        <v>2505</v>
      </c>
      <c r="C604" s="148" t="s">
        <v>127</v>
      </c>
      <c r="D604" s="148" t="s">
        <v>367</v>
      </c>
      <c r="E604" s="148" t="s">
        <v>2490</v>
      </c>
      <c r="F604" s="148" t="s">
        <v>2491</v>
      </c>
      <c r="G604" s="148" t="s">
        <v>1011</v>
      </c>
      <c r="H604" s="148">
        <v>127167</v>
      </c>
      <c r="I604" s="148">
        <v>37688</v>
      </c>
      <c r="J604" s="148">
        <v>29.636600000000001</v>
      </c>
      <c r="K604" s="148" t="str">
        <f t="shared" si="9"/>
        <v>INSTRUMENTINSTRMNT_ID</v>
      </c>
    </row>
    <row r="605" spans="1:11" hidden="1">
      <c r="A605" s="148" t="s">
        <v>2506</v>
      </c>
      <c r="B605" s="148" t="s">
        <v>2507</v>
      </c>
      <c r="C605" s="148" t="s">
        <v>127</v>
      </c>
      <c r="D605" s="148" t="s">
        <v>367</v>
      </c>
      <c r="E605" s="148" t="s">
        <v>2490</v>
      </c>
      <c r="F605" s="148" t="s">
        <v>2491</v>
      </c>
      <c r="G605" s="148" t="s">
        <v>129</v>
      </c>
      <c r="H605" s="148">
        <v>127167</v>
      </c>
      <c r="I605" s="148">
        <v>0</v>
      </c>
      <c r="J605" s="148">
        <v>0</v>
      </c>
      <c r="K605" s="148" t="str">
        <f t="shared" si="9"/>
        <v>INSTRUMENTINSTRMNT_ID</v>
      </c>
    </row>
    <row r="606" spans="1:11" hidden="1">
      <c r="A606" s="148" t="s">
        <v>2508</v>
      </c>
      <c r="B606" s="148" t="s">
        <v>2509</v>
      </c>
      <c r="C606" s="148" t="s">
        <v>188</v>
      </c>
      <c r="D606" s="148" t="s">
        <v>367</v>
      </c>
      <c r="E606" s="148" t="s">
        <v>2490</v>
      </c>
      <c r="F606" s="148" t="s">
        <v>2491</v>
      </c>
      <c r="G606" s="148" t="s">
        <v>129</v>
      </c>
      <c r="H606" s="148">
        <v>783914</v>
      </c>
      <c r="I606" s="148">
        <v>0</v>
      </c>
      <c r="J606" s="148">
        <v>0</v>
      </c>
      <c r="K606" s="148" t="str">
        <f t="shared" si="9"/>
        <v>INSTR_PROTECTIONINSTRMNT_ID</v>
      </c>
    </row>
    <row r="607" spans="1:11" hidden="1">
      <c r="A607" s="148" t="s">
        <v>2510</v>
      </c>
      <c r="B607" s="148" t="s">
        <v>2511</v>
      </c>
      <c r="C607" s="148" t="s">
        <v>188</v>
      </c>
      <c r="D607" s="148" t="s">
        <v>462</v>
      </c>
      <c r="E607" s="148" t="s">
        <v>2490</v>
      </c>
      <c r="F607" s="148" t="s">
        <v>2491</v>
      </c>
      <c r="G607" s="148" t="s">
        <v>129</v>
      </c>
      <c r="H607" s="148">
        <v>783914</v>
      </c>
      <c r="I607" s="148">
        <v>0</v>
      </c>
      <c r="J607" s="148">
        <v>0</v>
      </c>
      <c r="K607" s="148" t="str">
        <f t="shared" si="9"/>
        <v>INSTR_PROTECTIONPRTCTN_ID</v>
      </c>
    </row>
    <row r="608" spans="1:11" hidden="1">
      <c r="A608" s="148" t="s">
        <v>2512</v>
      </c>
      <c r="B608" s="148" t="s">
        <v>2513</v>
      </c>
      <c r="C608" s="148" t="s">
        <v>188</v>
      </c>
      <c r="D608" s="148" t="s">
        <v>462</v>
      </c>
      <c r="E608" s="148" t="s">
        <v>2498</v>
      </c>
      <c r="F608" s="148" t="s">
        <v>2491</v>
      </c>
      <c r="G608" s="148" t="s">
        <v>1011</v>
      </c>
      <c r="H608" s="148">
        <v>465126</v>
      </c>
      <c r="I608" s="148">
        <v>2470</v>
      </c>
      <c r="J608" s="148">
        <v>0.53100000000000003</v>
      </c>
      <c r="K608" s="148" t="str">
        <f t="shared" si="9"/>
        <v>INSTR_PROTECTIONPRTCTN_ID</v>
      </c>
    </row>
    <row r="609" spans="1:11" hidden="1">
      <c r="A609" s="148" t="s">
        <v>2514</v>
      </c>
      <c r="B609" s="148" t="s">
        <v>2515</v>
      </c>
      <c r="C609" s="148" t="s">
        <v>156</v>
      </c>
      <c r="D609" s="148" t="s">
        <v>462</v>
      </c>
      <c r="E609" s="148" t="s">
        <v>2490</v>
      </c>
      <c r="F609" s="148" t="s">
        <v>2491</v>
      </c>
      <c r="G609" s="148" t="s">
        <v>129</v>
      </c>
      <c r="H609" s="148">
        <v>465126</v>
      </c>
      <c r="I609" s="148">
        <v>0</v>
      </c>
      <c r="J609" s="148">
        <v>0</v>
      </c>
      <c r="K609" s="148" t="str">
        <f t="shared" si="9"/>
        <v>PROTECTIONPRTCTN_ID</v>
      </c>
    </row>
    <row r="610" spans="1:11" hidden="1">
      <c r="A610" s="148" t="s">
        <v>2516</v>
      </c>
      <c r="B610" s="148" t="s">
        <v>2517</v>
      </c>
      <c r="C610" s="148" t="s">
        <v>1199</v>
      </c>
      <c r="D610" s="148" t="s">
        <v>283</v>
      </c>
      <c r="E610" s="148" t="s">
        <v>1014</v>
      </c>
      <c r="F610" s="148" t="s">
        <v>2518</v>
      </c>
      <c r="G610" s="148" t="s">
        <v>129</v>
      </c>
      <c r="H610" s="148">
        <v>2138988</v>
      </c>
      <c r="I610" s="148">
        <v>0</v>
      </c>
      <c r="J610" s="148">
        <v>0</v>
      </c>
      <c r="K610" s="148" t="str">
        <f t="shared" si="9"/>
        <v>INSTR_ACTIVITYDT_RFRNC</v>
      </c>
    </row>
    <row r="611" spans="1:11" hidden="1">
      <c r="A611" s="148" t="s">
        <v>2519</v>
      </c>
      <c r="B611" s="148" t="s">
        <v>2520</v>
      </c>
      <c r="C611" s="148" t="s">
        <v>1199</v>
      </c>
      <c r="D611" s="148" t="s">
        <v>577</v>
      </c>
      <c r="E611" s="148" t="s">
        <v>1004</v>
      </c>
      <c r="F611" s="148" t="s">
        <v>2518</v>
      </c>
      <c r="G611" s="148" t="s">
        <v>129</v>
      </c>
      <c r="H611" s="148">
        <v>2138988</v>
      </c>
      <c r="I611" s="148">
        <v>0</v>
      </c>
      <c r="J611" s="148">
        <v>0</v>
      </c>
      <c r="K611" s="148" t="str">
        <f t="shared" si="9"/>
        <v>INSTR_ACTIVITYPRCNTG_ACTVTY</v>
      </c>
    </row>
    <row r="612" spans="1:11" hidden="1">
      <c r="A612" s="148" t="s">
        <v>2521</v>
      </c>
      <c r="B612" s="148" t="s">
        <v>2522</v>
      </c>
      <c r="C612" s="148" t="s">
        <v>1217</v>
      </c>
      <c r="D612" s="148" t="s">
        <v>249</v>
      </c>
      <c r="E612" s="148" t="s">
        <v>1009</v>
      </c>
      <c r="F612" s="148" t="s">
        <v>2523</v>
      </c>
      <c r="G612" s="148" t="s">
        <v>129</v>
      </c>
      <c r="H612" s="148">
        <v>1140750</v>
      </c>
      <c r="I612" s="148">
        <v>0</v>
      </c>
      <c r="J612" s="148">
        <v>0</v>
      </c>
      <c r="K612" s="148" t="str">
        <f t="shared" si="9"/>
        <v>ENTITYDT_FNNCL_STTMTS</v>
      </c>
    </row>
    <row r="613" spans="1:11" hidden="1">
      <c r="A613" s="148" t="s">
        <v>2524</v>
      </c>
      <c r="B613" s="148" t="s">
        <v>2517</v>
      </c>
      <c r="C613" s="148" t="s">
        <v>1217</v>
      </c>
      <c r="D613" s="148" t="s">
        <v>283</v>
      </c>
      <c r="E613" s="148" t="s">
        <v>1014</v>
      </c>
      <c r="F613" s="148" t="s">
        <v>2523</v>
      </c>
      <c r="G613" s="148" t="s">
        <v>129</v>
      </c>
      <c r="H613" s="148">
        <v>1140750</v>
      </c>
      <c r="I613" s="148">
        <v>0</v>
      </c>
      <c r="J613" s="148">
        <v>0</v>
      </c>
      <c r="K613" s="148" t="str">
        <f t="shared" si="9"/>
        <v>ENTITYDT_RFRNC</v>
      </c>
    </row>
    <row r="614" spans="1:11" hidden="1">
      <c r="A614" s="148" t="s">
        <v>2525</v>
      </c>
      <c r="B614" s="148" t="s">
        <v>2526</v>
      </c>
      <c r="C614" s="148" t="s">
        <v>1217</v>
      </c>
      <c r="D614" s="148" t="s">
        <v>329</v>
      </c>
      <c r="E614" s="148" t="s">
        <v>1394</v>
      </c>
      <c r="F614" s="148" t="s">
        <v>2523</v>
      </c>
      <c r="G614" s="148" t="s">
        <v>1011</v>
      </c>
      <c r="H614" s="148">
        <v>1140750</v>
      </c>
      <c r="I614" s="148">
        <v>82327</v>
      </c>
      <c r="J614" s="148">
        <v>7.2168999999999999</v>
      </c>
      <c r="K614" s="148" t="str">
        <f t="shared" si="9"/>
        <v>ENTITYFLG_RQST_EMRGNCY_FNDNG</v>
      </c>
    </row>
    <row r="615" spans="1:11" hidden="1">
      <c r="A615" s="148" t="s">
        <v>2527</v>
      </c>
      <c r="B615" s="148" t="s">
        <v>2528</v>
      </c>
      <c r="C615" s="148" t="s">
        <v>1217</v>
      </c>
      <c r="D615" s="148" t="s">
        <v>493</v>
      </c>
      <c r="E615" s="148" t="s">
        <v>1394</v>
      </c>
      <c r="F615" s="148" t="s">
        <v>2523</v>
      </c>
      <c r="G615" s="148" t="s">
        <v>129</v>
      </c>
      <c r="H615" s="148">
        <v>1140750</v>
      </c>
      <c r="I615" s="148">
        <v>0</v>
      </c>
      <c r="J615" s="148">
        <v>0</v>
      </c>
      <c r="K615" s="148" t="str">
        <f t="shared" si="9"/>
        <v>ENTITYRTNG_SCL</v>
      </c>
    </row>
    <row r="616" spans="1:11" hidden="1">
      <c r="A616" s="148" t="s">
        <v>2529</v>
      </c>
      <c r="B616" s="148" t="s">
        <v>2530</v>
      </c>
      <c r="C616" s="148" t="s">
        <v>1217</v>
      </c>
      <c r="D616" s="148" t="s">
        <v>437</v>
      </c>
      <c r="E616" s="148" t="s">
        <v>1004</v>
      </c>
      <c r="F616" s="148" t="s">
        <v>2523</v>
      </c>
      <c r="G616" s="148" t="s">
        <v>129</v>
      </c>
      <c r="H616" s="148">
        <v>1140750</v>
      </c>
      <c r="I616" s="148">
        <v>0</v>
      </c>
      <c r="J616" s="148">
        <v>0</v>
      </c>
      <c r="K616" s="148" t="str">
        <f t="shared" si="9"/>
        <v>ENTITYPD_CRR_RD</v>
      </c>
    </row>
    <row r="617" spans="1:11" hidden="1">
      <c r="A617" s="148" t="s">
        <v>2531</v>
      </c>
      <c r="B617" s="148" t="s">
        <v>2532</v>
      </c>
      <c r="C617" s="148" t="s">
        <v>1217</v>
      </c>
      <c r="D617" s="148" t="s">
        <v>440</v>
      </c>
      <c r="E617" s="148" t="s">
        <v>1004</v>
      </c>
      <c r="F617" s="148" t="s">
        <v>2523</v>
      </c>
      <c r="G617" s="148" t="s">
        <v>129</v>
      </c>
      <c r="H617" s="148">
        <v>1140750</v>
      </c>
      <c r="I617" s="148">
        <v>0</v>
      </c>
      <c r="J617" s="148">
        <v>0</v>
      </c>
      <c r="K617" s="148" t="str">
        <f t="shared" si="9"/>
        <v>ENTITYPD_IFRS9_12M_RD</v>
      </c>
    </row>
    <row r="618" spans="1:11" hidden="1">
      <c r="A618" s="148" t="s">
        <v>2533</v>
      </c>
      <c r="B618" s="148" t="s">
        <v>2534</v>
      </c>
      <c r="C618" s="148" t="s">
        <v>1217</v>
      </c>
      <c r="D618" s="148" t="s">
        <v>442</v>
      </c>
      <c r="E618" s="148" t="s">
        <v>1004</v>
      </c>
      <c r="F618" s="148" t="s">
        <v>2523</v>
      </c>
      <c r="G618" s="148" t="s">
        <v>129</v>
      </c>
      <c r="H618" s="148">
        <v>1140750</v>
      </c>
      <c r="I618" s="148">
        <v>0</v>
      </c>
      <c r="J618" s="148">
        <v>0</v>
      </c>
      <c r="K618" s="148" t="str">
        <f t="shared" si="9"/>
        <v>ENTITYPD_IFRS9_12M_RD_T1</v>
      </c>
    </row>
    <row r="619" spans="1:11" hidden="1">
      <c r="A619" s="148" t="s">
        <v>2535</v>
      </c>
      <c r="B619" s="148" t="s">
        <v>2536</v>
      </c>
      <c r="C619" s="148" t="s">
        <v>1217</v>
      </c>
      <c r="D619" s="148" t="s">
        <v>429</v>
      </c>
      <c r="E619" s="148" t="s">
        <v>1394</v>
      </c>
      <c r="F619" s="148" t="s">
        <v>2523</v>
      </c>
      <c r="G619" s="148" t="s">
        <v>129</v>
      </c>
      <c r="H619" s="148">
        <v>1140750</v>
      </c>
      <c r="I619" s="148">
        <v>0</v>
      </c>
      <c r="J619" s="148">
        <v>0</v>
      </c>
      <c r="K619" s="148" t="str">
        <f t="shared" si="9"/>
        <v>ENTITYOSI_ID</v>
      </c>
    </row>
    <row r="620" spans="1:11" hidden="1">
      <c r="A620" s="148" t="s">
        <v>2537</v>
      </c>
      <c r="B620" s="148" t="s">
        <v>2538</v>
      </c>
      <c r="C620" s="148" t="s">
        <v>1217</v>
      </c>
      <c r="D620" s="148" t="s">
        <v>438</v>
      </c>
      <c r="E620" s="148" t="s">
        <v>1004</v>
      </c>
      <c r="F620" s="148" t="s">
        <v>2523</v>
      </c>
      <c r="G620" s="148" t="s">
        <v>129</v>
      </c>
      <c r="H620" s="148">
        <v>1140750</v>
      </c>
      <c r="I620" s="148">
        <v>0</v>
      </c>
      <c r="J620" s="148">
        <v>0</v>
      </c>
      <c r="K620" s="148" t="str">
        <f t="shared" si="9"/>
        <v>ENTITYPD_CRR_RD_T1</v>
      </c>
    </row>
    <row r="621" spans="1:11" hidden="1">
      <c r="A621" s="148" t="s">
        <v>2539</v>
      </c>
      <c r="B621" s="148" t="s">
        <v>2540</v>
      </c>
      <c r="C621" s="148" t="s">
        <v>1217</v>
      </c>
      <c r="D621" s="148" t="s">
        <v>1602</v>
      </c>
      <c r="E621" s="148" t="s">
        <v>1009</v>
      </c>
      <c r="F621" s="148" t="s">
        <v>2523</v>
      </c>
      <c r="G621" s="148" t="s">
        <v>129</v>
      </c>
      <c r="H621" s="148">
        <v>1140750</v>
      </c>
      <c r="I621" s="148">
        <v>0</v>
      </c>
      <c r="J621" s="148">
        <v>0</v>
      </c>
      <c r="K621" s="148" t="str">
        <f t="shared" si="9"/>
        <v>ENTITYNACE_ESG</v>
      </c>
    </row>
    <row r="622" spans="1:11" hidden="1">
      <c r="A622" s="148" t="s">
        <v>2541</v>
      </c>
      <c r="B622" s="148" t="s">
        <v>2542</v>
      </c>
      <c r="C622" s="148" t="s">
        <v>1217</v>
      </c>
      <c r="D622" s="148" t="s">
        <v>1608</v>
      </c>
      <c r="E622" s="148" t="s">
        <v>1004</v>
      </c>
      <c r="F622" s="148" t="s">
        <v>2523</v>
      </c>
      <c r="G622" s="148" t="s">
        <v>129</v>
      </c>
      <c r="H622" s="148">
        <v>1140750</v>
      </c>
      <c r="I622" s="148">
        <v>0</v>
      </c>
      <c r="J622" s="148">
        <v>0</v>
      </c>
      <c r="K622" s="148" t="str">
        <f t="shared" si="9"/>
        <v>ENTITYTXNMY_ELGBL_CAPEX_CCM</v>
      </c>
    </row>
    <row r="623" spans="1:11" hidden="1">
      <c r="A623" s="148" t="s">
        <v>2543</v>
      </c>
      <c r="B623" s="148" t="s">
        <v>2544</v>
      </c>
      <c r="C623" s="148" t="s">
        <v>1217</v>
      </c>
      <c r="D623" s="148" t="s">
        <v>1611</v>
      </c>
      <c r="E623" s="148" t="s">
        <v>1004</v>
      </c>
      <c r="F623" s="148" t="s">
        <v>2523</v>
      </c>
      <c r="G623" s="148" t="s">
        <v>129</v>
      </c>
      <c r="H623" s="148">
        <v>1140750</v>
      </c>
      <c r="I623" s="148">
        <v>0</v>
      </c>
      <c r="J623" s="148">
        <v>0</v>
      </c>
      <c r="K623" s="148" t="str">
        <f t="shared" si="9"/>
        <v>ENTITYTXNMY_ELGBL_TRNVR_CCM</v>
      </c>
    </row>
    <row r="624" spans="1:11" hidden="1">
      <c r="A624" s="148" t="s">
        <v>2545</v>
      </c>
      <c r="B624" s="148" t="s">
        <v>2546</v>
      </c>
      <c r="C624" s="148" t="s">
        <v>1217</v>
      </c>
      <c r="D624" s="148" t="s">
        <v>1614</v>
      </c>
      <c r="E624" s="148" t="s">
        <v>1004</v>
      </c>
      <c r="F624" s="148" t="s">
        <v>2523</v>
      </c>
      <c r="G624" s="148" t="s">
        <v>129</v>
      </c>
      <c r="H624" s="148">
        <v>1140750</v>
      </c>
      <c r="I624" s="148">
        <v>0</v>
      </c>
      <c r="J624" s="148">
        <v>0</v>
      </c>
      <c r="K624" s="148" t="str">
        <f t="shared" si="9"/>
        <v>ENTITYTXNMY_ELGBL_CAPEX_CCA</v>
      </c>
    </row>
    <row r="625" spans="1:11" hidden="1">
      <c r="A625" s="148" t="s">
        <v>2547</v>
      </c>
      <c r="B625" s="148" t="s">
        <v>2548</v>
      </c>
      <c r="C625" s="148" t="s">
        <v>1217</v>
      </c>
      <c r="D625" s="148" t="s">
        <v>1617</v>
      </c>
      <c r="E625" s="148" t="s">
        <v>1004</v>
      </c>
      <c r="F625" s="148" t="s">
        <v>2523</v>
      </c>
      <c r="G625" s="148" t="s">
        <v>129</v>
      </c>
      <c r="H625" s="148">
        <v>1140750</v>
      </c>
      <c r="I625" s="148">
        <v>0</v>
      </c>
      <c r="J625" s="148">
        <v>0</v>
      </c>
      <c r="K625" s="148" t="str">
        <f t="shared" si="9"/>
        <v>ENTITYTXNMY_ELGBL_TRNVR_CCA</v>
      </c>
    </row>
    <row r="626" spans="1:11" hidden="1">
      <c r="A626" s="148" t="s">
        <v>2549</v>
      </c>
      <c r="B626" s="148" t="s">
        <v>2550</v>
      </c>
      <c r="C626" s="148" t="s">
        <v>1217</v>
      </c>
      <c r="D626" s="148" t="s">
        <v>1620</v>
      </c>
      <c r="E626" s="148" t="s">
        <v>1004</v>
      </c>
      <c r="F626" s="148" t="s">
        <v>2523</v>
      </c>
      <c r="G626" s="148" t="s">
        <v>129</v>
      </c>
      <c r="H626" s="148">
        <v>1140750</v>
      </c>
      <c r="I626" s="148">
        <v>0</v>
      </c>
      <c r="J626" s="148">
        <v>0</v>
      </c>
      <c r="K626" s="148" t="str">
        <f t="shared" si="9"/>
        <v>ENTITYENBLNG_CAPEX_CCM</v>
      </c>
    </row>
    <row r="627" spans="1:11" hidden="1">
      <c r="A627" s="148" t="s">
        <v>2551</v>
      </c>
      <c r="B627" s="148" t="s">
        <v>2552</v>
      </c>
      <c r="C627" s="148" t="s">
        <v>1217</v>
      </c>
      <c r="D627" s="148" t="s">
        <v>1623</v>
      </c>
      <c r="E627" s="148" t="s">
        <v>1004</v>
      </c>
      <c r="F627" s="148" t="s">
        <v>2523</v>
      </c>
      <c r="G627" s="148" t="s">
        <v>129</v>
      </c>
      <c r="H627" s="148">
        <v>1140750</v>
      </c>
      <c r="I627" s="148">
        <v>0</v>
      </c>
      <c r="J627" s="148">
        <v>0</v>
      </c>
      <c r="K627" s="148" t="str">
        <f t="shared" si="9"/>
        <v>ENTITYENBLNG_CAPEX_CCA</v>
      </c>
    </row>
    <row r="628" spans="1:11" hidden="1">
      <c r="A628" s="148" t="s">
        <v>2553</v>
      </c>
      <c r="B628" s="148" t="s">
        <v>2554</v>
      </c>
      <c r="C628" s="148" t="s">
        <v>1217</v>
      </c>
      <c r="D628" s="148" t="s">
        <v>1626</v>
      </c>
      <c r="E628" s="148" t="s">
        <v>1004</v>
      </c>
      <c r="F628" s="148" t="s">
        <v>2523</v>
      </c>
      <c r="G628" s="148" t="s">
        <v>129</v>
      </c>
      <c r="H628" s="148">
        <v>1140750</v>
      </c>
      <c r="I628" s="148">
        <v>0</v>
      </c>
      <c r="J628" s="148">
        <v>0</v>
      </c>
      <c r="K628" s="148" t="str">
        <f t="shared" si="9"/>
        <v>ENTITYTRNSTNL_CAPEX</v>
      </c>
    </row>
    <row r="629" spans="1:11" hidden="1">
      <c r="A629" s="148" t="s">
        <v>2555</v>
      </c>
      <c r="B629" s="148" t="s">
        <v>2556</v>
      </c>
      <c r="C629" s="148" t="s">
        <v>1217</v>
      </c>
      <c r="D629" s="148" t="s">
        <v>1629</v>
      </c>
      <c r="E629" s="148" t="s">
        <v>1004</v>
      </c>
      <c r="F629" s="148" t="s">
        <v>2523</v>
      </c>
      <c r="G629" s="148" t="s">
        <v>129</v>
      </c>
      <c r="H629" s="148">
        <v>1140750</v>
      </c>
      <c r="I629" s="148">
        <v>0</v>
      </c>
      <c r="J629" s="148">
        <v>0</v>
      </c>
      <c r="K629" s="148" t="str">
        <f t="shared" si="9"/>
        <v>ENTITYPURE_CAPEX_CCM</v>
      </c>
    </row>
    <row r="630" spans="1:11" hidden="1">
      <c r="A630" s="148" t="s">
        <v>2557</v>
      </c>
      <c r="B630" s="148" t="s">
        <v>2558</v>
      </c>
      <c r="C630" s="148" t="s">
        <v>1217</v>
      </c>
      <c r="D630" s="148" t="s">
        <v>1632</v>
      </c>
      <c r="E630" s="148" t="s">
        <v>1004</v>
      </c>
      <c r="F630" s="148" t="s">
        <v>2523</v>
      </c>
      <c r="G630" s="148" t="s">
        <v>129</v>
      </c>
      <c r="H630" s="148">
        <v>1140750</v>
      </c>
      <c r="I630" s="148">
        <v>0</v>
      </c>
      <c r="J630" s="148">
        <v>0</v>
      </c>
      <c r="K630" s="148" t="str">
        <f t="shared" si="9"/>
        <v>ENTITYPURE_CAPEX_CCA</v>
      </c>
    </row>
    <row r="631" spans="1:11" hidden="1">
      <c r="A631" s="148" t="s">
        <v>2559</v>
      </c>
      <c r="B631" s="148" t="s">
        <v>2560</v>
      </c>
      <c r="C631" s="148" t="s">
        <v>1217</v>
      </c>
      <c r="D631" s="148" t="s">
        <v>1635</v>
      </c>
      <c r="E631" s="148" t="s">
        <v>1004</v>
      </c>
      <c r="F631" s="148" t="s">
        <v>2523</v>
      </c>
      <c r="G631" s="148" t="s">
        <v>129</v>
      </c>
      <c r="H631" s="148">
        <v>1140750</v>
      </c>
      <c r="I631" s="148">
        <v>0</v>
      </c>
      <c r="J631" s="148">
        <v>0</v>
      </c>
      <c r="K631" s="148" t="str">
        <f t="shared" si="9"/>
        <v>ENTITYENBLNG_TRNVR_CCM</v>
      </c>
    </row>
    <row r="632" spans="1:11" hidden="1">
      <c r="A632" s="148" t="s">
        <v>2561</v>
      </c>
      <c r="B632" s="148" t="s">
        <v>2562</v>
      </c>
      <c r="C632" s="148" t="s">
        <v>1217</v>
      </c>
      <c r="D632" s="148" t="s">
        <v>1638</v>
      </c>
      <c r="E632" s="148" t="s">
        <v>1004</v>
      </c>
      <c r="F632" s="148" t="s">
        <v>2523</v>
      </c>
      <c r="G632" s="148" t="s">
        <v>129</v>
      </c>
      <c r="H632" s="148">
        <v>1140750</v>
      </c>
      <c r="I632" s="148">
        <v>0</v>
      </c>
      <c r="J632" s="148">
        <v>0</v>
      </c>
      <c r="K632" s="148" t="str">
        <f t="shared" si="9"/>
        <v>ENTITYENBLNG_TRNVR_CCA</v>
      </c>
    </row>
    <row r="633" spans="1:11" hidden="1">
      <c r="A633" s="148" t="s">
        <v>2563</v>
      </c>
      <c r="B633" s="148" t="s">
        <v>2564</v>
      </c>
      <c r="C633" s="148" t="s">
        <v>1217</v>
      </c>
      <c r="D633" s="148" t="s">
        <v>1641</v>
      </c>
      <c r="E633" s="148" t="s">
        <v>1004</v>
      </c>
      <c r="F633" s="148" t="s">
        <v>2523</v>
      </c>
      <c r="G633" s="148" t="s">
        <v>129</v>
      </c>
      <c r="H633" s="148">
        <v>1140750</v>
      </c>
      <c r="I633" s="148">
        <v>0</v>
      </c>
      <c r="J633" s="148">
        <v>0</v>
      </c>
      <c r="K633" s="148" t="str">
        <f t="shared" si="9"/>
        <v>ENTITYTRNSTNL_TRNVR</v>
      </c>
    </row>
    <row r="634" spans="1:11" hidden="1">
      <c r="A634" s="148" t="s">
        <v>2565</v>
      </c>
      <c r="B634" s="148" t="s">
        <v>2566</v>
      </c>
      <c r="C634" s="148" t="s">
        <v>1217</v>
      </c>
      <c r="D634" s="148" t="s">
        <v>1644</v>
      </c>
      <c r="E634" s="148" t="s">
        <v>1004</v>
      </c>
      <c r="F634" s="148" t="s">
        <v>2523</v>
      </c>
      <c r="G634" s="148" t="s">
        <v>129</v>
      </c>
      <c r="H634" s="148">
        <v>1140750</v>
      </c>
      <c r="I634" s="148">
        <v>0</v>
      </c>
      <c r="J634" s="148">
        <v>0</v>
      </c>
      <c r="K634" s="148" t="str">
        <f t="shared" si="9"/>
        <v>ENTITYPURE_TRNVR_CCM</v>
      </c>
    </row>
    <row r="635" spans="1:11" hidden="1">
      <c r="A635" s="148" t="s">
        <v>2567</v>
      </c>
      <c r="B635" s="148" t="s">
        <v>2568</v>
      </c>
      <c r="C635" s="148" t="s">
        <v>1217</v>
      </c>
      <c r="D635" s="148" t="s">
        <v>1647</v>
      </c>
      <c r="E635" s="148" t="s">
        <v>1004</v>
      </c>
      <c r="F635" s="148" t="s">
        <v>2523</v>
      </c>
      <c r="G635" s="148" t="s">
        <v>129</v>
      </c>
      <c r="H635" s="148">
        <v>1140750</v>
      </c>
      <c r="I635" s="148">
        <v>0</v>
      </c>
      <c r="J635" s="148">
        <v>0</v>
      </c>
      <c r="K635" s="148" t="str">
        <f t="shared" si="9"/>
        <v>ENTITYPURE_TRNVR_CCA</v>
      </c>
    </row>
    <row r="636" spans="1:11" hidden="1">
      <c r="A636" s="148" t="s">
        <v>2569</v>
      </c>
      <c r="B636" s="148" t="s">
        <v>2570</v>
      </c>
      <c r="C636" s="148" t="s">
        <v>139</v>
      </c>
      <c r="D636" s="148" t="s">
        <v>1662</v>
      </c>
      <c r="E636" s="148" t="s">
        <v>1004</v>
      </c>
      <c r="F636" s="148" t="s">
        <v>2523</v>
      </c>
      <c r="G636" s="148" t="s">
        <v>129</v>
      </c>
      <c r="H636" s="148">
        <v>1140750</v>
      </c>
      <c r="I636" s="148">
        <v>0</v>
      </c>
      <c r="J636" s="148">
        <v>0</v>
      </c>
      <c r="K636" s="148" t="str">
        <f t="shared" si="9"/>
        <v>ENTITYCNTRPRTY_EMSSNS_SCP1</v>
      </c>
    </row>
    <row r="637" spans="1:11" hidden="1">
      <c r="A637" s="148" t="s">
        <v>2571</v>
      </c>
      <c r="B637" s="148" t="s">
        <v>2572</v>
      </c>
      <c r="C637" s="148" t="s">
        <v>139</v>
      </c>
      <c r="D637" s="148" t="s">
        <v>1665</v>
      </c>
      <c r="E637" s="148" t="s">
        <v>1004</v>
      </c>
      <c r="F637" s="148" t="s">
        <v>2523</v>
      </c>
      <c r="G637" s="148" t="s">
        <v>129</v>
      </c>
      <c r="H637" s="148">
        <v>1140750</v>
      </c>
      <c r="I637" s="148">
        <v>0</v>
      </c>
      <c r="J637" s="148">
        <v>0</v>
      </c>
      <c r="K637" s="148" t="str">
        <f t="shared" si="9"/>
        <v>ENTITYCNTRPRTY_EMSSNS_SCP2</v>
      </c>
    </row>
    <row r="638" spans="1:11" hidden="1">
      <c r="A638" s="148" t="s">
        <v>2573</v>
      </c>
      <c r="B638" s="148" t="s">
        <v>2574</v>
      </c>
      <c r="C638" s="148" t="s">
        <v>139</v>
      </c>
      <c r="D638" s="148" t="s">
        <v>1668</v>
      </c>
      <c r="E638" s="148" t="s">
        <v>1004</v>
      </c>
      <c r="F638" s="148" t="s">
        <v>2523</v>
      </c>
      <c r="G638" s="148" t="s">
        <v>129</v>
      </c>
      <c r="H638" s="148">
        <v>1140750</v>
      </c>
      <c r="I638" s="148">
        <v>0</v>
      </c>
      <c r="J638" s="148">
        <v>0</v>
      </c>
      <c r="K638" s="148" t="str">
        <f t="shared" si="9"/>
        <v>ENTITYCNTRPRTY_EMSSNS_SCP3</v>
      </c>
    </row>
    <row r="639" spans="1:11" hidden="1">
      <c r="A639" s="148" t="s">
        <v>2575</v>
      </c>
      <c r="B639" s="148" t="s">
        <v>2576</v>
      </c>
      <c r="C639" s="148" t="s">
        <v>139</v>
      </c>
      <c r="D639" s="148" t="s">
        <v>1673</v>
      </c>
      <c r="E639" s="148" t="s">
        <v>1004</v>
      </c>
      <c r="F639" s="148" t="s">
        <v>2523</v>
      </c>
      <c r="G639" s="148" t="s">
        <v>129</v>
      </c>
      <c r="H639" s="148">
        <v>1140750</v>
      </c>
      <c r="I639" s="148">
        <v>0</v>
      </c>
      <c r="J639" s="148">
        <v>0</v>
      </c>
      <c r="K639" s="148" t="str">
        <f t="shared" si="9"/>
        <v>ENTITYGRP_EMSSNS_SCP1</v>
      </c>
    </row>
    <row r="640" spans="1:11" hidden="1">
      <c r="A640" s="148" t="s">
        <v>2577</v>
      </c>
      <c r="B640" s="148" t="s">
        <v>2578</v>
      </c>
      <c r="C640" s="148" t="s">
        <v>139</v>
      </c>
      <c r="D640" s="148" t="s">
        <v>1676</v>
      </c>
      <c r="E640" s="148" t="s">
        <v>1004</v>
      </c>
      <c r="F640" s="148" t="s">
        <v>2523</v>
      </c>
      <c r="G640" s="148" t="s">
        <v>129</v>
      </c>
      <c r="H640" s="148">
        <v>1140750</v>
      </c>
      <c r="I640" s="148">
        <v>0</v>
      </c>
      <c r="J640" s="148">
        <v>0</v>
      </c>
      <c r="K640" s="148" t="str">
        <f t="shared" si="9"/>
        <v>ENTITYGRP_EMSSNS_SCP2</v>
      </c>
    </row>
    <row r="641" spans="1:11" hidden="1">
      <c r="A641" s="148" t="s">
        <v>2579</v>
      </c>
      <c r="B641" s="148" t="s">
        <v>2580</v>
      </c>
      <c r="C641" s="148" t="s">
        <v>139</v>
      </c>
      <c r="D641" s="148" t="s">
        <v>1679</v>
      </c>
      <c r="E641" s="148" t="s">
        <v>1004</v>
      </c>
      <c r="F641" s="148" t="s">
        <v>2523</v>
      </c>
      <c r="G641" s="148" t="s">
        <v>129</v>
      </c>
      <c r="H641" s="148">
        <v>1140750</v>
      </c>
      <c r="I641" s="148">
        <v>0</v>
      </c>
      <c r="J641" s="148">
        <v>0</v>
      </c>
      <c r="K641" s="148" t="str">
        <f t="shared" si="9"/>
        <v>ENTITYGRP_EMSSNS_SCP3</v>
      </c>
    </row>
    <row r="642" spans="1:11" hidden="1">
      <c r="A642" s="148" t="s">
        <v>2581</v>
      </c>
      <c r="B642" s="148" t="s">
        <v>2582</v>
      </c>
      <c r="C642" s="148" t="s">
        <v>139</v>
      </c>
      <c r="D642" s="148" t="s">
        <v>547</v>
      </c>
      <c r="E642" s="148" t="s">
        <v>1004</v>
      </c>
      <c r="F642" s="148" t="s">
        <v>2523</v>
      </c>
      <c r="G642" s="148" t="s">
        <v>129</v>
      </c>
      <c r="H642" s="148">
        <v>1140750</v>
      </c>
      <c r="I642" s="148">
        <v>0</v>
      </c>
      <c r="J642" s="148">
        <v>0</v>
      </c>
      <c r="K642" s="148" t="str">
        <f t="shared" si="9"/>
        <v>ENTITYNMBR_EMPLYS</v>
      </c>
    </row>
    <row r="643" spans="1:11" hidden="1">
      <c r="A643" s="148" t="s">
        <v>2583</v>
      </c>
      <c r="B643" s="148" t="s">
        <v>2584</v>
      </c>
      <c r="C643" s="148" t="s">
        <v>1217</v>
      </c>
      <c r="D643" s="148" t="s">
        <v>1723</v>
      </c>
      <c r="E643" s="148" t="s">
        <v>1004</v>
      </c>
      <c r="F643" s="148" t="s">
        <v>2523</v>
      </c>
      <c r="G643" s="148" t="s">
        <v>129</v>
      </c>
      <c r="H643" s="148">
        <v>1140750</v>
      </c>
      <c r="I643" s="148">
        <v>0</v>
      </c>
      <c r="J643" s="148">
        <v>0</v>
      </c>
      <c r="K643" s="148" t="str">
        <f t="shared" ref="K643:K706" si="10">_xlfn.CONCAT(_xlfn.IFS(ISNUMBER(SEARCH("EN",A643)),"ENTITY",ISNUMBER(SEARCH("IN",A643)),"INSTRUMENT",ISNUMBER(SEARCH("PR",A643)),"PROTECTION",ISNUMBER(SEARCH("IP",A643)),"INSTR_PROTECTION",ISNUMBER(SEARCH("IE",A643)),"INSTR_ENTITY",ISNUMBER(SEARCH("AC",A643)),"INSTR_ACTIVITY"),D643)</f>
        <v>ENTITYTXNMY_ELGBL_CAPEX_W</v>
      </c>
    </row>
    <row r="644" spans="1:11" hidden="1">
      <c r="A644" s="148" t="s">
        <v>2585</v>
      </c>
      <c r="B644" s="148" t="s">
        <v>2586</v>
      </c>
      <c r="C644" s="148" t="s">
        <v>1217</v>
      </c>
      <c r="D644" s="148" t="s">
        <v>1726</v>
      </c>
      <c r="E644" s="148" t="s">
        <v>1004</v>
      </c>
      <c r="F644" s="148" t="s">
        <v>2523</v>
      </c>
      <c r="G644" s="148" t="s">
        <v>129</v>
      </c>
      <c r="H644" s="148">
        <v>1140750</v>
      </c>
      <c r="I644" s="148">
        <v>0</v>
      </c>
      <c r="J644" s="148">
        <v>0</v>
      </c>
      <c r="K644" s="148" t="str">
        <f t="shared" si="10"/>
        <v>ENTITYTXNMY_ELGBL_TRNVR_W</v>
      </c>
    </row>
    <row r="645" spans="1:11" hidden="1">
      <c r="A645" s="148" t="s">
        <v>2587</v>
      </c>
      <c r="B645" s="148" t="s">
        <v>2588</v>
      </c>
      <c r="C645" s="148" t="s">
        <v>1217</v>
      </c>
      <c r="D645" s="148" t="s">
        <v>1729</v>
      </c>
      <c r="E645" s="148" t="s">
        <v>1004</v>
      </c>
      <c r="F645" s="148" t="s">
        <v>2523</v>
      </c>
      <c r="G645" s="148" t="s">
        <v>129</v>
      </c>
      <c r="H645" s="148">
        <v>1140750</v>
      </c>
      <c r="I645" s="148">
        <v>0</v>
      </c>
      <c r="J645" s="148">
        <v>0</v>
      </c>
      <c r="K645" s="148" t="str">
        <f t="shared" si="10"/>
        <v>ENTITYTXNMY_ELGBL_CAPEX_P</v>
      </c>
    </row>
    <row r="646" spans="1:11" hidden="1">
      <c r="A646" s="148" t="s">
        <v>2589</v>
      </c>
      <c r="B646" s="148" t="s">
        <v>2590</v>
      </c>
      <c r="C646" s="148" t="s">
        <v>1217</v>
      </c>
      <c r="D646" s="148" t="s">
        <v>1732</v>
      </c>
      <c r="E646" s="148" t="s">
        <v>1004</v>
      </c>
      <c r="F646" s="148" t="s">
        <v>2523</v>
      </c>
      <c r="G646" s="148" t="s">
        <v>129</v>
      </c>
      <c r="H646" s="148">
        <v>1140750</v>
      </c>
      <c r="I646" s="148">
        <v>0</v>
      </c>
      <c r="J646" s="148">
        <v>0</v>
      </c>
      <c r="K646" s="148" t="str">
        <f t="shared" si="10"/>
        <v>ENTITYTXNMY_ELGBL_TRNVR_P</v>
      </c>
    </row>
    <row r="647" spans="1:11" hidden="1">
      <c r="A647" s="148" t="s">
        <v>2591</v>
      </c>
      <c r="B647" s="148" t="s">
        <v>2592</v>
      </c>
      <c r="C647" s="148" t="s">
        <v>1217</v>
      </c>
      <c r="D647" s="148" t="s">
        <v>1735</v>
      </c>
      <c r="E647" s="148" t="s">
        <v>1004</v>
      </c>
      <c r="F647" s="148" t="s">
        <v>2523</v>
      </c>
      <c r="G647" s="148" t="s">
        <v>129</v>
      </c>
      <c r="H647" s="148">
        <v>1140750</v>
      </c>
      <c r="I647" s="148">
        <v>0</v>
      </c>
      <c r="J647" s="148">
        <v>0</v>
      </c>
      <c r="K647" s="148" t="str">
        <f t="shared" si="10"/>
        <v>ENTITYTXNMY_ELGBL_CAPEX_B</v>
      </c>
    </row>
    <row r="648" spans="1:11" hidden="1">
      <c r="A648" s="148" t="s">
        <v>2593</v>
      </c>
      <c r="B648" s="148" t="s">
        <v>2594</v>
      </c>
      <c r="C648" s="148" t="s">
        <v>1217</v>
      </c>
      <c r="D648" s="148" t="s">
        <v>1738</v>
      </c>
      <c r="E648" s="148" t="s">
        <v>1004</v>
      </c>
      <c r="F648" s="148" t="s">
        <v>2523</v>
      </c>
      <c r="G648" s="148" t="s">
        <v>129</v>
      </c>
      <c r="H648" s="148">
        <v>1140750</v>
      </c>
      <c r="I648" s="148">
        <v>0</v>
      </c>
      <c r="J648" s="148">
        <v>0</v>
      </c>
      <c r="K648" s="148" t="str">
        <f t="shared" si="10"/>
        <v>ENTITYTXNMY_ELGBL_TRNVR_B</v>
      </c>
    </row>
    <row r="649" spans="1:11" hidden="1">
      <c r="A649" s="148" t="s">
        <v>2595</v>
      </c>
      <c r="B649" s="148" t="s">
        <v>2596</v>
      </c>
      <c r="C649" s="148" t="s">
        <v>1217</v>
      </c>
      <c r="D649" s="148" t="s">
        <v>1741</v>
      </c>
      <c r="E649" s="148" t="s">
        <v>1004</v>
      </c>
      <c r="F649" s="148" t="s">
        <v>2523</v>
      </c>
      <c r="G649" s="148" t="s">
        <v>129</v>
      </c>
      <c r="H649" s="148">
        <v>1140750</v>
      </c>
      <c r="I649" s="148">
        <v>0</v>
      </c>
      <c r="J649" s="148">
        <v>0</v>
      </c>
      <c r="K649" s="148" t="str">
        <f t="shared" si="10"/>
        <v>ENTITYTXNMY_ELGBL_CAPEX_CE</v>
      </c>
    </row>
    <row r="650" spans="1:11" hidden="1">
      <c r="A650" s="148" t="s">
        <v>2597</v>
      </c>
      <c r="B650" s="148" t="s">
        <v>2598</v>
      </c>
      <c r="C650" s="148" t="s">
        <v>1217</v>
      </c>
      <c r="D650" s="148" t="s">
        <v>1744</v>
      </c>
      <c r="E650" s="148" t="s">
        <v>1004</v>
      </c>
      <c r="F650" s="148" t="s">
        <v>2523</v>
      </c>
      <c r="G650" s="148" t="s">
        <v>129</v>
      </c>
      <c r="H650" s="148">
        <v>1140750</v>
      </c>
      <c r="I650" s="148">
        <v>0</v>
      </c>
      <c r="J650" s="148">
        <v>0</v>
      </c>
      <c r="K650" s="148" t="str">
        <f t="shared" si="10"/>
        <v>ENTITYTXNMY_ELGBL_TRNVR_CE</v>
      </c>
    </row>
    <row r="651" spans="1:11" hidden="1">
      <c r="A651" s="148" t="s">
        <v>2599</v>
      </c>
      <c r="B651" s="148" t="s">
        <v>2600</v>
      </c>
      <c r="C651" s="148" t="s">
        <v>1217</v>
      </c>
      <c r="D651" s="148" t="s">
        <v>1747</v>
      </c>
      <c r="E651" s="148" t="s">
        <v>1004</v>
      </c>
      <c r="F651" s="148" t="s">
        <v>2523</v>
      </c>
      <c r="G651" s="148" t="s">
        <v>129</v>
      </c>
      <c r="H651" s="148">
        <v>1140750</v>
      </c>
      <c r="I651" s="148">
        <v>0</v>
      </c>
      <c r="J651" s="148">
        <v>0</v>
      </c>
      <c r="K651" s="148" t="str">
        <f t="shared" si="10"/>
        <v>ENTITYPURE_CAPEX_P</v>
      </c>
    </row>
    <row r="652" spans="1:11" hidden="1">
      <c r="A652" s="148" t="s">
        <v>2601</v>
      </c>
      <c r="B652" s="148" t="s">
        <v>2602</v>
      </c>
      <c r="C652" s="148" t="s">
        <v>1217</v>
      </c>
      <c r="D652" s="148" t="s">
        <v>1750</v>
      </c>
      <c r="E652" s="148" t="s">
        <v>1004</v>
      </c>
      <c r="F652" s="148" t="s">
        <v>2523</v>
      </c>
      <c r="G652" s="148" t="s">
        <v>129</v>
      </c>
      <c r="H652" s="148">
        <v>1140750</v>
      </c>
      <c r="I652" s="148">
        <v>0</v>
      </c>
      <c r="J652" s="148">
        <v>0</v>
      </c>
      <c r="K652" s="148" t="str">
        <f t="shared" si="10"/>
        <v>ENTITYPURE_TRNVR_P</v>
      </c>
    </row>
    <row r="653" spans="1:11" hidden="1">
      <c r="A653" s="148" t="s">
        <v>2603</v>
      </c>
      <c r="B653" s="148" t="s">
        <v>2604</v>
      </c>
      <c r="C653" s="148" t="s">
        <v>1217</v>
      </c>
      <c r="D653" s="148" t="s">
        <v>1753</v>
      </c>
      <c r="E653" s="148" t="s">
        <v>1004</v>
      </c>
      <c r="F653" s="148" t="s">
        <v>2523</v>
      </c>
      <c r="G653" s="148" t="s">
        <v>129</v>
      </c>
      <c r="H653" s="148">
        <v>1140750</v>
      </c>
      <c r="I653" s="148">
        <v>0</v>
      </c>
      <c r="J653" s="148">
        <v>0</v>
      </c>
      <c r="K653" s="148" t="str">
        <f t="shared" si="10"/>
        <v>ENTITYPURE_CAPEX_B</v>
      </c>
    </row>
    <row r="654" spans="1:11" hidden="1">
      <c r="A654" s="148" t="s">
        <v>2605</v>
      </c>
      <c r="B654" s="148" t="s">
        <v>2606</v>
      </c>
      <c r="C654" s="148" t="s">
        <v>1217</v>
      </c>
      <c r="D654" s="148" t="s">
        <v>1756</v>
      </c>
      <c r="E654" s="148" t="s">
        <v>1004</v>
      </c>
      <c r="F654" s="148" t="s">
        <v>2523</v>
      </c>
      <c r="G654" s="148" t="s">
        <v>129</v>
      </c>
      <c r="H654" s="148">
        <v>1140750</v>
      </c>
      <c r="I654" s="148">
        <v>0</v>
      </c>
      <c r="J654" s="148">
        <v>0</v>
      </c>
      <c r="K654" s="148" t="str">
        <f t="shared" si="10"/>
        <v>ENTITYPURE_TRNVR_B</v>
      </c>
    </row>
    <row r="655" spans="1:11" hidden="1">
      <c r="A655" s="148" t="s">
        <v>2607</v>
      </c>
      <c r="B655" s="148" t="s">
        <v>2608</v>
      </c>
      <c r="C655" s="148" t="s">
        <v>1217</v>
      </c>
      <c r="D655" s="148" t="s">
        <v>1759</v>
      </c>
      <c r="E655" s="148" t="s">
        <v>1004</v>
      </c>
      <c r="F655" s="148" t="s">
        <v>2523</v>
      </c>
      <c r="G655" s="148" t="s">
        <v>129</v>
      </c>
      <c r="H655" s="148">
        <v>1140750</v>
      </c>
      <c r="I655" s="148">
        <v>0</v>
      </c>
      <c r="J655" s="148">
        <v>0</v>
      </c>
      <c r="K655" s="148" t="str">
        <f t="shared" si="10"/>
        <v>ENTITYPURE_CAPEX_W</v>
      </c>
    </row>
    <row r="656" spans="1:11" hidden="1">
      <c r="A656" s="148" t="s">
        <v>2609</v>
      </c>
      <c r="B656" s="148" t="s">
        <v>2610</v>
      </c>
      <c r="C656" s="148" t="s">
        <v>1217</v>
      </c>
      <c r="D656" s="148" t="s">
        <v>1762</v>
      </c>
      <c r="E656" s="148" t="s">
        <v>1004</v>
      </c>
      <c r="F656" s="148" t="s">
        <v>2523</v>
      </c>
      <c r="G656" s="148" t="s">
        <v>129</v>
      </c>
      <c r="H656" s="148">
        <v>1140750</v>
      </c>
      <c r="I656" s="148">
        <v>0</v>
      </c>
      <c r="J656" s="148">
        <v>0</v>
      </c>
      <c r="K656" s="148" t="str">
        <f t="shared" si="10"/>
        <v>ENTITYPURE_TRNVR_W</v>
      </c>
    </row>
    <row r="657" spans="1:11" hidden="1">
      <c r="A657" s="148" t="s">
        <v>2611</v>
      </c>
      <c r="B657" s="148" t="s">
        <v>2612</v>
      </c>
      <c r="C657" s="148" t="s">
        <v>1217</v>
      </c>
      <c r="D657" s="148" t="s">
        <v>1765</v>
      </c>
      <c r="E657" s="148" t="s">
        <v>1004</v>
      </c>
      <c r="F657" s="148" t="s">
        <v>2523</v>
      </c>
      <c r="G657" s="148" t="s">
        <v>129</v>
      </c>
      <c r="H657" s="148">
        <v>1140750</v>
      </c>
      <c r="I657" s="148">
        <v>0</v>
      </c>
      <c r="J657" s="148">
        <v>0</v>
      </c>
      <c r="K657" s="148" t="str">
        <f t="shared" si="10"/>
        <v>ENTITYPURE_CAPEX_CE</v>
      </c>
    </row>
    <row r="658" spans="1:11" hidden="1">
      <c r="A658" s="148" t="s">
        <v>2613</v>
      </c>
      <c r="B658" s="148" t="s">
        <v>2614</v>
      </c>
      <c r="C658" s="148" t="s">
        <v>1217</v>
      </c>
      <c r="D658" s="148" t="s">
        <v>1768</v>
      </c>
      <c r="E658" s="148" t="s">
        <v>1004</v>
      </c>
      <c r="F658" s="148" t="s">
        <v>2523</v>
      </c>
      <c r="G658" s="148" t="s">
        <v>129</v>
      </c>
      <c r="H658" s="148">
        <v>1140750</v>
      </c>
      <c r="I658" s="148">
        <v>0</v>
      </c>
      <c r="J658" s="148">
        <v>0</v>
      </c>
      <c r="K658" s="148" t="str">
        <f t="shared" si="10"/>
        <v>ENTITYPURE_TRNVR_CE</v>
      </c>
    </row>
    <row r="659" spans="1:11" hidden="1">
      <c r="A659" s="148" t="s">
        <v>2615</v>
      </c>
      <c r="B659" s="148" t="s">
        <v>2616</v>
      </c>
      <c r="C659" s="148" t="s">
        <v>1217</v>
      </c>
      <c r="D659" s="148" t="s">
        <v>1771</v>
      </c>
      <c r="E659" s="148" t="s">
        <v>1004</v>
      </c>
      <c r="F659" s="148" t="s">
        <v>2523</v>
      </c>
      <c r="G659" s="148" t="s">
        <v>129</v>
      </c>
      <c r="H659" s="148">
        <v>1140750</v>
      </c>
      <c r="I659" s="148">
        <v>0</v>
      </c>
      <c r="J659" s="148">
        <v>0</v>
      </c>
      <c r="K659" s="148" t="str">
        <f t="shared" si="10"/>
        <v>ENTITYENBLNG_CAPEX_W</v>
      </c>
    </row>
    <row r="660" spans="1:11" hidden="1">
      <c r="A660" s="148" t="s">
        <v>2617</v>
      </c>
      <c r="B660" s="148" t="s">
        <v>2618</v>
      </c>
      <c r="C660" s="148" t="s">
        <v>1217</v>
      </c>
      <c r="D660" s="148" t="s">
        <v>1774</v>
      </c>
      <c r="E660" s="148" t="s">
        <v>1004</v>
      </c>
      <c r="F660" s="148" t="s">
        <v>2523</v>
      </c>
      <c r="G660" s="148" t="s">
        <v>129</v>
      </c>
      <c r="H660" s="148">
        <v>1140750</v>
      </c>
      <c r="I660" s="148">
        <v>0</v>
      </c>
      <c r="J660" s="148">
        <v>0</v>
      </c>
      <c r="K660" s="148" t="str">
        <f t="shared" si="10"/>
        <v>ENTITYENBLNG_TRNVR_W</v>
      </c>
    </row>
    <row r="661" spans="1:11" hidden="1">
      <c r="A661" s="148" t="s">
        <v>2619</v>
      </c>
      <c r="B661" s="148" t="s">
        <v>2620</v>
      </c>
      <c r="C661" s="148" t="s">
        <v>1217</v>
      </c>
      <c r="D661" s="148" t="s">
        <v>1777</v>
      </c>
      <c r="E661" s="148" t="s">
        <v>1004</v>
      </c>
      <c r="F661" s="148" t="s">
        <v>2523</v>
      </c>
      <c r="G661" s="148" t="s">
        <v>129</v>
      </c>
      <c r="H661" s="148">
        <v>1140750</v>
      </c>
      <c r="I661" s="148">
        <v>0</v>
      </c>
      <c r="J661" s="148">
        <v>0</v>
      </c>
      <c r="K661" s="148" t="str">
        <f t="shared" si="10"/>
        <v>ENTITYENBLNG_CAPEX_CE</v>
      </c>
    </row>
    <row r="662" spans="1:11" hidden="1">
      <c r="A662" s="148" t="s">
        <v>2621</v>
      </c>
      <c r="B662" s="148" t="s">
        <v>2622</v>
      </c>
      <c r="C662" s="148" t="s">
        <v>1217</v>
      </c>
      <c r="D662" s="148" t="s">
        <v>1780</v>
      </c>
      <c r="E662" s="148" t="s">
        <v>1004</v>
      </c>
      <c r="F662" s="148" t="s">
        <v>2523</v>
      </c>
      <c r="G662" s="148" t="s">
        <v>129</v>
      </c>
      <c r="H662" s="148">
        <v>1140750</v>
      </c>
      <c r="I662" s="148">
        <v>0</v>
      </c>
      <c r="J662" s="148">
        <v>0</v>
      </c>
      <c r="K662" s="148" t="str">
        <f t="shared" si="10"/>
        <v>ENTITYENBLNG_TRNVR_CE</v>
      </c>
    </row>
    <row r="663" spans="1:11" hidden="1">
      <c r="A663" s="148" t="s">
        <v>2623</v>
      </c>
      <c r="B663" s="148" t="s">
        <v>2624</v>
      </c>
      <c r="C663" s="148" t="s">
        <v>1249</v>
      </c>
      <c r="D663" s="148" t="s">
        <v>283</v>
      </c>
      <c r="E663" s="148" t="s">
        <v>1014</v>
      </c>
      <c r="F663" s="148" t="s">
        <v>2625</v>
      </c>
      <c r="G663" s="148" t="s">
        <v>129</v>
      </c>
      <c r="H663" s="148">
        <v>2655362</v>
      </c>
      <c r="I663" s="148">
        <v>0</v>
      </c>
      <c r="J663" s="148">
        <v>0</v>
      </c>
      <c r="K663" s="148" t="str">
        <f t="shared" si="10"/>
        <v>INSTR_ENTITYDT_RFRNC</v>
      </c>
    </row>
    <row r="664" spans="1:11" hidden="1">
      <c r="A664" s="148" t="s">
        <v>2626</v>
      </c>
      <c r="B664" s="148" t="s">
        <v>2624</v>
      </c>
      <c r="C664" s="148" t="s">
        <v>1255</v>
      </c>
      <c r="D664" s="148" t="s">
        <v>283</v>
      </c>
      <c r="E664" s="148" t="s">
        <v>1014</v>
      </c>
      <c r="F664" s="148" t="s">
        <v>2627</v>
      </c>
      <c r="G664" s="148" t="s">
        <v>129</v>
      </c>
      <c r="H664" s="148">
        <v>2138963</v>
      </c>
      <c r="I664" s="148">
        <v>0</v>
      </c>
      <c r="J664" s="148">
        <v>0</v>
      </c>
      <c r="K664" s="148" t="str">
        <f t="shared" si="10"/>
        <v>INSTRUMENTDT_RFRNC</v>
      </c>
    </row>
    <row r="665" spans="1:11" hidden="1">
      <c r="A665" s="148" t="s">
        <v>2628</v>
      </c>
      <c r="B665" s="148" t="s">
        <v>2629</v>
      </c>
      <c r="C665" s="148" t="s">
        <v>1255</v>
      </c>
      <c r="D665" s="148" t="s">
        <v>311</v>
      </c>
      <c r="E665" s="148" t="s">
        <v>1394</v>
      </c>
      <c r="F665" s="148" t="s">
        <v>2627</v>
      </c>
      <c r="G665" s="148" t="s">
        <v>129</v>
      </c>
      <c r="H665" s="148">
        <v>2138963</v>
      </c>
      <c r="I665" s="148">
        <v>0</v>
      </c>
      <c r="J665" s="148">
        <v>0</v>
      </c>
      <c r="K665" s="148" t="str">
        <f t="shared" si="10"/>
        <v>INSTRUMENTEXPSR_IN_SCP</v>
      </c>
    </row>
    <row r="666" spans="1:11" hidden="1">
      <c r="A666" s="148" t="s">
        <v>2630</v>
      </c>
      <c r="B666" s="148" t="s">
        <v>685</v>
      </c>
      <c r="C666" s="148" t="s">
        <v>1255</v>
      </c>
      <c r="D666" s="148" t="s">
        <v>44</v>
      </c>
      <c r="E666" s="148" t="s">
        <v>1394</v>
      </c>
      <c r="F666" s="148" t="s">
        <v>2627</v>
      </c>
      <c r="G666" s="148" t="s">
        <v>129</v>
      </c>
      <c r="H666" s="148">
        <v>2138963</v>
      </c>
      <c r="I666" s="148">
        <v>0</v>
      </c>
      <c r="J666" s="148">
        <v>0</v>
      </c>
      <c r="K666" s="148" t="str">
        <f t="shared" si="10"/>
        <v>INSTRUMENTIMPRMNT_STTS</v>
      </c>
    </row>
    <row r="667" spans="1:11" hidden="1">
      <c r="A667" s="148" t="s">
        <v>2631</v>
      </c>
      <c r="B667" s="148" t="s">
        <v>2632</v>
      </c>
      <c r="C667" s="148" t="s">
        <v>1255</v>
      </c>
      <c r="D667" s="148" t="s">
        <v>46</v>
      </c>
      <c r="E667" s="148" t="s">
        <v>1394</v>
      </c>
      <c r="F667" s="148" t="s">
        <v>2627</v>
      </c>
      <c r="G667" s="148" t="s">
        <v>129</v>
      </c>
      <c r="H667" s="148">
        <v>2138963</v>
      </c>
      <c r="I667" s="148">
        <v>0</v>
      </c>
      <c r="J667" s="148">
        <v>0</v>
      </c>
      <c r="K667" s="148" t="str">
        <f t="shared" si="10"/>
        <v>INSTRUMENTIMPRMNT_STTS_PRVS</v>
      </c>
    </row>
    <row r="668" spans="1:11" hidden="1">
      <c r="A668" s="148" t="s">
        <v>2633</v>
      </c>
      <c r="B668" s="148" t="s">
        <v>2634</v>
      </c>
      <c r="C668" s="148" t="s">
        <v>1255</v>
      </c>
      <c r="D668" s="148" t="s">
        <v>527</v>
      </c>
      <c r="E668" s="148" t="s">
        <v>1009</v>
      </c>
      <c r="F668" s="148" t="s">
        <v>2627</v>
      </c>
      <c r="G668" s="148" t="s">
        <v>129</v>
      </c>
      <c r="H668" s="148">
        <v>2138963</v>
      </c>
      <c r="I668" s="148">
        <v>0</v>
      </c>
      <c r="J668" s="148">
        <v>0</v>
      </c>
      <c r="K668" s="148" t="str">
        <f t="shared" si="10"/>
        <v>INSTRUMENTTYP_AMRTSTN</v>
      </c>
    </row>
    <row r="669" spans="1:11" hidden="1">
      <c r="A669" s="148" t="s">
        <v>2635</v>
      </c>
      <c r="B669" s="148" t="s">
        <v>2636</v>
      </c>
      <c r="C669" s="148" t="s">
        <v>1255</v>
      </c>
      <c r="D669" s="148" t="s">
        <v>358</v>
      </c>
      <c r="E669" s="148" t="s">
        <v>1004</v>
      </c>
      <c r="F669" s="148" t="s">
        <v>2627</v>
      </c>
      <c r="G669" s="148" t="s">
        <v>129</v>
      </c>
      <c r="H669" s="148">
        <v>2138963</v>
      </c>
      <c r="I669" s="148">
        <v>0</v>
      </c>
      <c r="J669" s="148">
        <v>0</v>
      </c>
      <c r="K669" s="148" t="str">
        <f t="shared" si="10"/>
        <v>INSTRUMENTIFRS9_LGD</v>
      </c>
    </row>
    <row r="670" spans="1:11" hidden="1">
      <c r="A670" s="148" t="s">
        <v>2637</v>
      </c>
      <c r="B670" s="148" t="s">
        <v>2638</v>
      </c>
      <c r="C670" s="148" t="s">
        <v>1255</v>
      </c>
      <c r="D670" s="148" t="s">
        <v>396</v>
      </c>
      <c r="E670" s="148" t="s">
        <v>1004</v>
      </c>
      <c r="F670" s="148" t="s">
        <v>2627</v>
      </c>
      <c r="G670" s="148" t="s">
        <v>129</v>
      </c>
      <c r="H670" s="148">
        <v>2138963</v>
      </c>
      <c r="I670" s="148">
        <v>0</v>
      </c>
      <c r="J670" s="148">
        <v>0</v>
      </c>
      <c r="K670" s="148" t="str">
        <f t="shared" si="10"/>
        <v>INSTRUMENTLGD</v>
      </c>
    </row>
    <row r="671" spans="1:11" hidden="1">
      <c r="A671" s="148" t="s">
        <v>2639</v>
      </c>
      <c r="B671" s="148" t="s">
        <v>2640</v>
      </c>
      <c r="C671" s="148" t="s">
        <v>1255</v>
      </c>
      <c r="D671" s="148" t="s">
        <v>435</v>
      </c>
      <c r="E671" s="148" t="s">
        <v>1004</v>
      </c>
      <c r="F671" s="148" t="s">
        <v>2627</v>
      </c>
      <c r="G671" s="148" t="s">
        <v>129</v>
      </c>
      <c r="H671" s="148">
        <v>2138963</v>
      </c>
      <c r="I671" s="148">
        <v>0</v>
      </c>
      <c r="J671" s="148">
        <v>0</v>
      </c>
      <c r="K671" s="148" t="str">
        <f t="shared" si="10"/>
        <v>INSTRUMENTPD_CRR_INCPTN</v>
      </c>
    </row>
    <row r="672" spans="1:11" hidden="1">
      <c r="A672" s="148" t="s">
        <v>2641</v>
      </c>
      <c r="B672" s="148" t="s">
        <v>2530</v>
      </c>
      <c r="C672" s="148" t="s">
        <v>1255</v>
      </c>
      <c r="D672" s="148" t="s">
        <v>437</v>
      </c>
      <c r="E672" s="148" t="s">
        <v>1004</v>
      </c>
      <c r="F672" s="148" t="s">
        <v>2627</v>
      </c>
      <c r="G672" s="148" t="s">
        <v>129</v>
      </c>
      <c r="H672" s="148">
        <v>2138963</v>
      </c>
      <c r="I672" s="148">
        <v>0</v>
      </c>
      <c r="J672" s="148">
        <v>0</v>
      </c>
      <c r="K672" s="148" t="str">
        <f t="shared" si="10"/>
        <v>INSTRUMENTPD_CRR_RD</v>
      </c>
    </row>
    <row r="673" spans="1:11" hidden="1">
      <c r="A673" s="148" t="s">
        <v>2642</v>
      </c>
      <c r="B673" s="148" t="s">
        <v>2538</v>
      </c>
      <c r="C673" s="148" t="s">
        <v>1255</v>
      </c>
      <c r="D673" s="148" t="s">
        <v>438</v>
      </c>
      <c r="E673" s="148" t="s">
        <v>1004</v>
      </c>
      <c r="F673" s="148" t="s">
        <v>2627</v>
      </c>
      <c r="G673" s="148" t="s">
        <v>129</v>
      </c>
      <c r="H673" s="148">
        <v>2138963</v>
      </c>
      <c r="I673" s="148">
        <v>0</v>
      </c>
      <c r="J673" s="148">
        <v>0</v>
      </c>
      <c r="K673" s="148" t="str">
        <f t="shared" si="10"/>
        <v>INSTRUMENTPD_CRR_RD_T1</v>
      </c>
    </row>
    <row r="674" spans="1:11" hidden="1">
      <c r="A674" s="148" t="s">
        <v>2643</v>
      </c>
      <c r="B674" s="148" t="s">
        <v>2644</v>
      </c>
      <c r="C674" s="148" t="s">
        <v>1255</v>
      </c>
      <c r="D674" s="148" t="s">
        <v>439</v>
      </c>
      <c r="E674" s="148" t="s">
        <v>1004</v>
      </c>
      <c r="F674" s="148" t="s">
        <v>2627</v>
      </c>
      <c r="G674" s="148" t="s">
        <v>129</v>
      </c>
      <c r="H674" s="148">
        <v>2138963</v>
      </c>
      <c r="I674" s="148">
        <v>0</v>
      </c>
      <c r="J674" s="148">
        <v>0</v>
      </c>
      <c r="K674" s="148" t="str">
        <f t="shared" si="10"/>
        <v>INSTRUMENTPD_IFRS9_12M_INCPTN</v>
      </c>
    </row>
    <row r="675" spans="1:11" hidden="1">
      <c r="A675" s="148" t="s">
        <v>2645</v>
      </c>
      <c r="B675" s="148" t="s">
        <v>2532</v>
      </c>
      <c r="C675" s="148" t="s">
        <v>1255</v>
      </c>
      <c r="D675" s="148" t="s">
        <v>440</v>
      </c>
      <c r="E675" s="148" t="s">
        <v>1004</v>
      </c>
      <c r="F675" s="148" t="s">
        <v>2627</v>
      </c>
      <c r="G675" s="148" t="s">
        <v>129</v>
      </c>
      <c r="H675" s="148">
        <v>2138963</v>
      </c>
      <c r="I675" s="148">
        <v>0</v>
      </c>
      <c r="J675" s="148">
        <v>0</v>
      </c>
      <c r="K675" s="148" t="str">
        <f t="shared" si="10"/>
        <v>INSTRUMENTPD_IFRS9_12M_RD</v>
      </c>
    </row>
    <row r="676" spans="1:11" hidden="1">
      <c r="A676" s="148" t="s">
        <v>2646</v>
      </c>
      <c r="B676" s="148" t="s">
        <v>2534</v>
      </c>
      <c r="C676" s="148" t="s">
        <v>1255</v>
      </c>
      <c r="D676" s="148" t="s">
        <v>442</v>
      </c>
      <c r="E676" s="148" t="s">
        <v>1004</v>
      </c>
      <c r="F676" s="148" t="s">
        <v>2627</v>
      </c>
      <c r="G676" s="148" t="s">
        <v>129</v>
      </c>
      <c r="H676" s="148">
        <v>2138963</v>
      </c>
      <c r="I676" s="148">
        <v>0</v>
      </c>
      <c r="J676" s="148">
        <v>0</v>
      </c>
      <c r="K676" s="148" t="str">
        <f t="shared" si="10"/>
        <v>INSTRUMENTPD_IFRS9_12M_RD_T1</v>
      </c>
    </row>
    <row r="677" spans="1:11" hidden="1">
      <c r="A677" s="148" t="s">
        <v>2647</v>
      </c>
      <c r="B677" s="148" t="s">
        <v>2648</v>
      </c>
      <c r="C677" s="148" t="s">
        <v>1255</v>
      </c>
      <c r="D677" s="148" t="s">
        <v>443</v>
      </c>
      <c r="E677" s="148" t="s">
        <v>1004</v>
      </c>
      <c r="F677" s="148" t="s">
        <v>2627</v>
      </c>
      <c r="G677" s="148" t="s">
        <v>129</v>
      </c>
      <c r="H677" s="148">
        <v>2138963</v>
      </c>
      <c r="I677" s="148">
        <v>0</v>
      </c>
      <c r="J677" s="148">
        <v>0</v>
      </c>
      <c r="K677" s="148" t="str">
        <f t="shared" si="10"/>
        <v>INSTRUMENTPD_IFRS9_LFTM_INCPTN</v>
      </c>
    </row>
    <row r="678" spans="1:11" hidden="1">
      <c r="A678" s="148" t="s">
        <v>2649</v>
      </c>
      <c r="B678" s="148" t="s">
        <v>2650</v>
      </c>
      <c r="C678" s="148" t="s">
        <v>1255</v>
      </c>
      <c r="D678" s="148" t="s">
        <v>444</v>
      </c>
      <c r="E678" s="148" t="s">
        <v>1004</v>
      </c>
      <c r="F678" s="148" t="s">
        <v>2627</v>
      </c>
      <c r="G678" s="148" t="s">
        <v>129</v>
      </c>
      <c r="H678" s="148">
        <v>2138963</v>
      </c>
      <c r="I678" s="148">
        <v>0</v>
      </c>
      <c r="J678" s="148">
        <v>0</v>
      </c>
      <c r="K678" s="148" t="str">
        <f t="shared" si="10"/>
        <v>INSTRUMENTPD_IFRS9_RMNNG_LFTM_INCPTN</v>
      </c>
    </row>
    <row r="679" spans="1:11" hidden="1">
      <c r="A679" s="148" t="s">
        <v>2651</v>
      </c>
      <c r="B679" s="148" t="s">
        <v>2652</v>
      </c>
      <c r="C679" s="148" t="s">
        <v>1255</v>
      </c>
      <c r="D679" s="148" t="s">
        <v>445</v>
      </c>
      <c r="E679" s="148" t="s">
        <v>1004</v>
      </c>
      <c r="F679" s="148" t="s">
        <v>2627</v>
      </c>
      <c r="G679" s="148" t="s">
        <v>129</v>
      </c>
      <c r="H679" s="148">
        <v>2138963</v>
      </c>
      <c r="I679" s="148">
        <v>0</v>
      </c>
      <c r="J679" s="148">
        <v>0</v>
      </c>
      <c r="K679" s="148" t="str">
        <f t="shared" si="10"/>
        <v>INSTRUMENTPD_IFRS9_RMNNG_LFTM_RD</v>
      </c>
    </row>
    <row r="680" spans="1:11" hidden="1">
      <c r="A680" s="148" t="s">
        <v>2653</v>
      </c>
      <c r="B680" s="148" t="s">
        <v>2528</v>
      </c>
      <c r="C680" s="148" t="s">
        <v>1255</v>
      </c>
      <c r="D680" s="148" t="s">
        <v>493</v>
      </c>
      <c r="E680" s="148" t="s">
        <v>1394</v>
      </c>
      <c r="F680" s="148" t="s">
        <v>2627</v>
      </c>
      <c r="G680" s="148" t="s">
        <v>129</v>
      </c>
      <c r="H680" s="148">
        <v>2138963</v>
      </c>
      <c r="I680" s="148">
        <v>0</v>
      </c>
      <c r="J680" s="148">
        <v>0</v>
      </c>
      <c r="K680" s="148" t="str">
        <f t="shared" si="10"/>
        <v>INSTRUMENTRTNG_SCL</v>
      </c>
    </row>
    <row r="681" spans="1:11" hidden="1">
      <c r="A681" s="148" t="s">
        <v>2654</v>
      </c>
      <c r="B681" s="148" t="s">
        <v>2655</v>
      </c>
      <c r="C681" s="148" t="s">
        <v>1255</v>
      </c>
      <c r="D681" s="148" t="s">
        <v>300</v>
      </c>
      <c r="E681" s="148" t="s">
        <v>1004</v>
      </c>
      <c r="F681" s="148" t="s">
        <v>2627</v>
      </c>
      <c r="G681" s="148" t="s">
        <v>1011</v>
      </c>
      <c r="H681" s="148">
        <v>2138963</v>
      </c>
      <c r="I681" s="148">
        <v>1</v>
      </c>
      <c r="J681" s="148">
        <v>0</v>
      </c>
      <c r="K681" s="148" t="str">
        <f t="shared" si="10"/>
        <v>INSTRUMENTEIR</v>
      </c>
    </row>
    <row r="682" spans="1:11" hidden="1">
      <c r="A682" s="148" t="s">
        <v>2656</v>
      </c>
      <c r="B682" s="148" t="s">
        <v>2657</v>
      </c>
      <c r="C682" s="148" t="s">
        <v>1255</v>
      </c>
      <c r="D682" s="148" t="s">
        <v>301</v>
      </c>
      <c r="E682" s="148" t="s">
        <v>1004</v>
      </c>
      <c r="F682" s="148" t="s">
        <v>2627</v>
      </c>
      <c r="G682" s="148" t="s">
        <v>129</v>
      </c>
      <c r="H682" s="148">
        <v>2138963</v>
      </c>
      <c r="I682" s="148">
        <v>0</v>
      </c>
      <c r="J682" s="148">
        <v>0</v>
      </c>
      <c r="K682" s="148" t="str">
        <f t="shared" si="10"/>
        <v>INSTRUMENTEIR_INCPTN</v>
      </c>
    </row>
    <row r="683" spans="1:11" hidden="1">
      <c r="A683" s="148" t="s">
        <v>2658</v>
      </c>
      <c r="B683" s="148" t="s">
        <v>2659</v>
      </c>
      <c r="C683" s="148" t="s">
        <v>1255</v>
      </c>
      <c r="D683" s="148" t="s">
        <v>515</v>
      </c>
      <c r="E683" s="148" t="s">
        <v>1004</v>
      </c>
      <c r="F683" s="148" t="s">
        <v>2627</v>
      </c>
      <c r="G683" s="148" t="s">
        <v>129</v>
      </c>
      <c r="H683" s="148">
        <v>2138963</v>
      </c>
      <c r="I683" s="148">
        <v>0</v>
      </c>
      <c r="J683" s="148">
        <v>0</v>
      </c>
      <c r="K683" s="148" t="str">
        <f t="shared" si="10"/>
        <v>INSTRUMENTSYNDCTD_SHR</v>
      </c>
    </row>
    <row r="684" spans="1:11" hidden="1">
      <c r="A684" s="148" t="s">
        <v>2660</v>
      </c>
      <c r="B684" s="148" t="s">
        <v>2661</v>
      </c>
      <c r="C684" s="148" t="s">
        <v>1255</v>
      </c>
      <c r="D684" s="148" t="s">
        <v>191</v>
      </c>
      <c r="E684" s="148" t="s">
        <v>1004</v>
      </c>
      <c r="F684" s="148" t="s">
        <v>2627</v>
      </c>
      <c r="G684" s="148" t="s">
        <v>129</v>
      </c>
      <c r="H684" s="148">
        <v>2138963</v>
      </c>
      <c r="I684" s="148">
        <v>0</v>
      </c>
      <c r="J684" s="148">
        <v>0</v>
      </c>
      <c r="K684" s="148" t="str">
        <f t="shared" si="10"/>
        <v>INSTRUMENTCPN_RT_FXD</v>
      </c>
    </row>
    <row r="685" spans="1:11" hidden="1">
      <c r="A685" s="148" t="s">
        <v>2662</v>
      </c>
      <c r="B685" s="148" t="s">
        <v>2663</v>
      </c>
      <c r="C685" s="148" t="s">
        <v>127</v>
      </c>
      <c r="D685" s="148" t="s">
        <v>554</v>
      </c>
      <c r="E685" s="148" t="s">
        <v>1004</v>
      </c>
      <c r="F685" s="148" t="s">
        <v>2627</v>
      </c>
      <c r="G685" s="148" t="s">
        <v>129</v>
      </c>
      <c r="H685" s="148">
        <v>2138963</v>
      </c>
      <c r="I685" s="148">
        <v>0</v>
      </c>
      <c r="J685" s="148">
        <v>0</v>
      </c>
      <c r="K685" s="148" t="str">
        <f t="shared" si="10"/>
        <v>INSTRUMENTCPN_RT_FLTNG</v>
      </c>
    </row>
    <row r="686" spans="1:11" hidden="1">
      <c r="A686" s="148" t="s">
        <v>2664</v>
      </c>
      <c r="B686" s="148" t="s">
        <v>2665</v>
      </c>
      <c r="C686" s="148" t="s">
        <v>1255</v>
      </c>
      <c r="D686" s="148" t="s">
        <v>507</v>
      </c>
      <c r="E686" s="148" t="s">
        <v>1004</v>
      </c>
      <c r="F686" s="148" t="s">
        <v>2627</v>
      </c>
      <c r="G686" s="148" t="s">
        <v>129</v>
      </c>
      <c r="H686" s="148">
        <v>2138963</v>
      </c>
      <c r="I686" s="148">
        <v>0</v>
      </c>
      <c r="J686" s="148">
        <v>0</v>
      </c>
      <c r="K686" s="148" t="str">
        <f t="shared" si="10"/>
        <v>INSTRUMENTSPRD</v>
      </c>
    </row>
    <row r="687" spans="1:11" hidden="1">
      <c r="A687" s="148" t="s">
        <v>2666</v>
      </c>
      <c r="B687" s="148" t="s">
        <v>2667</v>
      </c>
      <c r="C687" s="148" t="s">
        <v>1255</v>
      </c>
      <c r="D687" s="148" t="s">
        <v>198</v>
      </c>
      <c r="E687" s="148" t="s">
        <v>1004</v>
      </c>
      <c r="F687" s="148" t="s">
        <v>2627</v>
      </c>
      <c r="G687" s="148" t="s">
        <v>129</v>
      </c>
      <c r="H687" s="148">
        <v>2138963</v>
      </c>
      <c r="I687" s="148">
        <v>0</v>
      </c>
      <c r="J687" s="148">
        <v>0</v>
      </c>
      <c r="K687" s="148" t="str">
        <f t="shared" si="10"/>
        <v>INSTRUMENTCRRLTN_CFFCNT</v>
      </c>
    </row>
    <row r="688" spans="1:11" hidden="1">
      <c r="A688" s="148" t="s">
        <v>2668</v>
      </c>
      <c r="B688" s="148" t="s">
        <v>2669</v>
      </c>
      <c r="C688" s="148" t="s">
        <v>127</v>
      </c>
      <c r="D688" s="148" t="s">
        <v>381</v>
      </c>
      <c r="E688" s="148" t="s">
        <v>1009</v>
      </c>
      <c r="F688" s="148" t="s">
        <v>2627</v>
      </c>
      <c r="G688" s="148" t="s">
        <v>1011</v>
      </c>
      <c r="H688" s="148">
        <v>23963</v>
      </c>
      <c r="I688" s="148">
        <v>23963</v>
      </c>
      <c r="J688" s="148">
        <v>100</v>
      </c>
      <c r="K688" s="148" t="str">
        <f t="shared" si="10"/>
        <v>INSTRUMENTISIN_SCRTSTN</v>
      </c>
    </row>
    <row r="689" spans="1:11" hidden="1">
      <c r="A689" s="148" t="s">
        <v>2670</v>
      </c>
      <c r="B689" s="148" t="s">
        <v>2671</v>
      </c>
      <c r="C689" s="148" t="s">
        <v>1255</v>
      </c>
      <c r="D689" s="148" t="s">
        <v>2184</v>
      </c>
      <c r="E689" s="148" t="s">
        <v>1394</v>
      </c>
      <c r="F689" s="148" t="s">
        <v>2627</v>
      </c>
      <c r="G689" s="148" t="s">
        <v>129</v>
      </c>
      <c r="H689" s="148">
        <v>2138963</v>
      </c>
      <c r="I689" s="148">
        <v>0</v>
      </c>
      <c r="J689" s="148">
        <v>0</v>
      </c>
      <c r="K689" s="148" t="str">
        <f t="shared" si="10"/>
        <v>INSTRUMENTRWA_OFF_BLNC</v>
      </c>
    </row>
    <row r="690" spans="1:11" hidden="1">
      <c r="A690" s="148" t="s">
        <v>2672</v>
      </c>
      <c r="B690" s="148" t="s">
        <v>2673</v>
      </c>
      <c r="C690" s="148" t="s">
        <v>1255</v>
      </c>
      <c r="D690" s="148" t="s">
        <v>562</v>
      </c>
      <c r="E690" s="148" t="s">
        <v>1394</v>
      </c>
      <c r="F690" s="148" t="s">
        <v>2627</v>
      </c>
      <c r="G690" s="148" t="s">
        <v>129</v>
      </c>
      <c r="H690" s="148">
        <v>2138963</v>
      </c>
      <c r="I690" s="148">
        <v>0</v>
      </c>
      <c r="J690" s="148">
        <v>0</v>
      </c>
      <c r="K690" s="148" t="str">
        <f t="shared" si="10"/>
        <v>INSTRUMENTBLNC_SHT_RCGNTN</v>
      </c>
    </row>
    <row r="691" spans="1:11" hidden="1">
      <c r="A691" s="148" t="s">
        <v>2674</v>
      </c>
      <c r="B691" s="148" t="s">
        <v>2675</v>
      </c>
      <c r="C691" s="148" t="s">
        <v>1255</v>
      </c>
      <c r="D691" s="148" t="s">
        <v>1130</v>
      </c>
      <c r="E691" s="148" t="s">
        <v>1009</v>
      </c>
      <c r="F691" s="148" t="s">
        <v>2627</v>
      </c>
      <c r="G691" s="148" t="s">
        <v>129</v>
      </c>
      <c r="H691" s="148">
        <v>2138963</v>
      </c>
      <c r="I691" s="148">
        <v>0</v>
      </c>
      <c r="J691" s="148">
        <v>0</v>
      </c>
      <c r="K691" s="148" t="str">
        <f t="shared" si="10"/>
        <v>INSTRUMENTEXCLDD_LF</v>
      </c>
    </row>
    <row r="692" spans="1:11" hidden="1">
      <c r="A692" s="148" t="s">
        <v>2676</v>
      </c>
      <c r="B692" s="148" t="s">
        <v>2677</v>
      </c>
      <c r="C692" s="148" t="s">
        <v>1255</v>
      </c>
      <c r="D692" s="148" t="s">
        <v>1132</v>
      </c>
      <c r="E692" s="148" t="s">
        <v>1004</v>
      </c>
      <c r="F692" s="148" t="s">
        <v>2627</v>
      </c>
      <c r="G692" s="148" t="s">
        <v>129</v>
      </c>
      <c r="H692" s="148">
        <v>2138963</v>
      </c>
      <c r="I692" s="148">
        <v>0</v>
      </c>
      <c r="J692" s="148">
        <v>0</v>
      </c>
      <c r="K692" s="148" t="str">
        <f t="shared" si="10"/>
        <v>INSTRUMENTPD_EC_INCPTN</v>
      </c>
    </row>
    <row r="693" spans="1:11" hidden="1">
      <c r="A693" s="148" t="s">
        <v>2678</v>
      </c>
      <c r="B693" s="148" t="s">
        <v>2679</v>
      </c>
      <c r="C693" s="148" t="s">
        <v>1255</v>
      </c>
      <c r="D693" s="148" t="s">
        <v>1131</v>
      </c>
      <c r="E693" s="148" t="s">
        <v>1004</v>
      </c>
      <c r="F693" s="148" t="s">
        <v>2627</v>
      </c>
      <c r="G693" s="148" t="s">
        <v>129</v>
      </c>
      <c r="H693" s="148">
        <v>2138963</v>
      </c>
      <c r="I693" s="148">
        <v>0</v>
      </c>
      <c r="J693" s="148">
        <v>0</v>
      </c>
      <c r="K693" s="148" t="str">
        <f t="shared" si="10"/>
        <v>INSTRUMENTPD_EC_RD</v>
      </c>
    </row>
    <row r="694" spans="1:11" hidden="1">
      <c r="A694" s="148" t="s">
        <v>2680</v>
      </c>
      <c r="B694" s="148" t="s">
        <v>2624</v>
      </c>
      <c r="C694" s="148" t="s">
        <v>1336</v>
      </c>
      <c r="D694" s="148" t="s">
        <v>283</v>
      </c>
      <c r="E694" s="148" t="s">
        <v>1014</v>
      </c>
      <c r="F694" s="148" t="s">
        <v>2681</v>
      </c>
      <c r="G694" s="148" t="s">
        <v>129</v>
      </c>
      <c r="H694" s="148">
        <v>783914</v>
      </c>
      <c r="I694" s="148">
        <v>0</v>
      </c>
      <c r="J694" s="148">
        <v>0</v>
      </c>
      <c r="K694" s="148" t="str">
        <f t="shared" si="10"/>
        <v>INSTR_PROTECTIONDT_RFRNC</v>
      </c>
    </row>
    <row r="695" spans="1:11" hidden="1">
      <c r="A695" s="148" t="s">
        <v>2682</v>
      </c>
      <c r="B695" s="148" t="s">
        <v>2624</v>
      </c>
      <c r="C695" s="148" t="s">
        <v>1348</v>
      </c>
      <c r="D695" s="148" t="s">
        <v>283</v>
      </c>
      <c r="E695" s="148" t="s">
        <v>1014</v>
      </c>
      <c r="F695" s="148" t="s">
        <v>2683</v>
      </c>
      <c r="G695" s="148" t="s">
        <v>129</v>
      </c>
      <c r="H695" s="148">
        <v>465126</v>
      </c>
      <c r="I695" s="148">
        <v>0</v>
      </c>
      <c r="J695" s="148">
        <v>0</v>
      </c>
      <c r="K695" s="148" t="str">
        <f t="shared" si="10"/>
        <v>PROTECTIONDT_RFRNC</v>
      </c>
    </row>
    <row r="696" spans="1:11" hidden="1">
      <c r="A696" s="148" t="s">
        <v>2684</v>
      </c>
      <c r="B696" s="148" t="s">
        <v>2685</v>
      </c>
      <c r="C696" s="148" t="s">
        <v>1348</v>
      </c>
      <c r="D696" s="148" t="s">
        <v>350</v>
      </c>
      <c r="E696" s="148" t="s">
        <v>1004</v>
      </c>
      <c r="F696" s="148" t="s">
        <v>2683</v>
      </c>
      <c r="G696" s="148" t="s">
        <v>129</v>
      </c>
      <c r="H696" s="148">
        <v>465126</v>
      </c>
      <c r="I696" s="148">
        <v>0</v>
      </c>
      <c r="J696" s="148">
        <v>0</v>
      </c>
      <c r="K696" s="148" t="str">
        <f t="shared" si="10"/>
        <v>PROTECTIONHRCT_MV</v>
      </c>
    </row>
    <row r="697" spans="1:11" hidden="1">
      <c r="A697" s="148" t="s">
        <v>2686</v>
      </c>
      <c r="B697" s="148" t="s">
        <v>2687</v>
      </c>
      <c r="C697" s="148" t="s">
        <v>156</v>
      </c>
      <c r="D697" s="148" t="s">
        <v>2412</v>
      </c>
      <c r="E697" s="148" t="s">
        <v>1004</v>
      </c>
      <c r="F697" s="148" t="s">
        <v>2683</v>
      </c>
      <c r="G697" s="148" t="s">
        <v>129</v>
      </c>
      <c r="H697" s="148">
        <v>465126</v>
      </c>
      <c r="I697" s="148">
        <v>0</v>
      </c>
      <c r="J697" s="148">
        <v>0</v>
      </c>
      <c r="K697" s="148" t="str">
        <f t="shared" si="10"/>
        <v>PROTECTIONEPC_EMSSNS_SCR</v>
      </c>
    </row>
    <row r="698" spans="1:11" hidden="1">
      <c r="A698" s="148" t="s">
        <v>2688</v>
      </c>
      <c r="B698" s="148" t="s">
        <v>2689</v>
      </c>
      <c r="C698" s="148" t="s">
        <v>156</v>
      </c>
      <c r="D698" s="148" t="s">
        <v>2415</v>
      </c>
      <c r="E698" s="148" t="s">
        <v>1004</v>
      </c>
      <c r="F698" s="148" t="s">
        <v>2683</v>
      </c>
      <c r="G698" s="148" t="s">
        <v>129</v>
      </c>
      <c r="H698" s="148">
        <v>465126</v>
      </c>
      <c r="I698" s="148">
        <v>0</v>
      </c>
      <c r="J698" s="148">
        <v>0</v>
      </c>
      <c r="K698" s="148" t="str">
        <f t="shared" si="10"/>
        <v>PROTECTIONVHCL_EMSSNS_SCR</v>
      </c>
    </row>
    <row r="699" spans="1:11" hidden="1">
      <c r="A699" s="148" t="s">
        <v>2690</v>
      </c>
      <c r="B699" s="148" t="s">
        <v>2691</v>
      </c>
      <c r="C699" s="148" t="s">
        <v>156</v>
      </c>
      <c r="D699" s="148" t="s">
        <v>2418</v>
      </c>
      <c r="E699" s="148" t="s">
        <v>1004</v>
      </c>
      <c r="F699" s="148" t="s">
        <v>2683</v>
      </c>
      <c r="G699" s="148" t="s">
        <v>129</v>
      </c>
      <c r="H699" s="148">
        <v>465126</v>
      </c>
      <c r="I699" s="148">
        <v>0</v>
      </c>
      <c r="J699" s="148">
        <v>0</v>
      </c>
      <c r="K699" s="148" t="str">
        <f t="shared" si="10"/>
        <v>PROTECTIONEMSSNS_SCP1_PRTCTN</v>
      </c>
    </row>
    <row r="700" spans="1:11" hidden="1">
      <c r="A700" s="148" t="s">
        <v>2692</v>
      </c>
      <c r="B700" s="148" t="s">
        <v>2693</v>
      </c>
      <c r="C700" s="148" t="s">
        <v>156</v>
      </c>
      <c r="D700" s="148" t="s">
        <v>2421</v>
      </c>
      <c r="E700" s="148" t="s">
        <v>1004</v>
      </c>
      <c r="F700" s="148" t="s">
        <v>2683</v>
      </c>
      <c r="G700" s="148" t="s">
        <v>129</v>
      </c>
      <c r="H700" s="148">
        <v>465126</v>
      </c>
      <c r="I700" s="148">
        <v>0</v>
      </c>
      <c r="J700" s="148">
        <v>0</v>
      </c>
      <c r="K700" s="148" t="str">
        <f t="shared" si="10"/>
        <v>PROTECTIONEMSSNS_SCP2_PRTCTN</v>
      </c>
    </row>
    <row r="701" spans="1:11" hidden="1">
      <c r="A701" s="148" t="s">
        <v>2694</v>
      </c>
      <c r="B701" s="148" t="s">
        <v>2695</v>
      </c>
      <c r="C701" s="148" t="s">
        <v>156</v>
      </c>
      <c r="D701" s="148" t="s">
        <v>2424</v>
      </c>
      <c r="E701" s="148" t="s">
        <v>1004</v>
      </c>
      <c r="F701" s="148" t="s">
        <v>2683</v>
      </c>
      <c r="G701" s="148" t="s">
        <v>129</v>
      </c>
      <c r="H701" s="148">
        <v>465126</v>
      </c>
      <c r="I701" s="148">
        <v>0</v>
      </c>
      <c r="J701" s="148">
        <v>0</v>
      </c>
      <c r="K701" s="148" t="str">
        <f t="shared" si="10"/>
        <v>PROTECTIONEMSSNS_SCP3_PRTCTN</v>
      </c>
    </row>
    <row r="702" spans="1:11" hidden="1">
      <c r="A702" s="148" t="s">
        <v>2696</v>
      </c>
      <c r="B702" s="148" t="s">
        <v>2697</v>
      </c>
      <c r="C702" s="148" t="s">
        <v>1348</v>
      </c>
      <c r="D702" s="148" t="s">
        <v>542</v>
      </c>
      <c r="E702" s="148" t="s">
        <v>1004</v>
      </c>
      <c r="F702" s="148" t="s">
        <v>2683</v>
      </c>
      <c r="G702" s="148" t="s">
        <v>1011</v>
      </c>
      <c r="H702" s="148">
        <v>465126</v>
      </c>
      <c r="I702" s="148">
        <v>1</v>
      </c>
      <c r="J702" s="148">
        <v>2.0000000000000001E-4</v>
      </c>
      <c r="K702" s="148" t="str">
        <f t="shared" si="10"/>
        <v>PROTECTIONYR_CNSTRCTN</v>
      </c>
    </row>
    <row r="703" spans="1:11" hidden="1">
      <c r="A703" s="148" t="s">
        <v>2698</v>
      </c>
      <c r="B703" s="148" t="s">
        <v>2699</v>
      </c>
      <c r="C703" s="148" t="s">
        <v>1008</v>
      </c>
      <c r="D703" s="148" t="s">
        <v>2456</v>
      </c>
      <c r="E703" s="148" t="s">
        <v>1004</v>
      </c>
      <c r="F703" s="148" t="s">
        <v>2683</v>
      </c>
      <c r="G703" s="148" t="s">
        <v>129</v>
      </c>
      <c r="H703" s="148">
        <v>465126</v>
      </c>
      <c r="I703" s="148">
        <v>0</v>
      </c>
      <c r="J703" s="148">
        <v>0</v>
      </c>
      <c r="K703" s="148" t="str">
        <f t="shared" si="10"/>
        <v>PROTECTIONBLDNG_AR</v>
      </c>
    </row>
    <row r="704" spans="1:11" hidden="1">
      <c r="A704" s="148" t="s">
        <v>2700</v>
      </c>
      <c r="B704" s="148" t="s">
        <v>2701</v>
      </c>
      <c r="C704" s="148" t="s">
        <v>1008</v>
      </c>
      <c r="D704" s="148" t="s">
        <v>572</v>
      </c>
      <c r="E704" s="148" t="s">
        <v>1004</v>
      </c>
      <c r="F704" s="148" t="s">
        <v>2683</v>
      </c>
      <c r="G704" s="148" t="s">
        <v>129</v>
      </c>
      <c r="H704" s="148">
        <v>465126</v>
      </c>
      <c r="I704" s="148">
        <v>0</v>
      </c>
      <c r="J704" s="148">
        <v>0</v>
      </c>
      <c r="K704" s="148" t="str">
        <f t="shared" si="10"/>
        <v>PROTECTIONLND_AR</v>
      </c>
    </row>
    <row r="705" spans="1:11" hidden="1">
      <c r="A705" s="148" t="s">
        <v>2702</v>
      </c>
      <c r="B705" s="148" t="s">
        <v>2703</v>
      </c>
      <c r="C705" s="148" t="s">
        <v>1008</v>
      </c>
      <c r="D705" s="148" t="s">
        <v>573</v>
      </c>
      <c r="E705" s="148" t="s">
        <v>1004</v>
      </c>
      <c r="F705" s="148" t="s">
        <v>2683</v>
      </c>
      <c r="G705" s="148" t="s">
        <v>129</v>
      </c>
      <c r="H705" s="148">
        <v>465126</v>
      </c>
      <c r="I705" s="148">
        <v>0</v>
      </c>
      <c r="J705" s="148">
        <v>0</v>
      </c>
      <c r="K705" s="148" t="str">
        <f t="shared" si="10"/>
        <v>PROTECTIONLN_PSTN</v>
      </c>
    </row>
    <row r="706" spans="1:11" hidden="1">
      <c r="A706" s="148" t="s">
        <v>2704</v>
      </c>
      <c r="B706" s="148" t="s">
        <v>2705</v>
      </c>
      <c r="C706" s="148" t="s">
        <v>1348</v>
      </c>
      <c r="D706" s="148" t="s">
        <v>2469</v>
      </c>
      <c r="E706" s="148" t="s">
        <v>1014</v>
      </c>
      <c r="F706" s="148" t="s">
        <v>2683</v>
      </c>
      <c r="G706" s="148" t="s">
        <v>129</v>
      </c>
      <c r="H706" s="148">
        <v>465126</v>
      </c>
      <c r="I706" s="148">
        <v>0</v>
      </c>
      <c r="J706" s="148">
        <v>0</v>
      </c>
      <c r="K706" s="148" t="str">
        <f t="shared" si="10"/>
        <v>PROTECTIONDT_RGSTRTN</v>
      </c>
    </row>
    <row r="707" spans="1:11" hidden="1">
      <c r="A707" s="148" t="s">
        <v>2706</v>
      </c>
      <c r="B707" s="148" t="s">
        <v>2707</v>
      </c>
      <c r="C707" s="148" t="s">
        <v>1348</v>
      </c>
      <c r="D707" s="148" t="s">
        <v>574</v>
      </c>
      <c r="E707" s="148" t="s">
        <v>1004</v>
      </c>
      <c r="F707" s="148" t="s">
        <v>2683</v>
      </c>
      <c r="G707" s="148" t="s">
        <v>129</v>
      </c>
      <c r="H707" s="148">
        <v>465126</v>
      </c>
      <c r="I707" s="148">
        <v>0</v>
      </c>
      <c r="J707" s="148">
        <v>0</v>
      </c>
      <c r="K707" s="148" t="str">
        <f t="shared" ref="K707:K770" si="11">_xlfn.CONCAT(_xlfn.IFS(ISNUMBER(SEARCH("EN",A707)),"ENTITY",ISNUMBER(SEARCH("IN",A707)),"INSTRUMENT",ISNUMBER(SEARCH("PR",A707)),"PROTECTION",ISNUMBER(SEARCH("IP",A707)),"INSTR_PROTECTION",ISNUMBER(SEARCH("IE",A707)),"INSTR_ENTITY",ISNUMBER(SEARCH("AC",A707)),"INSTR_ACTIVITY"),D707)</f>
        <v>PROTECTIONRL_ESTT_LNGTD</v>
      </c>
    </row>
    <row r="708" spans="1:11" hidden="1">
      <c r="A708" s="148" t="s">
        <v>2708</v>
      </c>
      <c r="B708" s="148" t="s">
        <v>2709</v>
      </c>
      <c r="C708" s="148" t="s">
        <v>1348</v>
      </c>
      <c r="D708" s="148" t="s">
        <v>575</v>
      </c>
      <c r="E708" s="148" t="s">
        <v>1004</v>
      </c>
      <c r="F708" s="148" t="s">
        <v>2683</v>
      </c>
      <c r="G708" s="148" t="s">
        <v>129</v>
      </c>
      <c r="H708" s="148">
        <v>465126</v>
      </c>
      <c r="I708" s="148">
        <v>0</v>
      </c>
      <c r="J708" s="148">
        <v>0</v>
      </c>
      <c r="K708" s="148" t="str">
        <f t="shared" si="11"/>
        <v>PROTECTIONRL_ESTT_LTTD</v>
      </c>
    </row>
    <row r="709" spans="1:11" hidden="1">
      <c r="A709" s="148" t="s">
        <v>2710</v>
      </c>
      <c r="B709" s="148" t="s">
        <v>2711</v>
      </c>
      <c r="C709" s="148" t="s">
        <v>576</v>
      </c>
      <c r="D709" s="148" t="s">
        <v>283</v>
      </c>
      <c r="E709" s="148" t="s">
        <v>1014</v>
      </c>
      <c r="F709" s="148" t="s">
        <v>2712</v>
      </c>
      <c r="G709" s="148" t="s">
        <v>129</v>
      </c>
      <c r="H709" s="148">
        <v>2138988</v>
      </c>
      <c r="I709" s="148">
        <v>0</v>
      </c>
      <c r="J709" s="148">
        <v>0</v>
      </c>
      <c r="K709" s="148" t="str">
        <f t="shared" si="11"/>
        <v>INSTR_ACTIVITYDT_RFRNC</v>
      </c>
    </row>
    <row r="710" spans="1:11" hidden="1">
      <c r="A710" s="148" t="s">
        <v>2713</v>
      </c>
      <c r="B710" s="148" t="s">
        <v>2714</v>
      </c>
      <c r="C710" s="148" t="s">
        <v>139</v>
      </c>
      <c r="D710" s="148" t="s">
        <v>232</v>
      </c>
      <c r="E710" s="148" t="s">
        <v>1014</v>
      </c>
      <c r="F710" s="148" t="s">
        <v>2715</v>
      </c>
      <c r="G710" s="148" t="s">
        <v>1011</v>
      </c>
      <c r="H710" s="148">
        <v>1140750</v>
      </c>
      <c r="I710" s="148">
        <v>245</v>
      </c>
      <c r="J710" s="148">
        <v>2.1499999999999998E-2</v>
      </c>
      <c r="K710" s="148" t="str">
        <f t="shared" si="11"/>
        <v>ENTITYDT_BRTH</v>
      </c>
    </row>
    <row r="711" spans="1:11" hidden="1">
      <c r="A711" s="148" t="s">
        <v>2716</v>
      </c>
      <c r="B711" s="148" t="s">
        <v>2717</v>
      </c>
      <c r="C711" s="148" t="s">
        <v>139</v>
      </c>
      <c r="D711" s="148" t="s">
        <v>239</v>
      </c>
      <c r="E711" s="148" t="s">
        <v>1014</v>
      </c>
      <c r="F711" s="148" t="s">
        <v>2715</v>
      </c>
      <c r="G711" s="148" t="s">
        <v>1011</v>
      </c>
      <c r="H711" s="148">
        <v>1140750</v>
      </c>
      <c r="I711" s="148">
        <v>4</v>
      </c>
      <c r="J711" s="148">
        <v>4.0000000000000002E-4</v>
      </c>
      <c r="K711" s="148" t="str">
        <f t="shared" si="11"/>
        <v>ENTITYDT_DFLT_STTS</v>
      </c>
    </row>
    <row r="712" spans="1:11" hidden="1">
      <c r="A712" s="148" t="s">
        <v>2718</v>
      </c>
      <c r="B712" s="148" t="s">
        <v>2719</v>
      </c>
      <c r="C712" s="148" t="s">
        <v>139</v>
      </c>
      <c r="D712" s="148" t="s">
        <v>249</v>
      </c>
      <c r="E712" s="148" t="s">
        <v>1014</v>
      </c>
      <c r="F712" s="148" t="s">
        <v>2715</v>
      </c>
      <c r="G712" s="148" t="s">
        <v>129</v>
      </c>
      <c r="H712" s="148">
        <v>1140750</v>
      </c>
      <c r="I712" s="148">
        <v>0</v>
      </c>
      <c r="J712" s="148">
        <v>0</v>
      </c>
      <c r="K712" s="148" t="str">
        <f t="shared" si="11"/>
        <v>ENTITYDT_FNNCL_STTMTS</v>
      </c>
    </row>
    <row r="713" spans="1:11" hidden="1">
      <c r="A713" s="148" t="s">
        <v>2720</v>
      </c>
      <c r="B713" s="148" t="s">
        <v>2721</v>
      </c>
      <c r="C713" s="148" t="s">
        <v>139</v>
      </c>
      <c r="D713" s="148" t="s">
        <v>249</v>
      </c>
      <c r="E713" s="148" t="s">
        <v>1009</v>
      </c>
      <c r="F713" s="148" t="s">
        <v>2715</v>
      </c>
      <c r="G713" s="148" t="s">
        <v>1011</v>
      </c>
      <c r="H713" s="148">
        <v>1140750</v>
      </c>
      <c r="I713" s="148">
        <v>9479</v>
      </c>
      <c r="J713" s="148">
        <v>0.83089999999999997</v>
      </c>
      <c r="K713" s="148" t="str">
        <f t="shared" si="11"/>
        <v>ENTITYDT_FNNCL_STTMTS</v>
      </c>
    </row>
    <row r="714" spans="1:11" hidden="1">
      <c r="A714" s="148" t="s">
        <v>2722</v>
      </c>
      <c r="B714" s="148" t="s">
        <v>2723</v>
      </c>
      <c r="C714" s="148" t="s">
        <v>139</v>
      </c>
      <c r="D714" s="148" t="s">
        <v>250</v>
      </c>
      <c r="E714" s="148" t="s">
        <v>1014</v>
      </c>
      <c r="F714" s="148" t="s">
        <v>2715</v>
      </c>
      <c r="G714" s="148" t="s">
        <v>129</v>
      </c>
      <c r="H714" s="148">
        <v>1140750</v>
      </c>
      <c r="I714" s="148">
        <v>0</v>
      </c>
      <c r="J714" s="148">
        <v>0</v>
      </c>
      <c r="K714" s="148" t="str">
        <f t="shared" si="11"/>
        <v>ENTITYDT_FNNCL_STTMTS_PRVS</v>
      </c>
    </row>
    <row r="715" spans="1:11" hidden="1">
      <c r="A715" s="148" t="s">
        <v>2724</v>
      </c>
      <c r="B715" s="148" t="s">
        <v>2725</v>
      </c>
      <c r="C715" s="148" t="s">
        <v>139</v>
      </c>
      <c r="D715" s="148" t="s">
        <v>263</v>
      </c>
      <c r="E715" s="148" t="s">
        <v>1014</v>
      </c>
      <c r="F715" s="148" t="s">
        <v>2715</v>
      </c>
      <c r="G715" s="148" t="s">
        <v>1011</v>
      </c>
      <c r="H715" s="148">
        <v>1140750</v>
      </c>
      <c r="I715" s="148">
        <v>1</v>
      </c>
      <c r="J715" s="148">
        <v>1E-4</v>
      </c>
      <c r="K715" s="148" t="str">
        <f t="shared" si="11"/>
        <v>ENTITYDT_INTTN_LGL_PRCDNGS_LE</v>
      </c>
    </row>
    <row r="716" spans="1:11" hidden="1">
      <c r="A716" s="148" t="s">
        <v>2726</v>
      </c>
      <c r="B716" s="148" t="s">
        <v>1018</v>
      </c>
      <c r="C716" s="148" t="s">
        <v>139</v>
      </c>
      <c r="D716" s="148" t="s">
        <v>277</v>
      </c>
      <c r="E716" s="148" t="s">
        <v>1014</v>
      </c>
      <c r="F716" s="148" t="s">
        <v>2715</v>
      </c>
      <c r="G716" s="148" t="s">
        <v>1011</v>
      </c>
      <c r="H716" s="148">
        <v>1140750</v>
      </c>
      <c r="I716" s="148">
        <v>4</v>
      </c>
      <c r="J716" s="148">
        <v>4.0000000000000002E-4</v>
      </c>
      <c r="K716" s="148" t="str">
        <f t="shared" si="11"/>
        <v>ENTITYDT_PRFRMNG_STTS_LE</v>
      </c>
    </row>
    <row r="717" spans="1:11" hidden="1">
      <c r="A717" s="148" t="s">
        <v>2727</v>
      </c>
      <c r="B717" s="148" t="s">
        <v>2711</v>
      </c>
      <c r="C717" s="148" t="s">
        <v>139</v>
      </c>
      <c r="D717" s="148" t="s">
        <v>283</v>
      </c>
      <c r="E717" s="148" t="s">
        <v>1014</v>
      </c>
      <c r="F717" s="148" t="s">
        <v>2715</v>
      </c>
      <c r="G717" s="148" t="s">
        <v>129</v>
      </c>
      <c r="H717" s="148">
        <v>1140750</v>
      </c>
      <c r="I717" s="148">
        <v>0</v>
      </c>
      <c r="J717" s="148">
        <v>0</v>
      </c>
      <c r="K717" s="148" t="str">
        <f t="shared" si="11"/>
        <v>ENTITYDT_RFRNC</v>
      </c>
    </row>
    <row r="718" spans="1:11" hidden="1">
      <c r="A718" s="148" t="s">
        <v>2728</v>
      </c>
      <c r="B718" s="148" t="s">
        <v>2729</v>
      </c>
      <c r="C718" s="148" t="s">
        <v>139</v>
      </c>
      <c r="D718" s="148" t="s">
        <v>465</v>
      </c>
      <c r="E718" s="148" t="s">
        <v>1014</v>
      </c>
      <c r="F718" s="148" t="s">
        <v>2715</v>
      </c>
      <c r="G718" s="148" t="s">
        <v>129</v>
      </c>
      <c r="H718" s="148">
        <v>1140750</v>
      </c>
      <c r="I718" s="148">
        <v>0</v>
      </c>
      <c r="J718" s="148">
        <v>0</v>
      </c>
      <c r="K718" s="148" t="str">
        <f t="shared" si="11"/>
        <v>ENTITYDT_EXTRNL_RTNG</v>
      </c>
    </row>
    <row r="719" spans="1:11" hidden="1">
      <c r="A719" s="148" t="s">
        <v>2730</v>
      </c>
      <c r="B719" s="148" t="s">
        <v>2731</v>
      </c>
      <c r="C719" s="148" t="s">
        <v>139</v>
      </c>
      <c r="D719" s="148" t="s">
        <v>260</v>
      </c>
      <c r="E719" s="148" t="s">
        <v>1014</v>
      </c>
      <c r="F719" s="148" t="s">
        <v>2715</v>
      </c>
      <c r="G719" s="148" t="s">
        <v>129</v>
      </c>
      <c r="H719" s="148">
        <v>1140750</v>
      </c>
      <c r="I719" s="148">
        <v>0</v>
      </c>
      <c r="J719" s="148">
        <v>0</v>
      </c>
      <c r="K719" s="148" t="str">
        <f t="shared" si="11"/>
        <v>ENTITYDT_INTRNL_RTNG</v>
      </c>
    </row>
    <row r="720" spans="1:11" hidden="1">
      <c r="A720" s="148" t="s">
        <v>2732</v>
      </c>
      <c r="B720" s="148" t="s">
        <v>2733</v>
      </c>
      <c r="C720" s="148" t="s">
        <v>139</v>
      </c>
      <c r="D720" s="148" t="s">
        <v>344</v>
      </c>
      <c r="E720" s="148" t="s">
        <v>1004</v>
      </c>
      <c r="F720" s="148" t="s">
        <v>2715</v>
      </c>
      <c r="G720" s="148" t="s">
        <v>1011</v>
      </c>
      <c r="H720" s="148">
        <v>1140750</v>
      </c>
      <c r="I720" s="148">
        <v>79</v>
      </c>
      <c r="J720" s="148">
        <v>6.8999999999999999E-3</v>
      </c>
      <c r="K720" s="148" t="str">
        <f t="shared" si="11"/>
        <v>ENTITYGRP_EBITDA</v>
      </c>
    </row>
    <row r="721" spans="1:11" hidden="1">
      <c r="A721" s="148" t="s">
        <v>2734</v>
      </c>
      <c r="B721" s="148" t="s">
        <v>2735</v>
      </c>
      <c r="C721" s="148" t="s">
        <v>139</v>
      </c>
      <c r="D721" s="148" t="s">
        <v>345</v>
      </c>
      <c r="E721" s="148" t="s">
        <v>1004</v>
      </c>
      <c r="F721" s="148" t="s">
        <v>2715</v>
      </c>
      <c r="G721" s="148" t="s">
        <v>1011</v>
      </c>
      <c r="H721" s="148">
        <v>1140750</v>
      </c>
      <c r="I721" s="148">
        <v>67</v>
      </c>
      <c r="J721" s="148">
        <v>5.8999999999999999E-3</v>
      </c>
      <c r="K721" s="148" t="str">
        <f t="shared" si="11"/>
        <v>ENTITYGRP_EQTY</v>
      </c>
    </row>
    <row r="722" spans="1:11" hidden="1">
      <c r="A722" s="148" t="s">
        <v>2736</v>
      </c>
      <c r="B722" s="148" t="s">
        <v>2737</v>
      </c>
      <c r="C722" s="148" t="s">
        <v>139</v>
      </c>
      <c r="D722" s="148" t="s">
        <v>346</v>
      </c>
      <c r="E722" s="148" t="s">
        <v>1004</v>
      </c>
      <c r="F722" s="148" t="s">
        <v>2715</v>
      </c>
      <c r="G722" s="148" t="s">
        <v>1011</v>
      </c>
      <c r="H722" s="148">
        <v>1140750</v>
      </c>
      <c r="I722" s="148">
        <v>521</v>
      </c>
      <c r="J722" s="148">
        <v>4.5699999999999998E-2</v>
      </c>
      <c r="K722" s="148" t="str">
        <f t="shared" si="11"/>
        <v>ENTITYGRP_NT_DBT</v>
      </c>
    </row>
    <row r="723" spans="1:11" hidden="1">
      <c r="A723" s="148" t="s">
        <v>2738</v>
      </c>
      <c r="B723" s="148" t="s">
        <v>2739</v>
      </c>
      <c r="C723" s="148" t="s">
        <v>139</v>
      </c>
      <c r="D723" s="148" t="s">
        <v>149</v>
      </c>
      <c r="E723" s="148" t="s">
        <v>1004</v>
      </c>
      <c r="F723" s="148" t="s">
        <v>2715</v>
      </c>
      <c r="G723" s="148" t="s">
        <v>129</v>
      </c>
      <c r="H723" s="148">
        <v>1140750</v>
      </c>
      <c r="I723" s="148">
        <v>0</v>
      </c>
      <c r="J723" s="148">
        <v>0</v>
      </c>
      <c r="K723" s="148" t="str">
        <f t="shared" si="11"/>
        <v>ENTITYANNL_TRNVR_LE</v>
      </c>
    </row>
    <row r="724" spans="1:11" hidden="1">
      <c r="A724" s="148" t="s">
        <v>2740</v>
      </c>
      <c r="B724" s="148" t="s">
        <v>2741</v>
      </c>
      <c r="C724" s="148" t="s">
        <v>139</v>
      </c>
      <c r="D724" s="148" t="s">
        <v>151</v>
      </c>
      <c r="E724" s="148" t="s">
        <v>1004</v>
      </c>
      <c r="F724" s="148" t="s">
        <v>2715</v>
      </c>
      <c r="G724" s="148" t="s">
        <v>129</v>
      </c>
      <c r="H724" s="148">
        <v>1140750</v>
      </c>
      <c r="I724" s="148">
        <v>0</v>
      </c>
      <c r="J724" s="148">
        <v>0</v>
      </c>
      <c r="K724" s="148" t="str">
        <f t="shared" si="11"/>
        <v>ENTITYANNL_TRNVR_PRVS</v>
      </c>
    </row>
    <row r="725" spans="1:11" hidden="1">
      <c r="A725" s="148" t="s">
        <v>2742</v>
      </c>
      <c r="B725" s="148" t="s">
        <v>2743</v>
      </c>
      <c r="C725" s="148" t="s">
        <v>139</v>
      </c>
      <c r="D725" s="148" t="s">
        <v>165</v>
      </c>
      <c r="E725" s="148" t="s">
        <v>1004</v>
      </c>
      <c r="F725" s="148" t="s">
        <v>2715</v>
      </c>
      <c r="G725" s="148" t="s">
        <v>129</v>
      </c>
      <c r="H725" s="148">
        <v>1140750</v>
      </c>
      <c r="I725" s="148">
        <v>0</v>
      </c>
      <c r="J725" s="148">
        <v>0</v>
      </c>
      <c r="K725" s="148" t="str">
        <f t="shared" si="11"/>
        <v>ENTITYCAPEX</v>
      </c>
    </row>
    <row r="726" spans="1:11" hidden="1">
      <c r="A726" s="148" t="s">
        <v>2744</v>
      </c>
      <c r="B726" s="148" t="s">
        <v>2745</v>
      </c>
      <c r="C726" s="148" t="s">
        <v>139</v>
      </c>
      <c r="D726" s="148" t="s">
        <v>166</v>
      </c>
      <c r="E726" s="148" t="s">
        <v>1004</v>
      </c>
      <c r="F726" s="148" t="s">
        <v>2715</v>
      </c>
      <c r="G726" s="148" t="s">
        <v>129</v>
      </c>
      <c r="H726" s="148">
        <v>1140750</v>
      </c>
      <c r="I726" s="148">
        <v>0</v>
      </c>
      <c r="J726" s="148">
        <v>0</v>
      </c>
      <c r="K726" s="148" t="str">
        <f t="shared" si="11"/>
        <v>ENTITYCAPEX_PRVS</v>
      </c>
    </row>
    <row r="727" spans="1:11" hidden="1">
      <c r="A727" s="148" t="s">
        <v>2746</v>
      </c>
      <c r="B727" s="148" t="s">
        <v>2747</v>
      </c>
      <c r="C727" s="148" t="s">
        <v>139</v>
      </c>
      <c r="D727" s="148" t="s">
        <v>201</v>
      </c>
      <c r="E727" s="148" t="s">
        <v>1004</v>
      </c>
      <c r="F727" s="148" t="s">
        <v>2715</v>
      </c>
      <c r="G727" s="148" t="s">
        <v>1011</v>
      </c>
      <c r="H727" s="148">
        <v>1140750</v>
      </c>
      <c r="I727" s="148">
        <v>326</v>
      </c>
      <c r="J727" s="148">
        <v>2.86E-2</v>
      </c>
      <c r="K727" s="148" t="str">
        <f t="shared" si="11"/>
        <v>ENTITYCSH</v>
      </c>
    </row>
    <row r="728" spans="1:11" hidden="1">
      <c r="A728" s="148" t="s">
        <v>2748</v>
      </c>
      <c r="B728" s="148" t="s">
        <v>2749</v>
      </c>
      <c r="C728" s="148" t="s">
        <v>139</v>
      </c>
      <c r="D728" s="148" t="s">
        <v>202</v>
      </c>
      <c r="E728" s="148" t="s">
        <v>1004</v>
      </c>
      <c r="F728" s="148" t="s">
        <v>2715</v>
      </c>
      <c r="G728" s="148" t="s">
        <v>1011</v>
      </c>
      <c r="H728" s="148">
        <v>1140750</v>
      </c>
      <c r="I728" s="148">
        <v>209</v>
      </c>
      <c r="J728" s="148">
        <v>1.83E-2</v>
      </c>
      <c r="K728" s="148" t="str">
        <f t="shared" si="11"/>
        <v>ENTITYCSH_PRVS</v>
      </c>
    </row>
    <row r="729" spans="1:11" hidden="1">
      <c r="A729" s="148" t="s">
        <v>2750</v>
      </c>
      <c r="B729" s="148" t="s">
        <v>2751</v>
      </c>
      <c r="C729" s="148" t="s">
        <v>139</v>
      </c>
      <c r="D729" s="148" t="s">
        <v>364</v>
      </c>
      <c r="E729" s="148" t="s">
        <v>1004</v>
      </c>
      <c r="F729" s="148" t="s">
        <v>2715</v>
      </c>
      <c r="G729" s="148" t="s">
        <v>1011</v>
      </c>
      <c r="H729" s="148">
        <v>1140750</v>
      </c>
      <c r="I729" s="148">
        <v>14615</v>
      </c>
      <c r="J729" s="148">
        <v>1.2811999999999999</v>
      </c>
      <c r="K729" s="148" t="str">
        <f t="shared" si="11"/>
        <v>ENTITYEBITDA</v>
      </c>
    </row>
    <row r="730" spans="1:11" hidden="1">
      <c r="A730" s="148" t="s">
        <v>2752</v>
      </c>
      <c r="B730" s="148" t="s">
        <v>2753</v>
      </c>
      <c r="C730" s="148" t="s">
        <v>139</v>
      </c>
      <c r="D730" s="148" t="s">
        <v>353</v>
      </c>
      <c r="E730" s="148" t="s">
        <v>1004</v>
      </c>
      <c r="F730" s="148" t="s">
        <v>2715</v>
      </c>
      <c r="G730" s="148" t="s">
        <v>1011</v>
      </c>
      <c r="H730" s="148">
        <v>1140750</v>
      </c>
      <c r="I730" s="148">
        <v>11585</v>
      </c>
      <c r="J730" s="148">
        <v>1.0156000000000001</v>
      </c>
      <c r="K730" s="148" t="str">
        <f t="shared" si="11"/>
        <v>ENTITYEBITDA_PRVS</v>
      </c>
    </row>
    <row r="731" spans="1:11" hidden="1">
      <c r="A731" s="148" t="s">
        <v>2754</v>
      </c>
      <c r="B731" s="148" t="s">
        <v>2755</v>
      </c>
      <c r="C731" s="148" t="s">
        <v>139</v>
      </c>
      <c r="D731" s="148" t="s">
        <v>308</v>
      </c>
      <c r="E731" s="148" t="s">
        <v>1004</v>
      </c>
      <c r="F731" s="148" t="s">
        <v>2715</v>
      </c>
      <c r="G731" s="148" t="s">
        <v>1011</v>
      </c>
      <c r="H731" s="148">
        <v>1140750</v>
      </c>
      <c r="I731" s="148">
        <v>10385</v>
      </c>
      <c r="J731" s="148">
        <v>0.91039999999999999</v>
      </c>
      <c r="K731" s="148" t="str">
        <f t="shared" si="11"/>
        <v>ENTITYEQTY</v>
      </c>
    </row>
    <row r="732" spans="1:11" hidden="1">
      <c r="A732" s="148" t="s">
        <v>2756</v>
      </c>
      <c r="B732" s="148" t="s">
        <v>2757</v>
      </c>
      <c r="C732" s="148" t="s">
        <v>139</v>
      </c>
      <c r="D732" s="148" t="s">
        <v>309</v>
      </c>
      <c r="E732" s="148" t="s">
        <v>1004</v>
      </c>
      <c r="F732" s="148" t="s">
        <v>2715</v>
      </c>
      <c r="G732" s="148" t="s">
        <v>1011</v>
      </c>
      <c r="H732" s="148">
        <v>1140750</v>
      </c>
      <c r="I732" s="148">
        <v>8029</v>
      </c>
      <c r="J732" s="148">
        <v>0.70379999999999998</v>
      </c>
      <c r="K732" s="148" t="str">
        <f t="shared" si="11"/>
        <v>ENTITYEQTY_PRVS</v>
      </c>
    </row>
    <row r="733" spans="1:11" hidden="1">
      <c r="A733" s="148" t="s">
        <v>2758</v>
      </c>
      <c r="B733" s="148" t="s">
        <v>2759</v>
      </c>
      <c r="C733" s="148" t="s">
        <v>139</v>
      </c>
      <c r="D733" s="148" t="s">
        <v>347</v>
      </c>
      <c r="E733" s="148" t="s">
        <v>1004</v>
      </c>
      <c r="F733" s="148" t="s">
        <v>2715</v>
      </c>
      <c r="G733" s="148" t="s">
        <v>129</v>
      </c>
      <c r="H733" s="148">
        <v>1140750</v>
      </c>
      <c r="I733" s="148">
        <v>0</v>
      </c>
      <c r="J733" s="148">
        <v>0</v>
      </c>
      <c r="K733" s="148" t="str">
        <f t="shared" si="11"/>
        <v>ENTITYGRP_TTL_DBT</v>
      </c>
    </row>
    <row r="734" spans="1:11" hidden="1">
      <c r="A734" s="148" t="s">
        <v>2760</v>
      </c>
      <c r="B734" s="148" t="s">
        <v>2761</v>
      </c>
      <c r="C734" s="148" t="s">
        <v>139</v>
      </c>
      <c r="D734" s="148" t="s">
        <v>339</v>
      </c>
      <c r="E734" s="148" t="s">
        <v>1004</v>
      </c>
      <c r="F734" s="148" t="s">
        <v>2715</v>
      </c>
      <c r="G734" s="148" t="s">
        <v>1011</v>
      </c>
      <c r="H734" s="148">
        <v>1140750</v>
      </c>
      <c r="I734" s="148">
        <v>2</v>
      </c>
      <c r="J734" s="148">
        <v>2.0000000000000001E-4</v>
      </c>
      <c r="K734" s="148" t="str">
        <f t="shared" si="11"/>
        <v>ENTITYGDWILL</v>
      </c>
    </row>
    <row r="735" spans="1:11" hidden="1">
      <c r="A735" s="148" t="s">
        <v>2762</v>
      </c>
      <c r="B735" s="148" t="s">
        <v>2763</v>
      </c>
      <c r="C735" s="148" t="s">
        <v>139</v>
      </c>
      <c r="D735" s="148" t="s">
        <v>340</v>
      </c>
      <c r="E735" s="148" t="s">
        <v>1004</v>
      </c>
      <c r="F735" s="148" t="s">
        <v>2715</v>
      </c>
      <c r="G735" s="148" t="s">
        <v>1011</v>
      </c>
      <c r="H735" s="148">
        <v>1140750</v>
      </c>
      <c r="I735" s="148">
        <v>3</v>
      </c>
      <c r="J735" s="148">
        <v>2.9999999999999997E-4</v>
      </c>
      <c r="K735" s="148" t="str">
        <f t="shared" si="11"/>
        <v>ENTITYGDWILL_PRVS</v>
      </c>
    </row>
    <row r="736" spans="1:11" hidden="1">
      <c r="A736" s="148" t="s">
        <v>2764</v>
      </c>
      <c r="B736" s="148" t="s">
        <v>1166</v>
      </c>
      <c r="C736" s="148" t="s">
        <v>139</v>
      </c>
      <c r="D736" s="148" t="s">
        <v>401</v>
      </c>
      <c r="E736" s="148" t="s">
        <v>1004</v>
      </c>
      <c r="F736" s="148" t="s">
        <v>2715</v>
      </c>
      <c r="G736" s="148" t="s">
        <v>1011</v>
      </c>
      <c r="H736" s="148">
        <v>1140750</v>
      </c>
      <c r="I736" s="148">
        <v>138</v>
      </c>
      <c r="J736" s="148">
        <v>1.21E-2</v>
      </c>
      <c r="K736" s="148" t="str">
        <f t="shared" si="11"/>
        <v>ENTITYLTI</v>
      </c>
    </row>
    <row r="737" spans="1:11" hidden="1">
      <c r="A737" s="148" t="s">
        <v>2765</v>
      </c>
      <c r="B737" s="148" t="s">
        <v>2766</v>
      </c>
      <c r="C737" s="148" t="s">
        <v>139</v>
      </c>
      <c r="D737" s="148" t="s">
        <v>406</v>
      </c>
      <c r="E737" s="148" t="s">
        <v>1004</v>
      </c>
      <c r="F737" s="148" t="s">
        <v>2715</v>
      </c>
      <c r="G737" s="148" t="s">
        <v>1011</v>
      </c>
      <c r="H737" s="148">
        <v>1140750</v>
      </c>
      <c r="I737" s="148">
        <v>31460</v>
      </c>
      <c r="J737" s="148">
        <v>2.7578</v>
      </c>
      <c r="K737" s="148" t="str">
        <f t="shared" si="11"/>
        <v>ENTITYLVRG</v>
      </c>
    </row>
    <row r="738" spans="1:11" hidden="1">
      <c r="A738" s="148" t="s">
        <v>2767</v>
      </c>
      <c r="B738" s="148" t="s">
        <v>2768</v>
      </c>
      <c r="C738" s="148" t="s">
        <v>139</v>
      </c>
      <c r="D738" s="148" t="s">
        <v>408</v>
      </c>
      <c r="E738" s="148" t="s">
        <v>1004</v>
      </c>
      <c r="F738" s="148" t="s">
        <v>2715</v>
      </c>
      <c r="G738" s="148" t="s">
        <v>1011</v>
      </c>
      <c r="H738" s="148">
        <v>1140750</v>
      </c>
      <c r="I738" s="148">
        <v>27741</v>
      </c>
      <c r="J738" s="148">
        <v>2.4318</v>
      </c>
      <c r="K738" s="148" t="str">
        <f t="shared" si="11"/>
        <v>ENTITYLVRG_PRVS</v>
      </c>
    </row>
    <row r="739" spans="1:11" hidden="1">
      <c r="A739" s="148" t="s">
        <v>2769</v>
      </c>
      <c r="B739" s="148" t="s">
        <v>2770</v>
      </c>
      <c r="C739" s="148" t="s">
        <v>139</v>
      </c>
      <c r="D739" s="148" t="s">
        <v>413</v>
      </c>
      <c r="E739" s="148" t="s">
        <v>1004</v>
      </c>
      <c r="F739" s="148" t="s">
        <v>2715</v>
      </c>
      <c r="G739" s="148" t="s">
        <v>129</v>
      </c>
      <c r="H739" s="148">
        <v>1140750</v>
      </c>
      <c r="I739" s="148">
        <v>0</v>
      </c>
      <c r="J739" s="148">
        <v>0</v>
      </c>
      <c r="K739" s="148" t="str">
        <f t="shared" si="11"/>
        <v>ENTITYMNTHL_INCM</v>
      </c>
    </row>
    <row r="740" spans="1:11" hidden="1">
      <c r="A740" s="148" t="s">
        <v>2771</v>
      </c>
      <c r="B740" s="148" t="s">
        <v>2772</v>
      </c>
      <c r="C740" s="148" t="s">
        <v>139</v>
      </c>
      <c r="D740" s="148" t="s">
        <v>414</v>
      </c>
      <c r="E740" s="148" t="s">
        <v>1004</v>
      </c>
      <c r="F740" s="148" t="s">
        <v>2715</v>
      </c>
      <c r="G740" s="148" t="s">
        <v>129</v>
      </c>
      <c r="H740" s="148">
        <v>1140750</v>
      </c>
      <c r="I740" s="148">
        <v>0</v>
      </c>
      <c r="J740" s="148">
        <v>0</v>
      </c>
      <c r="K740" s="148" t="str">
        <f t="shared" si="11"/>
        <v>ENTITYMNTHL_INCM_SLR</v>
      </c>
    </row>
    <row r="741" spans="1:11" hidden="1">
      <c r="A741" s="148" t="s">
        <v>2773</v>
      </c>
      <c r="B741" s="148" t="s">
        <v>2774</v>
      </c>
      <c r="C741" s="148" t="s">
        <v>139</v>
      </c>
      <c r="D741" s="148" t="s">
        <v>415</v>
      </c>
      <c r="E741" s="148" t="s">
        <v>1004</v>
      </c>
      <c r="F741" s="148" t="s">
        <v>2715</v>
      </c>
      <c r="G741" s="148" t="s">
        <v>129</v>
      </c>
      <c r="H741" s="148">
        <v>1140750</v>
      </c>
      <c r="I741" s="148">
        <v>0</v>
      </c>
      <c r="J741" s="148">
        <v>0</v>
      </c>
      <c r="K741" s="148" t="str">
        <f t="shared" si="11"/>
        <v>ENTITYMNTHL_TRNVR</v>
      </c>
    </row>
    <row r="742" spans="1:11" hidden="1">
      <c r="A742" s="148" t="s">
        <v>2775</v>
      </c>
      <c r="B742" s="148" t="s">
        <v>2776</v>
      </c>
      <c r="C742" s="148" t="s">
        <v>139</v>
      </c>
      <c r="D742" s="148" t="s">
        <v>419</v>
      </c>
      <c r="E742" s="148" t="s">
        <v>1004</v>
      </c>
      <c r="F742" s="148" t="s">
        <v>2715</v>
      </c>
      <c r="G742" s="148" t="s">
        <v>1011</v>
      </c>
      <c r="H742" s="148">
        <v>1140750</v>
      </c>
      <c r="I742" s="148">
        <v>18809</v>
      </c>
      <c r="J742" s="148">
        <v>1.6488</v>
      </c>
      <c r="K742" s="148" t="str">
        <f t="shared" si="11"/>
        <v>ENTITYNT_INCM</v>
      </c>
    </row>
    <row r="743" spans="1:11" hidden="1">
      <c r="A743" s="148" t="s">
        <v>2777</v>
      </c>
      <c r="B743" s="148" t="s">
        <v>2778</v>
      </c>
      <c r="C743" s="148" t="s">
        <v>139</v>
      </c>
      <c r="D743" s="148" t="s">
        <v>420</v>
      </c>
      <c r="E743" s="148" t="s">
        <v>1004</v>
      </c>
      <c r="F743" s="148" t="s">
        <v>2715</v>
      </c>
      <c r="G743" s="148" t="s">
        <v>1011</v>
      </c>
      <c r="H743" s="148">
        <v>1140750</v>
      </c>
      <c r="I743" s="148">
        <v>15189</v>
      </c>
      <c r="J743" s="148">
        <v>1.3314999999999999</v>
      </c>
      <c r="K743" s="148" t="str">
        <f t="shared" si="11"/>
        <v>ENTITYNT_INCM_PRVS</v>
      </c>
    </row>
    <row r="744" spans="1:11" hidden="1">
      <c r="A744" s="148" t="s">
        <v>2779</v>
      </c>
      <c r="B744" s="148" t="s">
        <v>2780</v>
      </c>
      <c r="C744" s="148" t="s">
        <v>139</v>
      </c>
      <c r="D744" s="148" t="s">
        <v>522</v>
      </c>
      <c r="E744" s="148" t="s">
        <v>1004</v>
      </c>
      <c r="F744" s="148" t="s">
        <v>2715</v>
      </c>
      <c r="G744" s="148" t="s">
        <v>129</v>
      </c>
      <c r="H744" s="148">
        <v>1140750</v>
      </c>
      <c r="I744" s="148">
        <v>0</v>
      </c>
      <c r="J744" s="148">
        <v>0</v>
      </c>
      <c r="K744" s="148" t="str">
        <f t="shared" si="11"/>
        <v>ENTITYTTL_DBT</v>
      </c>
    </row>
    <row r="745" spans="1:11" hidden="1">
      <c r="A745" s="148" t="s">
        <v>2781</v>
      </c>
      <c r="B745" s="148" t="s">
        <v>2782</v>
      </c>
      <c r="C745" s="148" t="s">
        <v>139</v>
      </c>
      <c r="D745" s="148" t="s">
        <v>523</v>
      </c>
      <c r="E745" s="148" t="s">
        <v>1004</v>
      </c>
      <c r="F745" s="148" t="s">
        <v>2715</v>
      </c>
      <c r="G745" s="148" t="s">
        <v>129</v>
      </c>
      <c r="H745" s="148">
        <v>1140750</v>
      </c>
      <c r="I745" s="148">
        <v>0</v>
      </c>
      <c r="J745" s="148">
        <v>0</v>
      </c>
      <c r="K745" s="148" t="str">
        <f t="shared" si="11"/>
        <v>ENTITYTTL_DBT_PRVS</v>
      </c>
    </row>
    <row r="746" spans="1:11" hidden="1">
      <c r="A746" s="148" t="s">
        <v>2783</v>
      </c>
      <c r="B746" s="148" t="s">
        <v>2784</v>
      </c>
      <c r="C746" s="148" t="s">
        <v>139</v>
      </c>
      <c r="D746" s="148" t="s">
        <v>171</v>
      </c>
      <c r="E746" s="148" t="s">
        <v>1004</v>
      </c>
      <c r="F746" s="148" t="s">
        <v>2715</v>
      </c>
      <c r="G746" s="148" t="s">
        <v>129</v>
      </c>
      <c r="H746" s="148">
        <v>1140750</v>
      </c>
      <c r="I746" s="148">
        <v>0</v>
      </c>
      <c r="J746" s="148">
        <v>0</v>
      </c>
      <c r="K746" s="148" t="str">
        <f t="shared" si="11"/>
        <v>ENTITYTTL_INTRST_PD</v>
      </c>
    </row>
    <row r="747" spans="1:11" hidden="1">
      <c r="A747" s="148" t="s">
        <v>2785</v>
      </c>
      <c r="B747" s="148" t="s">
        <v>2786</v>
      </c>
      <c r="C747" s="148" t="s">
        <v>139</v>
      </c>
      <c r="D747" s="148" t="s">
        <v>525</v>
      </c>
      <c r="E747" s="148" t="s">
        <v>1004</v>
      </c>
      <c r="F747" s="148" t="s">
        <v>2715</v>
      </c>
      <c r="G747" s="148" t="s">
        <v>1011</v>
      </c>
      <c r="H747" s="148">
        <v>1140750</v>
      </c>
      <c r="I747" s="148">
        <v>9</v>
      </c>
      <c r="J747" s="148">
        <v>8.0000000000000004E-4</v>
      </c>
      <c r="K747" s="148" t="str">
        <f t="shared" si="11"/>
        <v>ENTITYTTL_LVRG_RT</v>
      </c>
    </row>
    <row r="748" spans="1:11" hidden="1">
      <c r="A748" s="148" t="s">
        <v>2787</v>
      </c>
      <c r="B748" s="148" t="s">
        <v>2788</v>
      </c>
      <c r="C748" s="148" t="s">
        <v>139</v>
      </c>
      <c r="D748" s="148" t="s">
        <v>526</v>
      </c>
      <c r="E748" s="148" t="s">
        <v>1004</v>
      </c>
      <c r="F748" s="148" t="s">
        <v>2715</v>
      </c>
      <c r="G748" s="148" t="s">
        <v>1011</v>
      </c>
      <c r="H748" s="148">
        <v>1140750</v>
      </c>
      <c r="I748" s="148">
        <v>9</v>
      </c>
      <c r="J748" s="148">
        <v>8.0000000000000004E-4</v>
      </c>
      <c r="K748" s="148" t="str">
        <f t="shared" si="11"/>
        <v>ENTITYTTL_LVRG_RT_PRVS</v>
      </c>
    </row>
    <row r="749" spans="1:11" hidden="1">
      <c r="A749" s="148" t="s">
        <v>2789</v>
      </c>
      <c r="B749" s="148" t="s">
        <v>2790</v>
      </c>
      <c r="C749" s="148" t="s">
        <v>139</v>
      </c>
      <c r="D749" s="148" t="s">
        <v>206</v>
      </c>
      <c r="E749" s="148" t="s">
        <v>1004</v>
      </c>
      <c r="F749" s="148" t="s">
        <v>2715</v>
      </c>
      <c r="G749" s="148" t="s">
        <v>1011</v>
      </c>
      <c r="H749" s="148">
        <v>1140750</v>
      </c>
      <c r="I749" s="148">
        <v>10</v>
      </c>
      <c r="J749" s="148">
        <v>8.9999999999999998E-4</v>
      </c>
      <c r="K749" s="148" t="str">
        <f t="shared" si="11"/>
        <v>ENTITYDBT_RPYMNT_CPCTY_SNR_DBT</v>
      </c>
    </row>
    <row r="750" spans="1:11" hidden="1">
      <c r="A750" s="148" t="s">
        <v>2791</v>
      </c>
      <c r="B750" s="148" t="s">
        <v>2792</v>
      </c>
      <c r="C750" s="148" t="s">
        <v>139</v>
      </c>
      <c r="D750" s="148" t="s">
        <v>207</v>
      </c>
      <c r="E750" s="148" t="s">
        <v>1004</v>
      </c>
      <c r="F750" s="148" t="s">
        <v>2715</v>
      </c>
      <c r="G750" s="148" t="s">
        <v>1011</v>
      </c>
      <c r="H750" s="148">
        <v>1140750</v>
      </c>
      <c r="I750" s="148">
        <v>10</v>
      </c>
      <c r="J750" s="148">
        <v>8.9999999999999998E-4</v>
      </c>
      <c r="K750" s="148" t="str">
        <f t="shared" si="11"/>
        <v>ENTITYDBT_RPYMNT_CPCTY_TTL</v>
      </c>
    </row>
    <row r="751" spans="1:11" hidden="1">
      <c r="A751" s="148" t="s">
        <v>2793</v>
      </c>
      <c r="B751" s="148" t="s">
        <v>2794</v>
      </c>
      <c r="C751" s="148" t="s">
        <v>139</v>
      </c>
      <c r="D751" s="148" t="s">
        <v>208</v>
      </c>
      <c r="E751" s="148" t="s">
        <v>1004</v>
      </c>
      <c r="F751" s="148" t="s">
        <v>2715</v>
      </c>
      <c r="G751" s="148" t="s">
        <v>1011</v>
      </c>
      <c r="H751" s="148">
        <v>1140750</v>
      </c>
      <c r="I751" s="148">
        <v>790</v>
      </c>
      <c r="J751" s="148">
        <v>6.93E-2</v>
      </c>
      <c r="K751" s="148" t="str">
        <f t="shared" si="11"/>
        <v>ENTITYDBT_SRVC_RT</v>
      </c>
    </row>
    <row r="752" spans="1:11" hidden="1">
      <c r="A752" s="148" t="s">
        <v>2795</v>
      </c>
      <c r="B752" s="148" t="s">
        <v>2796</v>
      </c>
      <c r="C752" s="148" t="s">
        <v>139</v>
      </c>
      <c r="D752" s="148" t="s">
        <v>209</v>
      </c>
      <c r="E752" s="148" t="s">
        <v>1004</v>
      </c>
      <c r="F752" s="148" t="s">
        <v>2715</v>
      </c>
      <c r="G752" s="148" t="s">
        <v>1011</v>
      </c>
      <c r="H752" s="148">
        <v>1140750</v>
      </c>
      <c r="I752" s="148">
        <v>885</v>
      </c>
      <c r="J752" s="148">
        <v>7.7600000000000002E-2</v>
      </c>
      <c r="K752" s="148" t="str">
        <f t="shared" si="11"/>
        <v>ENTITYDBT_SRVC_RT_12M</v>
      </c>
    </row>
    <row r="753" spans="1:11" hidden="1">
      <c r="A753" s="148" t="s">
        <v>2797</v>
      </c>
      <c r="B753" s="148" t="s">
        <v>2798</v>
      </c>
      <c r="C753" s="148" t="s">
        <v>139</v>
      </c>
      <c r="D753" s="148" t="s">
        <v>150</v>
      </c>
      <c r="E753" s="148" t="s">
        <v>1004</v>
      </c>
      <c r="F753" s="148" t="s">
        <v>2715</v>
      </c>
      <c r="G753" s="148" t="s">
        <v>129</v>
      </c>
      <c r="H753" s="148">
        <v>1140750</v>
      </c>
      <c r="I753" s="148">
        <v>0</v>
      </c>
      <c r="J753" s="148">
        <v>0</v>
      </c>
      <c r="K753" s="148" t="str">
        <f t="shared" si="11"/>
        <v>ENTITYANNL_TRNVR_LE_BDR</v>
      </c>
    </row>
    <row r="754" spans="1:11" hidden="1">
      <c r="A754" s="148" t="s">
        <v>2799</v>
      </c>
      <c r="B754" s="148" t="s">
        <v>2800</v>
      </c>
      <c r="C754" s="148" t="s">
        <v>139</v>
      </c>
      <c r="D754" s="148" t="s">
        <v>152</v>
      </c>
      <c r="E754" s="148" t="s">
        <v>1004</v>
      </c>
      <c r="F754" s="148" t="s">
        <v>2715</v>
      </c>
      <c r="G754" s="148" t="s">
        <v>129</v>
      </c>
      <c r="H754" s="148">
        <v>1140750</v>
      </c>
      <c r="I754" s="148">
        <v>0</v>
      </c>
      <c r="J754" s="148">
        <v>0</v>
      </c>
      <c r="K754" s="148" t="str">
        <f t="shared" si="11"/>
        <v>ENTITYANNL_TRNVR_PRVS_BDR</v>
      </c>
    </row>
    <row r="755" spans="1:11" hidden="1">
      <c r="A755" s="148" t="s">
        <v>2801</v>
      </c>
      <c r="B755" s="148" t="s">
        <v>2802</v>
      </c>
      <c r="C755" s="148" t="s">
        <v>139</v>
      </c>
      <c r="D755" s="148" t="s">
        <v>1605</v>
      </c>
      <c r="E755" s="148" t="s">
        <v>1004</v>
      </c>
      <c r="F755" s="148" t="s">
        <v>2715</v>
      </c>
      <c r="G755" s="148" t="s">
        <v>129</v>
      </c>
      <c r="H755" s="148">
        <v>1140750</v>
      </c>
      <c r="I755" s="148">
        <v>0</v>
      </c>
      <c r="J755" s="148">
        <v>0</v>
      </c>
      <c r="K755" s="148" t="str">
        <f t="shared" si="11"/>
        <v>ENTITYTTL_LBLTY</v>
      </c>
    </row>
    <row r="756" spans="1:11" hidden="1">
      <c r="A756" s="148" t="s">
        <v>2803</v>
      </c>
      <c r="B756" s="148" t="s">
        <v>2804</v>
      </c>
      <c r="C756" s="148" t="s">
        <v>139</v>
      </c>
      <c r="D756" s="148" t="s">
        <v>1656</v>
      </c>
      <c r="E756" s="148" t="s">
        <v>1004</v>
      </c>
      <c r="F756" s="148" t="s">
        <v>2715</v>
      </c>
      <c r="G756" s="148" t="s">
        <v>129</v>
      </c>
      <c r="H756" s="148">
        <v>1140750</v>
      </c>
      <c r="I756" s="148">
        <v>0</v>
      </c>
      <c r="J756" s="148">
        <v>0</v>
      </c>
      <c r="K756" s="148" t="str">
        <f t="shared" si="11"/>
        <v>ENTITYGRP_ANNL_TRNVR_LE</v>
      </c>
    </row>
    <row r="757" spans="1:11" hidden="1">
      <c r="A757" s="148" t="s">
        <v>2805</v>
      </c>
      <c r="B757" s="148" t="s">
        <v>2806</v>
      </c>
      <c r="C757" s="148" t="s">
        <v>139</v>
      </c>
      <c r="D757" s="148" t="s">
        <v>1659</v>
      </c>
      <c r="E757" s="148" t="s">
        <v>1004</v>
      </c>
      <c r="F757" s="148" t="s">
        <v>2715</v>
      </c>
      <c r="G757" s="148" t="s">
        <v>129</v>
      </c>
      <c r="H757" s="148">
        <v>1140750</v>
      </c>
      <c r="I757" s="148">
        <v>0</v>
      </c>
      <c r="J757" s="148">
        <v>0</v>
      </c>
      <c r="K757" s="148" t="str">
        <f t="shared" si="11"/>
        <v>ENTITYGRP_TTL_LBLTY</v>
      </c>
    </row>
    <row r="758" spans="1:11" hidden="1">
      <c r="A758" s="148" t="s">
        <v>2807</v>
      </c>
      <c r="B758" s="148" t="s">
        <v>2808</v>
      </c>
      <c r="C758" s="148" t="s">
        <v>139</v>
      </c>
      <c r="D758" s="148" t="s">
        <v>331</v>
      </c>
      <c r="E758" s="148" t="s">
        <v>1004</v>
      </c>
      <c r="F758" s="148" t="s">
        <v>2715</v>
      </c>
      <c r="G758" s="148" t="s">
        <v>1011</v>
      </c>
      <c r="H758" s="148">
        <v>1140750</v>
      </c>
      <c r="I758" s="148">
        <v>3137</v>
      </c>
      <c r="J758" s="148">
        <v>0.27500000000000002</v>
      </c>
      <c r="K758" s="148" t="str">
        <f t="shared" si="11"/>
        <v>ENTITYFR_CSH_FLW</v>
      </c>
    </row>
    <row r="759" spans="1:11" hidden="1">
      <c r="A759" s="148" t="s">
        <v>2809</v>
      </c>
      <c r="B759" s="148" t="s">
        <v>2810</v>
      </c>
      <c r="C759" s="148" t="s">
        <v>139</v>
      </c>
      <c r="D759" s="148" t="s">
        <v>332</v>
      </c>
      <c r="E759" s="148" t="s">
        <v>1004</v>
      </c>
      <c r="F759" s="148" t="s">
        <v>2715</v>
      </c>
      <c r="G759" s="148" t="s">
        <v>1011</v>
      </c>
      <c r="H759" s="148">
        <v>1140750</v>
      </c>
      <c r="I759" s="148">
        <v>1273</v>
      </c>
      <c r="J759" s="148">
        <v>0.1116</v>
      </c>
      <c r="K759" s="148" t="str">
        <f t="shared" si="11"/>
        <v>ENTITYFR_CSH_FLW_T1</v>
      </c>
    </row>
    <row r="760" spans="1:11" hidden="1">
      <c r="A760" s="148" t="s">
        <v>2811</v>
      </c>
      <c r="B760" s="148" t="s">
        <v>2812</v>
      </c>
      <c r="C760" s="148" t="s">
        <v>139</v>
      </c>
      <c r="D760" s="148" t="s">
        <v>333</v>
      </c>
      <c r="E760" s="148" t="s">
        <v>1004</v>
      </c>
      <c r="F760" s="148" t="s">
        <v>2715</v>
      </c>
      <c r="G760" s="148" t="s">
        <v>1011</v>
      </c>
      <c r="H760" s="148">
        <v>1140750</v>
      </c>
      <c r="I760" s="148">
        <v>1174</v>
      </c>
      <c r="J760" s="148">
        <v>0.10290000000000001</v>
      </c>
      <c r="K760" s="148" t="str">
        <f t="shared" si="11"/>
        <v>ENTITYFR_CSH_FLW_T2</v>
      </c>
    </row>
    <row r="761" spans="1:11" hidden="1">
      <c r="A761" s="148" t="s">
        <v>2813</v>
      </c>
      <c r="B761" s="148" t="s">
        <v>2814</v>
      </c>
      <c r="C761" s="148" t="s">
        <v>139</v>
      </c>
      <c r="D761" s="148" t="s">
        <v>334</v>
      </c>
      <c r="E761" s="148" t="s">
        <v>1004</v>
      </c>
      <c r="F761" s="148" t="s">
        <v>2715</v>
      </c>
      <c r="G761" s="148" t="s">
        <v>1011</v>
      </c>
      <c r="H761" s="148">
        <v>1140750</v>
      </c>
      <c r="I761" s="148">
        <v>1139</v>
      </c>
      <c r="J761" s="148">
        <v>9.98E-2</v>
      </c>
      <c r="K761" s="148" t="str">
        <f t="shared" si="11"/>
        <v>ENTITYFR_CSH_FLW_T3</v>
      </c>
    </row>
    <row r="762" spans="1:11" hidden="1">
      <c r="A762" s="148" t="s">
        <v>2815</v>
      </c>
      <c r="B762" s="148" t="s">
        <v>2816</v>
      </c>
      <c r="C762" s="148" t="s">
        <v>139</v>
      </c>
      <c r="D762" s="148" t="s">
        <v>547</v>
      </c>
      <c r="E762" s="148" t="s">
        <v>1004</v>
      </c>
      <c r="F762" s="148" t="s">
        <v>2715</v>
      </c>
      <c r="G762" s="148" t="s">
        <v>129</v>
      </c>
      <c r="H762" s="148">
        <v>1140750</v>
      </c>
      <c r="I762" s="148">
        <v>0</v>
      </c>
      <c r="J762" s="148">
        <v>0</v>
      </c>
      <c r="K762" s="148" t="str">
        <f t="shared" si="11"/>
        <v>ENTITYNMBR_EMPLYS</v>
      </c>
    </row>
    <row r="763" spans="1:11" hidden="1">
      <c r="A763" s="148" t="s">
        <v>2817</v>
      </c>
      <c r="B763" s="148" t="s">
        <v>2818</v>
      </c>
      <c r="C763" s="148" t="s">
        <v>139</v>
      </c>
      <c r="D763" s="148" t="s">
        <v>552</v>
      </c>
      <c r="E763" s="148" t="s">
        <v>1004</v>
      </c>
      <c r="F763" s="148" t="s">
        <v>2715</v>
      </c>
      <c r="G763" s="148" t="s">
        <v>129</v>
      </c>
      <c r="H763" s="148">
        <v>1140750</v>
      </c>
      <c r="I763" s="148">
        <v>0</v>
      </c>
      <c r="J763" s="148">
        <v>0</v>
      </c>
      <c r="K763" s="148" t="str">
        <f t="shared" si="11"/>
        <v>ENTITYTTL_ASSTS</v>
      </c>
    </row>
    <row r="764" spans="1:11" hidden="1">
      <c r="A764" s="148" t="s">
        <v>2819</v>
      </c>
      <c r="B764" s="148" t="s">
        <v>2820</v>
      </c>
      <c r="C764" s="148" t="s">
        <v>139</v>
      </c>
      <c r="D764" s="148" t="s">
        <v>1185</v>
      </c>
      <c r="E764" s="148" t="s">
        <v>1004</v>
      </c>
      <c r="F764" s="148" t="s">
        <v>2715</v>
      </c>
      <c r="G764" s="148" t="s">
        <v>1011</v>
      </c>
      <c r="H764" s="148">
        <v>1140750</v>
      </c>
      <c r="I764" s="148">
        <v>3472</v>
      </c>
      <c r="J764" s="148">
        <v>0.3044</v>
      </c>
      <c r="K764" s="148" t="str">
        <f t="shared" si="11"/>
        <v>ENTITYRORAC</v>
      </c>
    </row>
    <row r="765" spans="1:11" hidden="1">
      <c r="A765" s="148" t="s">
        <v>2821</v>
      </c>
      <c r="B765" s="148" t="s">
        <v>2822</v>
      </c>
      <c r="C765" s="148" t="s">
        <v>139</v>
      </c>
      <c r="D765" s="148" t="s">
        <v>1188</v>
      </c>
      <c r="E765" s="148" t="s">
        <v>1004</v>
      </c>
      <c r="F765" s="148" t="s">
        <v>2715</v>
      </c>
      <c r="G765" s="148" t="s">
        <v>1011</v>
      </c>
      <c r="H765" s="148">
        <v>1140750</v>
      </c>
      <c r="I765" s="148">
        <v>3248</v>
      </c>
      <c r="J765" s="148">
        <v>0.28470000000000001</v>
      </c>
      <c r="K765" s="148" t="str">
        <f t="shared" si="11"/>
        <v>ENTITYGRP_RORAC</v>
      </c>
    </row>
    <row r="766" spans="1:11" hidden="1">
      <c r="A766" s="148" t="s">
        <v>2823</v>
      </c>
      <c r="B766" s="148" t="s">
        <v>2824</v>
      </c>
      <c r="C766" s="148" t="s">
        <v>139</v>
      </c>
      <c r="D766" s="148" t="s">
        <v>1184</v>
      </c>
      <c r="E766" s="148" t="s">
        <v>1004</v>
      </c>
      <c r="F766" s="148" t="s">
        <v>2715</v>
      </c>
      <c r="G766" s="148" t="s">
        <v>1011</v>
      </c>
      <c r="H766" s="148">
        <v>1140750</v>
      </c>
      <c r="I766" s="148">
        <v>3</v>
      </c>
      <c r="J766" s="148">
        <v>2.9999999999999997E-4</v>
      </c>
      <c r="K766" s="148" t="str">
        <f t="shared" si="11"/>
        <v>ENTITYRORWA</v>
      </c>
    </row>
    <row r="767" spans="1:11" hidden="1">
      <c r="A767" s="148" t="s">
        <v>2825</v>
      </c>
      <c r="B767" s="148" t="s">
        <v>2826</v>
      </c>
      <c r="C767" s="148" t="s">
        <v>139</v>
      </c>
      <c r="D767" s="148" t="s">
        <v>1187</v>
      </c>
      <c r="E767" s="148" t="s">
        <v>1004</v>
      </c>
      <c r="F767" s="148" t="s">
        <v>2715</v>
      </c>
      <c r="G767" s="148" t="s">
        <v>1011</v>
      </c>
      <c r="H767" s="148">
        <v>1140750</v>
      </c>
      <c r="I767" s="148">
        <v>3</v>
      </c>
      <c r="J767" s="148">
        <v>2.9999999999999997E-4</v>
      </c>
      <c r="K767" s="148" t="str">
        <f t="shared" si="11"/>
        <v>ENTITYGRP_RORWA</v>
      </c>
    </row>
    <row r="768" spans="1:11" hidden="1">
      <c r="A768" s="148" t="s">
        <v>2827</v>
      </c>
      <c r="B768" s="148" t="s">
        <v>2828</v>
      </c>
      <c r="C768" s="148" t="s">
        <v>139</v>
      </c>
      <c r="D768" s="148" t="s">
        <v>1178</v>
      </c>
      <c r="E768" s="148" t="s">
        <v>1004</v>
      </c>
      <c r="F768" s="148" t="s">
        <v>2715</v>
      </c>
      <c r="G768" s="148" t="s">
        <v>129</v>
      </c>
      <c r="H768" s="148">
        <v>1140750</v>
      </c>
      <c r="I768" s="148">
        <v>0</v>
      </c>
      <c r="J768" s="148">
        <v>0</v>
      </c>
      <c r="K768" s="148" t="str">
        <f t="shared" si="11"/>
        <v>ENTITYTTL_PRMSSBL_DBT_BLNC</v>
      </c>
    </row>
    <row r="769" spans="1:11" hidden="1">
      <c r="A769" s="148" t="s">
        <v>2829</v>
      </c>
      <c r="B769" s="148" t="s">
        <v>2711</v>
      </c>
      <c r="C769" s="148" t="s">
        <v>187</v>
      </c>
      <c r="D769" s="148" t="s">
        <v>283</v>
      </c>
      <c r="E769" s="148" t="s">
        <v>1014</v>
      </c>
      <c r="F769" s="148" t="s">
        <v>2830</v>
      </c>
      <c r="G769" s="148" t="s">
        <v>129</v>
      </c>
      <c r="H769" s="148">
        <v>2655362</v>
      </c>
      <c r="I769" s="148">
        <v>0</v>
      </c>
      <c r="J769" s="148">
        <v>0</v>
      </c>
      <c r="K769" s="148" t="str">
        <f t="shared" si="11"/>
        <v>INSTR_ENTITYDT_RFRNC</v>
      </c>
    </row>
    <row r="770" spans="1:11" hidden="1">
      <c r="A770" s="148" t="s">
        <v>2831</v>
      </c>
      <c r="B770" s="148" t="s">
        <v>2832</v>
      </c>
      <c r="C770" s="148" t="s">
        <v>187</v>
      </c>
      <c r="D770" s="148" t="s">
        <v>390</v>
      </c>
      <c r="E770" s="148" t="s">
        <v>1004</v>
      </c>
      <c r="F770" s="148" t="s">
        <v>2830</v>
      </c>
      <c r="G770" s="148" t="s">
        <v>1011</v>
      </c>
      <c r="H770" s="148">
        <v>2655362</v>
      </c>
      <c r="I770" s="148">
        <v>8</v>
      </c>
      <c r="J770" s="148">
        <v>2.9999999999999997E-4</v>
      </c>
      <c r="K770" s="148" t="str">
        <f t="shared" si="11"/>
        <v>INSTR_ENTITYJNT_LBLTY_AMNT</v>
      </c>
    </row>
    <row r="771" spans="1:11" hidden="1">
      <c r="A771" s="148" t="s">
        <v>2833</v>
      </c>
      <c r="B771" s="148" t="s">
        <v>2711</v>
      </c>
      <c r="C771" s="148" t="s">
        <v>127</v>
      </c>
      <c r="D771" s="148" t="s">
        <v>283</v>
      </c>
      <c r="E771" s="148" t="s">
        <v>1014</v>
      </c>
      <c r="F771" s="148" t="s">
        <v>1005</v>
      </c>
      <c r="G771" s="148" t="s">
        <v>129</v>
      </c>
      <c r="H771" s="148">
        <v>2138963</v>
      </c>
      <c r="I771" s="148">
        <v>0</v>
      </c>
      <c r="J771" s="148">
        <v>0</v>
      </c>
      <c r="K771" s="148" t="str">
        <f t="shared" ref="K771:K834" si="12">_xlfn.CONCAT(_xlfn.IFS(ISNUMBER(SEARCH("EN",A771)),"ENTITY",ISNUMBER(SEARCH("IN",A771)),"INSTRUMENT",ISNUMBER(SEARCH("PR",A771)),"PROTECTION",ISNUMBER(SEARCH("IP",A771)),"INSTR_PROTECTION",ISNUMBER(SEARCH("IE",A771)),"INSTR_ENTITY",ISNUMBER(SEARCH("AC",A771)),"INSTR_ACTIVITY"),D771)</f>
        <v>INSTRUMENTDT_RFRNC</v>
      </c>
    </row>
    <row r="772" spans="1:11" hidden="1">
      <c r="A772" s="148" t="s">
        <v>2834</v>
      </c>
      <c r="B772" s="148" t="s">
        <v>2835</v>
      </c>
      <c r="C772" s="148" t="s">
        <v>127</v>
      </c>
      <c r="D772" s="148" t="s">
        <v>259</v>
      </c>
      <c r="E772" s="148" t="s">
        <v>1014</v>
      </c>
      <c r="F772" s="148" t="s">
        <v>1005</v>
      </c>
      <c r="G772" s="148" t="s">
        <v>1011</v>
      </c>
      <c r="H772" s="148">
        <v>2138963</v>
      </c>
      <c r="I772" s="148">
        <v>37</v>
      </c>
      <c r="J772" s="148">
        <v>1.6999999999999999E-3</v>
      </c>
      <c r="K772" s="148" t="str">
        <f t="shared" si="12"/>
        <v>INSTRUMENTDT_INCPTN</v>
      </c>
    </row>
    <row r="773" spans="1:11" hidden="1">
      <c r="A773" s="148" t="s">
        <v>2836</v>
      </c>
      <c r="B773" s="148" t="s">
        <v>2717</v>
      </c>
      <c r="C773" s="148" t="s">
        <v>127</v>
      </c>
      <c r="D773" s="148" t="s">
        <v>241</v>
      </c>
      <c r="E773" s="148" t="s">
        <v>1014</v>
      </c>
      <c r="F773" s="148" t="s">
        <v>1005</v>
      </c>
      <c r="G773" s="148" t="s">
        <v>1011</v>
      </c>
      <c r="H773" s="148">
        <v>2138963</v>
      </c>
      <c r="I773" s="148">
        <v>35</v>
      </c>
      <c r="J773" s="148">
        <v>1.6000000000000001E-3</v>
      </c>
      <c r="K773" s="148" t="str">
        <f t="shared" si="12"/>
        <v>INSTRUMENTDT_DFLT_STTS_INSTRMNT</v>
      </c>
    </row>
    <row r="774" spans="1:11" hidden="1">
      <c r="A774" s="148" t="s">
        <v>2837</v>
      </c>
      <c r="B774" s="148" t="s">
        <v>2838</v>
      </c>
      <c r="C774" s="148" t="s">
        <v>127</v>
      </c>
      <c r="D774" s="148" t="s">
        <v>243</v>
      </c>
      <c r="E774" s="148" t="s">
        <v>1014</v>
      </c>
      <c r="F774" s="148" t="s">
        <v>1005</v>
      </c>
      <c r="G774" s="148" t="s">
        <v>129</v>
      </c>
      <c r="H774" s="148">
        <v>2138963</v>
      </c>
      <c r="I774" s="148">
        <v>0</v>
      </c>
      <c r="J774" s="148">
        <v>0</v>
      </c>
      <c r="K774" s="148" t="str">
        <f t="shared" si="12"/>
        <v>INSTRUMENTDT_END_GP_PPAL</v>
      </c>
    </row>
    <row r="775" spans="1:11" hidden="1">
      <c r="A775" s="148" t="s">
        <v>2839</v>
      </c>
      <c r="B775" s="148" t="s">
        <v>2840</v>
      </c>
      <c r="C775" s="148" t="s">
        <v>127</v>
      </c>
      <c r="D775" s="148" t="s">
        <v>245</v>
      </c>
      <c r="E775" s="148" t="s">
        <v>1014</v>
      </c>
      <c r="F775" s="148" t="s">
        <v>1005</v>
      </c>
      <c r="G775" s="148" t="s">
        <v>129</v>
      </c>
      <c r="H775" s="148">
        <v>2138963</v>
      </c>
      <c r="I775" s="148">
        <v>0</v>
      </c>
      <c r="J775" s="148">
        <v>0</v>
      </c>
      <c r="K775" s="148" t="str">
        <f t="shared" si="12"/>
        <v>INSTRUMENTDT_END_INTRST_ONLY</v>
      </c>
    </row>
    <row r="776" spans="1:11" hidden="1">
      <c r="A776" s="148" t="s">
        <v>2841</v>
      </c>
      <c r="B776" s="148" t="s">
        <v>2842</v>
      </c>
      <c r="C776" s="148" t="s">
        <v>127</v>
      </c>
      <c r="D776" s="148" t="s">
        <v>447</v>
      </c>
      <c r="E776" s="148" t="s">
        <v>1014</v>
      </c>
      <c r="F776" s="148" t="s">
        <v>1005</v>
      </c>
      <c r="G776" s="148" t="s">
        <v>1011</v>
      </c>
      <c r="H776" s="148">
        <v>2138963</v>
      </c>
      <c r="I776" s="148">
        <v>37</v>
      </c>
      <c r="J776" s="148">
        <v>1.6999999999999999E-3</v>
      </c>
      <c r="K776" s="148" t="str">
        <f t="shared" si="12"/>
        <v>INSTRUMENTDT_FRBRNC_STTS</v>
      </c>
    </row>
    <row r="777" spans="1:11" hidden="1">
      <c r="A777" s="148" t="s">
        <v>2843</v>
      </c>
      <c r="B777" s="148" t="s">
        <v>2844</v>
      </c>
      <c r="C777" s="148" t="s">
        <v>127</v>
      </c>
      <c r="D777" s="148" t="s">
        <v>431</v>
      </c>
      <c r="E777" s="148" t="s">
        <v>1014</v>
      </c>
      <c r="F777" s="148" t="s">
        <v>1005</v>
      </c>
      <c r="G777" s="148" t="s">
        <v>129</v>
      </c>
      <c r="H777" s="148">
        <v>2138963</v>
      </c>
      <c r="I777" s="148">
        <v>0</v>
      </c>
      <c r="J777" s="148">
        <v>0</v>
      </c>
      <c r="K777" s="148" t="str">
        <f t="shared" si="12"/>
        <v>INSTRUMENTDT_FRBRNC_STTS_PRVS</v>
      </c>
    </row>
    <row r="778" spans="1:11" hidden="1">
      <c r="A778" s="148" t="s">
        <v>2845</v>
      </c>
      <c r="B778" s="148" t="s">
        <v>2846</v>
      </c>
      <c r="C778" s="148" t="s">
        <v>127</v>
      </c>
      <c r="D778" s="148" t="s">
        <v>260</v>
      </c>
      <c r="E778" s="148" t="s">
        <v>1014</v>
      </c>
      <c r="F778" s="148" t="s">
        <v>1005</v>
      </c>
      <c r="G778" s="148" t="s">
        <v>129</v>
      </c>
      <c r="H778" s="148">
        <v>2138963</v>
      </c>
      <c r="I778" s="148">
        <v>0</v>
      </c>
      <c r="J778" s="148">
        <v>0</v>
      </c>
      <c r="K778" s="148" t="str">
        <f t="shared" si="12"/>
        <v>INSTRUMENTDT_INTRNL_RTNG</v>
      </c>
    </row>
    <row r="779" spans="1:11" hidden="1">
      <c r="A779" s="148" t="s">
        <v>1017</v>
      </c>
      <c r="B779" s="148" t="s">
        <v>1018</v>
      </c>
      <c r="C779" s="148" t="s">
        <v>127</v>
      </c>
      <c r="D779" s="148" t="s">
        <v>53</v>
      </c>
      <c r="E779" s="148" t="s">
        <v>1014</v>
      </c>
      <c r="F779" s="148" t="s">
        <v>1005</v>
      </c>
      <c r="G779" s="148" t="s">
        <v>1011</v>
      </c>
      <c r="H779" s="148">
        <v>2138963</v>
      </c>
      <c r="I779" s="148">
        <v>36</v>
      </c>
      <c r="J779" s="148">
        <v>1.6999999999999999E-3</v>
      </c>
      <c r="K779" s="148" t="str">
        <f t="shared" si="12"/>
        <v>INSTRUMENTDT_PRFRMNG_STTS</v>
      </c>
    </row>
    <row r="780" spans="1:11" hidden="1">
      <c r="A780" s="148" t="s">
        <v>1020</v>
      </c>
      <c r="B780" s="148" t="s">
        <v>1021</v>
      </c>
      <c r="C780" s="148" t="s">
        <v>127</v>
      </c>
      <c r="D780" s="148" t="s">
        <v>54</v>
      </c>
      <c r="E780" s="148" t="s">
        <v>1014</v>
      </c>
      <c r="F780" s="148" t="s">
        <v>1005</v>
      </c>
      <c r="G780" s="148" t="s">
        <v>1011</v>
      </c>
      <c r="H780" s="148">
        <v>2138963</v>
      </c>
      <c r="I780" s="148">
        <v>36</v>
      </c>
      <c r="J780" s="148">
        <v>1.6999999999999999E-3</v>
      </c>
      <c r="K780" s="148" t="str">
        <f t="shared" si="12"/>
        <v>INSTRUMENTDT_PRFRMNG_STTS_PRVS</v>
      </c>
    </row>
    <row r="781" spans="1:11" hidden="1">
      <c r="A781" s="148" t="s">
        <v>2847</v>
      </c>
      <c r="B781" s="148" t="s">
        <v>2848</v>
      </c>
      <c r="C781" s="148" t="s">
        <v>127</v>
      </c>
      <c r="D781" s="148" t="s">
        <v>285</v>
      </c>
      <c r="E781" s="148" t="s">
        <v>1014</v>
      </c>
      <c r="F781" s="148" t="s">
        <v>1005</v>
      </c>
      <c r="G781" s="148" t="s">
        <v>129</v>
      </c>
      <c r="H781" s="148">
        <v>2138963</v>
      </c>
      <c r="I781" s="148">
        <v>0</v>
      </c>
      <c r="J781" s="148">
        <v>0</v>
      </c>
      <c r="K781" s="148" t="str">
        <f t="shared" si="12"/>
        <v>INSTRUMENTDT_STRT_INTRST_ONLY</v>
      </c>
    </row>
    <row r="782" spans="1:11" hidden="1">
      <c r="A782" s="148" t="s">
        <v>2849</v>
      </c>
      <c r="B782" s="148" t="s">
        <v>2850</v>
      </c>
      <c r="C782" s="148" t="s">
        <v>127</v>
      </c>
      <c r="D782" s="148" t="s">
        <v>284</v>
      </c>
      <c r="E782" s="148" t="s">
        <v>1014</v>
      </c>
      <c r="F782" s="148" t="s">
        <v>1005</v>
      </c>
      <c r="G782" s="148" t="s">
        <v>129</v>
      </c>
      <c r="H782" s="148">
        <v>2138963</v>
      </c>
      <c r="I782" s="148">
        <v>0</v>
      </c>
      <c r="J782" s="148">
        <v>0</v>
      </c>
      <c r="K782" s="148" t="str">
        <f t="shared" si="12"/>
        <v>INSTRUMENTDT_STRT_GP_PPAL</v>
      </c>
    </row>
    <row r="783" spans="1:11" hidden="1">
      <c r="A783" s="148" t="s">
        <v>2851</v>
      </c>
      <c r="B783" s="148" t="s">
        <v>2852</v>
      </c>
      <c r="C783" s="148" t="s">
        <v>127</v>
      </c>
      <c r="D783" s="148" t="s">
        <v>348</v>
      </c>
      <c r="E783" s="148" t="s">
        <v>1004</v>
      </c>
      <c r="F783" s="148" t="s">
        <v>1005</v>
      </c>
      <c r="G783" s="148" t="s">
        <v>1011</v>
      </c>
      <c r="H783" s="148">
        <v>2138963</v>
      </c>
      <c r="I783" s="148">
        <v>27140</v>
      </c>
      <c r="J783" s="148">
        <v>1.2687999999999999</v>
      </c>
      <c r="K783" s="148" t="str">
        <f t="shared" si="12"/>
        <v>INSTRUMENTGRSS_CRRYNG_AMNT_INSTRMNT</v>
      </c>
    </row>
    <row r="784" spans="1:11" hidden="1">
      <c r="A784" s="148" t="s">
        <v>2853</v>
      </c>
      <c r="B784" s="148" t="s">
        <v>974</v>
      </c>
      <c r="C784" s="148" t="s">
        <v>127</v>
      </c>
      <c r="D784" s="148" t="s">
        <v>128</v>
      </c>
      <c r="E784" s="148" t="s">
        <v>1004</v>
      </c>
      <c r="F784" s="148" t="s">
        <v>1005</v>
      </c>
      <c r="G784" s="148" t="s">
        <v>129</v>
      </c>
      <c r="H784" s="148">
        <v>2138963</v>
      </c>
      <c r="I784" s="148">
        <v>0</v>
      </c>
      <c r="J784" s="148">
        <v>0</v>
      </c>
      <c r="K784" s="148" t="str">
        <f t="shared" si="12"/>
        <v>INSTRUMENTACCMLTD_CHNGS_FV_CR_INSTRMNT</v>
      </c>
    </row>
    <row r="785" spans="1:11" hidden="1">
      <c r="A785" s="148" t="s">
        <v>2854</v>
      </c>
      <c r="B785" s="148" t="s">
        <v>2855</v>
      </c>
      <c r="C785" s="148" t="s">
        <v>127</v>
      </c>
      <c r="D785" s="148" t="s">
        <v>524</v>
      </c>
      <c r="E785" s="148" t="s">
        <v>1004</v>
      </c>
      <c r="F785" s="148" t="s">
        <v>1005</v>
      </c>
      <c r="G785" s="148" t="s">
        <v>1011</v>
      </c>
      <c r="H785" s="148">
        <v>2138963</v>
      </c>
      <c r="I785" s="148">
        <v>474</v>
      </c>
      <c r="J785" s="148">
        <v>2.2200000000000001E-2</v>
      </c>
      <c r="K785" s="148" t="str">
        <f t="shared" si="12"/>
        <v>INSTRUMENTACCRD_INTRST_INSTRMNT</v>
      </c>
    </row>
    <row r="786" spans="1:11" hidden="1">
      <c r="A786" s="148" t="s">
        <v>2856</v>
      </c>
      <c r="B786" s="148" t="s">
        <v>2857</v>
      </c>
      <c r="C786" s="148" t="s">
        <v>127</v>
      </c>
      <c r="D786" s="148" t="s">
        <v>148</v>
      </c>
      <c r="E786" s="148" t="s">
        <v>1004</v>
      </c>
      <c r="F786" s="148" t="s">
        <v>1005</v>
      </c>
      <c r="G786" s="148" t="s">
        <v>1011</v>
      </c>
      <c r="H786" s="148">
        <v>2138963</v>
      </c>
      <c r="I786" s="148">
        <v>1</v>
      </c>
      <c r="J786" s="148">
        <v>0</v>
      </c>
      <c r="K786" s="148" t="str">
        <f t="shared" si="12"/>
        <v>INSTRUMENTAMNT_D_AT_MTRTY</v>
      </c>
    </row>
    <row r="787" spans="1:11" hidden="1">
      <c r="A787" s="148" t="s">
        <v>2858</v>
      </c>
      <c r="B787" s="148" t="s">
        <v>2859</v>
      </c>
      <c r="C787" s="148" t="s">
        <v>127</v>
      </c>
      <c r="D787" s="148" t="s">
        <v>167</v>
      </c>
      <c r="E787" s="148" t="s">
        <v>1004</v>
      </c>
      <c r="F787" s="148" t="s">
        <v>1005</v>
      </c>
      <c r="G787" s="148" t="s">
        <v>1011</v>
      </c>
      <c r="H787" s="148">
        <v>2138963</v>
      </c>
      <c r="I787" s="148">
        <v>114042</v>
      </c>
      <c r="J787" s="148">
        <v>5.3315999999999999</v>
      </c>
      <c r="K787" s="148" t="str">
        <f t="shared" si="12"/>
        <v>INSTRUMENTCCF</v>
      </c>
    </row>
    <row r="788" spans="1:11" hidden="1">
      <c r="A788" s="148" t="s">
        <v>2860</v>
      </c>
      <c r="B788" s="148" t="s">
        <v>2861</v>
      </c>
      <c r="C788" s="148" t="s">
        <v>127</v>
      </c>
      <c r="D788" s="148" t="s">
        <v>173</v>
      </c>
      <c r="E788" s="148" t="s">
        <v>1004</v>
      </c>
      <c r="F788" s="148" t="s">
        <v>1005</v>
      </c>
      <c r="G788" s="148" t="s">
        <v>129</v>
      </c>
      <c r="H788" s="148">
        <v>2138963</v>
      </c>
      <c r="I788" s="148">
        <v>0</v>
      </c>
      <c r="J788" s="148">
        <v>0</v>
      </c>
      <c r="K788" s="148" t="str">
        <f t="shared" si="12"/>
        <v>INSTRUMENTCMMTMNT_INCPTN_INSTRMNT</v>
      </c>
    </row>
    <row r="789" spans="1:11" hidden="1">
      <c r="A789" s="148" t="s">
        <v>2862</v>
      </c>
      <c r="B789" s="148" t="s">
        <v>2863</v>
      </c>
      <c r="C789" s="148" t="s">
        <v>127</v>
      </c>
      <c r="D789" s="148" t="s">
        <v>482</v>
      </c>
      <c r="E789" s="148" t="s">
        <v>1004</v>
      </c>
      <c r="F789" s="148" t="s">
        <v>1005</v>
      </c>
      <c r="G789" s="148" t="s">
        <v>129</v>
      </c>
      <c r="H789" s="148">
        <v>2138963</v>
      </c>
      <c r="I789" s="148">
        <v>0</v>
      </c>
      <c r="J789" s="148">
        <v>0</v>
      </c>
      <c r="K789" s="148" t="str">
        <f t="shared" si="12"/>
        <v>INSTRUMENTCMMTMNT_INSTRMNT</v>
      </c>
    </row>
    <row r="790" spans="1:11" hidden="1">
      <c r="A790" s="148" t="s">
        <v>2864</v>
      </c>
      <c r="B790" s="148" t="s">
        <v>2865</v>
      </c>
      <c r="C790" s="148" t="s">
        <v>127</v>
      </c>
      <c r="D790" s="148" t="s">
        <v>200</v>
      </c>
      <c r="E790" s="148" t="s">
        <v>1004</v>
      </c>
      <c r="F790" s="148" t="s">
        <v>1005</v>
      </c>
      <c r="G790" s="148" t="s">
        <v>1011</v>
      </c>
      <c r="H790" s="148">
        <v>2138963</v>
      </c>
      <c r="I790" s="148">
        <v>28695</v>
      </c>
      <c r="J790" s="148">
        <v>1.3414999999999999</v>
      </c>
      <c r="K790" s="148" t="str">
        <f t="shared" si="12"/>
        <v>INSTRUMENTCRRYNG_AMNT_INSTRMNT</v>
      </c>
    </row>
    <row r="791" spans="1:11" hidden="1">
      <c r="A791" s="148" t="s">
        <v>2866</v>
      </c>
      <c r="B791" s="148" t="s">
        <v>2867</v>
      </c>
      <c r="C791" s="148" t="s">
        <v>127</v>
      </c>
      <c r="D791" s="148" t="s">
        <v>210</v>
      </c>
      <c r="E791" s="148" t="s">
        <v>1004</v>
      </c>
      <c r="F791" s="148" t="s">
        <v>1005</v>
      </c>
      <c r="G791" s="148" t="s">
        <v>129</v>
      </c>
      <c r="H791" s="148">
        <v>2138963</v>
      </c>
      <c r="I791" s="148">
        <v>0</v>
      </c>
      <c r="J791" s="148">
        <v>0</v>
      </c>
      <c r="K791" s="148" t="str">
        <f t="shared" si="12"/>
        <v>INSTRUMENTDBT_YLD</v>
      </c>
    </row>
    <row r="792" spans="1:11" hidden="1">
      <c r="A792" s="148" t="s">
        <v>2868</v>
      </c>
      <c r="B792" s="148" t="s">
        <v>2869</v>
      </c>
      <c r="C792" s="148" t="s">
        <v>127</v>
      </c>
      <c r="D792" s="148" t="s">
        <v>496</v>
      </c>
      <c r="E792" s="148" t="s">
        <v>1014</v>
      </c>
      <c r="F792" s="148" t="s">
        <v>1005</v>
      </c>
      <c r="G792" s="148" t="s">
        <v>1011</v>
      </c>
      <c r="H792" s="148">
        <v>2138963</v>
      </c>
      <c r="I792" s="148">
        <v>7</v>
      </c>
      <c r="J792" s="148">
        <v>2.9999999999999997E-4</v>
      </c>
      <c r="K792" s="148" t="str">
        <f t="shared" si="12"/>
        <v>INSTRUMENTDT_LGL_FNL_MTRTY</v>
      </c>
    </row>
    <row r="793" spans="1:11" hidden="1">
      <c r="A793" s="148" t="s">
        <v>2870</v>
      </c>
      <c r="B793" s="148" t="s">
        <v>2871</v>
      </c>
      <c r="C793" s="148" t="s">
        <v>127</v>
      </c>
      <c r="D793" s="148" t="s">
        <v>500</v>
      </c>
      <c r="E793" s="148" t="s">
        <v>1014</v>
      </c>
      <c r="F793" s="148" t="s">
        <v>1005</v>
      </c>
      <c r="G793" s="148" t="s">
        <v>1011</v>
      </c>
      <c r="H793" s="148">
        <v>2138963</v>
      </c>
      <c r="I793" s="148">
        <v>8</v>
      </c>
      <c r="J793" s="148">
        <v>4.0000000000000002E-4</v>
      </c>
      <c r="K793" s="148" t="str">
        <f t="shared" si="12"/>
        <v>INSTRUMENTDT_NXT_INTRST_RT_RST</v>
      </c>
    </row>
    <row r="794" spans="1:11" hidden="1">
      <c r="A794" s="148" t="s">
        <v>2872</v>
      </c>
      <c r="B794" s="148" t="s">
        <v>2873</v>
      </c>
      <c r="C794" s="148" t="s">
        <v>127</v>
      </c>
      <c r="D794" s="148" t="s">
        <v>274</v>
      </c>
      <c r="E794" s="148" t="s">
        <v>1014</v>
      </c>
      <c r="F794" s="148" t="s">
        <v>1005</v>
      </c>
      <c r="G794" s="148" t="s">
        <v>1011</v>
      </c>
      <c r="H794" s="148">
        <v>2138963</v>
      </c>
      <c r="I794" s="148">
        <v>18</v>
      </c>
      <c r="J794" s="148">
        <v>8.0000000000000004E-4</v>
      </c>
      <c r="K794" s="148" t="str">
        <f t="shared" si="12"/>
        <v>INSTRUMENTDT_ORGNL_MTRTY</v>
      </c>
    </row>
    <row r="795" spans="1:11" hidden="1">
      <c r="A795" s="148" t="s">
        <v>2874</v>
      </c>
      <c r="B795" s="148" t="s">
        <v>756</v>
      </c>
      <c r="C795" s="148" t="s">
        <v>127</v>
      </c>
      <c r="D795" s="148" t="s">
        <v>278</v>
      </c>
      <c r="E795" s="148" t="s">
        <v>1004</v>
      </c>
      <c r="F795" s="148" t="s">
        <v>1005</v>
      </c>
      <c r="G795" s="148" t="s">
        <v>129</v>
      </c>
      <c r="H795" s="148">
        <v>2138963</v>
      </c>
      <c r="I795" s="148">
        <v>0</v>
      </c>
      <c r="J795" s="148">
        <v>0</v>
      </c>
      <c r="K795" s="148" t="str">
        <f t="shared" si="12"/>
        <v>INSTRUMENTIFRS9_BHVRL_MTRTY</v>
      </c>
    </row>
    <row r="796" spans="1:11" hidden="1">
      <c r="A796" s="148" t="s">
        <v>2875</v>
      </c>
      <c r="B796" s="148" t="s">
        <v>2876</v>
      </c>
      <c r="C796" s="148" t="s">
        <v>127</v>
      </c>
      <c r="D796" s="148" t="s">
        <v>289</v>
      </c>
      <c r="E796" s="148" t="s">
        <v>1004</v>
      </c>
      <c r="F796" s="148" t="s">
        <v>1005</v>
      </c>
      <c r="G796" s="148" t="s">
        <v>129</v>
      </c>
      <c r="H796" s="148">
        <v>2138963</v>
      </c>
      <c r="I796" s="148">
        <v>0</v>
      </c>
      <c r="J796" s="148">
        <v>0</v>
      </c>
      <c r="K796" s="148" t="str">
        <f t="shared" si="12"/>
        <v>INSTRUMENTEAD</v>
      </c>
    </row>
    <row r="797" spans="1:11" hidden="1">
      <c r="A797" s="148" t="s">
        <v>2877</v>
      </c>
      <c r="B797" s="148" t="s">
        <v>2878</v>
      </c>
      <c r="C797" s="148" t="s">
        <v>127</v>
      </c>
      <c r="D797" s="148" t="s">
        <v>355</v>
      </c>
      <c r="E797" s="148" t="s">
        <v>1004</v>
      </c>
      <c r="F797" s="148" t="s">
        <v>1005</v>
      </c>
      <c r="G797" s="148" t="s">
        <v>1011</v>
      </c>
      <c r="H797" s="148">
        <v>2138963</v>
      </c>
      <c r="I797" s="148">
        <v>39113</v>
      </c>
      <c r="J797" s="148">
        <v>1.8286</v>
      </c>
      <c r="K797" s="148" t="str">
        <f t="shared" si="12"/>
        <v>INSTRUMENTIFRS9_CCF</v>
      </c>
    </row>
    <row r="798" spans="1:11" hidden="1">
      <c r="A798" s="148" t="s">
        <v>2879</v>
      </c>
      <c r="B798" s="148" t="s">
        <v>2880</v>
      </c>
      <c r="C798" s="148" t="s">
        <v>127</v>
      </c>
      <c r="D798" s="148" t="s">
        <v>357</v>
      </c>
      <c r="E798" s="148" t="s">
        <v>1004</v>
      </c>
      <c r="F798" s="148" t="s">
        <v>1005</v>
      </c>
      <c r="G798" s="148" t="s">
        <v>129</v>
      </c>
      <c r="H798" s="148">
        <v>2138963</v>
      </c>
      <c r="I798" s="148">
        <v>0</v>
      </c>
      <c r="J798" s="148">
        <v>0</v>
      </c>
      <c r="K798" s="148" t="str">
        <f t="shared" si="12"/>
        <v>INSTRUMENTIFRS9_EAD</v>
      </c>
    </row>
    <row r="799" spans="1:11" hidden="1">
      <c r="A799" s="148" t="s">
        <v>2881</v>
      </c>
      <c r="B799" s="148" t="s">
        <v>2882</v>
      </c>
      <c r="C799" s="148" t="s">
        <v>127</v>
      </c>
      <c r="D799" s="148" t="s">
        <v>295</v>
      </c>
      <c r="E799" s="148" t="s">
        <v>1004</v>
      </c>
      <c r="F799" s="148" t="s">
        <v>1005</v>
      </c>
      <c r="G799" s="148" t="s">
        <v>129</v>
      </c>
      <c r="H799" s="148">
        <v>2138963</v>
      </c>
      <c r="I799" s="148">
        <v>0</v>
      </c>
      <c r="J799" s="148">
        <v>0</v>
      </c>
      <c r="K799" s="148" t="str">
        <f t="shared" si="12"/>
        <v>INSTRUMENTINSTLMNT_PAY</v>
      </c>
    </row>
    <row r="800" spans="1:11" hidden="1">
      <c r="A800" s="148" t="s">
        <v>2883</v>
      </c>
      <c r="B800" s="148" t="s">
        <v>2884</v>
      </c>
      <c r="C800" s="148" t="s">
        <v>127</v>
      </c>
      <c r="D800" s="148" t="s">
        <v>426</v>
      </c>
      <c r="E800" s="148" t="s">
        <v>1004</v>
      </c>
      <c r="F800" s="148" t="s">
        <v>1005</v>
      </c>
      <c r="G800" s="148" t="s">
        <v>129</v>
      </c>
      <c r="H800" s="148">
        <v>2138963</v>
      </c>
      <c r="I800" s="148">
        <v>0</v>
      </c>
      <c r="J800" s="148">
        <v>0</v>
      </c>
      <c r="K800" s="148" t="str">
        <f t="shared" si="12"/>
        <v>INSTRUMENTOFF_BLNC_SHT_AMNT_INSTRMNT</v>
      </c>
    </row>
    <row r="801" spans="1:11" hidden="1">
      <c r="A801" s="148" t="s">
        <v>2885</v>
      </c>
      <c r="B801" s="148" t="s">
        <v>912</v>
      </c>
      <c r="C801" s="148" t="s">
        <v>127</v>
      </c>
      <c r="D801" s="148" t="s">
        <v>427</v>
      </c>
      <c r="E801" s="148" t="s">
        <v>1004</v>
      </c>
      <c r="F801" s="148" t="s">
        <v>1005</v>
      </c>
      <c r="G801" s="148" t="s">
        <v>129</v>
      </c>
      <c r="H801" s="148">
        <v>2138963</v>
      </c>
      <c r="I801" s="148">
        <v>0</v>
      </c>
      <c r="J801" s="148">
        <v>0</v>
      </c>
      <c r="K801" s="148" t="str">
        <f t="shared" si="12"/>
        <v>INSTRUMENTOFF_BLNC_SHT_AMNT_INSTRMNT_PRVS</v>
      </c>
    </row>
    <row r="802" spans="1:11" hidden="1">
      <c r="A802" s="148" t="s">
        <v>2886</v>
      </c>
      <c r="B802" s="148" t="s">
        <v>2887</v>
      </c>
      <c r="C802" s="148" t="s">
        <v>1008</v>
      </c>
      <c r="D802" s="148" t="s">
        <v>292</v>
      </c>
      <c r="E802" s="148" t="s">
        <v>1009</v>
      </c>
      <c r="F802" s="148" t="s">
        <v>1010</v>
      </c>
      <c r="G802" s="148" t="s">
        <v>129</v>
      </c>
      <c r="H802" s="148">
        <v>381343</v>
      </c>
      <c r="I802" s="148">
        <v>0</v>
      </c>
      <c r="J802" s="148">
        <v>0</v>
      </c>
      <c r="K802" s="148" t="str">
        <f t="shared" si="12"/>
        <v>INSTRUMENTOTSTNDNG_NMNL_AMNT_INSTRMNT_PRVS</v>
      </c>
    </row>
    <row r="803" spans="1:11" hidden="1">
      <c r="A803" s="148" t="s">
        <v>2888</v>
      </c>
      <c r="B803" s="148" t="s">
        <v>2889</v>
      </c>
      <c r="C803" s="148" t="s">
        <v>1008</v>
      </c>
      <c r="D803" s="148" t="s">
        <v>292</v>
      </c>
      <c r="E803" s="148" t="s">
        <v>1009</v>
      </c>
      <c r="F803" s="148" t="s">
        <v>1010</v>
      </c>
      <c r="G803" s="148" t="s">
        <v>129</v>
      </c>
      <c r="H803" s="148">
        <v>1745133</v>
      </c>
      <c r="I803" s="148">
        <v>0</v>
      </c>
      <c r="J803" s="148">
        <v>0</v>
      </c>
      <c r="K803" s="148" t="str">
        <f t="shared" si="12"/>
        <v>INSTRUMENTOTSTNDNG_NMNL_AMNT_INSTRMNT_PRVS</v>
      </c>
    </row>
    <row r="804" spans="1:11" hidden="1">
      <c r="A804" s="148" t="s">
        <v>2890</v>
      </c>
      <c r="B804" s="148" t="s">
        <v>2891</v>
      </c>
      <c r="C804" s="148" t="s">
        <v>127</v>
      </c>
      <c r="D804" s="148" t="s">
        <v>470</v>
      </c>
      <c r="E804" s="148" t="s">
        <v>1004</v>
      </c>
      <c r="F804" s="148" t="s">
        <v>1005</v>
      </c>
      <c r="G804" s="148" t="s">
        <v>129</v>
      </c>
      <c r="H804" s="148">
        <v>2138963</v>
      </c>
      <c r="I804" s="148">
        <v>0</v>
      </c>
      <c r="J804" s="148">
        <v>0</v>
      </c>
      <c r="K804" s="148" t="str">
        <f t="shared" si="12"/>
        <v>INSTRUMENTPRVSNS_OFF_BLNC_SHT</v>
      </c>
    </row>
    <row r="805" spans="1:11" hidden="1">
      <c r="A805" s="148" t="s">
        <v>2892</v>
      </c>
      <c r="B805" s="148" t="s">
        <v>2893</v>
      </c>
      <c r="C805" s="148" t="s">
        <v>127</v>
      </c>
      <c r="D805" s="148" t="s">
        <v>494</v>
      </c>
      <c r="E805" s="148" t="s">
        <v>1004</v>
      </c>
      <c r="F805" s="148" t="s">
        <v>1005</v>
      </c>
      <c r="G805" s="148" t="s">
        <v>129</v>
      </c>
      <c r="H805" s="148">
        <v>2138963</v>
      </c>
      <c r="I805" s="148">
        <v>0</v>
      </c>
      <c r="J805" s="148">
        <v>0</v>
      </c>
      <c r="K805" s="148" t="str">
        <f t="shared" si="12"/>
        <v>INSTRUMENTRTNTN_SHR</v>
      </c>
    </row>
    <row r="806" spans="1:11" hidden="1">
      <c r="A806" s="148" t="s">
        <v>2894</v>
      </c>
      <c r="B806" s="148" t="s">
        <v>2895</v>
      </c>
      <c r="C806" s="148" t="s">
        <v>127</v>
      </c>
      <c r="D806" s="148" t="s">
        <v>495</v>
      </c>
      <c r="E806" s="148" t="s">
        <v>1004</v>
      </c>
      <c r="F806" s="148" t="s">
        <v>1005</v>
      </c>
      <c r="G806" s="148" t="s">
        <v>129</v>
      </c>
      <c r="H806" s="148">
        <v>2138963</v>
      </c>
      <c r="I806" s="148">
        <v>0</v>
      </c>
      <c r="J806" s="148">
        <v>0</v>
      </c>
      <c r="K806" s="148" t="str">
        <f t="shared" si="12"/>
        <v>INSTRUMENTRWA</v>
      </c>
    </row>
    <row r="807" spans="1:11" hidden="1">
      <c r="A807" s="148" t="s">
        <v>2896</v>
      </c>
      <c r="B807" s="148" t="s">
        <v>2897</v>
      </c>
      <c r="C807" s="148" t="s">
        <v>127</v>
      </c>
      <c r="D807" s="148" t="s">
        <v>133</v>
      </c>
      <c r="E807" s="148" t="s">
        <v>1004</v>
      </c>
      <c r="F807" s="148" t="s">
        <v>1005</v>
      </c>
      <c r="G807" s="148" t="s">
        <v>129</v>
      </c>
      <c r="H807" s="148">
        <v>2138963</v>
      </c>
      <c r="I807" s="148">
        <v>0</v>
      </c>
      <c r="J807" s="148">
        <v>0</v>
      </c>
      <c r="K807" s="148" t="str">
        <f t="shared" si="12"/>
        <v>INSTRUMENTACCMLTD_IMPRMNT_INSTRMNT</v>
      </c>
    </row>
    <row r="808" spans="1:11" hidden="1">
      <c r="A808" s="148" t="s">
        <v>2898</v>
      </c>
      <c r="B808" s="148" t="s">
        <v>2899</v>
      </c>
      <c r="C808" s="148" t="s">
        <v>127</v>
      </c>
      <c r="D808" s="148" t="s">
        <v>134</v>
      </c>
      <c r="E808" s="148" t="s">
        <v>1004</v>
      </c>
      <c r="F808" s="148" t="s">
        <v>1005</v>
      </c>
      <c r="G808" s="148" t="s">
        <v>129</v>
      </c>
      <c r="H808" s="148">
        <v>2138963</v>
      </c>
      <c r="I808" s="148">
        <v>0</v>
      </c>
      <c r="J808" s="148">
        <v>0</v>
      </c>
      <c r="K808" s="148" t="str">
        <f t="shared" si="12"/>
        <v>INSTRUMENTACCMLTD_IMPRMNT_INSTRMNT_PRVS</v>
      </c>
    </row>
    <row r="809" spans="1:11" hidden="1">
      <c r="A809" s="148" t="s">
        <v>2900</v>
      </c>
      <c r="B809" s="148" t="s">
        <v>2901</v>
      </c>
      <c r="C809" s="148" t="s">
        <v>127</v>
      </c>
      <c r="D809" s="148" t="s">
        <v>137</v>
      </c>
      <c r="E809" s="148" t="s">
        <v>1004</v>
      </c>
      <c r="F809" s="148" t="s">
        <v>1005</v>
      </c>
      <c r="G809" s="148" t="s">
        <v>129</v>
      </c>
      <c r="H809" s="148">
        <v>2138963</v>
      </c>
      <c r="I809" s="148">
        <v>0</v>
      </c>
      <c r="J809" s="148">
        <v>0</v>
      </c>
      <c r="K809" s="148" t="str">
        <f t="shared" si="12"/>
        <v>INSTRUMENTACCMLTD_WRTFFS_INSTRMNT</v>
      </c>
    </row>
    <row r="810" spans="1:11" hidden="1">
      <c r="A810" s="148" t="s">
        <v>2902</v>
      </c>
      <c r="B810" s="148" t="s">
        <v>2903</v>
      </c>
      <c r="C810" s="148" t="s">
        <v>127</v>
      </c>
      <c r="D810" s="148" t="s">
        <v>160</v>
      </c>
      <c r="E810" s="148" t="s">
        <v>1004</v>
      </c>
      <c r="F810" s="148" t="s">
        <v>1005</v>
      </c>
      <c r="G810" s="148" t="s">
        <v>129</v>
      </c>
      <c r="H810" s="148">
        <v>2138963</v>
      </c>
      <c r="I810" s="148">
        <v>0</v>
      </c>
      <c r="J810" s="148">
        <v>0</v>
      </c>
      <c r="K810" s="148" t="str">
        <f t="shared" si="12"/>
        <v>INSTRUMENTARRRS_INSTRMNT</v>
      </c>
    </row>
    <row r="811" spans="1:11" hidden="1">
      <c r="A811" s="148" t="s">
        <v>2904</v>
      </c>
      <c r="B811" s="148" t="s">
        <v>2905</v>
      </c>
      <c r="C811" s="148" t="s">
        <v>127</v>
      </c>
      <c r="D811" s="148" t="s">
        <v>161</v>
      </c>
      <c r="E811" s="148" t="s">
        <v>1004</v>
      </c>
      <c r="F811" s="148" t="s">
        <v>1005</v>
      </c>
      <c r="G811" s="148" t="s">
        <v>129</v>
      </c>
      <c r="H811" s="148">
        <v>2138963</v>
      </c>
      <c r="I811" s="148">
        <v>0</v>
      </c>
      <c r="J811" s="148">
        <v>0</v>
      </c>
      <c r="K811" s="148" t="str">
        <f t="shared" si="12"/>
        <v>INSTRUMENTARRRS_INSTRMNT_12M</v>
      </c>
    </row>
    <row r="812" spans="1:11" hidden="1">
      <c r="A812" s="148" t="s">
        <v>2906</v>
      </c>
      <c r="B812" s="148" t="s">
        <v>2907</v>
      </c>
      <c r="C812" s="148" t="s">
        <v>127</v>
      </c>
      <c r="D812" s="148" t="s">
        <v>487</v>
      </c>
      <c r="E812" s="148" t="s">
        <v>1004</v>
      </c>
      <c r="F812" s="148" t="s">
        <v>1005</v>
      </c>
      <c r="G812" s="148" t="s">
        <v>129</v>
      </c>
      <c r="H812" s="148">
        <v>2138963</v>
      </c>
      <c r="I812" s="148">
        <v>0</v>
      </c>
      <c r="J812" s="148">
        <v>0</v>
      </c>
      <c r="K812" s="148" t="str">
        <f t="shared" si="12"/>
        <v>INSTRUMENTCMLTV_RCVRS_SNC_DFLT_INSTRMNT</v>
      </c>
    </row>
    <row r="813" spans="1:11" hidden="1">
      <c r="A813" s="148" t="s">
        <v>2908</v>
      </c>
      <c r="B813" s="148" t="s">
        <v>2909</v>
      </c>
      <c r="C813" s="148" t="s">
        <v>127</v>
      </c>
      <c r="D813" s="148" t="s">
        <v>218</v>
      </c>
      <c r="E813" s="148" t="s">
        <v>1004</v>
      </c>
      <c r="F813" s="148" t="s">
        <v>1005</v>
      </c>
      <c r="G813" s="148" t="s">
        <v>129</v>
      </c>
      <c r="H813" s="148">
        <v>2138963</v>
      </c>
      <c r="I813" s="148">
        <v>0</v>
      </c>
      <c r="J813" s="148">
        <v>0</v>
      </c>
      <c r="K813" s="148" t="str">
        <f t="shared" si="12"/>
        <v>INSTRUMENTDPD</v>
      </c>
    </row>
    <row r="814" spans="1:11" hidden="1">
      <c r="A814" s="148" t="s">
        <v>2910</v>
      </c>
      <c r="B814" s="148" t="s">
        <v>2911</v>
      </c>
      <c r="C814" s="148" t="s">
        <v>127</v>
      </c>
      <c r="D814" s="148" t="s">
        <v>219</v>
      </c>
      <c r="E814" s="148" t="s">
        <v>1004</v>
      </c>
      <c r="F814" s="148" t="s">
        <v>1005</v>
      </c>
      <c r="G814" s="148" t="s">
        <v>129</v>
      </c>
      <c r="H814" s="148">
        <v>2138963</v>
      </c>
      <c r="I814" s="148">
        <v>0</v>
      </c>
      <c r="J814" s="148">
        <v>0</v>
      </c>
      <c r="K814" s="148" t="str">
        <f t="shared" si="12"/>
        <v>INSTRUMENTDPD_12M</v>
      </c>
    </row>
    <row r="815" spans="1:11" hidden="1">
      <c r="A815" s="148" t="s">
        <v>2912</v>
      </c>
      <c r="B815" s="148" t="s">
        <v>2913</v>
      </c>
      <c r="C815" s="148" t="s">
        <v>127</v>
      </c>
      <c r="D815" s="148" t="s">
        <v>220</v>
      </c>
      <c r="E815" s="148" t="s">
        <v>1004</v>
      </c>
      <c r="F815" s="148" t="s">
        <v>1005</v>
      </c>
      <c r="G815" s="148" t="s">
        <v>129</v>
      </c>
      <c r="H815" s="148">
        <v>2138963</v>
      </c>
      <c r="I815" s="148">
        <v>0</v>
      </c>
      <c r="J815" s="148">
        <v>0</v>
      </c>
      <c r="K815" s="148" t="str">
        <f t="shared" si="12"/>
        <v>INSTRUMENTDPD_12M_FRBRNC_STTS</v>
      </c>
    </row>
    <row r="816" spans="1:11" hidden="1">
      <c r="A816" s="148" t="s">
        <v>2914</v>
      </c>
      <c r="B816" s="148" t="s">
        <v>2915</v>
      </c>
      <c r="C816" s="148" t="s">
        <v>127</v>
      </c>
      <c r="D816" s="148" t="s">
        <v>48</v>
      </c>
      <c r="E816" s="148" t="s">
        <v>1004</v>
      </c>
      <c r="F816" s="148" t="s">
        <v>1005</v>
      </c>
      <c r="G816" s="148" t="s">
        <v>129</v>
      </c>
      <c r="H816" s="148">
        <v>2138963</v>
      </c>
      <c r="I816" s="148">
        <v>0</v>
      </c>
      <c r="J816" s="148">
        <v>0</v>
      </c>
      <c r="K816" s="148" t="str">
        <f t="shared" si="12"/>
        <v>INSTRUMENTDPD_12M_PRFRMNG_STTS</v>
      </c>
    </row>
    <row r="817" spans="1:11" hidden="1">
      <c r="A817" s="148" t="s">
        <v>2916</v>
      </c>
      <c r="B817" s="148" t="s">
        <v>2917</v>
      </c>
      <c r="C817" s="148" t="s">
        <v>127</v>
      </c>
      <c r="D817" s="148" t="s">
        <v>223</v>
      </c>
      <c r="E817" s="148" t="s">
        <v>1004</v>
      </c>
      <c r="F817" s="148" t="s">
        <v>1005</v>
      </c>
      <c r="G817" s="148" t="s">
        <v>129</v>
      </c>
      <c r="H817" s="148">
        <v>2138963</v>
      </c>
      <c r="I817" s="148">
        <v>0</v>
      </c>
      <c r="J817" s="148">
        <v>0</v>
      </c>
      <c r="K817" s="148" t="str">
        <f t="shared" si="12"/>
        <v>INSTRUMENTDPD_24M_FRBRNC_STTS</v>
      </c>
    </row>
    <row r="818" spans="1:11" hidden="1">
      <c r="A818" s="148" t="s">
        <v>2918</v>
      </c>
      <c r="B818" s="148" t="s">
        <v>2919</v>
      </c>
      <c r="C818" s="148" t="s">
        <v>127</v>
      </c>
      <c r="D818" s="148" t="s">
        <v>49</v>
      </c>
      <c r="E818" s="148" t="s">
        <v>1004</v>
      </c>
      <c r="F818" s="148" t="s">
        <v>1005</v>
      </c>
      <c r="G818" s="148" t="s">
        <v>129</v>
      </c>
      <c r="H818" s="148">
        <v>2138963</v>
      </c>
      <c r="I818" s="148">
        <v>0</v>
      </c>
      <c r="J818" s="148">
        <v>0</v>
      </c>
      <c r="K818" s="148" t="str">
        <f t="shared" si="12"/>
        <v>INSTRUMENTDPD_24M_PRFRMNG_STTS</v>
      </c>
    </row>
    <row r="819" spans="1:11" hidden="1">
      <c r="A819" s="148" t="s">
        <v>2920</v>
      </c>
      <c r="B819" s="148" t="s">
        <v>2921</v>
      </c>
      <c r="C819" s="148" t="s">
        <v>127</v>
      </c>
      <c r="D819" s="148" t="s">
        <v>225</v>
      </c>
      <c r="E819" s="148" t="s">
        <v>1004</v>
      </c>
      <c r="F819" s="148" t="s">
        <v>1005</v>
      </c>
      <c r="G819" s="148" t="s">
        <v>129</v>
      </c>
      <c r="H819" s="148">
        <v>2138963</v>
      </c>
      <c r="I819" s="148">
        <v>0</v>
      </c>
      <c r="J819" s="148">
        <v>0</v>
      </c>
      <c r="K819" s="148" t="str">
        <f t="shared" si="12"/>
        <v>INSTRUMENTDPD_FRBRNC_STTS</v>
      </c>
    </row>
    <row r="820" spans="1:11" hidden="1">
      <c r="A820" s="148" t="s">
        <v>2922</v>
      </c>
      <c r="B820" s="148" t="s">
        <v>2923</v>
      </c>
      <c r="C820" s="148" t="s">
        <v>127</v>
      </c>
      <c r="D820" s="148" t="s">
        <v>50</v>
      </c>
      <c r="E820" s="148" t="s">
        <v>1004</v>
      </c>
      <c r="F820" s="148" t="s">
        <v>1005</v>
      </c>
      <c r="G820" s="148" t="s">
        <v>129</v>
      </c>
      <c r="H820" s="148">
        <v>2138963</v>
      </c>
      <c r="I820" s="148">
        <v>0</v>
      </c>
      <c r="J820" s="148">
        <v>0</v>
      </c>
      <c r="K820" s="148" t="str">
        <f t="shared" si="12"/>
        <v>INSTRUMENTDPD_PRFRMNG_STTS</v>
      </c>
    </row>
    <row r="821" spans="1:11" hidden="1">
      <c r="A821" s="148" t="s">
        <v>1012</v>
      </c>
      <c r="B821" s="148" t="s">
        <v>1013</v>
      </c>
      <c r="C821" s="148" t="s">
        <v>127</v>
      </c>
      <c r="D821" s="148" t="s">
        <v>51</v>
      </c>
      <c r="E821" s="148" t="s">
        <v>1014</v>
      </c>
      <c r="F821" s="148" t="s">
        <v>1005</v>
      </c>
      <c r="G821" s="148" t="s">
        <v>1011</v>
      </c>
      <c r="H821" s="148">
        <v>2138963</v>
      </c>
      <c r="I821" s="148">
        <v>29</v>
      </c>
      <c r="J821" s="148">
        <v>1.4E-3</v>
      </c>
      <c r="K821" s="148" t="str">
        <f t="shared" si="12"/>
        <v>INSTRUMENTDT_IMPRMNT_STTS</v>
      </c>
    </row>
    <row r="822" spans="1:11" hidden="1">
      <c r="A822" s="148" t="s">
        <v>1015</v>
      </c>
      <c r="B822" s="148" t="s">
        <v>1016</v>
      </c>
      <c r="C822" s="148" t="s">
        <v>127</v>
      </c>
      <c r="D822" s="148" t="s">
        <v>52</v>
      </c>
      <c r="E822" s="148" t="s">
        <v>1014</v>
      </c>
      <c r="F822" s="148" t="s">
        <v>1005</v>
      </c>
      <c r="G822" s="148" t="s">
        <v>1011</v>
      </c>
      <c r="H822" s="148">
        <v>2138963</v>
      </c>
      <c r="I822" s="148">
        <v>29</v>
      </c>
      <c r="J822" s="148">
        <v>1.4E-3</v>
      </c>
      <c r="K822" s="148" t="str">
        <f t="shared" si="12"/>
        <v>INSTRUMENTDT_IMPRMNT_STTS_PRVS</v>
      </c>
    </row>
    <row r="823" spans="1:11" hidden="1">
      <c r="A823" s="148" t="s">
        <v>2924</v>
      </c>
      <c r="B823" s="148" t="s">
        <v>2925</v>
      </c>
      <c r="C823" s="148" t="s">
        <v>127</v>
      </c>
      <c r="D823" s="148" t="s">
        <v>282</v>
      </c>
      <c r="E823" s="148" t="s">
        <v>1014</v>
      </c>
      <c r="F823" s="148" t="s">
        <v>1005</v>
      </c>
      <c r="G823" s="148" t="s">
        <v>129</v>
      </c>
      <c r="H823" s="148">
        <v>2138963</v>
      </c>
      <c r="I823" s="148">
        <v>0</v>
      </c>
      <c r="J823" s="148">
        <v>0</v>
      </c>
      <c r="K823" s="148" t="str">
        <f t="shared" si="12"/>
        <v>INSTRUMENTDT_PST_D</v>
      </c>
    </row>
    <row r="824" spans="1:11" hidden="1">
      <c r="A824" s="148" t="s">
        <v>2926</v>
      </c>
      <c r="B824" s="148" t="s">
        <v>2927</v>
      </c>
      <c r="C824" s="148" t="s">
        <v>127</v>
      </c>
      <c r="D824" s="148" t="s">
        <v>418</v>
      </c>
      <c r="E824" s="148" t="s">
        <v>1004</v>
      </c>
      <c r="F824" s="148" t="s">
        <v>1005</v>
      </c>
      <c r="G824" s="148" t="s">
        <v>129</v>
      </c>
      <c r="H824" s="148">
        <v>2138963</v>
      </c>
      <c r="I824" s="148">
        <v>0</v>
      </c>
      <c r="J824" s="148">
        <v>0</v>
      </c>
      <c r="K824" s="148" t="str">
        <f t="shared" si="12"/>
        <v>INSTRUMENTNMBR_FRBRNC_MSRS</v>
      </c>
    </row>
    <row r="825" spans="1:11" hidden="1">
      <c r="A825" s="148" t="s">
        <v>2928</v>
      </c>
      <c r="B825" s="148" t="s">
        <v>2929</v>
      </c>
      <c r="C825" s="148" t="s">
        <v>127</v>
      </c>
      <c r="D825" s="148" t="s">
        <v>403</v>
      </c>
      <c r="E825" s="148" t="s">
        <v>1004</v>
      </c>
      <c r="F825" s="148" t="s">
        <v>1005</v>
      </c>
      <c r="G825" s="148" t="s">
        <v>1011</v>
      </c>
      <c r="H825" s="148">
        <v>2138963</v>
      </c>
      <c r="I825" s="148">
        <v>6</v>
      </c>
      <c r="J825" s="148">
        <v>2.9999999999999997E-4</v>
      </c>
      <c r="K825" s="148" t="str">
        <f t="shared" si="12"/>
        <v>INSTRUMENTLTV</v>
      </c>
    </row>
    <row r="826" spans="1:11" hidden="1">
      <c r="A826" s="148" t="s">
        <v>2930</v>
      </c>
      <c r="B826" s="148" t="s">
        <v>2931</v>
      </c>
      <c r="C826" s="148" t="s">
        <v>127</v>
      </c>
      <c r="D826" s="148" t="s">
        <v>404</v>
      </c>
      <c r="E826" s="148" t="s">
        <v>1004</v>
      </c>
      <c r="F826" s="148" t="s">
        <v>1005</v>
      </c>
      <c r="G826" s="148" t="s">
        <v>1011</v>
      </c>
      <c r="H826" s="148">
        <v>2138963</v>
      </c>
      <c r="I826" s="148">
        <v>3</v>
      </c>
      <c r="J826" s="148">
        <v>1E-4</v>
      </c>
      <c r="K826" s="148" t="str">
        <f t="shared" si="12"/>
        <v>INSTRUMENTLTV_INCPTN</v>
      </c>
    </row>
    <row r="827" spans="1:11" hidden="1">
      <c r="A827" s="148" t="s">
        <v>2932</v>
      </c>
      <c r="B827" s="148" t="s">
        <v>2933</v>
      </c>
      <c r="C827" s="148" t="s">
        <v>127</v>
      </c>
      <c r="D827" s="148" t="s">
        <v>405</v>
      </c>
      <c r="E827" s="148" t="s">
        <v>1004</v>
      </c>
      <c r="F827" s="148" t="s">
        <v>1005</v>
      </c>
      <c r="G827" s="148" t="s">
        <v>129</v>
      </c>
      <c r="H827" s="148">
        <v>2138963</v>
      </c>
      <c r="I827" s="148">
        <v>0</v>
      </c>
      <c r="J827" s="148">
        <v>0</v>
      </c>
      <c r="K827" s="148" t="str">
        <f t="shared" si="12"/>
        <v>INSTRUMENTLTV_NPE</v>
      </c>
    </row>
    <row r="828" spans="1:11" hidden="1">
      <c r="A828" s="148" t="s">
        <v>2934</v>
      </c>
      <c r="B828" s="148" t="s">
        <v>2935</v>
      </c>
      <c r="C828" s="148" t="s">
        <v>127</v>
      </c>
      <c r="D828" s="148" t="s">
        <v>153</v>
      </c>
      <c r="E828" s="148" t="s">
        <v>1004</v>
      </c>
      <c r="F828" s="148" t="s">
        <v>1005</v>
      </c>
      <c r="G828" s="148" t="s">
        <v>1011</v>
      </c>
      <c r="H828" s="148">
        <v>2138963</v>
      </c>
      <c r="I828" s="148">
        <v>4</v>
      </c>
      <c r="J828" s="148">
        <v>2.0000000000000001E-4</v>
      </c>
      <c r="K828" s="148" t="str">
        <f t="shared" si="12"/>
        <v>INSTRUMENTANNLSD_AGRD_RT</v>
      </c>
    </row>
    <row r="829" spans="1:11" hidden="1">
      <c r="A829" s="148" t="s">
        <v>2936</v>
      </c>
      <c r="B829" s="148" t="s">
        <v>2937</v>
      </c>
      <c r="C829" s="148" t="s">
        <v>127</v>
      </c>
      <c r="D829" s="148" t="s">
        <v>477</v>
      </c>
      <c r="E829" s="148" t="s">
        <v>1004</v>
      </c>
      <c r="F829" s="148" t="s">
        <v>1005</v>
      </c>
      <c r="G829" s="148" t="s">
        <v>1011</v>
      </c>
      <c r="H829" s="148">
        <v>2138963</v>
      </c>
      <c r="I829" s="148">
        <v>2</v>
      </c>
      <c r="J829" s="148">
        <v>1E-4</v>
      </c>
      <c r="K829" s="148" t="str">
        <f t="shared" si="12"/>
        <v>INSTRUMENTRCVD_AMRTSTN_12M</v>
      </c>
    </row>
    <row r="830" spans="1:11" hidden="1">
      <c r="A830" s="148" t="s">
        <v>2938</v>
      </c>
      <c r="B830" s="148" t="s">
        <v>2939</v>
      </c>
      <c r="C830" s="148" t="s">
        <v>127</v>
      </c>
      <c r="D830" s="148" t="s">
        <v>478</v>
      </c>
      <c r="E830" s="148" t="s">
        <v>1004</v>
      </c>
      <c r="F830" s="148" t="s">
        <v>1005</v>
      </c>
      <c r="G830" s="148" t="s">
        <v>1011</v>
      </c>
      <c r="H830" s="148">
        <v>2138963</v>
      </c>
      <c r="I830" s="148">
        <v>2</v>
      </c>
      <c r="J830" s="148">
        <v>1E-4</v>
      </c>
      <c r="K830" s="148" t="str">
        <f t="shared" si="12"/>
        <v>INSTRUMENTRCVD_AMRTSTN_24M</v>
      </c>
    </row>
    <row r="831" spans="1:11" hidden="1">
      <c r="A831" s="148" t="s">
        <v>2940</v>
      </c>
      <c r="B831" s="148" t="s">
        <v>2941</v>
      </c>
      <c r="C831" s="148" t="s">
        <v>127</v>
      </c>
      <c r="D831" s="148" t="s">
        <v>254</v>
      </c>
      <c r="E831" s="148" t="s">
        <v>1004</v>
      </c>
      <c r="F831" s="148" t="s">
        <v>1005</v>
      </c>
      <c r="G831" s="148" t="s">
        <v>129</v>
      </c>
      <c r="H831" s="148">
        <v>2138963</v>
      </c>
      <c r="I831" s="148">
        <v>0</v>
      </c>
      <c r="J831" s="148">
        <v>0</v>
      </c>
      <c r="K831" s="148" t="str">
        <f t="shared" si="12"/>
        <v>INSTRUMENTRCVD_INTRST_12M</v>
      </c>
    </row>
    <row r="832" spans="1:11" hidden="1">
      <c r="A832" s="148" t="s">
        <v>2942</v>
      </c>
      <c r="B832" s="148" t="s">
        <v>2943</v>
      </c>
      <c r="C832" s="148" t="s">
        <v>127</v>
      </c>
      <c r="D832" s="148" t="s">
        <v>251</v>
      </c>
      <c r="E832" s="148" t="s">
        <v>1004</v>
      </c>
      <c r="F832" s="148" t="s">
        <v>1005</v>
      </c>
      <c r="G832" s="148" t="s">
        <v>129</v>
      </c>
      <c r="H832" s="148">
        <v>2138963</v>
      </c>
      <c r="I832" s="148">
        <v>0</v>
      </c>
      <c r="J832" s="148">
        <v>0</v>
      </c>
      <c r="K832" s="148" t="str">
        <f t="shared" si="12"/>
        <v>INSTRUMENTRCVD_INTRST_24M</v>
      </c>
    </row>
    <row r="833" spans="1:11" hidden="1">
      <c r="A833" s="148" t="s">
        <v>2944</v>
      </c>
      <c r="B833" s="148" t="s">
        <v>2945</v>
      </c>
      <c r="C833" s="148" t="s">
        <v>127</v>
      </c>
      <c r="D833" s="148" t="s">
        <v>507</v>
      </c>
      <c r="E833" s="148" t="s">
        <v>1004</v>
      </c>
      <c r="F833" s="148" t="s">
        <v>1005</v>
      </c>
      <c r="G833" s="148" t="s">
        <v>129</v>
      </c>
      <c r="H833" s="148">
        <v>2138963</v>
      </c>
      <c r="I833" s="148">
        <v>0</v>
      </c>
      <c r="J833" s="148">
        <v>0</v>
      </c>
      <c r="K833" s="148" t="str">
        <f t="shared" si="12"/>
        <v>INSTRUMENTSPRD</v>
      </c>
    </row>
    <row r="834" spans="1:11" hidden="1">
      <c r="A834" s="148" t="s">
        <v>2946</v>
      </c>
      <c r="B834" s="148" t="s">
        <v>2947</v>
      </c>
      <c r="C834" s="148" t="s">
        <v>127</v>
      </c>
      <c r="D834" s="148" t="s">
        <v>2134</v>
      </c>
      <c r="E834" s="148" t="s">
        <v>1004</v>
      </c>
      <c r="F834" s="148" t="s">
        <v>1005</v>
      </c>
      <c r="G834" s="148" t="s">
        <v>129</v>
      </c>
      <c r="H834" s="148">
        <v>2138963</v>
      </c>
      <c r="I834" s="148">
        <v>0</v>
      </c>
      <c r="J834" s="148">
        <v>0</v>
      </c>
      <c r="K834" s="148" t="str">
        <f t="shared" si="12"/>
        <v>INSTRUMENTAVRG_BLNC</v>
      </c>
    </row>
    <row r="835" spans="1:11" hidden="1">
      <c r="A835" s="148" t="s">
        <v>2948</v>
      </c>
      <c r="B835" s="148" t="s">
        <v>2949</v>
      </c>
      <c r="C835" s="148" t="s">
        <v>127</v>
      </c>
      <c r="D835" s="148" t="s">
        <v>2139</v>
      </c>
      <c r="E835" s="148" t="s">
        <v>1004</v>
      </c>
      <c r="F835" s="148" t="s">
        <v>1005</v>
      </c>
      <c r="G835" s="148" t="s">
        <v>1011</v>
      </c>
      <c r="H835" s="148">
        <v>2138963</v>
      </c>
      <c r="I835" s="148">
        <v>5</v>
      </c>
      <c r="J835" s="148">
        <v>2.0000000000000001E-4</v>
      </c>
      <c r="K835" s="148" t="str">
        <f t="shared" ref="K835:K898" si="13">_xlfn.CONCAT(_xlfn.IFS(ISNUMBER(SEARCH("EN",A835)),"ENTITY",ISNUMBER(SEARCH("IN",A835)),"INSTRUMENT",ISNUMBER(SEARCH("PR",A835)),"PROTECTION",ISNUMBER(SEARCH("IP",A835)),"INSTR_PROTECTION",ISNUMBER(SEARCH("IE",A835)),"INSTR_ENTITY",ISNUMBER(SEARCH("AC",A835)),"INSTR_ACTIVITY"),D835)</f>
        <v>INSTRUMENTGRSS_INTRST_INCM</v>
      </c>
    </row>
    <row r="836" spans="1:11" hidden="1">
      <c r="A836" s="148" t="s">
        <v>2950</v>
      </c>
      <c r="B836" s="148" t="s">
        <v>2951</v>
      </c>
      <c r="C836" s="148" t="s">
        <v>127</v>
      </c>
      <c r="D836" s="148" t="s">
        <v>2142</v>
      </c>
      <c r="E836" s="148" t="s">
        <v>1004</v>
      </c>
      <c r="F836" s="148" t="s">
        <v>1005</v>
      </c>
      <c r="G836" s="148" t="s">
        <v>129</v>
      </c>
      <c r="H836" s="148">
        <v>2138963</v>
      </c>
      <c r="I836" s="148">
        <v>0</v>
      </c>
      <c r="J836" s="148">
        <v>0</v>
      </c>
      <c r="K836" s="148" t="str">
        <f t="shared" si="13"/>
        <v>INSTRUMENTGRSS_CMMSSN_INCM</v>
      </c>
    </row>
    <row r="837" spans="1:11" hidden="1">
      <c r="A837" s="148" t="s">
        <v>2952</v>
      </c>
      <c r="B837" s="148" t="s">
        <v>2953</v>
      </c>
      <c r="C837" s="148" t="s">
        <v>127</v>
      </c>
      <c r="D837" s="148" t="s">
        <v>2145</v>
      </c>
      <c r="E837" s="148" t="s">
        <v>1004</v>
      </c>
      <c r="F837" s="148" t="s">
        <v>1005</v>
      </c>
      <c r="G837" s="148" t="s">
        <v>1011</v>
      </c>
      <c r="H837" s="148">
        <v>2138963</v>
      </c>
      <c r="I837" s="148">
        <v>1674089</v>
      </c>
      <c r="J837" s="148">
        <v>78.266400000000004</v>
      </c>
      <c r="K837" s="148" t="str">
        <f t="shared" si="13"/>
        <v>INSTRUMENTINTRNL_TRNSFR_RT</v>
      </c>
    </row>
    <row r="838" spans="1:11" hidden="1">
      <c r="A838" s="148" t="s">
        <v>2954</v>
      </c>
      <c r="B838" s="148" t="s">
        <v>2955</v>
      </c>
      <c r="C838" s="148" t="s">
        <v>127</v>
      </c>
      <c r="D838" s="148" t="s">
        <v>2155</v>
      </c>
      <c r="E838" s="148" t="s">
        <v>1004</v>
      </c>
      <c r="F838" s="148" t="s">
        <v>1005</v>
      </c>
      <c r="G838" s="148" t="s">
        <v>129</v>
      </c>
      <c r="H838" s="148">
        <v>2138963</v>
      </c>
      <c r="I838" s="148">
        <v>0</v>
      </c>
      <c r="J838" s="148">
        <v>0</v>
      </c>
      <c r="K838" s="148" t="str">
        <f t="shared" si="13"/>
        <v>INSTRUMENTGRSS_CMMSSN_EXPNS</v>
      </c>
    </row>
    <row r="839" spans="1:11" hidden="1">
      <c r="A839" s="148" t="s">
        <v>2956</v>
      </c>
      <c r="B839" s="148" t="s">
        <v>2957</v>
      </c>
      <c r="C839" s="148" t="s">
        <v>127</v>
      </c>
      <c r="D839" s="148" t="s">
        <v>2158</v>
      </c>
      <c r="E839" s="148" t="s">
        <v>1004</v>
      </c>
      <c r="F839" s="148" t="s">
        <v>1005</v>
      </c>
      <c r="G839" s="148" t="s">
        <v>129</v>
      </c>
      <c r="H839" s="148">
        <v>2138963</v>
      </c>
      <c r="I839" s="148">
        <v>0</v>
      </c>
      <c r="J839" s="148">
        <v>0</v>
      </c>
      <c r="K839" s="148" t="str">
        <f t="shared" si="13"/>
        <v>INSTRUMENTGNS_FNNCL_TRNSCTN_EXCHNG_DFFRNCS</v>
      </c>
    </row>
    <row r="840" spans="1:11" hidden="1">
      <c r="A840" s="148" t="s">
        <v>2958</v>
      </c>
      <c r="B840" s="148" t="s">
        <v>2959</v>
      </c>
      <c r="C840" s="148" t="s">
        <v>127</v>
      </c>
      <c r="D840" s="148" t="s">
        <v>2172</v>
      </c>
      <c r="E840" s="148" t="s">
        <v>1004</v>
      </c>
      <c r="F840" s="148" t="s">
        <v>1005</v>
      </c>
      <c r="G840" s="148" t="s">
        <v>129</v>
      </c>
      <c r="H840" s="148">
        <v>2138963</v>
      </c>
      <c r="I840" s="148">
        <v>0</v>
      </c>
      <c r="J840" s="148">
        <v>0</v>
      </c>
      <c r="K840" s="148" t="str">
        <f t="shared" si="13"/>
        <v>INSTRUMENTAVRG_BLNC_OFF_BLNC</v>
      </c>
    </row>
    <row r="841" spans="1:11" hidden="1">
      <c r="A841" s="148" t="s">
        <v>2960</v>
      </c>
      <c r="B841" s="148" t="s">
        <v>2961</v>
      </c>
      <c r="C841" s="148" t="s">
        <v>127</v>
      </c>
      <c r="D841" s="148" t="s">
        <v>2175</v>
      </c>
      <c r="E841" s="148" t="s">
        <v>1004</v>
      </c>
      <c r="F841" s="148" t="s">
        <v>1005</v>
      </c>
      <c r="G841" s="148" t="s">
        <v>129</v>
      </c>
      <c r="H841" s="148">
        <v>2138963</v>
      </c>
      <c r="I841" s="148">
        <v>0</v>
      </c>
      <c r="J841" s="148">
        <v>0</v>
      </c>
      <c r="K841" s="148" t="str">
        <f t="shared" si="13"/>
        <v>INSTRUMENTINTRNL_TRNSFR_RT_OFF_BLNC</v>
      </c>
    </row>
    <row r="842" spans="1:11" hidden="1">
      <c r="A842" s="148" t="s">
        <v>2962</v>
      </c>
      <c r="B842" s="148" t="s">
        <v>2963</v>
      </c>
      <c r="C842" s="148" t="s">
        <v>127</v>
      </c>
      <c r="D842" s="148" t="s">
        <v>2178</v>
      </c>
      <c r="E842" s="148" t="s">
        <v>1004</v>
      </c>
      <c r="F842" s="148" t="s">
        <v>1005</v>
      </c>
      <c r="G842" s="148" t="s">
        <v>129</v>
      </c>
      <c r="H842" s="148">
        <v>2138963</v>
      </c>
      <c r="I842" s="148">
        <v>0</v>
      </c>
      <c r="J842" s="148">
        <v>0</v>
      </c>
      <c r="K842" s="148" t="str">
        <f t="shared" si="13"/>
        <v>INSTRUMENTGRSS_CMMSSN_INCM_OFF_BLNC</v>
      </c>
    </row>
    <row r="843" spans="1:11" hidden="1">
      <c r="A843" s="148" t="s">
        <v>2964</v>
      </c>
      <c r="B843" s="148" t="s">
        <v>2965</v>
      </c>
      <c r="C843" s="148" t="s">
        <v>127</v>
      </c>
      <c r="D843" s="148" t="s">
        <v>2181</v>
      </c>
      <c r="E843" s="148" t="s">
        <v>1004</v>
      </c>
      <c r="F843" s="148" t="s">
        <v>1005</v>
      </c>
      <c r="G843" s="148" t="s">
        <v>129</v>
      </c>
      <c r="H843" s="148">
        <v>2138963</v>
      </c>
      <c r="I843" s="148">
        <v>0</v>
      </c>
      <c r="J843" s="148">
        <v>0</v>
      </c>
      <c r="K843" s="148" t="str">
        <f t="shared" si="13"/>
        <v>INSTRUMENTGRSS_CMMSSN_EXPNS_OFF_BLNC</v>
      </c>
    </row>
    <row r="844" spans="1:11" hidden="1">
      <c r="A844" s="148" t="s">
        <v>2966</v>
      </c>
      <c r="B844" s="148" t="s">
        <v>2967</v>
      </c>
      <c r="C844" s="148" t="s">
        <v>127</v>
      </c>
      <c r="D844" s="148" t="s">
        <v>2187</v>
      </c>
      <c r="E844" s="148" t="s">
        <v>1004</v>
      </c>
      <c r="F844" s="148" t="s">
        <v>1005</v>
      </c>
      <c r="G844" s="148" t="s">
        <v>129</v>
      </c>
      <c r="H844" s="148">
        <v>2138963</v>
      </c>
      <c r="I844" s="148">
        <v>0</v>
      </c>
      <c r="J844" s="148">
        <v>0</v>
      </c>
      <c r="K844" s="148" t="str">
        <f t="shared" si="13"/>
        <v>INSTRUMENTGRSS_INTRST_EXPNS</v>
      </c>
    </row>
    <row r="845" spans="1:11" hidden="1">
      <c r="A845" s="148" t="s">
        <v>2968</v>
      </c>
      <c r="B845" s="148" t="s">
        <v>2969</v>
      </c>
      <c r="C845" s="148" t="s">
        <v>127</v>
      </c>
      <c r="D845" s="148" t="s">
        <v>2193</v>
      </c>
      <c r="E845" s="148" t="s">
        <v>1004</v>
      </c>
      <c r="F845" s="148" t="s">
        <v>1005</v>
      </c>
      <c r="G845" s="148" t="s">
        <v>129</v>
      </c>
      <c r="H845" s="148">
        <v>2138963</v>
      </c>
      <c r="I845" s="148">
        <v>0</v>
      </c>
      <c r="J845" s="148">
        <v>0</v>
      </c>
      <c r="K845" s="148" t="str">
        <f t="shared" si="13"/>
        <v>INSTRUMENTGRSS_INTRST_INCM_CCRR</v>
      </c>
    </row>
    <row r="846" spans="1:11" hidden="1">
      <c r="A846" s="148" t="s">
        <v>2970</v>
      </c>
      <c r="B846" s="148" t="s">
        <v>2971</v>
      </c>
      <c r="C846" s="148" t="s">
        <v>127</v>
      </c>
      <c r="D846" s="148" t="s">
        <v>2196</v>
      </c>
      <c r="E846" s="148" t="s">
        <v>1004</v>
      </c>
      <c r="F846" s="148" t="s">
        <v>1005</v>
      </c>
      <c r="G846" s="148" t="s">
        <v>129</v>
      </c>
      <c r="H846" s="148">
        <v>2138963</v>
      </c>
      <c r="I846" s="148">
        <v>0</v>
      </c>
      <c r="J846" s="148">
        <v>0</v>
      </c>
      <c r="K846" s="148" t="str">
        <f t="shared" si="13"/>
        <v>INSTRUMENTGRSS_INTRST_EXPNS_CCRR</v>
      </c>
    </row>
    <row r="847" spans="1:11" hidden="1">
      <c r="A847" s="148" t="s">
        <v>2972</v>
      </c>
      <c r="B847" s="148" t="s">
        <v>2973</v>
      </c>
      <c r="C847" s="148" t="s">
        <v>127</v>
      </c>
      <c r="D847" s="148" t="s">
        <v>2199</v>
      </c>
      <c r="E847" s="148" t="s">
        <v>1004</v>
      </c>
      <c r="F847" s="148" t="s">
        <v>1005</v>
      </c>
      <c r="G847" s="148" t="s">
        <v>129</v>
      </c>
      <c r="H847" s="148">
        <v>2138963</v>
      </c>
      <c r="I847" s="148">
        <v>0</v>
      </c>
      <c r="J847" s="148">
        <v>0</v>
      </c>
      <c r="K847" s="148" t="str">
        <f t="shared" si="13"/>
        <v>INSTRUMENTGRSS_CMMSSN_INCM_CCRR</v>
      </c>
    </row>
    <row r="848" spans="1:11" hidden="1">
      <c r="A848" s="148" t="s">
        <v>2974</v>
      </c>
      <c r="B848" s="148" t="s">
        <v>2975</v>
      </c>
      <c r="C848" s="148" t="s">
        <v>127</v>
      </c>
      <c r="D848" s="148" t="s">
        <v>2202</v>
      </c>
      <c r="E848" s="148" t="s">
        <v>1004</v>
      </c>
      <c r="F848" s="148" t="s">
        <v>1005</v>
      </c>
      <c r="G848" s="148" t="s">
        <v>129</v>
      </c>
      <c r="H848" s="148">
        <v>2138963</v>
      </c>
      <c r="I848" s="148">
        <v>0</v>
      </c>
      <c r="J848" s="148">
        <v>0</v>
      </c>
      <c r="K848" s="148" t="str">
        <f t="shared" si="13"/>
        <v>INSTRUMENTGRSS_CMMSSN_EXPNS_CCRR</v>
      </c>
    </row>
    <row r="849" spans="1:11" hidden="1">
      <c r="A849" s="148" t="s">
        <v>2976</v>
      </c>
      <c r="B849" s="148" t="s">
        <v>2977</v>
      </c>
      <c r="C849" s="148" t="s">
        <v>127</v>
      </c>
      <c r="D849" s="148" t="s">
        <v>2205</v>
      </c>
      <c r="E849" s="148" t="s">
        <v>1004</v>
      </c>
      <c r="F849" s="148" t="s">
        <v>1005</v>
      </c>
      <c r="G849" s="148" t="s">
        <v>129</v>
      </c>
      <c r="H849" s="148">
        <v>2138963</v>
      </c>
      <c r="I849" s="148">
        <v>0</v>
      </c>
      <c r="J849" s="148">
        <v>0</v>
      </c>
      <c r="K849" s="148" t="str">
        <f t="shared" si="13"/>
        <v>INSTRUMENTGNS_FNNCL_TRNSCTN_EXCHNG_CCRR</v>
      </c>
    </row>
    <row r="850" spans="1:11" hidden="1">
      <c r="A850" s="148" t="s">
        <v>2978</v>
      </c>
      <c r="B850" s="148" t="s">
        <v>2979</v>
      </c>
      <c r="C850" s="148" t="s">
        <v>127</v>
      </c>
      <c r="D850" s="148" t="s">
        <v>2210</v>
      </c>
      <c r="E850" s="148" t="s">
        <v>1004</v>
      </c>
      <c r="F850" s="148" t="s">
        <v>1005</v>
      </c>
      <c r="G850" s="148" t="s">
        <v>129</v>
      </c>
      <c r="H850" s="148">
        <v>2138963</v>
      </c>
      <c r="I850" s="148">
        <v>0</v>
      </c>
      <c r="J850" s="148">
        <v>0</v>
      </c>
      <c r="K850" s="148" t="str">
        <f t="shared" si="13"/>
        <v>INSTRUMENTGRSS_CMMSSN_INCM_OFF_BLNC_CCRR</v>
      </c>
    </row>
    <row r="851" spans="1:11" hidden="1">
      <c r="A851" s="148" t="s">
        <v>2980</v>
      </c>
      <c r="B851" s="148" t="s">
        <v>2981</v>
      </c>
      <c r="C851" s="148" t="s">
        <v>127</v>
      </c>
      <c r="D851" s="148" t="s">
        <v>2213</v>
      </c>
      <c r="E851" s="148" t="s">
        <v>1004</v>
      </c>
      <c r="F851" s="148" t="s">
        <v>1005</v>
      </c>
      <c r="G851" s="148" t="s">
        <v>129</v>
      </c>
      <c r="H851" s="148">
        <v>2138963</v>
      </c>
      <c r="I851" s="148">
        <v>0</v>
      </c>
      <c r="J851" s="148">
        <v>0</v>
      </c>
      <c r="K851" s="148" t="str">
        <f t="shared" si="13"/>
        <v>INSTRUMENTGRSS_CMMSSN_EXPNS_OFF_BLNC_CCRR</v>
      </c>
    </row>
    <row r="852" spans="1:11" hidden="1">
      <c r="A852" s="148" t="s">
        <v>2982</v>
      </c>
      <c r="B852" s="148" t="s">
        <v>2983</v>
      </c>
      <c r="C852" s="148" t="s">
        <v>127</v>
      </c>
      <c r="D852" s="148" t="s">
        <v>310</v>
      </c>
      <c r="E852" s="148" t="s">
        <v>1004</v>
      </c>
      <c r="F852" s="148" t="s">
        <v>1005</v>
      </c>
      <c r="G852" s="148" t="s">
        <v>129</v>
      </c>
      <c r="H852" s="148">
        <v>2138963</v>
      </c>
      <c r="I852" s="148">
        <v>0</v>
      </c>
      <c r="J852" s="148">
        <v>0</v>
      </c>
      <c r="K852" s="148" t="str">
        <f t="shared" si="13"/>
        <v>INSTRUMENTEXPCTD_LSS_CRR</v>
      </c>
    </row>
    <row r="853" spans="1:11" hidden="1">
      <c r="A853" s="148" t="s">
        <v>2984</v>
      </c>
      <c r="B853" s="148" t="s">
        <v>2985</v>
      </c>
      <c r="C853" s="148" t="s">
        <v>127</v>
      </c>
      <c r="D853" s="148" t="s">
        <v>400</v>
      </c>
      <c r="E853" s="148" t="s">
        <v>1004</v>
      </c>
      <c r="F853" s="148" t="s">
        <v>1005</v>
      </c>
      <c r="G853" s="148" t="s">
        <v>129</v>
      </c>
      <c r="H853" s="148">
        <v>2138963</v>
      </c>
      <c r="I853" s="148">
        <v>0</v>
      </c>
      <c r="J853" s="148">
        <v>0</v>
      </c>
      <c r="K853" s="148" t="str">
        <f t="shared" si="13"/>
        <v>INSTRUMENTLSTI</v>
      </c>
    </row>
    <row r="854" spans="1:11" hidden="1">
      <c r="A854" s="148" t="s">
        <v>2986</v>
      </c>
      <c r="B854" s="148" t="s">
        <v>2987</v>
      </c>
      <c r="C854" s="148" t="s">
        <v>127</v>
      </c>
      <c r="D854" s="148" t="s">
        <v>226</v>
      </c>
      <c r="E854" s="148" t="s">
        <v>1004</v>
      </c>
      <c r="F854" s="148" t="s">
        <v>1005</v>
      </c>
      <c r="G854" s="148" t="s">
        <v>129</v>
      </c>
      <c r="H854" s="148">
        <v>2138963</v>
      </c>
      <c r="I854" s="148">
        <v>0</v>
      </c>
      <c r="J854" s="148">
        <v>0</v>
      </c>
      <c r="K854" s="148" t="str">
        <f t="shared" si="13"/>
        <v>INSTRUMENTDSTI</v>
      </c>
    </row>
    <row r="855" spans="1:11" hidden="1">
      <c r="A855" s="148" t="s">
        <v>2988</v>
      </c>
      <c r="B855" s="148" t="s">
        <v>2989</v>
      </c>
      <c r="C855" s="148" t="s">
        <v>127</v>
      </c>
      <c r="D855" s="148" t="s">
        <v>402</v>
      </c>
      <c r="E855" s="148" t="s">
        <v>1004</v>
      </c>
      <c r="F855" s="148" t="s">
        <v>1005</v>
      </c>
      <c r="G855" s="148" t="s">
        <v>129</v>
      </c>
      <c r="H855" s="148">
        <v>2138963</v>
      </c>
      <c r="I855" s="148">
        <v>0</v>
      </c>
      <c r="J855" s="148">
        <v>0</v>
      </c>
      <c r="K855" s="148" t="str">
        <f t="shared" si="13"/>
        <v>INSTRUMENTLTI_INSTRMNT</v>
      </c>
    </row>
    <row r="856" spans="1:11" hidden="1">
      <c r="A856" s="148" t="s">
        <v>2990</v>
      </c>
      <c r="B856" s="148" t="s">
        <v>2991</v>
      </c>
      <c r="C856" s="148" t="s">
        <v>127</v>
      </c>
      <c r="D856" s="148" t="s">
        <v>555</v>
      </c>
      <c r="E856" s="148" t="s">
        <v>1004</v>
      </c>
      <c r="F856" s="148" t="s">
        <v>1005</v>
      </c>
      <c r="G856" s="148" t="s">
        <v>129</v>
      </c>
      <c r="H856" s="148">
        <v>2138963</v>
      </c>
      <c r="I856" s="148">
        <v>0</v>
      </c>
      <c r="J856" s="148">
        <v>0</v>
      </c>
      <c r="K856" s="148" t="str">
        <f t="shared" si="13"/>
        <v>INSTRUMENTINTRST_RT_CP</v>
      </c>
    </row>
    <row r="857" spans="1:11" hidden="1">
      <c r="A857" s="148" t="s">
        <v>2992</v>
      </c>
      <c r="B857" s="148" t="s">
        <v>2993</v>
      </c>
      <c r="C857" s="148" t="s">
        <v>127</v>
      </c>
      <c r="D857" s="148" t="s">
        <v>556</v>
      </c>
      <c r="E857" s="148" t="s">
        <v>1004</v>
      </c>
      <c r="F857" s="148" t="s">
        <v>1005</v>
      </c>
      <c r="G857" s="148" t="s">
        <v>129</v>
      </c>
      <c r="H857" s="148">
        <v>2138963</v>
      </c>
      <c r="I857" s="148">
        <v>0</v>
      </c>
      <c r="J857" s="148">
        <v>0</v>
      </c>
      <c r="K857" s="148" t="str">
        <f t="shared" si="13"/>
        <v>INSTRUMENTINTRST_RT_FLR</v>
      </c>
    </row>
    <row r="858" spans="1:11" hidden="1">
      <c r="A858" s="148" t="s">
        <v>2994</v>
      </c>
      <c r="B858" s="148" t="s">
        <v>2995</v>
      </c>
      <c r="C858" s="148" t="s">
        <v>127</v>
      </c>
      <c r="D858" s="148" t="s">
        <v>557</v>
      </c>
      <c r="E858" s="148" t="s">
        <v>1004</v>
      </c>
      <c r="F858" s="148" t="s">
        <v>1005</v>
      </c>
      <c r="G858" s="148" t="s">
        <v>129</v>
      </c>
      <c r="H858" s="148">
        <v>2138963</v>
      </c>
      <c r="I858" s="148">
        <v>0</v>
      </c>
      <c r="J858" s="148">
        <v>0</v>
      </c>
      <c r="K858" s="148" t="str">
        <f t="shared" si="13"/>
        <v>INSTRUMENTNMNL_INTRST_RT_FEE</v>
      </c>
    </row>
    <row r="859" spans="1:11" hidden="1">
      <c r="A859" s="148" t="s">
        <v>2996</v>
      </c>
      <c r="B859" s="148" t="s">
        <v>2997</v>
      </c>
      <c r="C859" s="148" t="s">
        <v>127</v>
      </c>
      <c r="D859" s="148" t="s">
        <v>559</v>
      </c>
      <c r="E859" s="148" t="s">
        <v>1004</v>
      </c>
      <c r="F859" s="148" t="s">
        <v>1005</v>
      </c>
      <c r="G859" s="148" t="s">
        <v>129</v>
      </c>
      <c r="H859" s="148">
        <v>2138963</v>
      </c>
      <c r="I859" s="148">
        <v>0</v>
      </c>
      <c r="J859" s="148">
        <v>0</v>
      </c>
      <c r="K859" s="148" t="str">
        <f t="shared" si="13"/>
        <v>INSTRUMENTTRNSFRRD_AMNT</v>
      </c>
    </row>
    <row r="860" spans="1:11" hidden="1">
      <c r="A860" s="148" t="s">
        <v>2998</v>
      </c>
      <c r="B860" s="148" t="s">
        <v>2999</v>
      </c>
      <c r="C860" s="148" t="s">
        <v>127</v>
      </c>
      <c r="D860" s="148" t="s">
        <v>1183</v>
      </c>
      <c r="E860" s="148" t="s">
        <v>1004</v>
      </c>
      <c r="F860" s="148" t="s">
        <v>1005</v>
      </c>
      <c r="G860" s="148" t="s">
        <v>129</v>
      </c>
      <c r="H860" s="148">
        <v>2138963</v>
      </c>
      <c r="I860" s="148">
        <v>0</v>
      </c>
      <c r="J860" s="148">
        <v>0</v>
      </c>
      <c r="K860" s="148" t="str">
        <f t="shared" si="13"/>
        <v>INSTRUMENTRWA_MTGTN</v>
      </c>
    </row>
    <row r="861" spans="1:11" hidden="1">
      <c r="A861" s="148" t="s">
        <v>3000</v>
      </c>
      <c r="B861" s="148" t="s">
        <v>3001</v>
      </c>
      <c r="C861" s="148" t="s">
        <v>127</v>
      </c>
      <c r="D861" s="148" t="s">
        <v>1182</v>
      </c>
      <c r="E861" s="148" t="s">
        <v>1004</v>
      </c>
      <c r="F861" s="148" t="s">
        <v>1005</v>
      </c>
      <c r="G861" s="148" t="s">
        <v>129</v>
      </c>
      <c r="H861" s="148">
        <v>2138963</v>
      </c>
      <c r="I861" s="148">
        <v>0</v>
      </c>
      <c r="J861" s="148">
        <v>0</v>
      </c>
      <c r="K861" s="148" t="str">
        <f t="shared" si="13"/>
        <v>INSTRUMENTRWA_PRMTGTN</v>
      </c>
    </row>
    <row r="862" spans="1:11" hidden="1">
      <c r="A862" s="148" t="s">
        <v>3002</v>
      </c>
      <c r="B862" s="148" t="s">
        <v>3003</v>
      </c>
      <c r="C862" s="148" t="s">
        <v>127</v>
      </c>
      <c r="D862" s="148" t="s">
        <v>1180</v>
      </c>
      <c r="E862" s="148" t="s">
        <v>1004</v>
      </c>
      <c r="F862" s="148" t="s">
        <v>1005</v>
      </c>
      <c r="G862" s="148" t="s">
        <v>1011</v>
      </c>
      <c r="H862" s="148">
        <v>2138963</v>
      </c>
      <c r="I862" s="148">
        <v>65</v>
      </c>
      <c r="J862" s="148">
        <v>3.0000000000000001E-3</v>
      </c>
      <c r="K862" s="148" t="str">
        <f t="shared" si="13"/>
        <v>INSTRUMENTTTL_LVRG_RT_INCPTN</v>
      </c>
    </row>
    <row r="863" spans="1:11" hidden="1">
      <c r="A863" s="148" t="s">
        <v>3004</v>
      </c>
      <c r="B863" s="148" t="s">
        <v>3005</v>
      </c>
      <c r="C863" s="148" t="s">
        <v>127</v>
      </c>
      <c r="D863" s="148" t="s">
        <v>1185</v>
      </c>
      <c r="E863" s="148" t="s">
        <v>1004</v>
      </c>
      <c r="F863" s="148" t="s">
        <v>1005</v>
      </c>
      <c r="G863" s="148" t="s">
        <v>1011</v>
      </c>
      <c r="H863" s="148">
        <v>2138963</v>
      </c>
      <c r="I863" s="148">
        <v>87101</v>
      </c>
      <c r="J863" s="148">
        <v>4.0720999999999998</v>
      </c>
      <c r="K863" s="148" t="str">
        <f t="shared" si="13"/>
        <v>INSTRUMENTRORAC</v>
      </c>
    </row>
    <row r="864" spans="1:11" hidden="1">
      <c r="A864" s="148" t="s">
        <v>3006</v>
      </c>
      <c r="B864" s="148" t="s">
        <v>3007</v>
      </c>
      <c r="C864" s="148" t="s">
        <v>127</v>
      </c>
      <c r="D864" s="148" t="s">
        <v>1184</v>
      </c>
      <c r="E864" s="148" t="s">
        <v>1004</v>
      </c>
      <c r="F864" s="148" t="s">
        <v>1005</v>
      </c>
      <c r="G864" s="148" t="s">
        <v>1011</v>
      </c>
      <c r="H864" s="148">
        <v>2138963</v>
      </c>
      <c r="I864" s="148">
        <v>3</v>
      </c>
      <c r="J864" s="148">
        <v>1E-4</v>
      </c>
      <c r="K864" s="148" t="str">
        <f t="shared" si="13"/>
        <v>INSTRUMENTRORWA</v>
      </c>
    </row>
    <row r="865" spans="1:11" hidden="1">
      <c r="A865" s="148" t="s">
        <v>3008</v>
      </c>
      <c r="B865" s="148" t="s">
        <v>3009</v>
      </c>
      <c r="C865" s="148" t="s">
        <v>127</v>
      </c>
      <c r="D865" s="148" t="s">
        <v>566</v>
      </c>
      <c r="E865" s="148" t="s">
        <v>1004</v>
      </c>
      <c r="F865" s="148" t="s">
        <v>1005</v>
      </c>
      <c r="G865" s="148" t="s">
        <v>129</v>
      </c>
      <c r="H865" s="148">
        <v>2138963</v>
      </c>
      <c r="I865" s="148">
        <v>0</v>
      </c>
      <c r="J865" s="148">
        <v>0</v>
      </c>
      <c r="K865" s="148" t="str">
        <f t="shared" si="13"/>
        <v>INSTRUMENTINCNTVS</v>
      </c>
    </row>
    <row r="866" spans="1:11" hidden="1">
      <c r="A866" s="148" t="s">
        <v>3010</v>
      </c>
      <c r="B866" s="148" t="s">
        <v>3011</v>
      </c>
      <c r="C866" s="148" t="s">
        <v>127</v>
      </c>
      <c r="D866" s="148" t="s">
        <v>567</v>
      </c>
      <c r="E866" s="148" t="s">
        <v>1004</v>
      </c>
      <c r="F866" s="148" t="s">
        <v>1005</v>
      </c>
      <c r="G866" s="148" t="s">
        <v>129</v>
      </c>
      <c r="H866" s="148">
        <v>2138963</v>
      </c>
      <c r="I866" s="148">
        <v>0</v>
      </c>
      <c r="J866" s="148">
        <v>0</v>
      </c>
      <c r="K866" s="148" t="str">
        <f t="shared" si="13"/>
        <v>INSTRUMENTOTHR_OPRTNG_INCM</v>
      </c>
    </row>
    <row r="867" spans="1:11" hidden="1">
      <c r="A867" s="148" t="s">
        <v>3012</v>
      </c>
      <c r="B867" s="148" t="s">
        <v>3013</v>
      </c>
      <c r="C867" s="148" t="s">
        <v>127</v>
      </c>
      <c r="D867" s="148" t="s">
        <v>568</v>
      </c>
      <c r="E867" s="148" t="s">
        <v>1004</v>
      </c>
      <c r="F867" s="148" t="s">
        <v>1005</v>
      </c>
      <c r="G867" s="148" t="s">
        <v>129</v>
      </c>
      <c r="H867" s="148">
        <v>2138963</v>
      </c>
      <c r="I867" s="148">
        <v>0</v>
      </c>
      <c r="J867" s="148">
        <v>0</v>
      </c>
      <c r="K867" s="148" t="str">
        <f t="shared" si="13"/>
        <v>INSTRUMENTRFRRL_FS</v>
      </c>
    </row>
    <row r="868" spans="1:11" hidden="1">
      <c r="A868" s="148" t="s">
        <v>3014</v>
      </c>
      <c r="B868" s="148" t="s">
        <v>3015</v>
      </c>
      <c r="C868" s="148" t="s">
        <v>127</v>
      </c>
      <c r="D868" s="148" t="s">
        <v>569</v>
      </c>
      <c r="E868" s="148" t="s">
        <v>1004</v>
      </c>
      <c r="F868" s="148" t="s">
        <v>1005</v>
      </c>
      <c r="G868" s="148" t="s">
        <v>129</v>
      </c>
      <c r="H868" s="148">
        <v>2138963</v>
      </c>
      <c r="I868" s="148">
        <v>0</v>
      </c>
      <c r="J868" s="148">
        <v>0</v>
      </c>
      <c r="K868" s="148" t="str">
        <f t="shared" si="13"/>
        <v>INSTRUMENTINSRNC_CMSSNS</v>
      </c>
    </row>
    <row r="869" spans="1:11" hidden="1">
      <c r="A869" s="148" t="s">
        <v>3016</v>
      </c>
      <c r="B869" s="148" t="s">
        <v>3017</v>
      </c>
      <c r="C869" s="148" t="s">
        <v>127</v>
      </c>
      <c r="D869" s="148" t="s">
        <v>570</v>
      </c>
      <c r="E869" s="148" t="s">
        <v>1004</v>
      </c>
      <c r="F869" s="148" t="s">
        <v>1005</v>
      </c>
      <c r="G869" s="148" t="s">
        <v>129</v>
      </c>
      <c r="H869" s="148">
        <v>2138963</v>
      </c>
      <c r="I869" s="148">
        <v>0</v>
      </c>
      <c r="J869" s="148">
        <v>0</v>
      </c>
      <c r="K869" s="148" t="str">
        <f t="shared" si="13"/>
        <v>INSTRUMENTOTHR_INCM_AND_CHRGS</v>
      </c>
    </row>
    <row r="870" spans="1:11" hidden="1">
      <c r="A870" s="148" t="s">
        <v>3018</v>
      </c>
      <c r="B870" s="148" t="s">
        <v>3019</v>
      </c>
      <c r="C870" s="148" t="s">
        <v>127</v>
      </c>
      <c r="D870" s="148" t="s">
        <v>571</v>
      </c>
      <c r="E870" s="148" t="s">
        <v>1004</v>
      </c>
      <c r="F870" s="148" t="s">
        <v>1005</v>
      </c>
      <c r="G870" s="148" t="s">
        <v>129</v>
      </c>
      <c r="H870" s="148">
        <v>2138963</v>
      </c>
      <c r="I870" s="148">
        <v>0</v>
      </c>
      <c r="J870" s="148">
        <v>0</v>
      </c>
      <c r="K870" s="148" t="str">
        <f t="shared" si="13"/>
        <v>INSTRUMENTTX_ON_PRFT</v>
      </c>
    </row>
    <row r="871" spans="1:11" hidden="1">
      <c r="A871" s="148" t="s">
        <v>3020</v>
      </c>
      <c r="B871" s="148" t="s">
        <v>3021</v>
      </c>
      <c r="C871" s="148" t="s">
        <v>127</v>
      </c>
      <c r="D871" s="148" t="s">
        <v>1179</v>
      </c>
      <c r="E871" s="148" t="s">
        <v>1004</v>
      </c>
      <c r="F871" s="148" t="s">
        <v>1005</v>
      </c>
      <c r="G871" s="148" t="s">
        <v>1011</v>
      </c>
      <c r="H871" s="148">
        <v>2138963</v>
      </c>
      <c r="I871" s="148">
        <v>65</v>
      </c>
      <c r="J871" s="148">
        <v>3.0000000000000001E-3</v>
      </c>
      <c r="K871" s="148" t="str">
        <f t="shared" si="13"/>
        <v>INSTRUMENTTTL_LVRG_RT_INCPTN_HLT</v>
      </c>
    </row>
    <row r="872" spans="1:11" hidden="1">
      <c r="A872" s="148" t="s">
        <v>3022</v>
      </c>
      <c r="B872" s="148" t="s">
        <v>2711</v>
      </c>
      <c r="C872" s="148" t="s">
        <v>188</v>
      </c>
      <c r="D872" s="148" t="s">
        <v>283</v>
      </c>
      <c r="E872" s="148" t="s">
        <v>1014</v>
      </c>
      <c r="F872" s="148" t="s">
        <v>3023</v>
      </c>
      <c r="G872" s="148" t="s">
        <v>129</v>
      </c>
      <c r="H872" s="148">
        <v>783914</v>
      </c>
      <c r="I872" s="148">
        <v>0</v>
      </c>
      <c r="J872" s="148">
        <v>0</v>
      </c>
      <c r="K872" s="148" t="str">
        <f t="shared" si="13"/>
        <v>INSTR_PROTECTIONDT_RFRNC</v>
      </c>
    </row>
    <row r="873" spans="1:11" hidden="1">
      <c r="A873" s="148" t="s">
        <v>3024</v>
      </c>
      <c r="B873" s="148" t="s">
        <v>3025</v>
      </c>
      <c r="C873" s="148" t="s">
        <v>188</v>
      </c>
      <c r="D873" s="148" t="s">
        <v>459</v>
      </c>
      <c r="E873" s="148" t="s">
        <v>3026</v>
      </c>
      <c r="F873" s="148" t="s">
        <v>3023</v>
      </c>
      <c r="G873" s="148" t="s">
        <v>129</v>
      </c>
      <c r="H873" s="148">
        <v>783914</v>
      </c>
      <c r="I873" s="148">
        <v>0</v>
      </c>
      <c r="J873" s="148">
        <v>0</v>
      </c>
      <c r="K873" s="148" t="str">
        <f t="shared" si="13"/>
        <v>INSTR_PROTECTIONPRTCTN_ALLCTD_VL</v>
      </c>
    </row>
    <row r="874" spans="1:11" hidden="1">
      <c r="A874" s="148" t="s">
        <v>3027</v>
      </c>
      <c r="B874" s="148" t="s">
        <v>3028</v>
      </c>
      <c r="C874" s="148" t="s">
        <v>188</v>
      </c>
      <c r="D874" s="148" t="s">
        <v>520</v>
      </c>
      <c r="E874" s="148" t="s">
        <v>1004</v>
      </c>
      <c r="F874" s="148" t="s">
        <v>3023</v>
      </c>
      <c r="G874" s="148" t="s">
        <v>129</v>
      </c>
      <c r="H874" s="148">
        <v>783914</v>
      </c>
      <c r="I874" s="148">
        <v>0</v>
      </c>
      <c r="J874" s="148">
        <v>0</v>
      </c>
      <c r="K874" s="148" t="str">
        <f t="shared" si="13"/>
        <v>INSTR_PROTECTIONTHRD_PRTY_PRRTY_CLMS</v>
      </c>
    </row>
    <row r="875" spans="1:11" hidden="1">
      <c r="A875" s="148" t="s">
        <v>3029</v>
      </c>
      <c r="B875" s="148" t="s">
        <v>3030</v>
      </c>
      <c r="C875" s="148" t="s">
        <v>156</v>
      </c>
      <c r="D875" s="148" t="s">
        <v>269</v>
      </c>
      <c r="E875" s="148" t="s">
        <v>1014</v>
      </c>
      <c r="F875" s="148" t="s">
        <v>3031</v>
      </c>
      <c r="G875" s="148" t="s">
        <v>129</v>
      </c>
      <c r="H875" s="148">
        <v>465126</v>
      </c>
      <c r="I875" s="148">
        <v>0</v>
      </c>
      <c r="J875" s="148">
        <v>0</v>
      </c>
      <c r="K875" s="148" t="str">
        <f t="shared" si="13"/>
        <v>PROTECTIONDT_MTRTY_PRTCTN</v>
      </c>
    </row>
    <row r="876" spans="1:11" hidden="1">
      <c r="A876" s="148" t="s">
        <v>3032</v>
      </c>
      <c r="B876" s="148" t="s">
        <v>2711</v>
      </c>
      <c r="C876" s="148" t="s">
        <v>156</v>
      </c>
      <c r="D876" s="148" t="s">
        <v>283</v>
      </c>
      <c r="E876" s="148" t="s">
        <v>1014</v>
      </c>
      <c r="F876" s="148" t="s">
        <v>3031</v>
      </c>
      <c r="G876" s="148" t="s">
        <v>129</v>
      </c>
      <c r="H876" s="148">
        <v>465126</v>
      </c>
      <c r="I876" s="148">
        <v>0</v>
      </c>
      <c r="J876" s="148">
        <v>0</v>
      </c>
      <c r="K876" s="148" t="str">
        <f t="shared" si="13"/>
        <v>PROTECTIONDT_RFRNC</v>
      </c>
    </row>
    <row r="877" spans="1:11" hidden="1">
      <c r="A877" s="148" t="s">
        <v>3033</v>
      </c>
      <c r="B877" s="148" t="s">
        <v>889</v>
      </c>
      <c r="C877" s="148" t="s">
        <v>127</v>
      </c>
      <c r="D877" s="148" t="s">
        <v>267</v>
      </c>
      <c r="E877" s="148" t="s">
        <v>1014</v>
      </c>
      <c r="F877" s="148" t="s">
        <v>3031</v>
      </c>
      <c r="G877" s="148" t="s">
        <v>129</v>
      </c>
      <c r="H877" s="148">
        <v>465126</v>
      </c>
      <c r="I877" s="148">
        <v>0</v>
      </c>
      <c r="J877" s="148">
        <v>0</v>
      </c>
      <c r="K877" s="148" t="str">
        <f t="shared" si="13"/>
        <v>PROTECTIONDT_LST_FLL_APPRSL</v>
      </c>
    </row>
    <row r="878" spans="1:11" hidden="1">
      <c r="A878" s="148" t="s">
        <v>3034</v>
      </c>
      <c r="B878" s="148" t="s">
        <v>798</v>
      </c>
      <c r="C878" s="148" t="s">
        <v>156</v>
      </c>
      <c r="D878" s="148" t="s">
        <v>43</v>
      </c>
      <c r="E878" s="148" t="s">
        <v>1014</v>
      </c>
      <c r="F878" s="148" t="s">
        <v>3031</v>
      </c>
      <c r="G878" s="148" t="s">
        <v>1011</v>
      </c>
      <c r="H878" s="148">
        <v>465126</v>
      </c>
      <c r="I878" s="148">
        <v>5</v>
      </c>
      <c r="J878" s="148">
        <v>1.1000000000000001E-3</v>
      </c>
      <c r="K878" s="148" t="str">
        <f t="shared" si="13"/>
        <v>PROTECTIONDT_ORGNL_PRTCTN_VL</v>
      </c>
    </row>
    <row r="879" spans="1:11" hidden="1">
      <c r="A879" s="148" t="s">
        <v>3035</v>
      </c>
      <c r="B879" s="148" t="s">
        <v>726</v>
      </c>
      <c r="C879" s="148" t="s">
        <v>156</v>
      </c>
      <c r="D879" s="148" t="s">
        <v>235</v>
      </c>
      <c r="E879" s="148" t="s">
        <v>1014</v>
      </c>
      <c r="F879" s="148" t="s">
        <v>3031</v>
      </c>
      <c r="G879" s="148" t="s">
        <v>129</v>
      </c>
      <c r="H879" s="148">
        <v>465126</v>
      </c>
      <c r="I879" s="148">
        <v>0</v>
      </c>
      <c r="J879" s="148">
        <v>0</v>
      </c>
      <c r="K879" s="148" t="str">
        <f t="shared" si="13"/>
        <v>PROTECTIONDT_PRTCTN_VL</v>
      </c>
    </row>
    <row r="880" spans="1:11" hidden="1">
      <c r="A880" s="148" t="s">
        <v>3036</v>
      </c>
      <c r="B880" s="148" t="s">
        <v>811</v>
      </c>
      <c r="C880" s="148" t="s">
        <v>156</v>
      </c>
      <c r="D880" s="148" t="s">
        <v>41</v>
      </c>
      <c r="E880" s="148" t="s">
        <v>3026</v>
      </c>
      <c r="F880" s="148" t="s">
        <v>3031</v>
      </c>
      <c r="G880" s="148" t="s">
        <v>129</v>
      </c>
      <c r="H880" s="148">
        <v>465126</v>
      </c>
      <c r="I880" s="148">
        <v>0</v>
      </c>
      <c r="J880" s="148">
        <v>0</v>
      </c>
      <c r="K880" s="148" t="str">
        <f t="shared" si="13"/>
        <v>PROTECTIONORGNL_PRTCTN_VL</v>
      </c>
    </row>
    <row r="881" spans="1:11" hidden="1">
      <c r="A881" s="148" t="s">
        <v>3037</v>
      </c>
      <c r="B881" s="148" t="s">
        <v>3038</v>
      </c>
      <c r="C881" s="148" t="s">
        <v>156</v>
      </c>
      <c r="D881" s="148" t="s">
        <v>461</v>
      </c>
      <c r="E881" s="148" t="s">
        <v>1004</v>
      </c>
      <c r="F881" s="148" t="s">
        <v>3031</v>
      </c>
      <c r="G881" s="148" t="s">
        <v>129</v>
      </c>
      <c r="H881" s="148">
        <v>465126</v>
      </c>
      <c r="I881" s="148">
        <v>0</v>
      </c>
      <c r="J881" s="148">
        <v>0</v>
      </c>
      <c r="K881" s="148" t="str">
        <f t="shared" si="13"/>
        <v>PROTECTIONPRTCTN_FRCD_SL_VL</v>
      </c>
    </row>
    <row r="882" spans="1:11" hidden="1">
      <c r="A882" s="148" t="s">
        <v>3039</v>
      </c>
      <c r="B882" s="148" t="s">
        <v>740</v>
      </c>
      <c r="C882" s="148" t="s">
        <v>156</v>
      </c>
      <c r="D882" s="148" t="s">
        <v>78</v>
      </c>
      <c r="E882" s="148" t="s">
        <v>3026</v>
      </c>
      <c r="F882" s="148" t="s">
        <v>3031</v>
      </c>
      <c r="G882" s="148" t="s">
        <v>129</v>
      </c>
      <c r="H882" s="148">
        <v>465126</v>
      </c>
      <c r="I882" s="148">
        <v>0</v>
      </c>
      <c r="J882" s="148">
        <v>0</v>
      </c>
      <c r="K882" s="148" t="str">
        <f t="shared" si="13"/>
        <v>PROTECTIONPRTCTN_VL</v>
      </c>
    </row>
    <row r="883" spans="1:11" hidden="1">
      <c r="A883" s="148" t="s">
        <v>3040</v>
      </c>
      <c r="B883" s="148" t="s">
        <v>3041</v>
      </c>
      <c r="C883" s="148" t="s">
        <v>156</v>
      </c>
      <c r="D883" s="148" t="s">
        <v>534</v>
      </c>
      <c r="E883" s="148" t="s">
        <v>1004</v>
      </c>
      <c r="F883" s="148" t="s">
        <v>3031</v>
      </c>
      <c r="G883" s="148" t="s">
        <v>129</v>
      </c>
      <c r="H883" s="148">
        <v>465126</v>
      </c>
      <c r="I883" s="148">
        <v>0</v>
      </c>
      <c r="J883" s="148">
        <v>0</v>
      </c>
      <c r="K883" s="148" t="str">
        <f t="shared" si="13"/>
        <v>PROTECTIONPRTCTN_VL_NPE</v>
      </c>
    </row>
    <row r="884" spans="1:11" hidden="1">
      <c r="A884" s="148" t="s">
        <v>3042</v>
      </c>
      <c r="B884" s="148" t="s">
        <v>671</v>
      </c>
      <c r="C884" s="148" t="s">
        <v>156</v>
      </c>
      <c r="D884" s="148" t="s">
        <v>179</v>
      </c>
      <c r="E884" s="148" t="s">
        <v>1014</v>
      </c>
      <c r="F884" s="148" t="s">
        <v>3031</v>
      </c>
      <c r="G884" s="148" t="s">
        <v>129</v>
      </c>
      <c r="H884" s="148">
        <v>465126</v>
      </c>
      <c r="I884" s="148">
        <v>0</v>
      </c>
      <c r="J884" s="148">
        <v>0</v>
      </c>
      <c r="K884" s="148" t="str">
        <f t="shared" si="13"/>
        <v>PROTECTIONDT_APPRSL_PRVS</v>
      </c>
    </row>
    <row r="885" spans="1:11">
      <c r="A885" s="148" t="s">
        <v>3043</v>
      </c>
      <c r="B885" s="148" t="s">
        <v>3044</v>
      </c>
      <c r="C885" s="148" t="s">
        <v>156</v>
      </c>
      <c r="D885" s="148" t="s">
        <v>468</v>
      </c>
      <c r="E885" s="148" t="s">
        <v>1004</v>
      </c>
      <c r="F885" s="148" t="s">
        <v>3031</v>
      </c>
      <c r="G885" s="148" t="s">
        <v>129</v>
      </c>
      <c r="H885" s="148">
        <v>465126</v>
      </c>
      <c r="I885" s="148">
        <v>0</v>
      </c>
      <c r="J885" s="148">
        <v>0</v>
      </c>
      <c r="K885" s="148" t="str">
        <f t="shared" si="13"/>
        <v>PROTECTIONPRTCTN_VL_PRVS</v>
      </c>
    </row>
    <row r="886" spans="1:11" hidden="1">
      <c r="A886" s="148" t="s">
        <v>3045</v>
      </c>
      <c r="B886" s="148" t="s">
        <v>3046</v>
      </c>
      <c r="C886" s="148" t="s">
        <v>156</v>
      </c>
      <c r="D886" s="148" t="s">
        <v>67</v>
      </c>
      <c r="E886" s="148" t="s">
        <v>1014</v>
      </c>
      <c r="F886" s="148" t="s">
        <v>3031</v>
      </c>
      <c r="G886" s="148" t="s">
        <v>129</v>
      </c>
      <c r="H886" s="148">
        <v>465126</v>
      </c>
      <c r="I886" s="148">
        <v>0</v>
      </c>
      <c r="J886" s="148">
        <v>0</v>
      </c>
      <c r="K886" s="148" t="str">
        <f t="shared" si="13"/>
        <v>PROTECTIONDT_CNSTRCTN_STTS</v>
      </c>
    </row>
    <row r="887" spans="1:11" hidden="1">
      <c r="A887" s="148" t="s">
        <v>3047</v>
      </c>
      <c r="B887" s="148" t="s">
        <v>3048</v>
      </c>
      <c r="C887" s="148" t="s">
        <v>156</v>
      </c>
      <c r="D887" s="148" t="s">
        <v>256</v>
      </c>
      <c r="E887" s="148" t="s">
        <v>1014</v>
      </c>
      <c r="F887" s="148" t="s">
        <v>3031</v>
      </c>
      <c r="G887" s="148" t="s">
        <v>129</v>
      </c>
      <c r="H887" s="148">
        <v>465126</v>
      </c>
      <c r="I887" s="148">
        <v>0</v>
      </c>
      <c r="J887" s="148">
        <v>0</v>
      </c>
      <c r="K887" s="148" t="str">
        <f t="shared" si="13"/>
        <v>PROTECTIONDT_FRST_USG</v>
      </c>
    </row>
    <row r="888" spans="1:11" hidden="1">
      <c r="A888" s="148" t="s">
        <v>3049</v>
      </c>
      <c r="B888" s="148" t="s">
        <v>3050</v>
      </c>
      <c r="C888" s="148" t="s">
        <v>156</v>
      </c>
      <c r="D888" s="148" t="s">
        <v>196</v>
      </c>
      <c r="E888" s="148" t="s">
        <v>1004</v>
      </c>
      <c r="F888" s="148" t="s">
        <v>3031</v>
      </c>
      <c r="G888" s="148" t="s">
        <v>129</v>
      </c>
      <c r="H888" s="148">
        <v>465126</v>
      </c>
      <c r="I888" s="148">
        <v>0</v>
      </c>
      <c r="J888" s="148">
        <v>0</v>
      </c>
      <c r="K888" s="148" t="str">
        <f t="shared" si="13"/>
        <v>PROTECTIONCRE_YRLY_EXPNSS</v>
      </c>
    </row>
    <row r="889" spans="1:11" hidden="1">
      <c r="A889" s="148" t="s">
        <v>3051</v>
      </c>
      <c r="B889" s="148" t="s">
        <v>3052</v>
      </c>
      <c r="C889" s="148" t="s">
        <v>156</v>
      </c>
      <c r="D889" s="148" t="s">
        <v>197</v>
      </c>
      <c r="E889" s="148" t="s">
        <v>1004</v>
      </c>
      <c r="F889" s="148" t="s">
        <v>3031</v>
      </c>
      <c r="G889" s="148" t="s">
        <v>129</v>
      </c>
      <c r="H889" s="148">
        <v>465126</v>
      </c>
      <c r="I889" s="148">
        <v>0</v>
      </c>
      <c r="J889" s="148">
        <v>0</v>
      </c>
      <c r="K889" s="148" t="str">
        <f t="shared" si="13"/>
        <v>PROTECTIONCRE_YRLY_INCM</v>
      </c>
    </row>
    <row r="890" spans="1:11" hidden="1">
      <c r="A890" s="148" t="s">
        <v>3053</v>
      </c>
      <c r="B890" s="148" t="s">
        <v>3054</v>
      </c>
      <c r="C890" s="148" t="s">
        <v>156</v>
      </c>
      <c r="D890" s="148" t="s">
        <v>2446</v>
      </c>
      <c r="E890" s="148" t="s">
        <v>1004</v>
      </c>
      <c r="F890" s="148" t="s">
        <v>3031</v>
      </c>
      <c r="G890" s="148" t="s">
        <v>129</v>
      </c>
      <c r="H890" s="148">
        <v>465126</v>
      </c>
      <c r="I890" s="148">
        <v>0</v>
      </c>
      <c r="J890" s="148">
        <v>0</v>
      </c>
      <c r="K890" s="148" t="str">
        <f t="shared" si="13"/>
        <v>PROTECTIONAMNT_CVRD_INSRNC</v>
      </c>
    </row>
    <row r="891" spans="1:11" hidden="1">
      <c r="A891" s="148" t="s">
        <v>3055</v>
      </c>
      <c r="B891" s="148" t="s">
        <v>3056</v>
      </c>
      <c r="C891" s="148" t="s">
        <v>156</v>
      </c>
      <c r="D891" s="148" t="s">
        <v>542</v>
      </c>
      <c r="E891" s="148" t="s">
        <v>1004</v>
      </c>
      <c r="F891" s="148" t="s">
        <v>3031</v>
      </c>
      <c r="G891" s="148" t="s">
        <v>1011</v>
      </c>
      <c r="H891" s="148">
        <v>465126</v>
      </c>
      <c r="I891" s="148">
        <v>103</v>
      </c>
      <c r="J891" s="148">
        <v>2.2100000000000002E-2</v>
      </c>
      <c r="K891" s="148" t="str">
        <f t="shared" si="13"/>
        <v>PROTECTIONYR_CNSTRCTN</v>
      </c>
    </row>
    <row r="892" spans="1:11" hidden="1">
      <c r="A892" s="148" t="s">
        <v>3057</v>
      </c>
      <c r="B892" s="148" t="s">
        <v>3058</v>
      </c>
      <c r="C892" s="148" t="s">
        <v>156</v>
      </c>
      <c r="D892" s="148" t="s">
        <v>2456</v>
      </c>
      <c r="E892" s="148" t="s">
        <v>1004</v>
      </c>
      <c r="F892" s="148" t="s">
        <v>3031</v>
      </c>
      <c r="G892" s="148" t="s">
        <v>129</v>
      </c>
      <c r="H892" s="148">
        <v>465126</v>
      </c>
      <c r="I892" s="148">
        <v>0</v>
      </c>
      <c r="J892" s="148">
        <v>0</v>
      </c>
      <c r="K892" s="148" t="str">
        <f t="shared" si="13"/>
        <v>PROTECTIONBLDNG_AR</v>
      </c>
    </row>
    <row r="893" spans="1:11" hidden="1">
      <c r="A893" s="148" t="s">
        <v>3059</v>
      </c>
      <c r="B893" s="148" t="s">
        <v>3060</v>
      </c>
      <c r="C893" s="148" t="s">
        <v>156</v>
      </c>
      <c r="D893" s="148" t="s">
        <v>572</v>
      </c>
      <c r="E893" s="148" t="s">
        <v>1004</v>
      </c>
      <c r="F893" s="148" t="s">
        <v>3031</v>
      </c>
      <c r="G893" s="148" t="s">
        <v>129</v>
      </c>
      <c r="H893" s="148">
        <v>465126</v>
      </c>
      <c r="I893" s="148">
        <v>0</v>
      </c>
      <c r="J893" s="148">
        <v>0</v>
      </c>
      <c r="K893" s="148" t="str">
        <f t="shared" si="13"/>
        <v>PROTECTIONLND_AR</v>
      </c>
    </row>
    <row r="894" spans="1:11" hidden="1">
      <c r="A894" s="148" t="s">
        <v>3061</v>
      </c>
      <c r="B894" s="148" t="s">
        <v>3062</v>
      </c>
      <c r="C894" s="148" t="s">
        <v>156</v>
      </c>
      <c r="D894" s="148" t="s">
        <v>573</v>
      </c>
      <c r="E894" s="148" t="s">
        <v>1004</v>
      </c>
      <c r="F894" s="148" t="s">
        <v>3031</v>
      </c>
      <c r="G894" s="148" t="s">
        <v>129</v>
      </c>
      <c r="H894" s="148">
        <v>465126</v>
      </c>
      <c r="I894" s="148">
        <v>0</v>
      </c>
      <c r="J894" s="148">
        <v>0</v>
      </c>
      <c r="K894" s="148" t="str">
        <f t="shared" si="13"/>
        <v>PROTECTIONLN_PSTN</v>
      </c>
    </row>
    <row r="895" spans="1:11" hidden="1">
      <c r="A895" s="148" t="s">
        <v>3063</v>
      </c>
      <c r="B895" s="148" t="s">
        <v>3064</v>
      </c>
      <c r="C895" s="148" t="s">
        <v>156</v>
      </c>
      <c r="D895" s="148" t="s">
        <v>2472</v>
      </c>
      <c r="E895" s="148" t="s">
        <v>1004</v>
      </c>
      <c r="F895" s="148" t="s">
        <v>3031</v>
      </c>
      <c r="G895" s="148" t="s">
        <v>129</v>
      </c>
      <c r="H895" s="148">
        <v>465126</v>
      </c>
      <c r="I895" s="148">
        <v>0</v>
      </c>
      <c r="J895" s="148">
        <v>0</v>
      </c>
      <c r="K895" s="148" t="str">
        <f t="shared" si="13"/>
        <v>PROTECTIONPRMRY_ENRGY_DMND_NN_RNWBL</v>
      </c>
    </row>
    <row r="896" spans="1:11" hidden="1">
      <c r="A896" s="148" t="s">
        <v>3065</v>
      </c>
      <c r="B896" s="148" t="s">
        <v>3066</v>
      </c>
      <c r="C896" s="148" t="s">
        <v>156</v>
      </c>
      <c r="D896" s="148" t="s">
        <v>2475</v>
      </c>
      <c r="E896" s="148" t="s">
        <v>1004</v>
      </c>
      <c r="F896" s="148" t="s">
        <v>3031</v>
      </c>
      <c r="G896" s="148" t="s">
        <v>129</v>
      </c>
      <c r="H896" s="148">
        <v>465126</v>
      </c>
      <c r="I896" s="148">
        <v>0</v>
      </c>
      <c r="J896" s="148">
        <v>0</v>
      </c>
      <c r="K896" s="148" t="str">
        <f t="shared" si="13"/>
        <v>PROTECTIONPRMRY_ENRGY_DMND_TTL</v>
      </c>
    </row>
    <row r="897" spans="1:11" hidden="1">
      <c r="A897" s="148" t="s">
        <v>3067</v>
      </c>
      <c r="B897" s="148" t="s">
        <v>3068</v>
      </c>
      <c r="C897" s="148" t="s">
        <v>156</v>
      </c>
      <c r="D897" s="148" t="s">
        <v>2478</v>
      </c>
      <c r="E897" s="148" t="s">
        <v>1004</v>
      </c>
      <c r="F897" s="148" t="s">
        <v>3031</v>
      </c>
      <c r="G897" s="148" t="s">
        <v>129</v>
      </c>
      <c r="H897" s="148">
        <v>465126</v>
      </c>
      <c r="I897" s="148">
        <v>0</v>
      </c>
      <c r="J897" s="148">
        <v>0</v>
      </c>
      <c r="K897" s="148" t="str">
        <f t="shared" si="13"/>
        <v>PROTECTIONPRMRY_ENRGY_DMND_RFRNC_VL</v>
      </c>
    </row>
    <row r="898" spans="1:11" hidden="1">
      <c r="A898" s="148" t="s">
        <v>3069</v>
      </c>
      <c r="B898" s="148" t="s">
        <v>3070</v>
      </c>
      <c r="C898" s="148" t="s">
        <v>576</v>
      </c>
      <c r="D898" s="148" t="s">
        <v>577</v>
      </c>
      <c r="E898" s="148" t="s">
        <v>1009</v>
      </c>
      <c r="F898" s="148" t="s">
        <v>3071</v>
      </c>
      <c r="G898" s="148" t="s">
        <v>1011</v>
      </c>
      <c r="H898" s="148">
        <v>2138857</v>
      </c>
      <c r="I898" s="148">
        <v>46</v>
      </c>
      <c r="J898" s="148">
        <v>2.2000000000000001E-3</v>
      </c>
      <c r="K898" s="148" t="str">
        <f t="shared" si="13"/>
        <v>INSTR_ACTIVITYPRCNTG_ACTVTY</v>
      </c>
    </row>
    <row r="899" spans="1:11" hidden="1">
      <c r="A899" s="148" t="s">
        <v>3072</v>
      </c>
      <c r="B899" s="148" t="s">
        <v>3073</v>
      </c>
      <c r="C899" s="148" t="s">
        <v>1019</v>
      </c>
      <c r="D899" s="148" t="s">
        <v>1204</v>
      </c>
      <c r="E899" s="148" t="s">
        <v>1009</v>
      </c>
      <c r="F899" s="148" t="s">
        <v>3071</v>
      </c>
      <c r="G899" s="148" t="s">
        <v>129</v>
      </c>
      <c r="H899" s="148">
        <v>1740608</v>
      </c>
      <c r="I899" s="148">
        <v>0</v>
      </c>
      <c r="J899" s="148">
        <v>0</v>
      </c>
      <c r="K899" s="148" t="str">
        <f t="shared" ref="K899:K962" si="14">_xlfn.CONCAT(_xlfn.IFS(ISNUMBER(SEARCH("EN",A899)),"ENTITY",ISNUMBER(SEARCH("IN",A899)),"INSTRUMENT",ISNUMBER(SEARCH("PR",A899)),"PROTECTION",ISNUMBER(SEARCH("IP",A899)),"INSTR_PROTECTION",ISNUMBER(SEARCH("IE",A899)),"INSTR_ENTITY",ISNUMBER(SEARCH("AC",A899)),"INSTR_ACTIVITY"),D899)</f>
        <v>INSTR_ACTIVITYENVRNMNTL_OBJCTV</v>
      </c>
    </row>
    <row r="900" spans="1:11" hidden="1">
      <c r="A900" s="148" t="s">
        <v>3074</v>
      </c>
      <c r="B900" s="148" t="s">
        <v>3075</v>
      </c>
      <c r="C900" s="148" t="s">
        <v>3076</v>
      </c>
      <c r="D900" s="148" t="s">
        <v>1204</v>
      </c>
      <c r="E900" s="148" t="s">
        <v>1009</v>
      </c>
      <c r="F900" s="148" t="s">
        <v>3071</v>
      </c>
      <c r="G900" s="148" t="s">
        <v>129</v>
      </c>
      <c r="H900" s="148">
        <v>0</v>
      </c>
      <c r="I900" s="148">
        <v>0</v>
      </c>
      <c r="J900" s="148">
        <v>0</v>
      </c>
      <c r="K900" s="148" t="str">
        <f t="shared" si="14"/>
        <v>INSTR_ACTIVITYENVRNMNTL_OBJCTV</v>
      </c>
    </row>
    <row r="901" spans="1:11" hidden="1">
      <c r="A901" s="148" t="s">
        <v>3077</v>
      </c>
      <c r="B901" s="148" t="s">
        <v>3078</v>
      </c>
      <c r="C901" s="148" t="s">
        <v>3076</v>
      </c>
      <c r="D901" s="148" t="s">
        <v>1204</v>
      </c>
      <c r="E901" s="148" t="s">
        <v>1009</v>
      </c>
      <c r="F901" s="148" t="s">
        <v>3071</v>
      </c>
      <c r="G901" s="148" t="s">
        <v>129</v>
      </c>
      <c r="H901" s="148">
        <v>29205</v>
      </c>
      <c r="I901" s="148">
        <v>0</v>
      </c>
      <c r="J901" s="148">
        <v>0</v>
      </c>
      <c r="K901" s="148" t="str">
        <f t="shared" si="14"/>
        <v>INSTR_ACTIVITYENVRNMNTL_OBJCTV</v>
      </c>
    </row>
    <row r="902" spans="1:11" hidden="1">
      <c r="A902" s="148" t="s">
        <v>3079</v>
      </c>
      <c r="B902" s="148" t="s">
        <v>3080</v>
      </c>
      <c r="C902" s="148" t="s">
        <v>3076</v>
      </c>
      <c r="D902" s="148" t="s">
        <v>1204</v>
      </c>
      <c r="E902" s="148" t="s">
        <v>1009</v>
      </c>
      <c r="F902" s="148" t="s">
        <v>3071</v>
      </c>
      <c r="G902" s="148" t="s">
        <v>129</v>
      </c>
      <c r="H902" s="148">
        <v>7550</v>
      </c>
      <c r="I902" s="148">
        <v>0</v>
      </c>
      <c r="J902" s="148">
        <v>0</v>
      </c>
      <c r="K902" s="148" t="str">
        <f t="shared" si="14"/>
        <v>INSTR_ACTIVITYENVRNMNTL_OBJCTV</v>
      </c>
    </row>
    <row r="903" spans="1:11" hidden="1">
      <c r="A903" s="148" t="s">
        <v>3081</v>
      </c>
      <c r="B903" s="148" t="s">
        <v>3082</v>
      </c>
      <c r="C903" s="148" t="s">
        <v>3076</v>
      </c>
      <c r="D903" s="148" t="s">
        <v>1204</v>
      </c>
      <c r="E903" s="148" t="s">
        <v>1009</v>
      </c>
      <c r="F903" s="148" t="s">
        <v>3071</v>
      </c>
      <c r="G903" s="148" t="s">
        <v>129</v>
      </c>
      <c r="H903" s="148">
        <v>0</v>
      </c>
      <c r="I903" s="148">
        <v>0</v>
      </c>
      <c r="J903" s="148">
        <v>0</v>
      </c>
      <c r="K903" s="148" t="str">
        <f t="shared" si="14"/>
        <v>INSTR_ACTIVITYENVRNMNTL_OBJCTV</v>
      </c>
    </row>
    <row r="904" spans="1:11" hidden="1">
      <c r="A904" s="148" t="s">
        <v>3083</v>
      </c>
      <c r="B904" s="148" t="s">
        <v>3084</v>
      </c>
      <c r="C904" s="148" t="s">
        <v>3076</v>
      </c>
      <c r="D904" s="148" t="s">
        <v>1204</v>
      </c>
      <c r="E904" s="148" t="s">
        <v>1009</v>
      </c>
      <c r="F904" s="148" t="s">
        <v>3071</v>
      </c>
      <c r="G904" s="148" t="s">
        <v>129</v>
      </c>
      <c r="H904" s="148">
        <v>0</v>
      </c>
      <c r="I904" s="148">
        <v>0</v>
      </c>
      <c r="J904" s="148">
        <v>0</v>
      </c>
      <c r="K904" s="148" t="str">
        <f t="shared" si="14"/>
        <v>INSTR_ACTIVITYENVRNMNTL_OBJCTV</v>
      </c>
    </row>
    <row r="905" spans="1:11" hidden="1">
      <c r="A905" s="148" t="s">
        <v>3085</v>
      </c>
      <c r="B905" s="148" t="s">
        <v>3086</v>
      </c>
      <c r="C905" s="148" t="s">
        <v>3076</v>
      </c>
      <c r="D905" s="148" t="s">
        <v>1204</v>
      </c>
      <c r="E905" s="148" t="s">
        <v>1009</v>
      </c>
      <c r="F905" s="148" t="s">
        <v>3071</v>
      </c>
      <c r="G905" s="148" t="s">
        <v>129</v>
      </c>
      <c r="H905" s="148">
        <v>0</v>
      </c>
      <c r="I905" s="148">
        <v>0</v>
      </c>
      <c r="J905" s="148">
        <v>0</v>
      </c>
      <c r="K905" s="148" t="str">
        <f t="shared" si="14"/>
        <v>INSTR_ACTIVITYENVRNMNTL_OBJCTV</v>
      </c>
    </row>
    <row r="906" spans="1:11" hidden="1">
      <c r="A906" s="148" t="s">
        <v>3087</v>
      </c>
      <c r="B906" s="148" t="s">
        <v>3088</v>
      </c>
      <c r="C906" s="148" t="s">
        <v>3076</v>
      </c>
      <c r="D906" s="148" t="s">
        <v>1204</v>
      </c>
      <c r="E906" s="148" t="s">
        <v>1009</v>
      </c>
      <c r="F906" s="148" t="s">
        <v>3071</v>
      </c>
      <c r="G906" s="148" t="s">
        <v>129</v>
      </c>
      <c r="H906" s="148">
        <v>1</v>
      </c>
      <c r="I906" s="148">
        <v>0</v>
      </c>
      <c r="J906" s="148">
        <v>0</v>
      </c>
      <c r="K906" s="148" t="str">
        <f t="shared" si="14"/>
        <v>INSTR_ACTIVITYENVRNMNTL_OBJCTV</v>
      </c>
    </row>
    <row r="907" spans="1:11" hidden="1">
      <c r="A907" s="148" t="s">
        <v>3089</v>
      </c>
      <c r="B907" s="148" t="s">
        <v>3090</v>
      </c>
      <c r="C907" s="148" t="s">
        <v>3076</v>
      </c>
      <c r="D907" s="148" t="s">
        <v>1204</v>
      </c>
      <c r="E907" s="148" t="s">
        <v>1009</v>
      </c>
      <c r="F907" s="148" t="s">
        <v>3071</v>
      </c>
      <c r="G907" s="148" t="s">
        <v>129</v>
      </c>
      <c r="H907" s="148">
        <v>145</v>
      </c>
      <c r="I907" s="148">
        <v>0</v>
      </c>
      <c r="J907" s="148">
        <v>0</v>
      </c>
      <c r="K907" s="148" t="str">
        <f t="shared" si="14"/>
        <v>INSTR_ACTIVITYENVRNMNTL_OBJCTV</v>
      </c>
    </row>
    <row r="908" spans="1:11" hidden="1">
      <c r="A908" s="148" t="s">
        <v>3091</v>
      </c>
      <c r="B908" s="148" t="s">
        <v>3092</v>
      </c>
      <c r="C908" s="148" t="s">
        <v>3076</v>
      </c>
      <c r="D908" s="148" t="s">
        <v>1204</v>
      </c>
      <c r="E908" s="148" t="s">
        <v>1009</v>
      </c>
      <c r="F908" s="148" t="s">
        <v>3071</v>
      </c>
      <c r="G908" s="148" t="s">
        <v>129</v>
      </c>
      <c r="H908" s="148">
        <v>2101956</v>
      </c>
      <c r="I908" s="148">
        <v>0</v>
      </c>
      <c r="J908" s="148">
        <v>0</v>
      </c>
      <c r="K908" s="148" t="str">
        <f t="shared" si="14"/>
        <v>INSTR_ACTIVITYENVRNMNTL_OBJCTV</v>
      </c>
    </row>
    <row r="909" spans="1:11" hidden="1">
      <c r="A909" s="148" t="s">
        <v>3093</v>
      </c>
      <c r="B909" s="148" t="s">
        <v>3094</v>
      </c>
      <c r="C909" s="148" t="s">
        <v>3076</v>
      </c>
      <c r="D909" s="148" t="s">
        <v>1204</v>
      </c>
      <c r="E909" s="148" t="s">
        <v>1009</v>
      </c>
      <c r="F909" s="148" t="s">
        <v>3071</v>
      </c>
      <c r="G909" s="148" t="s">
        <v>129</v>
      </c>
      <c r="H909" s="148">
        <v>0</v>
      </c>
      <c r="I909" s="148">
        <v>0</v>
      </c>
      <c r="J909" s="148">
        <v>0</v>
      </c>
      <c r="K909" s="148" t="str">
        <f t="shared" si="14"/>
        <v>INSTR_ACTIVITYENVRNMNTL_OBJCTV</v>
      </c>
    </row>
    <row r="910" spans="1:11" hidden="1">
      <c r="A910" s="148" t="s">
        <v>3095</v>
      </c>
      <c r="B910" s="148" t="s">
        <v>3096</v>
      </c>
      <c r="C910" s="148" t="s">
        <v>3076</v>
      </c>
      <c r="D910" s="148" t="s">
        <v>1402</v>
      </c>
      <c r="E910" s="148" t="s">
        <v>1009</v>
      </c>
      <c r="F910" s="148" t="s">
        <v>3071</v>
      </c>
      <c r="G910" s="148" t="s">
        <v>129</v>
      </c>
      <c r="H910" s="148">
        <v>0</v>
      </c>
      <c r="I910" s="148">
        <v>0</v>
      </c>
      <c r="J910" s="148">
        <v>0</v>
      </c>
      <c r="K910" s="148" t="str">
        <f t="shared" si="14"/>
        <v>INSTR_ACTIVITYTYP_ACTVTY</v>
      </c>
    </row>
    <row r="911" spans="1:11" hidden="1">
      <c r="A911" s="148" t="s">
        <v>3097</v>
      </c>
      <c r="B911" s="148" t="s">
        <v>3098</v>
      </c>
      <c r="C911" s="148" t="s">
        <v>3076</v>
      </c>
      <c r="D911" s="148" t="s">
        <v>1402</v>
      </c>
      <c r="E911" s="148" t="s">
        <v>1009</v>
      </c>
      <c r="F911" s="148" t="s">
        <v>3071</v>
      </c>
      <c r="G911" s="148" t="s">
        <v>129</v>
      </c>
      <c r="H911" s="148">
        <v>0</v>
      </c>
      <c r="I911" s="148">
        <v>0</v>
      </c>
      <c r="J911" s="148">
        <v>0</v>
      </c>
      <c r="K911" s="148" t="str">
        <f t="shared" si="14"/>
        <v>INSTR_ACTIVITYTYP_ACTVTY</v>
      </c>
    </row>
    <row r="912" spans="1:11" hidden="1">
      <c r="A912" s="148" t="s">
        <v>3099</v>
      </c>
      <c r="B912" s="148" t="s">
        <v>3100</v>
      </c>
      <c r="C912" s="148" t="s">
        <v>3076</v>
      </c>
      <c r="D912" s="148" t="s">
        <v>1402</v>
      </c>
      <c r="E912" s="148" t="s">
        <v>1009</v>
      </c>
      <c r="F912" s="148" t="s">
        <v>3071</v>
      </c>
      <c r="G912" s="148" t="s">
        <v>129</v>
      </c>
      <c r="H912" s="148">
        <v>0</v>
      </c>
      <c r="I912" s="148">
        <v>0</v>
      </c>
      <c r="J912" s="148">
        <v>0</v>
      </c>
      <c r="K912" s="148" t="str">
        <f t="shared" si="14"/>
        <v>INSTR_ACTIVITYTYP_ACTVTY</v>
      </c>
    </row>
    <row r="913" spans="1:11" hidden="1">
      <c r="A913" s="148" t="s">
        <v>3101</v>
      </c>
      <c r="B913" s="148" t="s">
        <v>3102</v>
      </c>
      <c r="C913" s="148" t="s">
        <v>3076</v>
      </c>
      <c r="D913" s="148" t="s">
        <v>1402</v>
      </c>
      <c r="E913" s="148" t="s">
        <v>1009</v>
      </c>
      <c r="F913" s="148" t="s">
        <v>3071</v>
      </c>
      <c r="G913" s="148" t="s">
        <v>129</v>
      </c>
      <c r="H913" s="148">
        <v>7</v>
      </c>
      <c r="I913" s="148">
        <v>0</v>
      </c>
      <c r="J913" s="148">
        <v>0</v>
      </c>
      <c r="K913" s="148" t="str">
        <f t="shared" si="14"/>
        <v>INSTR_ACTIVITYTYP_ACTVTY</v>
      </c>
    </row>
    <row r="914" spans="1:11" hidden="1">
      <c r="A914" s="148" t="s">
        <v>3103</v>
      </c>
      <c r="B914" s="148" t="s">
        <v>3104</v>
      </c>
      <c r="C914" s="148" t="s">
        <v>3076</v>
      </c>
      <c r="D914" s="148" t="s">
        <v>1402</v>
      </c>
      <c r="E914" s="148" t="s">
        <v>1009</v>
      </c>
      <c r="F914" s="148" t="s">
        <v>3071</v>
      </c>
      <c r="G914" s="148" t="s">
        <v>129</v>
      </c>
      <c r="H914" s="148">
        <v>32152</v>
      </c>
      <c r="I914" s="148">
        <v>0</v>
      </c>
      <c r="J914" s="148">
        <v>0</v>
      </c>
      <c r="K914" s="148" t="str">
        <f t="shared" si="14"/>
        <v>INSTR_ACTIVITYTYP_ACTVTY</v>
      </c>
    </row>
    <row r="915" spans="1:11" hidden="1">
      <c r="A915" s="148" t="s">
        <v>3105</v>
      </c>
      <c r="B915" s="148" t="s">
        <v>3106</v>
      </c>
      <c r="C915" s="148" t="s">
        <v>3076</v>
      </c>
      <c r="D915" s="148" t="s">
        <v>1402</v>
      </c>
      <c r="E915" s="148" t="s">
        <v>1009</v>
      </c>
      <c r="F915" s="148" t="s">
        <v>3071</v>
      </c>
      <c r="G915" s="148" t="s">
        <v>129</v>
      </c>
      <c r="H915" s="148">
        <v>0</v>
      </c>
      <c r="I915" s="148">
        <v>0</v>
      </c>
      <c r="J915" s="148">
        <v>0</v>
      </c>
      <c r="K915" s="148" t="str">
        <f t="shared" si="14"/>
        <v>INSTR_ACTIVITYTYP_ACTVTY</v>
      </c>
    </row>
    <row r="916" spans="1:11" hidden="1">
      <c r="A916" s="148" t="s">
        <v>3107</v>
      </c>
      <c r="B916" s="148" t="s">
        <v>3108</v>
      </c>
      <c r="C916" s="148" t="s">
        <v>3076</v>
      </c>
      <c r="D916" s="148" t="s">
        <v>1402</v>
      </c>
      <c r="E916" s="148" t="s">
        <v>1009</v>
      </c>
      <c r="F916" s="148" t="s">
        <v>3071</v>
      </c>
      <c r="G916" s="148" t="s">
        <v>129</v>
      </c>
      <c r="H916" s="148">
        <v>4554</v>
      </c>
      <c r="I916" s="148">
        <v>0</v>
      </c>
      <c r="J916" s="148">
        <v>0</v>
      </c>
      <c r="K916" s="148" t="str">
        <f t="shared" si="14"/>
        <v>INSTR_ACTIVITYTYP_ACTVTY</v>
      </c>
    </row>
    <row r="917" spans="1:11" hidden="1">
      <c r="A917" s="148" t="s">
        <v>3109</v>
      </c>
      <c r="B917" s="148" t="s">
        <v>3110</v>
      </c>
      <c r="C917" s="148" t="s">
        <v>3076</v>
      </c>
      <c r="D917" s="148" t="s">
        <v>1402</v>
      </c>
      <c r="E917" s="148" t="s">
        <v>1009</v>
      </c>
      <c r="F917" s="148" t="s">
        <v>3071</v>
      </c>
      <c r="G917" s="148" t="s">
        <v>129</v>
      </c>
      <c r="H917" s="148">
        <v>2101956</v>
      </c>
      <c r="I917" s="148">
        <v>0</v>
      </c>
      <c r="J917" s="148">
        <v>0</v>
      </c>
      <c r="K917" s="148" t="str">
        <f t="shared" si="14"/>
        <v>INSTR_ACTIVITYTYP_ACTVTY</v>
      </c>
    </row>
    <row r="918" spans="1:11" hidden="1">
      <c r="A918" s="148" t="s">
        <v>3111</v>
      </c>
      <c r="B918" s="148" t="s">
        <v>3112</v>
      </c>
      <c r="C918" s="148" t="s">
        <v>3076</v>
      </c>
      <c r="D918" s="148" t="s">
        <v>1402</v>
      </c>
      <c r="E918" s="148" t="s">
        <v>1009</v>
      </c>
      <c r="F918" s="148" t="s">
        <v>3071</v>
      </c>
      <c r="G918" s="148" t="s">
        <v>129</v>
      </c>
      <c r="H918" s="148">
        <v>187</v>
      </c>
      <c r="I918" s="148">
        <v>0</v>
      </c>
      <c r="J918" s="148">
        <v>0</v>
      </c>
      <c r="K918" s="148" t="str">
        <f t="shared" si="14"/>
        <v>INSTR_ACTIVITYTYP_ACTVTY</v>
      </c>
    </row>
    <row r="919" spans="1:11" hidden="1">
      <c r="A919" s="148" t="s">
        <v>3113</v>
      </c>
      <c r="B919" s="148" t="s">
        <v>3114</v>
      </c>
      <c r="C919" s="148" t="s">
        <v>3076</v>
      </c>
      <c r="D919" s="148" t="s">
        <v>1207</v>
      </c>
      <c r="E919" s="148" t="s">
        <v>1009</v>
      </c>
      <c r="F919" s="148" t="s">
        <v>3071</v>
      </c>
      <c r="G919" s="148" t="s">
        <v>129</v>
      </c>
      <c r="H919" s="148">
        <v>0</v>
      </c>
      <c r="I919" s="148">
        <v>0</v>
      </c>
      <c r="J919" s="148">
        <v>0</v>
      </c>
      <c r="K919" s="148" t="str">
        <f t="shared" si="14"/>
        <v>INSTR_ACTIVITYSSTNBL_INDCTR</v>
      </c>
    </row>
    <row r="920" spans="1:11" hidden="1">
      <c r="A920" s="148" t="s">
        <v>3115</v>
      </c>
      <c r="B920" s="148" t="s">
        <v>3116</v>
      </c>
      <c r="C920" s="148" t="s">
        <v>3076</v>
      </c>
      <c r="D920" s="148" t="s">
        <v>1207</v>
      </c>
      <c r="E920" s="148" t="s">
        <v>1009</v>
      </c>
      <c r="F920" s="148" t="s">
        <v>3071</v>
      </c>
      <c r="G920" s="148" t="s">
        <v>129</v>
      </c>
      <c r="H920" s="148">
        <v>0</v>
      </c>
      <c r="I920" s="148">
        <v>0</v>
      </c>
      <c r="J920" s="148">
        <v>0</v>
      </c>
      <c r="K920" s="148" t="str">
        <f t="shared" si="14"/>
        <v>INSTR_ACTIVITYSSTNBL_INDCTR</v>
      </c>
    </row>
    <row r="921" spans="1:11" hidden="1">
      <c r="A921" s="148" t="s">
        <v>3117</v>
      </c>
      <c r="B921" s="148" t="s">
        <v>3118</v>
      </c>
      <c r="C921" s="148" t="s">
        <v>3076</v>
      </c>
      <c r="D921" s="148" t="s">
        <v>1207</v>
      </c>
      <c r="E921" s="148" t="s">
        <v>1009</v>
      </c>
      <c r="F921" s="148" t="s">
        <v>3071</v>
      </c>
      <c r="G921" s="148" t="s">
        <v>129</v>
      </c>
      <c r="H921" s="148">
        <v>0</v>
      </c>
      <c r="I921" s="148">
        <v>0</v>
      </c>
      <c r="J921" s="148">
        <v>0</v>
      </c>
      <c r="K921" s="148" t="str">
        <f t="shared" si="14"/>
        <v>INSTR_ACTIVITYSSTNBL_INDCTR</v>
      </c>
    </row>
    <row r="922" spans="1:11" hidden="1">
      <c r="A922" s="148" t="s">
        <v>3119</v>
      </c>
      <c r="B922" s="148" t="s">
        <v>3120</v>
      </c>
      <c r="C922" s="148" t="s">
        <v>3076</v>
      </c>
      <c r="D922" s="148" t="s">
        <v>1207</v>
      </c>
      <c r="E922" s="148" t="s">
        <v>1009</v>
      </c>
      <c r="F922" s="148" t="s">
        <v>3071</v>
      </c>
      <c r="G922" s="148" t="s">
        <v>129</v>
      </c>
      <c r="H922" s="148">
        <v>0</v>
      </c>
      <c r="I922" s="148">
        <v>0</v>
      </c>
      <c r="J922" s="148">
        <v>0</v>
      </c>
      <c r="K922" s="148" t="str">
        <f t="shared" si="14"/>
        <v>INSTR_ACTIVITYSSTNBL_INDCTR</v>
      </c>
    </row>
    <row r="923" spans="1:11" hidden="1">
      <c r="A923" s="148" t="s">
        <v>3121</v>
      </c>
      <c r="B923" s="148" t="s">
        <v>3122</v>
      </c>
      <c r="C923" s="148" t="s">
        <v>3076</v>
      </c>
      <c r="D923" s="148" t="s">
        <v>1207</v>
      </c>
      <c r="E923" s="148" t="s">
        <v>1009</v>
      </c>
      <c r="F923" s="148" t="s">
        <v>3071</v>
      </c>
      <c r="G923" s="148" t="s">
        <v>129</v>
      </c>
      <c r="H923" s="148">
        <v>0</v>
      </c>
      <c r="I923" s="148">
        <v>0</v>
      </c>
      <c r="J923" s="148">
        <v>0</v>
      </c>
      <c r="K923" s="148" t="str">
        <f t="shared" si="14"/>
        <v>INSTR_ACTIVITYSSTNBL_INDCTR</v>
      </c>
    </row>
    <row r="924" spans="1:11" hidden="1">
      <c r="A924" s="148" t="s">
        <v>3123</v>
      </c>
      <c r="B924" s="148" t="s">
        <v>3124</v>
      </c>
      <c r="C924" s="148" t="s">
        <v>1019</v>
      </c>
      <c r="D924" s="148" t="s">
        <v>1207</v>
      </c>
      <c r="E924" s="148" t="s">
        <v>1009</v>
      </c>
      <c r="F924" s="148" t="s">
        <v>3071</v>
      </c>
      <c r="G924" s="148" t="s">
        <v>129</v>
      </c>
      <c r="H924" s="148">
        <v>0</v>
      </c>
      <c r="I924" s="148">
        <v>0</v>
      </c>
      <c r="J924" s="148">
        <v>0</v>
      </c>
      <c r="K924" s="148" t="str">
        <f t="shared" si="14"/>
        <v>INSTR_ACTIVITYSSTNBL_INDCTR</v>
      </c>
    </row>
    <row r="925" spans="1:11" hidden="1">
      <c r="A925" s="148" t="s">
        <v>3125</v>
      </c>
      <c r="B925" s="148" t="s">
        <v>3126</v>
      </c>
      <c r="C925" s="148" t="s">
        <v>3076</v>
      </c>
      <c r="D925" s="148" t="s">
        <v>1207</v>
      </c>
      <c r="E925" s="148" t="s">
        <v>1009</v>
      </c>
      <c r="F925" s="148" t="s">
        <v>3071</v>
      </c>
      <c r="G925" s="148" t="s">
        <v>129</v>
      </c>
      <c r="H925" s="148">
        <v>2091424</v>
      </c>
      <c r="I925" s="148">
        <v>0</v>
      </c>
      <c r="J925" s="148">
        <v>0</v>
      </c>
      <c r="K925" s="148" t="str">
        <f t="shared" si="14"/>
        <v>INSTR_ACTIVITYSSTNBL_INDCTR</v>
      </c>
    </row>
    <row r="926" spans="1:11" hidden="1">
      <c r="A926" s="148" t="s">
        <v>3127</v>
      </c>
      <c r="B926" s="148" t="s">
        <v>3128</v>
      </c>
      <c r="C926" s="148" t="s">
        <v>3076</v>
      </c>
      <c r="D926" s="148" t="s">
        <v>1207</v>
      </c>
      <c r="E926" s="148" t="s">
        <v>1009</v>
      </c>
      <c r="F926" s="148" t="s">
        <v>3071</v>
      </c>
      <c r="G926" s="148" t="s">
        <v>1011</v>
      </c>
      <c r="H926" s="148">
        <v>614</v>
      </c>
      <c r="I926" s="148">
        <v>614</v>
      </c>
      <c r="J926" s="148">
        <v>100</v>
      </c>
      <c r="K926" s="148" t="str">
        <f t="shared" si="14"/>
        <v>INSTR_ACTIVITYSSTNBL_INDCTR</v>
      </c>
    </row>
    <row r="927" spans="1:11" hidden="1">
      <c r="A927" s="148" t="s">
        <v>3129</v>
      </c>
      <c r="B927" s="148" t="s">
        <v>3130</v>
      </c>
      <c r="C927" s="148" t="s">
        <v>3076</v>
      </c>
      <c r="D927" s="148" t="s">
        <v>1207</v>
      </c>
      <c r="E927" s="148" t="s">
        <v>1009</v>
      </c>
      <c r="F927" s="148" t="s">
        <v>3071</v>
      </c>
      <c r="G927" s="148" t="s">
        <v>129</v>
      </c>
      <c r="H927" s="148">
        <v>9108</v>
      </c>
      <c r="I927" s="148">
        <v>0</v>
      </c>
      <c r="J927" s="148">
        <v>0</v>
      </c>
      <c r="K927" s="148" t="str">
        <f t="shared" si="14"/>
        <v>INSTR_ACTIVITYSSTNBL_INDCTR</v>
      </c>
    </row>
    <row r="928" spans="1:11" hidden="1">
      <c r="A928" s="148" t="s">
        <v>3131</v>
      </c>
      <c r="B928" s="148" t="s">
        <v>3132</v>
      </c>
      <c r="C928" s="148" t="s">
        <v>3076</v>
      </c>
      <c r="D928" s="148" t="s">
        <v>1207</v>
      </c>
      <c r="E928" s="148" t="s">
        <v>1009</v>
      </c>
      <c r="F928" s="148" t="s">
        <v>3071</v>
      </c>
      <c r="G928" s="148" t="s">
        <v>1011</v>
      </c>
      <c r="H928" s="148">
        <v>781</v>
      </c>
      <c r="I928" s="148">
        <v>781</v>
      </c>
      <c r="J928" s="148">
        <v>100</v>
      </c>
      <c r="K928" s="148" t="str">
        <f t="shared" si="14"/>
        <v>INSTR_ACTIVITYSSTNBL_INDCTR</v>
      </c>
    </row>
    <row r="929" spans="1:11" hidden="1">
      <c r="A929" s="148" t="s">
        <v>3133</v>
      </c>
      <c r="B929" s="148" t="s">
        <v>3134</v>
      </c>
      <c r="C929" s="148" t="s">
        <v>3076</v>
      </c>
      <c r="D929" s="148" t="s">
        <v>1207</v>
      </c>
      <c r="E929" s="148" t="s">
        <v>1009</v>
      </c>
      <c r="F929" s="148" t="s">
        <v>3071</v>
      </c>
      <c r="G929" s="148" t="s">
        <v>129</v>
      </c>
      <c r="H929" s="148">
        <v>29</v>
      </c>
      <c r="I929" s="148">
        <v>0</v>
      </c>
      <c r="J929" s="148">
        <v>0</v>
      </c>
      <c r="K929" s="148" t="str">
        <f t="shared" si="14"/>
        <v>INSTR_ACTIVITYSSTNBL_INDCTR</v>
      </c>
    </row>
    <row r="930" spans="1:11" hidden="1">
      <c r="A930" s="148" t="s">
        <v>3135</v>
      </c>
      <c r="B930" s="148" t="s">
        <v>3136</v>
      </c>
      <c r="C930" s="148" t="s">
        <v>3076</v>
      </c>
      <c r="D930" s="148" t="s">
        <v>1207</v>
      </c>
      <c r="E930" s="148" t="s">
        <v>1009</v>
      </c>
      <c r="F930" s="148" t="s">
        <v>3071</v>
      </c>
      <c r="G930" s="148" t="s">
        <v>129</v>
      </c>
      <c r="H930" s="148">
        <v>0</v>
      </c>
      <c r="I930" s="148">
        <v>0</v>
      </c>
      <c r="J930" s="148">
        <v>0</v>
      </c>
      <c r="K930" s="148" t="str">
        <f t="shared" si="14"/>
        <v>INSTR_ACTIVITYSSTNBL_INDCTR</v>
      </c>
    </row>
    <row r="931" spans="1:11" hidden="1">
      <c r="A931" s="148" t="s">
        <v>3137</v>
      </c>
      <c r="B931" s="148" t="s">
        <v>3138</v>
      </c>
      <c r="C931" s="148" t="s">
        <v>3076</v>
      </c>
      <c r="D931" s="148" t="s">
        <v>1207</v>
      </c>
      <c r="E931" s="148" t="s">
        <v>1009</v>
      </c>
      <c r="F931" s="148" t="s">
        <v>3071</v>
      </c>
      <c r="G931" s="148" t="s">
        <v>1011</v>
      </c>
      <c r="H931" s="148">
        <v>36901</v>
      </c>
      <c r="I931" s="148">
        <v>36901</v>
      </c>
      <c r="J931" s="148">
        <v>100</v>
      </c>
      <c r="K931" s="148" t="str">
        <f t="shared" si="14"/>
        <v>INSTR_ACTIVITYSSTNBL_INDCTR</v>
      </c>
    </row>
    <row r="932" spans="1:11" hidden="1">
      <c r="A932" s="148" t="s">
        <v>3139</v>
      </c>
      <c r="B932" s="148" t="s">
        <v>3140</v>
      </c>
      <c r="C932" s="148" t="s">
        <v>1019</v>
      </c>
      <c r="D932" s="148" t="s">
        <v>1207</v>
      </c>
      <c r="E932" s="148" t="s">
        <v>1009</v>
      </c>
      <c r="F932" s="148" t="s">
        <v>3071</v>
      </c>
      <c r="G932" s="148" t="s">
        <v>129</v>
      </c>
      <c r="H932" s="148">
        <v>0</v>
      </c>
      <c r="I932" s="148">
        <v>0</v>
      </c>
      <c r="J932" s="148">
        <v>0</v>
      </c>
      <c r="K932" s="148" t="str">
        <f t="shared" si="14"/>
        <v>INSTR_ACTIVITYSSTNBL_INDCTR</v>
      </c>
    </row>
    <row r="933" spans="1:11" hidden="1">
      <c r="A933" s="148" t="s">
        <v>3141</v>
      </c>
      <c r="B933" s="148" t="s">
        <v>3142</v>
      </c>
      <c r="C933" s="148" t="s">
        <v>1019</v>
      </c>
      <c r="D933" s="148" t="s">
        <v>1211</v>
      </c>
      <c r="E933" s="148" t="s">
        <v>1009</v>
      </c>
      <c r="F933" s="148" t="s">
        <v>3071</v>
      </c>
      <c r="G933" s="148" t="s">
        <v>129</v>
      </c>
      <c r="H933" s="148">
        <v>0</v>
      </c>
      <c r="I933" s="148">
        <v>0</v>
      </c>
      <c r="J933" s="148">
        <v>0</v>
      </c>
      <c r="K933" s="148" t="str">
        <f t="shared" si="14"/>
        <v>INSTR_ACTIVITYFLG_SBSTNTL_CNTRBTN</v>
      </c>
    </row>
    <row r="934" spans="1:11" hidden="1">
      <c r="A934" s="148" t="s">
        <v>3143</v>
      </c>
      <c r="B934" s="148" t="s">
        <v>3144</v>
      </c>
      <c r="C934" s="148" t="s">
        <v>1019</v>
      </c>
      <c r="D934" s="148" t="s">
        <v>1214</v>
      </c>
      <c r="E934" s="148" t="s">
        <v>1009</v>
      </c>
      <c r="F934" s="148" t="s">
        <v>3071</v>
      </c>
      <c r="G934" s="148" t="s">
        <v>129</v>
      </c>
      <c r="H934" s="148">
        <v>0</v>
      </c>
      <c r="I934" s="148">
        <v>0</v>
      </c>
      <c r="J934" s="148">
        <v>0</v>
      </c>
      <c r="K934" s="148" t="str">
        <f t="shared" si="14"/>
        <v>INSTR_ACTIVITYFLG_DNSH_CMPLNC</v>
      </c>
    </row>
    <row r="935" spans="1:11" hidden="1">
      <c r="A935" s="148" t="s">
        <v>3145</v>
      </c>
      <c r="B935" s="148" t="s">
        <v>3146</v>
      </c>
      <c r="C935" s="148" t="s">
        <v>3076</v>
      </c>
      <c r="D935" s="148" t="s">
        <v>1411</v>
      </c>
      <c r="E935" s="148" t="s">
        <v>1009</v>
      </c>
      <c r="F935" s="148" t="s">
        <v>3071</v>
      </c>
      <c r="G935" s="148" t="s">
        <v>129</v>
      </c>
      <c r="H935" s="148">
        <v>0</v>
      </c>
      <c r="I935" s="148">
        <v>0</v>
      </c>
      <c r="J935" s="148">
        <v>0</v>
      </c>
      <c r="K935" s="148" t="str">
        <f t="shared" si="14"/>
        <v>INSTR_ACTIVITYDNSH_DTL</v>
      </c>
    </row>
    <row r="936" spans="1:11" hidden="1">
      <c r="A936" s="148" t="s">
        <v>3147</v>
      </c>
      <c r="B936" s="148" t="s">
        <v>3148</v>
      </c>
      <c r="C936" s="148" t="s">
        <v>576</v>
      </c>
      <c r="D936" s="148" t="s">
        <v>1411</v>
      </c>
      <c r="E936" s="148" t="s">
        <v>1009</v>
      </c>
      <c r="F936" s="148" t="s">
        <v>3071</v>
      </c>
      <c r="G936" s="148" t="s">
        <v>129</v>
      </c>
      <c r="H936" s="148">
        <v>0</v>
      </c>
      <c r="I936" s="148">
        <v>0</v>
      </c>
      <c r="J936" s="148">
        <v>0</v>
      </c>
      <c r="K936" s="148" t="str">
        <f t="shared" si="14"/>
        <v>INSTR_ACTIVITYDNSH_DTL</v>
      </c>
    </row>
    <row r="937" spans="1:11" hidden="1">
      <c r="A937" s="148" t="s">
        <v>3149</v>
      </c>
      <c r="B937" s="148" t="s">
        <v>3150</v>
      </c>
      <c r="C937" s="148" t="s">
        <v>576</v>
      </c>
      <c r="D937" s="148" t="s">
        <v>1411</v>
      </c>
      <c r="E937" s="148" t="s">
        <v>1009</v>
      </c>
      <c r="F937" s="148" t="s">
        <v>3071</v>
      </c>
      <c r="G937" s="148" t="s">
        <v>129</v>
      </c>
      <c r="H937" s="148">
        <v>0</v>
      </c>
      <c r="I937" s="148">
        <v>0</v>
      </c>
      <c r="J937" s="148">
        <v>0</v>
      </c>
      <c r="K937" s="148" t="str">
        <f t="shared" si="14"/>
        <v>INSTR_ACTIVITYDNSH_DTL</v>
      </c>
    </row>
    <row r="938" spans="1:11" hidden="1">
      <c r="A938" s="148" t="s">
        <v>3151</v>
      </c>
      <c r="B938" s="148" t="s">
        <v>3152</v>
      </c>
      <c r="C938" s="148" t="s">
        <v>576</v>
      </c>
      <c r="D938" s="148" t="s">
        <v>1411</v>
      </c>
      <c r="E938" s="148" t="s">
        <v>1009</v>
      </c>
      <c r="F938" s="148" t="s">
        <v>3071</v>
      </c>
      <c r="G938" s="148" t="s">
        <v>129</v>
      </c>
      <c r="H938" s="148">
        <v>0</v>
      </c>
      <c r="I938" s="148">
        <v>0</v>
      </c>
      <c r="J938" s="148">
        <v>0</v>
      </c>
      <c r="K938" s="148" t="str">
        <f t="shared" si="14"/>
        <v>INSTR_ACTIVITYDNSH_DTL</v>
      </c>
    </row>
    <row r="939" spans="1:11" hidden="1">
      <c r="A939" s="148" t="s">
        <v>3153</v>
      </c>
      <c r="B939" s="148" t="s">
        <v>3154</v>
      </c>
      <c r="C939" s="148" t="s">
        <v>576</v>
      </c>
      <c r="D939" s="148" t="s">
        <v>1411</v>
      </c>
      <c r="E939" s="148" t="s">
        <v>1009</v>
      </c>
      <c r="F939" s="148" t="s">
        <v>3071</v>
      </c>
      <c r="G939" s="148" t="s">
        <v>129</v>
      </c>
      <c r="H939" s="148">
        <v>0</v>
      </c>
      <c r="I939" s="148">
        <v>0</v>
      </c>
      <c r="J939" s="148">
        <v>0</v>
      </c>
      <c r="K939" s="148" t="str">
        <f t="shared" si="14"/>
        <v>INSTR_ACTIVITYDNSH_DTL</v>
      </c>
    </row>
    <row r="940" spans="1:11" hidden="1">
      <c r="A940" s="148" t="s">
        <v>3155</v>
      </c>
      <c r="B940" s="148" t="s">
        <v>3156</v>
      </c>
      <c r="C940" s="148" t="s">
        <v>576</v>
      </c>
      <c r="D940" s="148" t="s">
        <v>1411</v>
      </c>
      <c r="E940" s="148" t="s">
        <v>1009</v>
      </c>
      <c r="F940" s="148" t="s">
        <v>3071</v>
      </c>
      <c r="G940" s="148" t="s">
        <v>129</v>
      </c>
      <c r="H940" s="148">
        <v>0</v>
      </c>
      <c r="I940" s="148">
        <v>0</v>
      </c>
      <c r="J940" s="148">
        <v>0</v>
      </c>
      <c r="K940" s="148" t="str">
        <f t="shared" si="14"/>
        <v>INSTR_ACTIVITYDNSH_DTL</v>
      </c>
    </row>
    <row r="941" spans="1:11" hidden="1">
      <c r="A941" s="148" t="s">
        <v>3157</v>
      </c>
      <c r="B941" s="148" t="s">
        <v>3158</v>
      </c>
      <c r="C941" s="148" t="s">
        <v>576</v>
      </c>
      <c r="D941" s="148" t="s">
        <v>1411</v>
      </c>
      <c r="E941" s="148" t="s">
        <v>1009</v>
      </c>
      <c r="F941" s="148" t="s">
        <v>3071</v>
      </c>
      <c r="G941" s="148" t="s">
        <v>129</v>
      </c>
      <c r="H941" s="148">
        <v>0</v>
      </c>
      <c r="I941" s="148">
        <v>0</v>
      </c>
      <c r="J941" s="148">
        <v>0</v>
      </c>
      <c r="K941" s="148" t="str">
        <f t="shared" si="14"/>
        <v>INSTR_ACTIVITYDNSH_DTL</v>
      </c>
    </row>
    <row r="942" spans="1:11" hidden="1">
      <c r="A942" s="148" t="s">
        <v>3159</v>
      </c>
      <c r="B942" s="148" t="s">
        <v>3160</v>
      </c>
      <c r="C942" s="148" t="s">
        <v>3076</v>
      </c>
      <c r="D942" s="148" t="s">
        <v>1411</v>
      </c>
      <c r="E942" s="148" t="s">
        <v>1009</v>
      </c>
      <c r="F942" s="148" t="s">
        <v>3071</v>
      </c>
      <c r="G942" s="148" t="s">
        <v>129</v>
      </c>
      <c r="H942" s="148">
        <v>0</v>
      </c>
      <c r="I942" s="148">
        <v>0</v>
      </c>
      <c r="J942" s="148">
        <v>0</v>
      </c>
      <c r="K942" s="148" t="str">
        <f t="shared" si="14"/>
        <v>INSTR_ACTIVITYDNSH_DTL</v>
      </c>
    </row>
    <row r="943" spans="1:11" hidden="1">
      <c r="A943" s="148" t="s">
        <v>3161</v>
      </c>
      <c r="B943" s="148" t="s">
        <v>3162</v>
      </c>
      <c r="C943" s="148" t="s">
        <v>1019</v>
      </c>
      <c r="D943" s="148" t="s">
        <v>232</v>
      </c>
      <c r="E943" s="148" t="s">
        <v>1009</v>
      </c>
      <c r="F943" s="148" t="s">
        <v>1118</v>
      </c>
      <c r="G943" s="148" t="s">
        <v>1011</v>
      </c>
      <c r="H943" s="148">
        <v>2108486</v>
      </c>
      <c r="I943" s="148">
        <v>1428</v>
      </c>
      <c r="J943" s="148">
        <v>6.7699999999999996E-2</v>
      </c>
      <c r="K943" s="148" t="str">
        <f t="shared" si="14"/>
        <v>ENTITYDT_BRTH</v>
      </c>
    </row>
    <row r="944" spans="1:11" hidden="1">
      <c r="A944" s="148" t="s">
        <v>3163</v>
      </c>
      <c r="B944" s="148" t="s">
        <v>3164</v>
      </c>
      <c r="C944" s="148" t="s">
        <v>1120</v>
      </c>
      <c r="D944" s="148" t="s">
        <v>232</v>
      </c>
      <c r="E944" s="148" t="s">
        <v>1009</v>
      </c>
      <c r="F944" s="148" t="s">
        <v>1118</v>
      </c>
      <c r="G944" s="148" t="s">
        <v>129</v>
      </c>
      <c r="H944" s="148">
        <v>1138796</v>
      </c>
      <c r="I944" s="148">
        <v>0</v>
      </c>
      <c r="J944" s="148">
        <v>0</v>
      </c>
      <c r="K944" s="148" t="str">
        <f t="shared" si="14"/>
        <v>ENTITYDT_BRTH</v>
      </c>
    </row>
    <row r="945" spans="1:11" hidden="1">
      <c r="A945" s="148" t="s">
        <v>3165</v>
      </c>
      <c r="B945" s="148" t="s">
        <v>3166</v>
      </c>
      <c r="C945" s="148" t="s">
        <v>1120</v>
      </c>
      <c r="D945" s="148" t="s">
        <v>239</v>
      </c>
      <c r="E945" s="148" t="s">
        <v>1009</v>
      </c>
      <c r="F945" s="148" t="s">
        <v>1118</v>
      </c>
      <c r="G945" s="148" t="s">
        <v>129</v>
      </c>
      <c r="H945" s="148">
        <v>907080</v>
      </c>
      <c r="I945" s="148">
        <v>0</v>
      </c>
      <c r="J945" s="148">
        <v>0</v>
      </c>
      <c r="K945" s="148" t="str">
        <f t="shared" si="14"/>
        <v>ENTITYDT_DFLT_STTS</v>
      </c>
    </row>
    <row r="946" spans="1:11" hidden="1">
      <c r="A946" s="148" t="s">
        <v>3167</v>
      </c>
      <c r="B946" s="148" t="s">
        <v>3168</v>
      </c>
      <c r="C946" s="148" t="s">
        <v>1120</v>
      </c>
      <c r="D946" s="148" t="s">
        <v>239</v>
      </c>
      <c r="E946" s="148" t="s">
        <v>1009</v>
      </c>
      <c r="F946" s="148" t="s">
        <v>1118</v>
      </c>
      <c r="G946" s="148" t="s">
        <v>1011</v>
      </c>
      <c r="H946" s="148">
        <v>891295</v>
      </c>
      <c r="I946" s="148">
        <v>771</v>
      </c>
      <c r="J946" s="148">
        <v>8.6499999999999994E-2</v>
      </c>
      <c r="K946" s="148" t="str">
        <f t="shared" si="14"/>
        <v>ENTITYDT_DFLT_STTS</v>
      </c>
    </row>
    <row r="947" spans="1:11" hidden="1">
      <c r="A947" s="148" t="s">
        <v>3169</v>
      </c>
      <c r="B947" s="148" t="s">
        <v>3170</v>
      </c>
      <c r="C947" s="148" t="s">
        <v>1120</v>
      </c>
      <c r="D947" s="148" t="s">
        <v>239</v>
      </c>
      <c r="E947" s="148" t="s">
        <v>1009</v>
      </c>
      <c r="F947" s="148" t="s">
        <v>1118</v>
      </c>
      <c r="G947" s="148" t="s">
        <v>1011</v>
      </c>
      <c r="H947" s="148">
        <v>892830</v>
      </c>
      <c r="I947" s="148">
        <v>1</v>
      </c>
      <c r="J947" s="148">
        <v>1E-4</v>
      </c>
      <c r="K947" s="148" t="str">
        <f t="shared" si="14"/>
        <v>ENTITYDT_DFLT_STTS</v>
      </c>
    </row>
    <row r="948" spans="1:11" hidden="1">
      <c r="A948" s="148" t="s">
        <v>3171</v>
      </c>
      <c r="B948" s="148" t="s">
        <v>3172</v>
      </c>
      <c r="C948" s="148" t="s">
        <v>1120</v>
      </c>
      <c r="D948" s="148" t="s">
        <v>239</v>
      </c>
      <c r="E948" s="148" t="s">
        <v>1009</v>
      </c>
      <c r="F948" s="148" t="s">
        <v>1118</v>
      </c>
      <c r="G948" s="148" t="s">
        <v>129</v>
      </c>
      <c r="H948" s="148">
        <v>233641</v>
      </c>
      <c r="I948" s="148">
        <v>0</v>
      </c>
      <c r="J948" s="148">
        <v>0</v>
      </c>
      <c r="K948" s="148" t="str">
        <f t="shared" si="14"/>
        <v>ENTITYDT_DFLT_STTS</v>
      </c>
    </row>
    <row r="949" spans="1:11" hidden="1">
      <c r="A949" s="148" t="s">
        <v>3173</v>
      </c>
      <c r="B949" s="148" t="s">
        <v>3174</v>
      </c>
      <c r="C949" s="148" t="s">
        <v>1120</v>
      </c>
      <c r="D949" s="148" t="s">
        <v>249</v>
      </c>
      <c r="E949" s="148" t="s">
        <v>1009</v>
      </c>
      <c r="F949" s="148" t="s">
        <v>1118</v>
      </c>
      <c r="G949" s="148" t="s">
        <v>129</v>
      </c>
      <c r="H949" s="148">
        <v>64912</v>
      </c>
      <c r="I949" s="148">
        <v>0</v>
      </c>
      <c r="J949" s="148">
        <v>0</v>
      </c>
      <c r="K949" s="148" t="str">
        <f t="shared" si="14"/>
        <v>ENTITYDT_FNNCL_STTMTS</v>
      </c>
    </row>
    <row r="950" spans="1:11" hidden="1">
      <c r="A950" s="148" t="s">
        <v>3175</v>
      </c>
      <c r="B950" s="148" t="s">
        <v>3176</v>
      </c>
      <c r="C950" s="148" t="s">
        <v>1120</v>
      </c>
      <c r="D950" s="148" t="s">
        <v>249</v>
      </c>
      <c r="E950" s="148" t="s">
        <v>1009</v>
      </c>
      <c r="F950" s="148" t="s">
        <v>1118</v>
      </c>
      <c r="G950" s="148" t="s">
        <v>129</v>
      </c>
      <c r="H950" s="148">
        <v>68422</v>
      </c>
      <c r="I950" s="148">
        <v>0</v>
      </c>
      <c r="J950" s="148">
        <v>0</v>
      </c>
      <c r="K950" s="148" t="str">
        <f t="shared" si="14"/>
        <v>ENTITYDT_FNNCL_STTMTS</v>
      </c>
    </row>
    <row r="951" spans="1:11" hidden="1">
      <c r="A951" s="148" t="s">
        <v>3177</v>
      </c>
      <c r="B951" s="148" t="s">
        <v>3178</v>
      </c>
      <c r="C951" s="148" t="s">
        <v>1120</v>
      </c>
      <c r="D951" s="148" t="s">
        <v>249</v>
      </c>
      <c r="E951" s="148" t="s">
        <v>1009</v>
      </c>
      <c r="F951" s="148" t="s">
        <v>1118</v>
      </c>
      <c r="G951" s="148" t="s">
        <v>1011</v>
      </c>
      <c r="H951" s="148">
        <v>67601</v>
      </c>
      <c r="I951" s="148">
        <v>2</v>
      </c>
      <c r="J951" s="148">
        <v>3.0000000000000001E-3</v>
      </c>
      <c r="K951" s="148" t="str">
        <f t="shared" si="14"/>
        <v>ENTITYDT_FNNCL_STTMTS</v>
      </c>
    </row>
    <row r="952" spans="1:11" hidden="1">
      <c r="A952" s="148" t="s">
        <v>3179</v>
      </c>
      <c r="B952" s="148" t="s">
        <v>3180</v>
      </c>
      <c r="C952" s="148" t="s">
        <v>1120</v>
      </c>
      <c r="D952" s="148" t="s">
        <v>249</v>
      </c>
      <c r="E952" s="148" t="s">
        <v>1009</v>
      </c>
      <c r="F952" s="148" t="s">
        <v>1118</v>
      </c>
      <c r="G952" s="148" t="s">
        <v>129</v>
      </c>
      <c r="H952" s="148">
        <v>68644</v>
      </c>
      <c r="I952" s="148">
        <v>0</v>
      </c>
      <c r="J952" s="148">
        <v>0</v>
      </c>
      <c r="K952" s="148" t="str">
        <f t="shared" si="14"/>
        <v>ENTITYDT_FNNCL_STTMTS</v>
      </c>
    </row>
    <row r="953" spans="1:11" hidden="1">
      <c r="A953" s="148" t="s">
        <v>3181</v>
      </c>
      <c r="B953" s="148" t="s">
        <v>3182</v>
      </c>
      <c r="C953" s="148" t="s">
        <v>1120</v>
      </c>
      <c r="D953" s="148" t="s">
        <v>249</v>
      </c>
      <c r="E953" s="148" t="s">
        <v>1009</v>
      </c>
      <c r="F953" s="148" t="s">
        <v>1118</v>
      </c>
      <c r="G953" s="148" t="s">
        <v>1011</v>
      </c>
      <c r="H953" s="148">
        <v>46</v>
      </c>
      <c r="I953" s="148">
        <v>1</v>
      </c>
      <c r="J953" s="148">
        <v>2.1739000000000002</v>
      </c>
      <c r="K953" s="148" t="str">
        <f t="shared" si="14"/>
        <v>ENTITYDT_FNNCL_STTMTS</v>
      </c>
    </row>
    <row r="954" spans="1:11" hidden="1">
      <c r="A954" s="148" t="s">
        <v>3183</v>
      </c>
      <c r="B954" s="148" t="s">
        <v>3184</v>
      </c>
      <c r="C954" s="148" t="s">
        <v>1120</v>
      </c>
      <c r="D954" s="148" t="s">
        <v>250</v>
      </c>
      <c r="E954" s="148" t="s">
        <v>1009</v>
      </c>
      <c r="F954" s="148" t="s">
        <v>1118</v>
      </c>
      <c r="G954" s="148" t="s">
        <v>1011</v>
      </c>
      <c r="H954" s="148">
        <v>61250</v>
      </c>
      <c r="I954" s="148">
        <v>115</v>
      </c>
      <c r="J954" s="148">
        <v>0.18779999999999999</v>
      </c>
      <c r="K954" s="148" t="str">
        <f t="shared" si="14"/>
        <v>ENTITYDT_FNNCL_STTMTS_PRVS</v>
      </c>
    </row>
    <row r="955" spans="1:11" hidden="1">
      <c r="A955" s="148" t="s">
        <v>3185</v>
      </c>
      <c r="B955" s="148" t="s">
        <v>3186</v>
      </c>
      <c r="C955" s="148" t="s">
        <v>1120</v>
      </c>
      <c r="D955" s="148" t="s">
        <v>250</v>
      </c>
      <c r="E955" s="148" t="s">
        <v>1009</v>
      </c>
      <c r="F955" s="148" t="s">
        <v>1118</v>
      </c>
      <c r="G955" s="148" t="s">
        <v>129</v>
      </c>
      <c r="H955" s="148">
        <v>64912</v>
      </c>
      <c r="I955" s="148">
        <v>0</v>
      </c>
      <c r="J955" s="148">
        <v>0</v>
      </c>
      <c r="K955" s="148" t="str">
        <f t="shared" si="14"/>
        <v>ENTITYDT_FNNCL_STTMTS_PRVS</v>
      </c>
    </row>
    <row r="956" spans="1:11" hidden="1">
      <c r="A956" s="148" t="s">
        <v>3187</v>
      </c>
      <c r="B956" s="148" t="s">
        <v>3188</v>
      </c>
      <c r="C956" s="148" t="s">
        <v>1120</v>
      </c>
      <c r="D956" s="148" t="s">
        <v>250</v>
      </c>
      <c r="E956" s="148" t="s">
        <v>1009</v>
      </c>
      <c r="F956" s="148" t="s">
        <v>1118</v>
      </c>
      <c r="G956" s="148" t="s">
        <v>1011</v>
      </c>
      <c r="H956" s="148">
        <v>46</v>
      </c>
      <c r="I956" s="148">
        <v>1</v>
      </c>
      <c r="J956" s="148">
        <v>2.1739000000000002</v>
      </c>
      <c r="K956" s="148" t="str">
        <f t="shared" si="14"/>
        <v>ENTITYDT_FNNCL_STTMTS_PRVS</v>
      </c>
    </row>
    <row r="957" spans="1:11" hidden="1">
      <c r="A957" s="148" t="s">
        <v>3189</v>
      </c>
      <c r="B957" s="148" t="s">
        <v>3190</v>
      </c>
      <c r="C957" s="148" t="s">
        <v>1120</v>
      </c>
      <c r="D957" s="148" t="s">
        <v>263</v>
      </c>
      <c r="E957" s="148" t="s">
        <v>1009</v>
      </c>
      <c r="F957" s="148" t="s">
        <v>1118</v>
      </c>
      <c r="G957" s="148" t="s">
        <v>129</v>
      </c>
      <c r="H957" s="148">
        <v>5364</v>
      </c>
      <c r="I957" s="148">
        <v>0</v>
      </c>
      <c r="J957" s="148">
        <v>0</v>
      </c>
      <c r="K957" s="148" t="str">
        <f t="shared" si="14"/>
        <v>ENTITYDT_INTTN_LGL_PRCDNGS_LE</v>
      </c>
    </row>
    <row r="958" spans="1:11" hidden="1">
      <c r="A958" s="148" t="s">
        <v>3191</v>
      </c>
      <c r="B958" s="148" t="s">
        <v>3192</v>
      </c>
      <c r="C958" s="148" t="s">
        <v>1120</v>
      </c>
      <c r="D958" s="148" t="s">
        <v>263</v>
      </c>
      <c r="E958" s="148" t="s">
        <v>1009</v>
      </c>
      <c r="F958" s="148" t="s">
        <v>1118</v>
      </c>
      <c r="G958" s="148" t="s">
        <v>129</v>
      </c>
      <c r="H958" s="148">
        <v>5354</v>
      </c>
      <c r="I958" s="148">
        <v>0</v>
      </c>
      <c r="J958" s="148">
        <v>0</v>
      </c>
      <c r="K958" s="148" t="str">
        <f t="shared" si="14"/>
        <v>ENTITYDT_INTTN_LGL_PRCDNGS_LE</v>
      </c>
    </row>
    <row r="959" spans="1:11" hidden="1">
      <c r="A959" s="148" t="s">
        <v>3193</v>
      </c>
      <c r="B959" s="148" t="s">
        <v>3194</v>
      </c>
      <c r="C959" s="148" t="s">
        <v>1120</v>
      </c>
      <c r="D959" s="148" t="s">
        <v>263</v>
      </c>
      <c r="E959" s="148" t="s">
        <v>1009</v>
      </c>
      <c r="F959" s="148" t="s">
        <v>1118</v>
      </c>
      <c r="G959" s="148" t="s">
        <v>129</v>
      </c>
      <c r="H959" s="148">
        <v>5364</v>
      </c>
      <c r="I959" s="148">
        <v>0</v>
      </c>
      <c r="J959" s="148">
        <v>0</v>
      </c>
      <c r="K959" s="148" t="str">
        <f t="shared" si="14"/>
        <v>ENTITYDT_INTTN_LGL_PRCDNGS_LE</v>
      </c>
    </row>
    <row r="960" spans="1:11" hidden="1">
      <c r="A960" s="148" t="s">
        <v>3195</v>
      </c>
      <c r="B960" s="148" t="s">
        <v>3196</v>
      </c>
      <c r="C960" s="148" t="s">
        <v>1120</v>
      </c>
      <c r="D960" s="148" t="s">
        <v>277</v>
      </c>
      <c r="E960" s="148" t="s">
        <v>1009</v>
      </c>
      <c r="F960" s="148" t="s">
        <v>1118</v>
      </c>
      <c r="G960" s="148" t="s">
        <v>129</v>
      </c>
      <c r="H960" s="148">
        <v>903504</v>
      </c>
      <c r="I960" s="148">
        <v>0</v>
      </c>
      <c r="J960" s="148">
        <v>0</v>
      </c>
      <c r="K960" s="148" t="str">
        <f t="shared" si="14"/>
        <v>ENTITYDT_PRFRMNG_STTS_LE</v>
      </c>
    </row>
    <row r="961" spans="1:11" hidden="1">
      <c r="A961" s="148" t="s">
        <v>3197</v>
      </c>
      <c r="B961" s="148" t="s">
        <v>3198</v>
      </c>
      <c r="C961" s="148" t="s">
        <v>1120</v>
      </c>
      <c r="D961" s="148" t="s">
        <v>277</v>
      </c>
      <c r="E961" s="148" t="s">
        <v>1009</v>
      </c>
      <c r="F961" s="148" t="s">
        <v>1118</v>
      </c>
      <c r="G961" s="148" t="s">
        <v>1011</v>
      </c>
      <c r="H961" s="148">
        <v>891186</v>
      </c>
      <c r="I961" s="148">
        <v>952</v>
      </c>
      <c r="J961" s="148">
        <v>0.10680000000000001</v>
      </c>
      <c r="K961" s="148" t="str">
        <f t="shared" si="14"/>
        <v>ENTITYDT_PRFRMNG_STTS_LE</v>
      </c>
    </row>
    <row r="962" spans="1:11" hidden="1">
      <c r="A962" s="148" t="s">
        <v>3199</v>
      </c>
      <c r="B962" s="148" t="s">
        <v>3200</v>
      </c>
      <c r="C962" s="148" t="s">
        <v>1120</v>
      </c>
      <c r="D962" s="148" t="s">
        <v>277</v>
      </c>
      <c r="E962" s="148" t="s">
        <v>1009</v>
      </c>
      <c r="F962" s="148" t="s">
        <v>1118</v>
      </c>
      <c r="G962" s="148" t="s">
        <v>129</v>
      </c>
      <c r="H962" s="148">
        <v>892746</v>
      </c>
      <c r="I962" s="148">
        <v>0</v>
      </c>
      <c r="J962" s="148">
        <v>0</v>
      </c>
      <c r="K962" s="148" t="str">
        <f t="shared" si="14"/>
        <v>ENTITYDT_PRFRMNG_STTS_LE</v>
      </c>
    </row>
    <row r="963" spans="1:11" hidden="1">
      <c r="A963" s="148" t="s">
        <v>3201</v>
      </c>
      <c r="B963" s="148" t="s">
        <v>3202</v>
      </c>
      <c r="C963" s="148" t="s">
        <v>1120</v>
      </c>
      <c r="D963" s="148" t="s">
        <v>277</v>
      </c>
      <c r="E963" s="148" t="s">
        <v>1009</v>
      </c>
      <c r="F963" s="148" t="s">
        <v>1118</v>
      </c>
      <c r="G963" s="148" t="s">
        <v>1011</v>
      </c>
      <c r="H963" s="148">
        <v>237245</v>
      </c>
      <c r="I963" s="148">
        <v>276</v>
      </c>
      <c r="J963" s="148">
        <v>0.1163</v>
      </c>
      <c r="K963" s="148" t="str">
        <f t="shared" ref="K963:K1026" si="15">_xlfn.CONCAT(_xlfn.IFS(ISNUMBER(SEARCH("EN",A963)),"ENTITY",ISNUMBER(SEARCH("IN",A963)),"INSTRUMENT",ISNUMBER(SEARCH("PR",A963)),"PROTECTION",ISNUMBER(SEARCH("IP",A963)),"INSTR_PROTECTION",ISNUMBER(SEARCH("IE",A963)),"INSTR_ENTITY",ISNUMBER(SEARCH("AC",A963)),"INSTR_ACTIVITY"),D963)</f>
        <v>ENTITYDT_PRFRMNG_STTS_LE</v>
      </c>
    </row>
    <row r="964" spans="1:11" hidden="1">
      <c r="A964" s="148" t="s">
        <v>3203</v>
      </c>
      <c r="B964" s="148" t="s">
        <v>3204</v>
      </c>
      <c r="C964" s="148" t="s">
        <v>1120</v>
      </c>
      <c r="D964" s="148" t="s">
        <v>337</v>
      </c>
      <c r="E964" s="148" t="s">
        <v>1009</v>
      </c>
      <c r="F964" s="148" t="s">
        <v>1118</v>
      </c>
      <c r="G964" s="148" t="s">
        <v>129</v>
      </c>
      <c r="H964" s="148">
        <v>18697</v>
      </c>
      <c r="I964" s="148">
        <v>0</v>
      </c>
      <c r="J964" s="148">
        <v>0</v>
      </c>
      <c r="K964" s="148" t="str">
        <f t="shared" si="15"/>
        <v>ENTITYGCC_PRNT_ID</v>
      </c>
    </row>
    <row r="965" spans="1:11" hidden="1">
      <c r="A965" s="148" t="s">
        <v>3205</v>
      </c>
      <c r="B965" s="148" t="s">
        <v>3206</v>
      </c>
      <c r="C965" s="148" t="s">
        <v>1120</v>
      </c>
      <c r="D965" s="148" t="s">
        <v>337</v>
      </c>
      <c r="E965" s="148" t="s">
        <v>1009</v>
      </c>
      <c r="F965" s="148" t="s">
        <v>1118</v>
      </c>
      <c r="G965" s="148" t="s">
        <v>1011</v>
      </c>
      <c r="H965" s="148">
        <v>46</v>
      </c>
      <c r="I965" s="148">
        <v>1</v>
      </c>
      <c r="J965" s="148">
        <v>2.1739000000000002</v>
      </c>
      <c r="K965" s="148" t="str">
        <f t="shared" si="15"/>
        <v>ENTITYGCC_PRNT_ID</v>
      </c>
    </row>
    <row r="966" spans="1:11" hidden="1">
      <c r="A966" s="148" t="s">
        <v>3207</v>
      </c>
      <c r="B966" s="148" t="s">
        <v>3208</v>
      </c>
      <c r="C966" s="148" t="s">
        <v>1120</v>
      </c>
      <c r="D966" s="148" t="s">
        <v>338</v>
      </c>
      <c r="E966" s="148" t="s">
        <v>1009</v>
      </c>
      <c r="F966" s="148" t="s">
        <v>1118</v>
      </c>
      <c r="G966" s="148" t="s">
        <v>129</v>
      </c>
      <c r="H966" s="148">
        <v>18697</v>
      </c>
      <c r="I966" s="148">
        <v>0</v>
      </c>
      <c r="J966" s="148">
        <v>0</v>
      </c>
      <c r="K966" s="148" t="str">
        <f t="shared" si="15"/>
        <v>ENTITYGCC_PRNT_NM</v>
      </c>
    </row>
    <row r="967" spans="1:11" hidden="1">
      <c r="A967" s="148" t="s">
        <v>3209</v>
      </c>
      <c r="B967" s="148" t="s">
        <v>3210</v>
      </c>
      <c r="C967" s="148" t="s">
        <v>1120</v>
      </c>
      <c r="D967" s="148" t="s">
        <v>338</v>
      </c>
      <c r="E967" s="148" t="s">
        <v>1009</v>
      </c>
      <c r="F967" s="148" t="s">
        <v>1118</v>
      </c>
      <c r="G967" s="148" t="s">
        <v>1011</v>
      </c>
      <c r="H967" s="148">
        <v>46</v>
      </c>
      <c r="I967" s="148">
        <v>1</v>
      </c>
      <c r="J967" s="148">
        <v>2.1739000000000002</v>
      </c>
      <c r="K967" s="148" t="str">
        <f t="shared" si="15"/>
        <v>ENTITYGCC_PRNT_NM</v>
      </c>
    </row>
    <row r="968" spans="1:11" hidden="1">
      <c r="A968" s="148" t="s">
        <v>3211</v>
      </c>
      <c r="B968" s="148" t="s">
        <v>3212</v>
      </c>
      <c r="C968" s="148" t="s">
        <v>1120</v>
      </c>
      <c r="D968" s="148" t="s">
        <v>395</v>
      </c>
      <c r="E968" s="148" t="s">
        <v>1009</v>
      </c>
      <c r="F968" s="148" t="s">
        <v>1118</v>
      </c>
      <c r="G968" s="148" t="s">
        <v>129</v>
      </c>
      <c r="H968" s="148">
        <v>46</v>
      </c>
      <c r="I968" s="148">
        <v>0</v>
      </c>
      <c r="J968" s="148">
        <v>0</v>
      </c>
      <c r="K968" s="148" t="str">
        <f t="shared" si="15"/>
        <v>ENTITYLEI</v>
      </c>
    </row>
    <row r="969" spans="1:11" hidden="1">
      <c r="A969" s="148" t="s">
        <v>3213</v>
      </c>
      <c r="B969" s="148" t="s">
        <v>3214</v>
      </c>
      <c r="C969" s="148" t="s">
        <v>1120</v>
      </c>
      <c r="D969" s="148" t="s">
        <v>317</v>
      </c>
      <c r="E969" s="148" t="s">
        <v>1009</v>
      </c>
      <c r="F969" s="148" t="s">
        <v>1118</v>
      </c>
      <c r="G969" s="148" t="s">
        <v>129</v>
      </c>
      <c r="H969" s="148">
        <v>126</v>
      </c>
      <c r="I969" s="148">
        <v>0</v>
      </c>
      <c r="J969" s="148">
        <v>0</v>
      </c>
      <c r="K969" s="148" t="str">
        <f t="shared" si="15"/>
        <v>ENTITYEXTRNL_RTNG_NM</v>
      </c>
    </row>
    <row r="970" spans="1:11" hidden="1">
      <c r="A970" s="148" t="s">
        <v>3215</v>
      </c>
      <c r="B970" s="148" t="s">
        <v>3216</v>
      </c>
      <c r="C970" s="148" t="s">
        <v>1120</v>
      </c>
      <c r="D970" s="148" t="s">
        <v>317</v>
      </c>
      <c r="E970" s="148" t="s">
        <v>1009</v>
      </c>
      <c r="F970" s="148" t="s">
        <v>1118</v>
      </c>
      <c r="G970" s="148" t="s">
        <v>129</v>
      </c>
      <c r="H970" s="148">
        <v>46</v>
      </c>
      <c r="I970" s="148">
        <v>0</v>
      </c>
      <c r="J970" s="148">
        <v>0</v>
      </c>
      <c r="K970" s="148" t="str">
        <f t="shared" si="15"/>
        <v>ENTITYEXTRNL_RTNG_NM</v>
      </c>
    </row>
    <row r="971" spans="1:11" hidden="1">
      <c r="A971" s="148" t="s">
        <v>3217</v>
      </c>
      <c r="B971" s="148" t="s">
        <v>3218</v>
      </c>
      <c r="C971" s="148" t="s">
        <v>1120</v>
      </c>
      <c r="D971" s="148" t="s">
        <v>140</v>
      </c>
      <c r="E971" s="148" t="s">
        <v>1009</v>
      </c>
      <c r="F971" s="148" t="s">
        <v>1118</v>
      </c>
      <c r="G971" s="148" t="s">
        <v>129</v>
      </c>
      <c r="H971" s="148">
        <v>68644</v>
      </c>
      <c r="I971" s="148">
        <v>0</v>
      </c>
      <c r="J971" s="148">
        <v>0</v>
      </c>
      <c r="K971" s="148" t="str">
        <f t="shared" si="15"/>
        <v>ENTITYACCNTNG_FRMWRK_SL</v>
      </c>
    </row>
    <row r="972" spans="1:11" hidden="1">
      <c r="A972" s="148" t="s">
        <v>3219</v>
      </c>
      <c r="B972" s="148" t="s">
        <v>3220</v>
      </c>
      <c r="C972" s="148" t="s">
        <v>1019</v>
      </c>
      <c r="D972" s="148" t="s">
        <v>192</v>
      </c>
      <c r="E972" s="148" t="s">
        <v>1009</v>
      </c>
      <c r="F972" s="148" t="s">
        <v>1118</v>
      </c>
      <c r="G972" s="148" t="s">
        <v>129</v>
      </c>
      <c r="H972" s="148">
        <v>28436</v>
      </c>
      <c r="I972" s="148">
        <v>0</v>
      </c>
      <c r="J972" s="148">
        <v>0</v>
      </c>
      <c r="K972" s="148" t="str">
        <f t="shared" si="15"/>
        <v>ENTITYCR_FLG</v>
      </c>
    </row>
    <row r="973" spans="1:11" hidden="1">
      <c r="A973" s="148" t="s">
        <v>3221</v>
      </c>
      <c r="B973" s="148" t="s">
        <v>3222</v>
      </c>
      <c r="C973" s="148" t="s">
        <v>1019</v>
      </c>
      <c r="D973" s="148" t="s">
        <v>192</v>
      </c>
      <c r="E973" s="148" t="s">
        <v>1009</v>
      </c>
      <c r="F973" s="148" t="s">
        <v>1118</v>
      </c>
      <c r="G973" s="148" t="s">
        <v>129</v>
      </c>
      <c r="H973" s="148">
        <v>229338</v>
      </c>
      <c r="I973" s="148">
        <v>0</v>
      </c>
      <c r="J973" s="148">
        <v>0</v>
      </c>
      <c r="K973" s="148" t="str">
        <f t="shared" si="15"/>
        <v>ENTITYCR_FLG</v>
      </c>
    </row>
    <row r="974" spans="1:11" hidden="1">
      <c r="A974" s="148" t="s">
        <v>3223</v>
      </c>
      <c r="B974" s="148" t="s">
        <v>3224</v>
      </c>
      <c r="C974" s="148" t="s">
        <v>1019</v>
      </c>
      <c r="D974" s="148" t="s">
        <v>192</v>
      </c>
      <c r="E974" s="148" t="s">
        <v>1009</v>
      </c>
      <c r="F974" s="148" t="s">
        <v>1118</v>
      </c>
      <c r="G974" s="148" t="s">
        <v>1011</v>
      </c>
      <c r="H974" s="148">
        <v>155836</v>
      </c>
      <c r="I974" s="148">
        <v>1669</v>
      </c>
      <c r="J974" s="148">
        <v>1.071</v>
      </c>
      <c r="K974" s="148" t="str">
        <f t="shared" si="15"/>
        <v>ENTITYCR_FLG</v>
      </c>
    </row>
    <row r="975" spans="1:11" hidden="1">
      <c r="A975" s="148" t="s">
        <v>3225</v>
      </c>
      <c r="B975" s="148" t="s">
        <v>3226</v>
      </c>
      <c r="C975" s="148" t="s">
        <v>1120</v>
      </c>
      <c r="D975" s="148" t="s">
        <v>211</v>
      </c>
      <c r="E975" s="148" t="s">
        <v>1009</v>
      </c>
      <c r="F975" s="148" t="s">
        <v>1118</v>
      </c>
      <c r="G975" s="148" t="s">
        <v>129</v>
      </c>
      <c r="H975" s="148">
        <v>654</v>
      </c>
      <c r="I975" s="148">
        <v>0</v>
      </c>
      <c r="J975" s="148">
        <v>0</v>
      </c>
      <c r="K975" s="148" t="str">
        <f t="shared" si="15"/>
        <v>ENTITYDCSD</v>
      </c>
    </row>
    <row r="976" spans="1:11" hidden="1">
      <c r="A976" s="148" t="s">
        <v>3227</v>
      </c>
      <c r="B976" s="148" t="s">
        <v>3228</v>
      </c>
      <c r="C976" s="148" t="s">
        <v>1019</v>
      </c>
      <c r="D976" s="148" t="s">
        <v>212</v>
      </c>
      <c r="E976" s="148" t="s">
        <v>1009</v>
      </c>
      <c r="F976" s="148" t="s">
        <v>1118</v>
      </c>
      <c r="G976" s="148" t="s">
        <v>129</v>
      </c>
      <c r="H976" s="148">
        <v>7413</v>
      </c>
      <c r="I976" s="148">
        <v>0</v>
      </c>
      <c r="J976" s="148">
        <v>0</v>
      </c>
      <c r="K976" s="148" t="str">
        <f t="shared" si="15"/>
        <v>ENTITYDFLT_STTS</v>
      </c>
    </row>
    <row r="977" spans="1:11" hidden="1">
      <c r="A977" s="148" t="s">
        <v>3229</v>
      </c>
      <c r="B977" s="148" t="s">
        <v>3230</v>
      </c>
      <c r="C977" s="148" t="s">
        <v>1019</v>
      </c>
      <c r="D977" s="148" t="s">
        <v>212</v>
      </c>
      <c r="E977" s="148" t="s">
        <v>1009</v>
      </c>
      <c r="F977" s="148" t="s">
        <v>1118</v>
      </c>
      <c r="G977" s="148" t="s">
        <v>129</v>
      </c>
      <c r="H977" s="148">
        <v>17689</v>
      </c>
      <c r="I977" s="148">
        <v>0</v>
      </c>
      <c r="J977" s="148">
        <v>0</v>
      </c>
      <c r="K977" s="148" t="str">
        <f t="shared" si="15"/>
        <v>ENTITYDFLT_STTS</v>
      </c>
    </row>
    <row r="978" spans="1:11" hidden="1">
      <c r="A978" s="148" t="s">
        <v>3231</v>
      </c>
      <c r="B978" s="148" t="s">
        <v>3232</v>
      </c>
      <c r="C978" s="148" t="s">
        <v>1019</v>
      </c>
      <c r="D978" s="148" t="s">
        <v>212</v>
      </c>
      <c r="E978" s="148" t="s">
        <v>1009</v>
      </c>
      <c r="F978" s="148" t="s">
        <v>1118</v>
      </c>
      <c r="G978" s="148" t="s">
        <v>129</v>
      </c>
      <c r="H978" s="148">
        <v>2854</v>
      </c>
      <c r="I978" s="148">
        <v>0</v>
      </c>
      <c r="J978" s="148">
        <v>0</v>
      </c>
      <c r="K978" s="148" t="str">
        <f t="shared" si="15"/>
        <v>ENTITYDFLT_STTS</v>
      </c>
    </row>
    <row r="979" spans="1:11" hidden="1">
      <c r="A979" s="148" t="s">
        <v>3233</v>
      </c>
      <c r="B979" s="148" t="s">
        <v>3234</v>
      </c>
      <c r="C979" s="148" t="s">
        <v>1120</v>
      </c>
      <c r="D979" s="148" t="s">
        <v>465</v>
      </c>
      <c r="E979" s="148" t="s">
        <v>1009</v>
      </c>
      <c r="F979" s="148" t="s">
        <v>1118</v>
      </c>
      <c r="G979" s="148" t="s">
        <v>129</v>
      </c>
      <c r="H979" s="148">
        <v>12</v>
      </c>
      <c r="I979" s="148">
        <v>0</v>
      </c>
      <c r="J979" s="148">
        <v>0</v>
      </c>
      <c r="K979" s="148" t="str">
        <f t="shared" si="15"/>
        <v>ENTITYDT_EXTRNL_RTNG</v>
      </c>
    </row>
    <row r="980" spans="1:11" hidden="1">
      <c r="A980" s="148" t="s">
        <v>3235</v>
      </c>
      <c r="B980" s="148" t="s">
        <v>3236</v>
      </c>
      <c r="C980" s="148" t="s">
        <v>1120</v>
      </c>
      <c r="D980" s="148" t="s">
        <v>465</v>
      </c>
      <c r="E980" s="148" t="s">
        <v>1009</v>
      </c>
      <c r="F980" s="148" t="s">
        <v>1118</v>
      </c>
      <c r="G980" s="148" t="s">
        <v>129</v>
      </c>
      <c r="H980" s="148">
        <v>126</v>
      </c>
      <c r="I980" s="148">
        <v>0</v>
      </c>
      <c r="J980" s="148">
        <v>0</v>
      </c>
      <c r="K980" s="148" t="str">
        <f t="shared" si="15"/>
        <v>ENTITYDT_EXTRNL_RTNG</v>
      </c>
    </row>
    <row r="981" spans="1:11" hidden="1">
      <c r="A981" s="148" t="s">
        <v>3237</v>
      </c>
      <c r="B981" s="148" t="s">
        <v>3238</v>
      </c>
      <c r="C981" s="148" t="s">
        <v>1120</v>
      </c>
      <c r="D981" s="148" t="s">
        <v>465</v>
      </c>
      <c r="E981" s="148" t="s">
        <v>1009</v>
      </c>
      <c r="F981" s="148" t="s">
        <v>1118</v>
      </c>
      <c r="G981" s="148" t="s">
        <v>129</v>
      </c>
      <c r="H981" s="148">
        <v>126</v>
      </c>
      <c r="I981" s="148">
        <v>0</v>
      </c>
      <c r="J981" s="148">
        <v>0</v>
      </c>
      <c r="K981" s="148" t="str">
        <f t="shared" si="15"/>
        <v>ENTITYDT_EXTRNL_RTNG</v>
      </c>
    </row>
    <row r="982" spans="1:11" hidden="1">
      <c r="A982" s="148" t="s">
        <v>3239</v>
      </c>
      <c r="B982" s="148" t="s">
        <v>3240</v>
      </c>
      <c r="C982" s="148" t="s">
        <v>1120</v>
      </c>
      <c r="D982" s="148" t="s">
        <v>465</v>
      </c>
      <c r="E982" s="148" t="s">
        <v>1009</v>
      </c>
      <c r="F982" s="148" t="s">
        <v>1118</v>
      </c>
      <c r="G982" s="148" t="s">
        <v>129</v>
      </c>
      <c r="H982" s="148">
        <v>46</v>
      </c>
      <c r="I982" s="148">
        <v>0</v>
      </c>
      <c r="J982" s="148">
        <v>0</v>
      </c>
      <c r="K982" s="148" t="str">
        <f t="shared" si="15"/>
        <v>ENTITYDT_EXTRNL_RTNG</v>
      </c>
    </row>
    <row r="983" spans="1:11" hidden="1">
      <c r="A983" s="148" t="s">
        <v>3241</v>
      </c>
      <c r="B983" s="148" t="s">
        <v>3242</v>
      </c>
      <c r="C983" s="148" t="s">
        <v>1120</v>
      </c>
      <c r="D983" s="148" t="s">
        <v>260</v>
      </c>
      <c r="E983" s="148" t="s">
        <v>1009</v>
      </c>
      <c r="F983" s="148" t="s">
        <v>1118</v>
      </c>
      <c r="G983" s="148" t="s">
        <v>129</v>
      </c>
      <c r="H983" s="148">
        <v>1047384</v>
      </c>
      <c r="I983" s="148">
        <v>0</v>
      </c>
      <c r="J983" s="148">
        <v>0</v>
      </c>
      <c r="K983" s="148" t="str">
        <f t="shared" si="15"/>
        <v>ENTITYDT_INTRNL_RTNG</v>
      </c>
    </row>
    <row r="984" spans="1:11" hidden="1">
      <c r="A984" s="148" t="s">
        <v>3243</v>
      </c>
      <c r="B984" s="148" t="s">
        <v>3244</v>
      </c>
      <c r="C984" s="148" t="s">
        <v>1120</v>
      </c>
      <c r="D984" s="148" t="s">
        <v>260</v>
      </c>
      <c r="E984" s="148" t="s">
        <v>1009</v>
      </c>
      <c r="F984" s="148" t="s">
        <v>1118</v>
      </c>
      <c r="G984" s="148" t="s">
        <v>129</v>
      </c>
      <c r="H984" s="148">
        <v>1048902</v>
      </c>
      <c r="I984" s="148">
        <v>0</v>
      </c>
      <c r="J984" s="148">
        <v>0</v>
      </c>
      <c r="K984" s="148" t="str">
        <f t="shared" si="15"/>
        <v>ENTITYDT_INTRNL_RTNG</v>
      </c>
    </row>
    <row r="985" spans="1:11" hidden="1">
      <c r="A985" s="148" t="s">
        <v>3245</v>
      </c>
      <c r="B985" s="148" t="s">
        <v>3246</v>
      </c>
      <c r="C985" s="148" t="s">
        <v>1120</v>
      </c>
      <c r="D985" s="148" t="s">
        <v>260</v>
      </c>
      <c r="E985" s="148" t="s">
        <v>1009</v>
      </c>
      <c r="F985" s="148" t="s">
        <v>1118</v>
      </c>
      <c r="G985" s="148" t="s">
        <v>129</v>
      </c>
      <c r="H985" s="148">
        <v>1052848</v>
      </c>
      <c r="I985" s="148">
        <v>0</v>
      </c>
      <c r="J985" s="148">
        <v>0</v>
      </c>
      <c r="K985" s="148" t="str">
        <f t="shared" si="15"/>
        <v>ENTITYDT_INTRNL_RTNG</v>
      </c>
    </row>
    <row r="986" spans="1:11" hidden="1">
      <c r="A986" s="148" t="s">
        <v>3247</v>
      </c>
      <c r="B986" s="148" t="s">
        <v>3248</v>
      </c>
      <c r="C986" s="148" t="s">
        <v>1120</v>
      </c>
      <c r="D986" s="148" t="s">
        <v>260</v>
      </c>
      <c r="E986" s="148" t="s">
        <v>1009</v>
      </c>
      <c r="F986" s="148" t="s">
        <v>1118</v>
      </c>
      <c r="G986" s="148" t="s">
        <v>1011</v>
      </c>
      <c r="H986" s="148">
        <v>68644</v>
      </c>
      <c r="I986" s="148">
        <v>9344</v>
      </c>
      <c r="J986" s="148">
        <v>13.612299999999999</v>
      </c>
      <c r="K986" s="148" t="str">
        <f t="shared" si="15"/>
        <v>ENTITYDT_INTRNL_RTNG</v>
      </c>
    </row>
    <row r="987" spans="1:11" hidden="1">
      <c r="A987" s="148" t="s">
        <v>3249</v>
      </c>
      <c r="B987" s="148" t="s">
        <v>3250</v>
      </c>
      <c r="C987" s="148" t="s">
        <v>1120</v>
      </c>
      <c r="D987" s="148" t="s">
        <v>304</v>
      </c>
      <c r="E987" s="148" t="s">
        <v>1009</v>
      </c>
      <c r="F987" s="148" t="s">
        <v>1118</v>
      </c>
      <c r="G987" s="148" t="s">
        <v>129</v>
      </c>
      <c r="H987" s="148">
        <v>654</v>
      </c>
      <c r="I987" s="148">
        <v>0</v>
      </c>
      <c r="J987" s="148">
        <v>0</v>
      </c>
      <c r="K987" s="148" t="str">
        <f t="shared" si="15"/>
        <v>ENTITYEMPLYMNT_STTS_INTRNL</v>
      </c>
    </row>
    <row r="988" spans="1:11" hidden="1">
      <c r="A988" s="148" t="s">
        <v>3251</v>
      </c>
      <c r="B988" s="148" t="s">
        <v>3252</v>
      </c>
      <c r="C988" s="148" t="s">
        <v>1120</v>
      </c>
      <c r="D988" s="148" t="s">
        <v>303</v>
      </c>
      <c r="E988" s="148" t="s">
        <v>1009</v>
      </c>
      <c r="F988" s="148" t="s">
        <v>1118</v>
      </c>
      <c r="G988" s="148" t="s">
        <v>129</v>
      </c>
      <c r="H988" s="148">
        <v>1057332</v>
      </c>
      <c r="I988" s="148">
        <v>0</v>
      </c>
      <c r="J988" s="148">
        <v>0</v>
      </c>
      <c r="K988" s="148" t="str">
        <f t="shared" si="15"/>
        <v>ENTITYEMPLYMNT_STTS</v>
      </c>
    </row>
    <row r="989" spans="1:11" hidden="1">
      <c r="A989" s="148" t="s">
        <v>3253</v>
      </c>
      <c r="B989" s="148" t="s">
        <v>3254</v>
      </c>
      <c r="C989" s="148" t="s">
        <v>1120</v>
      </c>
      <c r="D989" s="148" t="s">
        <v>303</v>
      </c>
      <c r="E989" s="148" t="s">
        <v>1009</v>
      </c>
      <c r="F989" s="148" t="s">
        <v>1118</v>
      </c>
      <c r="G989" s="148" t="s">
        <v>129</v>
      </c>
      <c r="H989" s="148">
        <v>654</v>
      </c>
      <c r="I989" s="148">
        <v>0</v>
      </c>
      <c r="J989" s="148">
        <v>0</v>
      </c>
      <c r="K989" s="148" t="str">
        <f t="shared" si="15"/>
        <v>ENTITYEMPLYMNT_STTS</v>
      </c>
    </row>
    <row r="990" spans="1:11" hidden="1">
      <c r="A990" s="148" t="s">
        <v>1117</v>
      </c>
      <c r="B990" s="148" t="s">
        <v>1078</v>
      </c>
      <c r="C990" s="148" t="s">
        <v>1019</v>
      </c>
      <c r="D990" s="148" t="s">
        <v>305</v>
      </c>
      <c r="E990" s="148" t="s">
        <v>1009</v>
      </c>
      <c r="F990" s="148" t="s">
        <v>1118</v>
      </c>
      <c r="G990" s="148" t="s">
        <v>1011</v>
      </c>
      <c r="H990" s="148">
        <v>113228</v>
      </c>
      <c r="I990" s="148">
        <v>16945</v>
      </c>
      <c r="J990" s="148">
        <v>14.965400000000001</v>
      </c>
      <c r="K990" s="148" t="str">
        <f t="shared" si="15"/>
        <v>ENTITYENTRPRS_SZ_LE</v>
      </c>
    </row>
    <row r="991" spans="1:11" hidden="1">
      <c r="A991" s="148" t="s">
        <v>3255</v>
      </c>
      <c r="B991" s="148" t="s">
        <v>1079</v>
      </c>
      <c r="C991" s="148" t="s">
        <v>1019</v>
      </c>
      <c r="D991" s="148" t="s">
        <v>305</v>
      </c>
      <c r="E991" s="148" t="s">
        <v>1009</v>
      </c>
      <c r="F991" s="148" t="s">
        <v>1118</v>
      </c>
      <c r="G991" s="148" t="s">
        <v>129</v>
      </c>
      <c r="H991" s="148">
        <v>257774</v>
      </c>
      <c r="I991" s="148">
        <v>0</v>
      </c>
      <c r="J991" s="148">
        <v>0</v>
      </c>
      <c r="K991" s="148" t="str">
        <f t="shared" si="15"/>
        <v>ENTITYENTRPRS_SZ_LE</v>
      </c>
    </row>
    <row r="992" spans="1:11" hidden="1">
      <c r="A992" s="148" t="s">
        <v>1119</v>
      </c>
      <c r="B992" s="148" t="s">
        <v>1080</v>
      </c>
      <c r="C992" s="148" t="s">
        <v>1120</v>
      </c>
      <c r="D992" s="148" t="s">
        <v>305</v>
      </c>
      <c r="E992" s="148" t="s">
        <v>1009</v>
      </c>
      <c r="F992" s="148" t="s">
        <v>1118</v>
      </c>
      <c r="G992" s="148" t="s">
        <v>1011</v>
      </c>
      <c r="H992" s="148">
        <v>37</v>
      </c>
      <c r="I992" s="148">
        <v>1</v>
      </c>
      <c r="J992" s="148">
        <v>2.7027000000000001</v>
      </c>
      <c r="K992" s="148" t="str">
        <f t="shared" si="15"/>
        <v>ENTITYENTRPRS_SZ_LE</v>
      </c>
    </row>
    <row r="993" spans="1:11" hidden="1">
      <c r="A993" s="148" t="s">
        <v>3256</v>
      </c>
      <c r="B993" s="148" t="s">
        <v>1081</v>
      </c>
      <c r="C993" s="148" t="s">
        <v>1120</v>
      </c>
      <c r="D993" s="148" t="s">
        <v>305</v>
      </c>
      <c r="E993" s="148" t="s">
        <v>1009</v>
      </c>
      <c r="F993" s="148" t="s">
        <v>1118</v>
      </c>
      <c r="G993" s="148" t="s">
        <v>129</v>
      </c>
      <c r="H993" s="148">
        <v>0</v>
      </c>
      <c r="I993" s="148">
        <v>0</v>
      </c>
      <c r="J993" s="148">
        <v>0</v>
      </c>
      <c r="K993" s="148" t="str">
        <f t="shared" si="15"/>
        <v>ENTITYENTRPRS_SZ_LE</v>
      </c>
    </row>
    <row r="994" spans="1:11" hidden="1">
      <c r="A994" s="148" t="s">
        <v>3257</v>
      </c>
      <c r="B994" s="148" t="s">
        <v>3258</v>
      </c>
      <c r="C994" s="148" t="s">
        <v>1120</v>
      </c>
      <c r="D994" s="148" t="s">
        <v>336</v>
      </c>
      <c r="E994" s="148" t="s">
        <v>1009</v>
      </c>
      <c r="F994" s="148" t="s">
        <v>1118</v>
      </c>
      <c r="G994" s="148" t="s">
        <v>129</v>
      </c>
      <c r="H994" s="148">
        <v>126</v>
      </c>
      <c r="I994" s="148">
        <v>0</v>
      </c>
      <c r="J994" s="148">
        <v>0</v>
      </c>
      <c r="K994" s="148" t="str">
        <f t="shared" si="15"/>
        <v>ENTITYEXTRNL_RTNG</v>
      </c>
    </row>
    <row r="995" spans="1:11" hidden="1">
      <c r="A995" s="148" t="s">
        <v>3259</v>
      </c>
      <c r="B995" s="148" t="s">
        <v>3260</v>
      </c>
      <c r="C995" s="148" t="s">
        <v>1120</v>
      </c>
      <c r="D995" s="148" t="s">
        <v>336</v>
      </c>
      <c r="E995" s="148" t="s">
        <v>1009</v>
      </c>
      <c r="F995" s="148" t="s">
        <v>1118</v>
      </c>
      <c r="G995" s="148" t="s">
        <v>129</v>
      </c>
      <c r="H995" s="148">
        <v>46</v>
      </c>
      <c r="I995" s="148">
        <v>0</v>
      </c>
      <c r="J995" s="148">
        <v>0</v>
      </c>
      <c r="K995" s="148" t="str">
        <f t="shared" si="15"/>
        <v>ENTITYEXTRNL_RTNG</v>
      </c>
    </row>
    <row r="996" spans="1:11" hidden="1">
      <c r="A996" s="148" t="s">
        <v>3261</v>
      </c>
      <c r="B996" s="148" t="s">
        <v>3262</v>
      </c>
      <c r="C996" s="148" t="s">
        <v>1120</v>
      </c>
      <c r="D996" s="148" t="s">
        <v>314</v>
      </c>
      <c r="E996" s="148" t="s">
        <v>1009</v>
      </c>
      <c r="F996" s="148" t="s">
        <v>1118</v>
      </c>
      <c r="G996" s="148" t="s">
        <v>129</v>
      </c>
      <c r="H996" s="148">
        <v>82624</v>
      </c>
      <c r="I996" s="148">
        <v>0</v>
      </c>
      <c r="J996" s="148">
        <v>0</v>
      </c>
      <c r="K996" s="148" t="str">
        <f t="shared" si="15"/>
        <v>ENTITYEXTRNL_RTNG_PRVS</v>
      </c>
    </row>
    <row r="997" spans="1:11" hidden="1">
      <c r="A997" s="148" t="s">
        <v>3263</v>
      </c>
      <c r="B997" s="148" t="s">
        <v>3264</v>
      </c>
      <c r="C997" s="148" t="s">
        <v>1120</v>
      </c>
      <c r="D997" s="148" t="s">
        <v>314</v>
      </c>
      <c r="E997" s="148" t="s">
        <v>1009</v>
      </c>
      <c r="F997" s="148" t="s">
        <v>1118</v>
      </c>
      <c r="G997" s="148" t="s">
        <v>129</v>
      </c>
      <c r="H997" s="148">
        <v>46</v>
      </c>
      <c r="I997" s="148">
        <v>0</v>
      </c>
      <c r="J997" s="148">
        <v>0</v>
      </c>
      <c r="K997" s="148" t="str">
        <f t="shared" si="15"/>
        <v>ENTITYEXTRNL_RTNG_PRVS</v>
      </c>
    </row>
    <row r="998" spans="1:11" hidden="1">
      <c r="A998" s="148" t="s">
        <v>3265</v>
      </c>
      <c r="B998" s="148" t="s">
        <v>3266</v>
      </c>
      <c r="C998" s="148" t="s">
        <v>1120</v>
      </c>
      <c r="D998" s="148" t="s">
        <v>321</v>
      </c>
      <c r="E998" s="148" t="s">
        <v>1009</v>
      </c>
      <c r="F998" s="148" t="s">
        <v>1118</v>
      </c>
      <c r="G998" s="148" t="s">
        <v>129</v>
      </c>
      <c r="H998" s="148">
        <v>18694</v>
      </c>
      <c r="I998" s="148">
        <v>0</v>
      </c>
      <c r="J998" s="148">
        <v>0</v>
      </c>
      <c r="K998" s="148" t="str">
        <f t="shared" si="15"/>
        <v>ENTITYFLG_BNKRPTCY_IN_GRP</v>
      </c>
    </row>
    <row r="999" spans="1:11" hidden="1">
      <c r="A999" s="148" t="s">
        <v>3267</v>
      </c>
      <c r="B999" s="148" t="s">
        <v>3268</v>
      </c>
      <c r="C999" s="148" t="s">
        <v>1120</v>
      </c>
      <c r="D999" s="148" t="s">
        <v>321</v>
      </c>
      <c r="E999" s="148" t="s">
        <v>1009</v>
      </c>
      <c r="F999" s="148" t="s">
        <v>1118</v>
      </c>
      <c r="G999" s="148" t="s">
        <v>129</v>
      </c>
      <c r="H999" s="148">
        <v>64001</v>
      </c>
      <c r="I999" s="148">
        <v>0</v>
      </c>
      <c r="J999" s="148">
        <v>0</v>
      </c>
      <c r="K999" s="148" t="str">
        <f t="shared" si="15"/>
        <v>ENTITYFLG_BNKRPTCY_IN_GRP</v>
      </c>
    </row>
    <row r="1000" spans="1:11" hidden="1">
      <c r="A1000" s="148" t="s">
        <v>3269</v>
      </c>
      <c r="B1000" s="148" t="s">
        <v>3270</v>
      </c>
      <c r="C1000" s="148" t="s">
        <v>1120</v>
      </c>
      <c r="D1000" s="148" t="s">
        <v>321</v>
      </c>
      <c r="E1000" s="148" t="s">
        <v>1009</v>
      </c>
      <c r="F1000" s="148" t="s">
        <v>1118</v>
      </c>
      <c r="G1000" s="148" t="s">
        <v>1011</v>
      </c>
      <c r="H1000" s="148">
        <v>46</v>
      </c>
      <c r="I1000" s="148">
        <v>1</v>
      </c>
      <c r="J1000" s="148">
        <v>2.1739000000000002</v>
      </c>
      <c r="K1000" s="148" t="str">
        <f t="shared" si="15"/>
        <v>ENTITYFLG_BNKRPTCY_IN_GRP</v>
      </c>
    </row>
    <row r="1001" spans="1:11" hidden="1">
      <c r="A1001" s="148" t="s">
        <v>3271</v>
      </c>
      <c r="B1001" s="148" t="s">
        <v>3272</v>
      </c>
      <c r="C1001" s="148" t="s">
        <v>139</v>
      </c>
      <c r="D1001" s="148" t="s">
        <v>321</v>
      </c>
      <c r="E1001" s="148" t="s">
        <v>10</v>
      </c>
      <c r="F1001" s="148" t="s">
        <v>1118</v>
      </c>
      <c r="G1001" s="148" t="s">
        <v>129</v>
      </c>
      <c r="H1001" s="148">
        <v>82695</v>
      </c>
      <c r="I1001" s="148">
        <v>0</v>
      </c>
      <c r="J1001" s="148">
        <v>0</v>
      </c>
      <c r="K1001" s="148" t="str">
        <f t="shared" si="15"/>
        <v>ENTITYFLG_BNKRPTCY_IN_GRP</v>
      </c>
    </row>
    <row r="1002" spans="1:11" hidden="1">
      <c r="A1002" s="148" t="s">
        <v>3273</v>
      </c>
      <c r="B1002" s="148" t="s">
        <v>3274</v>
      </c>
      <c r="C1002" s="148" t="s">
        <v>1120</v>
      </c>
      <c r="D1002" s="148" t="s">
        <v>322</v>
      </c>
      <c r="E1002" s="148" t="s">
        <v>1009</v>
      </c>
      <c r="F1002" s="148" t="s">
        <v>1118</v>
      </c>
      <c r="G1002" s="148" t="s">
        <v>1011</v>
      </c>
      <c r="H1002" s="148">
        <v>46</v>
      </c>
      <c r="I1002" s="148">
        <v>1</v>
      </c>
      <c r="J1002" s="148">
        <v>2.1739000000000002</v>
      </c>
      <c r="K1002" s="148" t="str">
        <f t="shared" si="15"/>
        <v>ENTITYFLG_HGH_CDS</v>
      </c>
    </row>
    <row r="1003" spans="1:11" hidden="1">
      <c r="A1003" s="148" t="s">
        <v>3275</v>
      </c>
      <c r="B1003" s="148" t="s">
        <v>3276</v>
      </c>
      <c r="C1003" s="148" t="s">
        <v>1120</v>
      </c>
      <c r="D1003" s="148" t="s">
        <v>323</v>
      </c>
      <c r="E1003" s="148" t="s">
        <v>1009</v>
      </c>
      <c r="F1003" s="148" t="s">
        <v>1118</v>
      </c>
      <c r="G1003" s="148" t="s">
        <v>1011</v>
      </c>
      <c r="H1003" s="148">
        <v>46</v>
      </c>
      <c r="I1003" s="148">
        <v>1</v>
      </c>
      <c r="J1003" s="148">
        <v>2.1739000000000002</v>
      </c>
      <c r="K1003" s="148" t="str">
        <f t="shared" si="15"/>
        <v>ENTITYFLG_ISDA_CRDT_EVNT</v>
      </c>
    </row>
    <row r="1004" spans="1:11" hidden="1">
      <c r="A1004" s="148" t="s">
        <v>3277</v>
      </c>
      <c r="B1004" s="148" t="s">
        <v>3278</v>
      </c>
      <c r="C1004" s="148" t="s">
        <v>1120</v>
      </c>
      <c r="D1004" s="148" t="s">
        <v>326</v>
      </c>
      <c r="E1004" s="148" t="s">
        <v>1009</v>
      </c>
      <c r="F1004" s="148" t="s">
        <v>1118</v>
      </c>
      <c r="G1004" s="148" t="s">
        <v>1011</v>
      </c>
      <c r="H1004" s="148">
        <v>46</v>
      </c>
      <c r="I1004" s="148">
        <v>1</v>
      </c>
      <c r="J1004" s="148">
        <v>2.1739000000000002</v>
      </c>
      <c r="K1004" s="148" t="str">
        <f t="shared" si="15"/>
        <v>ENTITYFLG_RQST_BNKRPTCY</v>
      </c>
    </row>
    <row r="1005" spans="1:11" hidden="1">
      <c r="A1005" s="148" t="s">
        <v>3279</v>
      </c>
      <c r="B1005" s="148" t="s">
        <v>3280</v>
      </c>
      <c r="C1005" s="148" t="s">
        <v>1019</v>
      </c>
      <c r="D1005" s="148" t="s">
        <v>327</v>
      </c>
      <c r="E1005" s="148" t="s">
        <v>1009</v>
      </c>
      <c r="F1005" s="148" t="s">
        <v>1118</v>
      </c>
      <c r="G1005" s="148" t="s">
        <v>1011</v>
      </c>
      <c r="H1005" s="148">
        <v>12617</v>
      </c>
      <c r="I1005" s="148">
        <v>7</v>
      </c>
      <c r="J1005" s="148">
        <v>5.5500000000000001E-2</v>
      </c>
      <c r="K1005" s="148" t="str">
        <f t="shared" si="15"/>
        <v>ENTITYFLG_RQST_DSTRSSD_RSTRCTRNG</v>
      </c>
    </row>
    <row r="1006" spans="1:11" hidden="1">
      <c r="A1006" s="148" t="s">
        <v>3281</v>
      </c>
      <c r="B1006" s="148" t="s">
        <v>3282</v>
      </c>
      <c r="C1006" s="148" t="s">
        <v>1120</v>
      </c>
      <c r="D1006" s="148" t="s">
        <v>330</v>
      </c>
      <c r="E1006" s="148" t="s">
        <v>1009</v>
      </c>
      <c r="F1006" s="148" t="s">
        <v>1118</v>
      </c>
      <c r="G1006" s="148" t="s">
        <v>129</v>
      </c>
      <c r="H1006" s="148">
        <v>46</v>
      </c>
      <c r="I1006" s="148">
        <v>0</v>
      </c>
      <c r="J1006" s="148">
        <v>0</v>
      </c>
      <c r="K1006" s="148" t="str">
        <f t="shared" si="15"/>
        <v>ENTITYFLG_SLL_WTH_LSS</v>
      </c>
    </row>
    <row r="1007" spans="1:11" hidden="1">
      <c r="A1007" s="148" t="s">
        <v>3283</v>
      </c>
      <c r="B1007" s="148" t="s">
        <v>3284</v>
      </c>
      <c r="C1007" s="148" t="s">
        <v>1120</v>
      </c>
      <c r="D1007" s="148" t="s">
        <v>362</v>
      </c>
      <c r="E1007" s="148" t="s">
        <v>1009</v>
      </c>
      <c r="F1007" s="148" t="s">
        <v>1118</v>
      </c>
      <c r="G1007" s="148" t="s">
        <v>1011</v>
      </c>
      <c r="H1007" s="148">
        <v>654</v>
      </c>
      <c r="I1007" s="148">
        <v>365</v>
      </c>
      <c r="J1007" s="148">
        <v>55.810400000000001</v>
      </c>
      <c r="K1007" s="148" t="str">
        <f t="shared" si="15"/>
        <v>ENTITYINCM_SC</v>
      </c>
    </row>
    <row r="1008" spans="1:11" hidden="1">
      <c r="A1008" s="148" t="s">
        <v>3285</v>
      </c>
      <c r="B1008" s="148" t="s">
        <v>3286</v>
      </c>
      <c r="C1008" s="148" t="s">
        <v>1120</v>
      </c>
      <c r="D1008" s="148" t="s">
        <v>368</v>
      </c>
      <c r="E1008" s="148" t="s">
        <v>1009</v>
      </c>
      <c r="F1008" s="148" t="s">
        <v>1118</v>
      </c>
      <c r="G1008" s="148" t="s">
        <v>129</v>
      </c>
      <c r="H1008" s="148">
        <v>1048902</v>
      </c>
      <c r="I1008" s="148">
        <v>0</v>
      </c>
      <c r="J1008" s="148">
        <v>0</v>
      </c>
      <c r="K1008" s="148" t="str">
        <f t="shared" si="15"/>
        <v>ENTITYINTRNL_RTNG</v>
      </c>
    </row>
    <row r="1009" spans="1:11" hidden="1">
      <c r="A1009" s="148" t="s">
        <v>3287</v>
      </c>
      <c r="B1009" s="148" t="s">
        <v>3288</v>
      </c>
      <c r="C1009" s="148" t="s">
        <v>1019</v>
      </c>
      <c r="D1009" s="148" t="s">
        <v>368</v>
      </c>
      <c r="E1009" s="148" t="s">
        <v>1009</v>
      </c>
      <c r="F1009" s="148" t="s">
        <v>1118</v>
      </c>
      <c r="G1009" s="148" t="s">
        <v>1011</v>
      </c>
      <c r="H1009" s="148">
        <v>2008604</v>
      </c>
      <c r="I1009" s="148">
        <v>12342</v>
      </c>
      <c r="J1009" s="148">
        <v>0.61450000000000005</v>
      </c>
      <c r="K1009" s="148" t="str">
        <f t="shared" si="15"/>
        <v>ENTITYINTRNL_RTNG</v>
      </c>
    </row>
    <row r="1010" spans="1:11" hidden="1">
      <c r="A1010" s="148" t="s">
        <v>3289</v>
      </c>
      <c r="B1010" s="148" t="s">
        <v>3290</v>
      </c>
      <c r="C1010" s="148" t="s">
        <v>1120</v>
      </c>
      <c r="D1010" s="148" t="s">
        <v>368</v>
      </c>
      <c r="E1010" s="148" t="s">
        <v>1009</v>
      </c>
      <c r="F1010" s="148" t="s">
        <v>1118</v>
      </c>
      <c r="G1010" s="148" t="s">
        <v>1011</v>
      </c>
      <c r="H1010" s="148">
        <v>1021012</v>
      </c>
      <c r="I1010" s="148">
        <v>75276</v>
      </c>
      <c r="J1010" s="148">
        <v>7.3727</v>
      </c>
      <c r="K1010" s="148" t="str">
        <f t="shared" si="15"/>
        <v>ENTITYINTRNL_RTNG</v>
      </c>
    </row>
    <row r="1011" spans="1:11" hidden="1">
      <c r="A1011" s="148" t="s">
        <v>3291</v>
      </c>
      <c r="B1011" s="148" t="s">
        <v>3292</v>
      </c>
      <c r="C1011" s="148" t="s">
        <v>1120</v>
      </c>
      <c r="D1011" s="148" t="s">
        <v>3293</v>
      </c>
      <c r="E1011" s="148" t="s">
        <v>1009</v>
      </c>
      <c r="F1011" s="148" t="s">
        <v>1118</v>
      </c>
      <c r="G1011" s="148" t="s">
        <v>1011</v>
      </c>
      <c r="H1011" s="148">
        <v>876415</v>
      </c>
      <c r="I1011" s="148">
        <v>76927</v>
      </c>
      <c r="J1011" s="148">
        <v>8.7774999999999999</v>
      </c>
      <c r="K1011" s="148" t="str">
        <f t="shared" si="15"/>
        <v>ENTITYEN_INTRNL_RTNG</v>
      </c>
    </row>
    <row r="1012" spans="1:11" hidden="1">
      <c r="A1012" s="148" t="s">
        <v>3294</v>
      </c>
      <c r="B1012" s="148" t="s">
        <v>3295</v>
      </c>
      <c r="C1012" s="148" t="s">
        <v>1120</v>
      </c>
      <c r="D1012" s="148" t="s">
        <v>3293</v>
      </c>
      <c r="E1012" s="148" t="s">
        <v>1009</v>
      </c>
      <c r="F1012" s="148" t="s">
        <v>1118</v>
      </c>
      <c r="G1012" s="148" t="s">
        <v>1011</v>
      </c>
      <c r="H1012" s="148">
        <v>260702</v>
      </c>
      <c r="I1012" s="148">
        <v>253056</v>
      </c>
      <c r="J1012" s="148">
        <v>97.067099999999996</v>
      </c>
      <c r="K1012" s="148" t="str">
        <f t="shared" si="15"/>
        <v>ENTITYEN_INTRNL_RTNG</v>
      </c>
    </row>
    <row r="1013" spans="1:11" hidden="1">
      <c r="A1013" s="148" t="s">
        <v>3296</v>
      </c>
      <c r="B1013" s="148" t="s">
        <v>3297</v>
      </c>
      <c r="C1013" s="148" t="s">
        <v>1120</v>
      </c>
      <c r="D1013" s="148" t="s">
        <v>373</v>
      </c>
      <c r="E1013" s="148" t="s">
        <v>1009</v>
      </c>
      <c r="F1013" s="148" t="s">
        <v>1118</v>
      </c>
      <c r="G1013" s="148" t="s">
        <v>1011</v>
      </c>
      <c r="H1013" s="148">
        <v>81806</v>
      </c>
      <c r="I1013" s="148">
        <v>75276</v>
      </c>
      <c r="J1013" s="148">
        <v>92.017700000000005</v>
      </c>
      <c r="K1013" s="148" t="str">
        <f t="shared" si="15"/>
        <v>ENTITYINTRNL_RTNG_PRVS</v>
      </c>
    </row>
    <row r="1014" spans="1:11" hidden="1">
      <c r="A1014" s="148" t="s">
        <v>3298</v>
      </c>
      <c r="B1014" s="148" t="s">
        <v>3299</v>
      </c>
      <c r="C1014" s="148" t="s">
        <v>1120</v>
      </c>
      <c r="D1014" s="148" t="s">
        <v>373</v>
      </c>
      <c r="E1014" s="148" t="s">
        <v>1009</v>
      </c>
      <c r="F1014" s="148" t="s">
        <v>1118</v>
      </c>
      <c r="G1014" s="148" t="s">
        <v>1011</v>
      </c>
      <c r="H1014" s="148">
        <v>64912</v>
      </c>
      <c r="I1014" s="148">
        <v>40</v>
      </c>
      <c r="J1014" s="148">
        <v>6.1600000000000002E-2</v>
      </c>
      <c r="K1014" s="148" t="str">
        <f t="shared" si="15"/>
        <v>ENTITYINTRNL_RTNG_PRVS</v>
      </c>
    </row>
    <row r="1015" spans="1:11" hidden="1">
      <c r="A1015" s="148" t="s">
        <v>3300</v>
      </c>
      <c r="B1015" s="148" t="s">
        <v>3301</v>
      </c>
      <c r="C1015" s="148" t="s">
        <v>1019</v>
      </c>
      <c r="D1015" s="148" t="s">
        <v>398</v>
      </c>
      <c r="E1015" s="148" t="s">
        <v>1009</v>
      </c>
      <c r="F1015" s="148" t="s">
        <v>1118</v>
      </c>
      <c r="G1015" s="148" t="s">
        <v>1011</v>
      </c>
      <c r="H1015" s="148">
        <v>257774</v>
      </c>
      <c r="I1015" s="148">
        <v>5810</v>
      </c>
      <c r="J1015" s="148">
        <v>2.2538999999999998</v>
      </c>
      <c r="K1015" s="148" t="str">
        <f t="shared" si="15"/>
        <v>ENTITYLGL_PRCDNG_STTS_LE</v>
      </c>
    </row>
    <row r="1016" spans="1:11" hidden="1">
      <c r="A1016" s="148" t="s">
        <v>3302</v>
      </c>
      <c r="B1016" s="148" t="s">
        <v>3303</v>
      </c>
      <c r="C1016" s="148" t="s">
        <v>1120</v>
      </c>
      <c r="D1016" s="148" t="s">
        <v>398</v>
      </c>
      <c r="E1016" s="148" t="s">
        <v>1009</v>
      </c>
      <c r="F1016" s="148" t="s">
        <v>1118</v>
      </c>
      <c r="G1016" s="148" t="s">
        <v>1011</v>
      </c>
      <c r="H1016" s="148">
        <v>5047</v>
      </c>
      <c r="I1016" s="148">
        <v>10</v>
      </c>
      <c r="J1016" s="148">
        <v>0.1981</v>
      </c>
      <c r="K1016" s="148" t="str">
        <f t="shared" si="15"/>
        <v>ENTITYLGL_PRCDNG_STTS_LE</v>
      </c>
    </row>
    <row r="1017" spans="1:11" hidden="1">
      <c r="A1017" s="148" t="s">
        <v>3304</v>
      </c>
      <c r="B1017" s="148" t="s">
        <v>3305</v>
      </c>
      <c r="C1017" s="148" t="s">
        <v>1120</v>
      </c>
      <c r="D1017" s="148" t="s">
        <v>398</v>
      </c>
      <c r="E1017" s="148" t="s">
        <v>1009</v>
      </c>
      <c r="F1017" s="148" t="s">
        <v>1118</v>
      </c>
      <c r="G1017" s="148" t="s">
        <v>129</v>
      </c>
      <c r="H1017" s="148">
        <v>2</v>
      </c>
      <c r="I1017" s="148">
        <v>0</v>
      </c>
      <c r="J1017" s="148">
        <v>0</v>
      </c>
      <c r="K1017" s="148" t="str">
        <f t="shared" si="15"/>
        <v>ENTITYLGL_PRCDNG_STTS_LE</v>
      </c>
    </row>
    <row r="1018" spans="1:11" hidden="1">
      <c r="A1018" s="148" t="s">
        <v>3306</v>
      </c>
      <c r="B1018" s="148" t="s">
        <v>3307</v>
      </c>
      <c r="C1018" s="148" t="s">
        <v>1037</v>
      </c>
      <c r="D1018" s="148" t="s">
        <v>398</v>
      </c>
      <c r="E1018" s="148" t="s">
        <v>1009</v>
      </c>
      <c r="F1018" s="148" t="s">
        <v>1118</v>
      </c>
      <c r="G1018" s="148" t="s">
        <v>1011</v>
      </c>
      <c r="H1018" s="148">
        <v>110</v>
      </c>
      <c r="I1018" s="148">
        <v>46</v>
      </c>
      <c r="J1018" s="148">
        <v>41.818199999999997</v>
      </c>
      <c r="K1018" s="148" t="str">
        <f t="shared" si="15"/>
        <v>ENTITYLGL_PRCDNG_STTS_LE</v>
      </c>
    </row>
    <row r="1019" spans="1:11" hidden="1">
      <c r="A1019" s="148" t="s">
        <v>3308</v>
      </c>
      <c r="B1019" s="148" t="s">
        <v>3309</v>
      </c>
      <c r="C1019" s="148" t="s">
        <v>1120</v>
      </c>
      <c r="D1019" s="148" t="s">
        <v>433</v>
      </c>
      <c r="E1019" s="148" t="s">
        <v>1009</v>
      </c>
      <c r="F1019" s="148" t="s">
        <v>1118</v>
      </c>
      <c r="G1019" s="148" t="s">
        <v>129</v>
      </c>
      <c r="H1019" s="148">
        <v>39</v>
      </c>
      <c r="I1019" s="148">
        <v>0</v>
      </c>
      <c r="J1019" s="148">
        <v>0</v>
      </c>
      <c r="K1019" s="148" t="str">
        <f t="shared" si="15"/>
        <v>ENTITYOWND_BY_SPNSR</v>
      </c>
    </row>
    <row r="1020" spans="1:11" hidden="1">
      <c r="A1020" s="148" t="s">
        <v>3310</v>
      </c>
      <c r="B1020" s="148" t="s">
        <v>3311</v>
      </c>
      <c r="C1020" s="148" t="s">
        <v>1120</v>
      </c>
      <c r="D1020" s="148" t="s">
        <v>492</v>
      </c>
      <c r="E1020" s="148" t="s">
        <v>1009</v>
      </c>
      <c r="F1020" s="148" t="s">
        <v>1118</v>
      </c>
      <c r="G1020" s="148" t="s">
        <v>129</v>
      </c>
      <c r="H1020" s="148">
        <v>1052848</v>
      </c>
      <c r="I1020" s="148">
        <v>0</v>
      </c>
      <c r="J1020" s="148">
        <v>0</v>
      </c>
      <c r="K1020" s="148" t="str">
        <f t="shared" si="15"/>
        <v>ENTITYRTNG_MTHD</v>
      </c>
    </row>
    <row r="1021" spans="1:11" hidden="1">
      <c r="A1021" s="148" t="s">
        <v>3312</v>
      </c>
      <c r="B1021" s="148" t="s">
        <v>3313</v>
      </c>
      <c r="C1021" s="148" t="s">
        <v>1120</v>
      </c>
      <c r="D1021" s="148" t="s">
        <v>492</v>
      </c>
      <c r="E1021" s="148" t="s">
        <v>1009</v>
      </c>
      <c r="F1021" s="148" t="s">
        <v>1118</v>
      </c>
      <c r="G1021" s="148" t="s">
        <v>129</v>
      </c>
      <c r="H1021" s="148">
        <v>81806</v>
      </c>
      <c r="I1021" s="148">
        <v>0</v>
      </c>
      <c r="J1021" s="148">
        <v>0</v>
      </c>
      <c r="K1021" s="148" t="str">
        <f t="shared" si="15"/>
        <v>ENTITYRTNG_MTHD</v>
      </c>
    </row>
    <row r="1022" spans="1:11" hidden="1">
      <c r="A1022" s="148" t="s">
        <v>3314</v>
      </c>
      <c r="B1022" s="148" t="s">
        <v>3315</v>
      </c>
      <c r="C1022" s="148" t="s">
        <v>1019</v>
      </c>
      <c r="D1022" s="148" t="s">
        <v>492</v>
      </c>
      <c r="E1022" s="148" t="s">
        <v>1009</v>
      </c>
      <c r="F1022" s="148" t="s">
        <v>1118</v>
      </c>
      <c r="G1022" s="148" t="s">
        <v>1011</v>
      </c>
      <c r="H1022" s="148">
        <v>1878954</v>
      </c>
      <c r="I1022" s="148">
        <v>127046</v>
      </c>
      <c r="J1022" s="148">
        <v>6.7614999999999998</v>
      </c>
      <c r="K1022" s="148" t="str">
        <f t="shared" si="15"/>
        <v>ENTITYRTNG_MTHD</v>
      </c>
    </row>
    <row r="1023" spans="1:11" hidden="1">
      <c r="A1023" s="148" t="s">
        <v>3316</v>
      </c>
      <c r="B1023" s="148" t="s">
        <v>3317</v>
      </c>
      <c r="C1023" s="148" t="s">
        <v>1120</v>
      </c>
      <c r="D1023" s="148" t="s">
        <v>492</v>
      </c>
      <c r="E1023" s="148" t="s">
        <v>1009</v>
      </c>
      <c r="F1023" s="148" t="s">
        <v>1118</v>
      </c>
      <c r="G1023" s="148" t="s">
        <v>1011</v>
      </c>
      <c r="H1023" s="148">
        <v>876415</v>
      </c>
      <c r="I1023" s="148">
        <v>76927</v>
      </c>
      <c r="J1023" s="148">
        <v>8.7774999999999999</v>
      </c>
      <c r="K1023" s="148" t="str">
        <f t="shared" si="15"/>
        <v>ENTITYRTNG_MTHD</v>
      </c>
    </row>
    <row r="1024" spans="1:11" hidden="1">
      <c r="A1024" s="148" t="s">
        <v>3318</v>
      </c>
      <c r="B1024" s="148" t="s">
        <v>3319</v>
      </c>
      <c r="C1024" s="148" t="s">
        <v>1120</v>
      </c>
      <c r="D1024" s="148" t="s">
        <v>504</v>
      </c>
      <c r="E1024" s="148" t="s">
        <v>1009</v>
      </c>
      <c r="F1024" s="148" t="s">
        <v>1118</v>
      </c>
      <c r="G1024" s="148" t="s">
        <v>1011</v>
      </c>
      <c r="H1024" s="148">
        <v>37</v>
      </c>
      <c r="I1024" s="148">
        <v>1</v>
      </c>
      <c r="J1024" s="148">
        <v>2.7027000000000001</v>
      </c>
      <c r="K1024" s="148" t="str">
        <f t="shared" si="15"/>
        <v>ENTITYSNGL_PRPS_VHCL</v>
      </c>
    </row>
    <row r="1025" spans="1:11" hidden="1">
      <c r="A1025" s="148" t="s">
        <v>3320</v>
      </c>
      <c r="B1025" s="148" t="s">
        <v>3321</v>
      </c>
      <c r="C1025" s="148" t="s">
        <v>1120</v>
      </c>
      <c r="D1025" s="148" t="s">
        <v>344</v>
      </c>
      <c r="E1025" s="148" t="s">
        <v>1009</v>
      </c>
      <c r="F1025" s="148" t="s">
        <v>1118</v>
      </c>
      <c r="G1025" s="148" t="s">
        <v>129</v>
      </c>
      <c r="H1025" s="148">
        <v>64053</v>
      </c>
      <c r="I1025" s="148">
        <v>0</v>
      </c>
      <c r="J1025" s="148">
        <v>0</v>
      </c>
      <c r="K1025" s="148" t="str">
        <f t="shared" si="15"/>
        <v>ENTITYGRP_EBITDA</v>
      </c>
    </row>
    <row r="1026" spans="1:11" hidden="1">
      <c r="A1026" s="148" t="s">
        <v>3322</v>
      </c>
      <c r="B1026" s="148" t="s">
        <v>3323</v>
      </c>
      <c r="C1026" s="148" t="s">
        <v>1120</v>
      </c>
      <c r="D1026" s="148" t="s">
        <v>344</v>
      </c>
      <c r="E1026" s="148" t="s">
        <v>1009</v>
      </c>
      <c r="F1026" s="148" t="s">
        <v>1118</v>
      </c>
      <c r="G1026" s="148" t="s">
        <v>129</v>
      </c>
      <c r="H1026" s="148">
        <v>18697</v>
      </c>
      <c r="I1026" s="148">
        <v>0</v>
      </c>
      <c r="J1026" s="148">
        <v>0</v>
      </c>
      <c r="K1026" s="148" t="str">
        <f t="shared" si="15"/>
        <v>ENTITYGRP_EBITDA</v>
      </c>
    </row>
    <row r="1027" spans="1:11" hidden="1">
      <c r="A1027" s="148" t="s">
        <v>3324</v>
      </c>
      <c r="B1027" s="148" t="s">
        <v>3325</v>
      </c>
      <c r="C1027" s="148" t="s">
        <v>1120</v>
      </c>
      <c r="D1027" s="148" t="s">
        <v>344</v>
      </c>
      <c r="E1027" s="148" t="s">
        <v>1009</v>
      </c>
      <c r="F1027" s="148" t="s">
        <v>1118</v>
      </c>
      <c r="G1027" s="148" t="s">
        <v>129</v>
      </c>
      <c r="H1027" s="148">
        <v>46</v>
      </c>
      <c r="I1027" s="148">
        <v>0</v>
      </c>
      <c r="J1027" s="148">
        <v>0</v>
      </c>
      <c r="K1027" s="148" t="str">
        <f t="shared" ref="K1027:K1090" si="16">_xlfn.CONCAT(_xlfn.IFS(ISNUMBER(SEARCH("EN",A1027)),"ENTITY",ISNUMBER(SEARCH("IN",A1027)),"INSTRUMENT",ISNUMBER(SEARCH("PR",A1027)),"PROTECTION",ISNUMBER(SEARCH("IP",A1027)),"INSTR_PROTECTION",ISNUMBER(SEARCH("IE",A1027)),"INSTR_ENTITY",ISNUMBER(SEARCH("AC",A1027)),"INSTR_ACTIVITY"),D1027)</f>
        <v>ENTITYGRP_EBITDA</v>
      </c>
    </row>
    <row r="1028" spans="1:11" hidden="1">
      <c r="A1028" s="148" t="s">
        <v>3326</v>
      </c>
      <c r="B1028" s="148" t="s">
        <v>3327</v>
      </c>
      <c r="C1028" s="148" t="s">
        <v>139</v>
      </c>
      <c r="D1028" s="148" t="s">
        <v>344</v>
      </c>
      <c r="E1028" s="148" t="s">
        <v>1009</v>
      </c>
      <c r="F1028" s="148" t="s">
        <v>1118</v>
      </c>
      <c r="G1028" s="148" t="s">
        <v>129</v>
      </c>
      <c r="H1028" s="148">
        <v>82750</v>
      </c>
      <c r="I1028" s="148">
        <v>0</v>
      </c>
      <c r="J1028" s="148">
        <v>0</v>
      </c>
      <c r="K1028" s="148" t="str">
        <f t="shared" si="16"/>
        <v>ENTITYGRP_EBITDA</v>
      </c>
    </row>
    <row r="1029" spans="1:11" hidden="1">
      <c r="A1029" s="148" t="s">
        <v>3328</v>
      </c>
      <c r="B1029" s="148" t="s">
        <v>3329</v>
      </c>
      <c r="C1029" s="148" t="s">
        <v>1120</v>
      </c>
      <c r="D1029" s="148" t="s">
        <v>345</v>
      </c>
      <c r="E1029" s="148" t="s">
        <v>1009</v>
      </c>
      <c r="F1029" s="148" t="s">
        <v>1118</v>
      </c>
      <c r="G1029" s="148" t="s">
        <v>129</v>
      </c>
      <c r="H1029" s="148">
        <v>64053</v>
      </c>
      <c r="I1029" s="148">
        <v>0</v>
      </c>
      <c r="J1029" s="148">
        <v>0</v>
      </c>
      <c r="K1029" s="148" t="str">
        <f t="shared" si="16"/>
        <v>ENTITYGRP_EQTY</v>
      </c>
    </row>
    <row r="1030" spans="1:11" hidden="1">
      <c r="A1030" s="148" t="s">
        <v>3330</v>
      </c>
      <c r="B1030" s="148" t="s">
        <v>3331</v>
      </c>
      <c r="C1030" s="148" t="s">
        <v>1120</v>
      </c>
      <c r="D1030" s="148" t="s">
        <v>345</v>
      </c>
      <c r="E1030" s="148" t="s">
        <v>1009</v>
      </c>
      <c r="F1030" s="148" t="s">
        <v>1118</v>
      </c>
      <c r="G1030" s="148" t="s">
        <v>129</v>
      </c>
      <c r="H1030" s="148">
        <v>18697</v>
      </c>
      <c r="I1030" s="148">
        <v>0</v>
      </c>
      <c r="J1030" s="148">
        <v>0</v>
      </c>
      <c r="K1030" s="148" t="str">
        <f t="shared" si="16"/>
        <v>ENTITYGRP_EQTY</v>
      </c>
    </row>
    <row r="1031" spans="1:11" hidden="1">
      <c r="A1031" s="148" t="s">
        <v>3332</v>
      </c>
      <c r="B1031" s="148" t="s">
        <v>3333</v>
      </c>
      <c r="C1031" s="148" t="s">
        <v>1120</v>
      </c>
      <c r="D1031" s="148" t="s">
        <v>345</v>
      </c>
      <c r="E1031" s="148" t="s">
        <v>1009</v>
      </c>
      <c r="F1031" s="148" t="s">
        <v>1118</v>
      </c>
      <c r="G1031" s="148" t="s">
        <v>129</v>
      </c>
      <c r="H1031" s="148">
        <v>46</v>
      </c>
      <c r="I1031" s="148">
        <v>0</v>
      </c>
      <c r="J1031" s="148">
        <v>0</v>
      </c>
      <c r="K1031" s="148" t="str">
        <f t="shared" si="16"/>
        <v>ENTITYGRP_EQTY</v>
      </c>
    </row>
    <row r="1032" spans="1:11" hidden="1">
      <c r="A1032" s="148" t="s">
        <v>3334</v>
      </c>
      <c r="B1032" s="148" t="s">
        <v>3335</v>
      </c>
      <c r="C1032" s="148" t="s">
        <v>1120</v>
      </c>
      <c r="D1032" s="148" t="s">
        <v>345</v>
      </c>
      <c r="E1032" s="148" t="s">
        <v>1009</v>
      </c>
      <c r="F1032" s="148" t="s">
        <v>1118</v>
      </c>
      <c r="G1032" s="148" t="s">
        <v>1011</v>
      </c>
      <c r="H1032" s="148">
        <v>2959</v>
      </c>
      <c r="I1032" s="148">
        <v>542</v>
      </c>
      <c r="J1032" s="148">
        <v>18.317</v>
      </c>
      <c r="K1032" s="148" t="str">
        <f t="shared" si="16"/>
        <v>ENTITYGRP_EQTY</v>
      </c>
    </row>
    <row r="1033" spans="1:11" hidden="1">
      <c r="A1033" s="148" t="s">
        <v>3336</v>
      </c>
      <c r="B1033" s="148" t="s">
        <v>3337</v>
      </c>
      <c r="C1033" s="148" t="s">
        <v>139</v>
      </c>
      <c r="D1033" s="148" t="s">
        <v>345</v>
      </c>
      <c r="E1033" s="148" t="s">
        <v>10</v>
      </c>
      <c r="F1033" s="148" t="s">
        <v>1118</v>
      </c>
      <c r="G1033" s="148" t="s">
        <v>129</v>
      </c>
      <c r="H1033" s="148">
        <v>82750</v>
      </c>
      <c r="I1033" s="148">
        <v>0</v>
      </c>
      <c r="J1033" s="148">
        <v>0</v>
      </c>
      <c r="K1033" s="148" t="str">
        <f t="shared" si="16"/>
        <v>ENTITYGRP_EQTY</v>
      </c>
    </row>
    <row r="1034" spans="1:11" hidden="1">
      <c r="A1034" s="148" t="s">
        <v>3338</v>
      </c>
      <c r="B1034" s="148" t="s">
        <v>3339</v>
      </c>
      <c r="C1034" s="148" t="s">
        <v>1120</v>
      </c>
      <c r="D1034" s="148" t="s">
        <v>346</v>
      </c>
      <c r="E1034" s="148" t="s">
        <v>1009</v>
      </c>
      <c r="F1034" s="148" t="s">
        <v>1118</v>
      </c>
      <c r="G1034" s="148" t="s">
        <v>129</v>
      </c>
      <c r="H1034" s="148">
        <v>64053</v>
      </c>
      <c r="I1034" s="148">
        <v>0</v>
      </c>
      <c r="J1034" s="148">
        <v>0</v>
      </c>
      <c r="K1034" s="148" t="str">
        <f t="shared" si="16"/>
        <v>ENTITYGRP_NT_DBT</v>
      </c>
    </row>
    <row r="1035" spans="1:11" hidden="1">
      <c r="A1035" s="148" t="s">
        <v>3340</v>
      </c>
      <c r="B1035" s="148" t="s">
        <v>3341</v>
      </c>
      <c r="C1035" s="148" t="s">
        <v>1120</v>
      </c>
      <c r="D1035" s="148" t="s">
        <v>346</v>
      </c>
      <c r="E1035" s="148" t="s">
        <v>1009</v>
      </c>
      <c r="F1035" s="148" t="s">
        <v>1118</v>
      </c>
      <c r="G1035" s="148" t="s">
        <v>129</v>
      </c>
      <c r="H1035" s="148">
        <v>18697</v>
      </c>
      <c r="I1035" s="148">
        <v>0</v>
      </c>
      <c r="J1035" s="148">
        <v>0</v>
      </c>
      <c r="K1035" s="148" t="str">
        <f t="shared" si="16"/>
        <v>ENTITYGRP_NT_DBT</v>
      </c>
    </row>
    <row r="1036" spans="1:11" hidden="1">
      <c r="A1036" s="148" t="s">
        <v>3342</v>
      </c>
      <c r="B1036" s="148" t="s">
        <v>3343</v>
      </c>
      <c r="C1036" s="148" t="s">
        <v>1019</v>
      </c>
      <c r="D1036" s="148" t="s">
        <v>346</v>
      </c>
      <c r="E1036" s="148" t="s">
        <v>1009</v>
      </c>
      <c r="F1036" s="148" t="s">
        <v>1118</v>
      </c>
      <c r="G1036" s="148" t="s">
        <v>129</v>
      </c>
      <c r="H1036" s="148">
        <v>3019</v>
      </c>
      <c r="I1036" s="148">
        <v>0</v>
      </c>
      <c r="J1036" s="148">
        <v>0</v>
      </c>
      <c r="K1036" s="148" t="str">
        <f t="shared" si="16"/>
        <v>ENTITYGRP_NT_DBT</v>
      </c>
    </row>
    <row r="1037" spans="1:11" hidden="1">
      <c r="A1037" s="148" t="s">
        <v>3344</v>
      </c>
      <c r="B1037" s="148" t="s">
        <v>3345</v>
      </c>
      <c r="C1037" s="148" t="s">
        <v>1120</v>
      </c>
      <c r="D1037" s="148" t="s">
        <v>346</v>
      </c>
      <c r="E1037" s="148" t="s">
        <v>1009</v>
      </c>
      <c r="F1037" s="148" t="s">
        <v>1118</v>
      </c>
      <c r="G1037" s="148" t="s">
        <v>129</v>
      </c>
      <c r="H1037" s="148">
        <v>46</v>
      </c>
      <c r="I1037" s="148">
        <v>0</v>
      </c>
      <c r="J1037" s="148">
        <v>0</v>
      </c>
      <c r="K1037" s="148" t="str">
        <f t="shared" si="16"/>
        <v>ENTITYGRP_NT_DBT</v>
      </c>
    </row>
    <row r="1038" spans="1:11" hidden="1">
      <c r="A1038" s="148" t="s">
        <v>3346</v>
      </c>
      <c r="B1038" s="148" t="s">
        <v>3347</v>
      </c>
      <c r="C1038" s="148" t="s">
        <v>139</v>
      </c>
      <c r="D1038" s="148" t="s">
        <v>346</v>
      </c>
      <c r="E1038" s="148" t="s">
        <v>10</v>
      </c>
      <c r="F1038" s="148" t="s">
        <v>1118</v>
      </c>
      <c r="G1038" s="148" t="s">
        <v>129</v>
      </c>
      <c r="H1038" s="148">
        <v>82750</v>
      </c>
      <c r="I1038" s="148">
        <v>0</v>
      </c>
      <c r="J1038" s="148">
        <v>0</v>
      </c>
      <c r="K1038" s="148" t="str">
        <f t="shared" si="16"/>
        <v>ENTITYGRP_NT_DBT</v>
      </c>
    </row>
    <row r="1039" spans="1:11" hidden="1">
      <c r="A1039" s="148" t="s">
        <v>3348</v>
      </c>
      <c r="B1039" s="148" t="s">
        <v>3349</v>
      </c>
      <c r="C1039" s="148" t="s">
        <v>1120</v>
      </c>
      <c r="D1039" s="148" t="s">
        <v>149</v>
      </c>
      <c r="E1039" s="148" t="s">
        <v>1009</v>
      </c>
      <c r="F1039" s="148" t="s">
        <v>1118</v>
      </c>
      <c r="G1039" s="148" t="s">
        <v>129</v>
      </c>
      <c r="H1039" s="148">
        <v>68644</v>
      </c>
      <c r="I1039" s="148">
        <v>0</v>
      </c>
      <c r="J1039" s="148">
        <v>0</v>
      </c>
      <c r="K1039" s="148" t="str">
        <f t="shared" si="16"/>
        <v>ENTITYANNL_TRNVR_LE</v>
      </c>
    </row>
    <row r="1040" spans="1:11" hidden="1">
      <c r="A1040" s="148" t="s">
        <v>3350</v>
      </c>
      <c r="B1040" s="148" t="s">
        <v>3351</v>
      </c>
      <c r="C1040" s="148" t="s">
        <v>1120</v>
      </c>
      <c r="D1040" s="148" t="s">
        <v>149</v>
      </c>
      <c r="E1040" s="148" t="s">
        <v>1009</v>
      </c>
      <c r="F1040" s="148" t="s">
        <v>1118</v>
      </c>
      <c r="G1040" s="148" t="s">
        <v>1011</v>
      </c>
      <c r="H1040" s="148">
        <v>46</v>
      </c>
      <c r="I1040" s="148">
        <v>1</v>
      </c>
      <c r="J1040" s="148">
        <v>2.1739000000000002</v>
      </c>
      <c r="K1040" s="148" t="str">
        <f t="shared" si="16"/>
        <v>ENTITYANNL_TRNVR_LE</v>
      </c>
    </row>
    <row r="1041" spans="1:11" hidden="1">
      <c r="A1041" s="148" t="s">
        <v>3352</v>
      </c>
      <c r="B1041" s="148" t="s">
        <v>3353</v>
      </c>
      <c r="C1041" s="148" t="s">
        <v>1120</v>
      </c>
      <c r="D1041" s="148" t="s">
        <v>151</v>
      </c>
      <c r="E1041" s="148" t="s">
        <v>1009</v>
      </c>
      <c r="F1041" s="148" t="s">
        <v>1118</v>
      </c>
      <c r="G1041" s="148" t="s">
        <v>129</v>
      </c>
      <c r="H1041" s="148">
        <v>64912</v>
      </c>
      <c r="I1041" s="148">
        <v>0</v>
      </c>
      <c r="J1041" s="148">
        <v>0</v>
      </c>
      <c r="K1041" s="148" t="str">
        <f t="shared" si="16"/>
        <v>ENTITYANNL_TRNVR_PRVS</v>
      </c>
    </row>
    <row r="1042" spans="1:11" hidden="1">
      <c r="A1042" s="148" t="s">
        <v>3354</v>
      </c>
      <c r="B1042" s="148" t="s">
        <v>3355</v>
      </c>
      <c r="C1042" s="148" t="s">
        <v>1120</v>
      </c>
      <c r="D1042" s="148" t="s">
        <v>151</v>
      </c>
      <c r="E1042" s="148" t="s">
        <v>1009</v>
      </c>
      <c r="F1042" s="148" t="s">
        <v>1118</v>
      </c>
      <c r="G1042" s="148" t="s">
        <v>1011</v>
      </c>
      <c r="H1042" s="148">
        <v>46</v>
      </c>
      <c r="I1042" s="148">
        <v>1</v>
      </c>
      <c r="J1042" s="148">
        <v>2.1739000000000002</v>
      </c>
      <c r="K1042" s="148" t="str">
        <f t="shared" si="16"/>
        <v>ENTITYANNL_TRNVR_PRVS</v>
      </c>
    </row>
    <row r="1043" spans="1:11" hidden="1">
      <c r="A1043" s="148" t="s">
        <v>3356</v>
      </c>
      <c r="B1043" s="148" t="s">
        <v>3357</v>
      </c>
      <c r="C1043" s="148" t="s">
        <v>1120</v>
      </c>
      <c r="D1043" s="148" t="s">
        <v>165</v>
      </c>
      <c r="E1043" s="148" t="s">
        <v>1009</v>
      </c>
      <c r="F1043" s="148" t="s">
        <v>1118</v>
      </c>
      <c r="G1043" s="148" t="s">
        <v>129</v>
      </c>
      <c r="H1043" s="148">
        <v>68644</v>
      </c>
      <c r="I1043" s="148">
        <v>0</v>
      </c>
      <c r="J1043" s="148">
        <v>0</v>
      </c>
      <c r="K1043" s="148" t="str">
        <f t="shared" si="16"/>
        <v>ENTITYCAPEX</v>
      </c>
    </row>
    <row r="1044" spans="1:11" hidden="1">
      <c r="A1044" s="148" t="s">
        <v>3358</v>
      </c>
      <c r="B1044" s="148" t="s">
        <v>3359</v>
      </c>
      <c r="C1044" s="148" t="s">
        <v>1120</v>
      </c>
      <c r="D1044" s="148" t="s">
        <v>165</v>
      </c>
      <c r="E1044" s="148" t="s">
        <v>1009</v>
      </c>
      <c r="F1044" s="148" t="s">
        <v>1118</v>
      </c>
      <c r="G1044" s="148" t="s">
        <v>1011</v>
      </c>
      <c r="H1044" s="148">
        <v>46</v>
      </c>
      <c r="I1044" s="148">
        <v>1</v>
      </c>
      <c r="J1044" s="148">
        <v>2.1739000000000002</v>
      </c>
      <c r="K1044" s="148" t="str">
        <f t="shared" si="16"/>
        <v>ENTITYCAPEX</v>
      </c>
    </row>
    <row r="1045" spans="1:11" hidden="1">
      <c r="A1045" s="148" t="s">
        <v>3360</v>
      </c>
      <c r="B1045" s="148" t="s">
        <v>3361</v>
      </c>
      <c r="C1045" s="148" t="s">
        <v>1120</v>
      </c>
      <c r="D1045" s="148" t="s">
        <v>166</v>
      </c>
      <c r="E1045" s="148" t="s">
        <v>1009</v>
      </c>
      <c r="F1045" s="148" t="s">
        <v>1118</v>
      </c>
      <c r="G1045" s="148" t="s">
        <v>129</v>
      </c>
      <c r="H1045" s="148">
        <v>64912</v>
      </c>
      <c r="I1045" s="148">
        <v>0</v>
      </c>
      <c r="J1045" s="148">
        <v>0</v>
      </c>
      <c r="K1045" s="148" t="str">
        <f t="shared" si="16"/>
        <v>ENTITYCAPEX_PRVS</v>
      </c>
    </row>
    <row r="1046" spans="1:11" hidden="1">
      <c r="A1046" s="148" t="s">
        <v>3362</v>
      </c>
      <c r="B1046" s="148" t="s">
        <v>3363</v>
      </c>
      <c r="C1046" s="148" t="s">
        <v>1120</v>
      </c>
      <c r="D1046" s="148" t="s">
        <v>166</v>
      </c>
      <c r="E1046" s="148" t="s">
        <v>1009</v>
      </c>
      <c r="F1046" s="148" t="s">
        <v>1118</v>
      </c>
      <c r="G1046" s="148" t="s">
        <v>1011</v>
      </c>
      <c r="H1046" s="148">
        <v>46</v>
      </c>
      <c r="I1046" s="148">
        <v>1</v>
      </c>
      <c r="J1046" s="148">
        <v>2.1739000000000002</v>
      </c>
      <c r="K1046" s="148" t="str">
        <f t="shared" si="16"/>
        <v>ENTITYCAPEX_PRVS</v>
      </c>
    </row>
    <row r="1047" spans="1:11" hidden="1">
      <c r="A1047" s="148" t="s">
        <v>3364</v>
      </c>
      <c r="B1047" s="148" t="s">
        <v>3365</v>
      </c>
      <c r="C1047" s="148" t="s">
        <v>1019</v>
      </c>
      <c r="D1047" s="148" t="s">
        <v>170</v>
      </c>
      <c r="E1047" s="148" t="s">
        <v>1009</v>
      </c>
      <c r="F1047" s="148" t="s">
        <v>1118</v>
      </c>
      <c r="G1047" s="148" t="s">
        <v>1011</v>
      </c>
      <c r="H1047" s="148">
        <v>156104</v>
      </c>
      <c r="I1047" s="148">
        <v>148474</v>
      </c>
      <c r="J1047" s="148">
        <v>95.112200000000001</v>
      </c>
      <c r="K1047" s="148" t="str">
        <f t="shared" si="16"/>
        <v>ENTITYCLLCTN_MD</v>
      </c>
    </row>
    <row r="1048" spans="1:11" hidden="1">
      <c r="A1048" s="148" t="s">
        <v>3366</v>
      </c>
      <c r="B1048" s="148" t="s">
        <v>3367</v>
      </c>
      <c r="C1048" s="148" t="s">
        <v>1120</v>
      </c>
      <c r="D1048" s="148" t="s">
        <v>201</v>
      </c>
      <c r="E1048" s="148" t="s">
        <v>1009</v>
      </c>
      <c r="F1048" s="148" t="s">
        <v>1118</v>
      </c>
      <c r="G1048" s="148" t="s">
        <v>129</v>
      </c>
      <c r="H1048" s="148">
        <v>68644</v>
      </c>
      <c r="I1048" s="148">
        <v>0</v>
      </c>
      <c r="J1048" s="148">
        <v>0</v>
      </c>
      <c r="K1048" s="148" t="str">
        <f t="shared" si="16"/>
        <v>ENTITYCSH</v>
      </c>
    </row>
    <row r="1049" spans="1:11" hidden="1">
      <c r="A1049" s="148" t="s">
        <v>3368</v>
      </c>
      <c r="B1049" s="148" t="s">
        <v>3369</v>
      </c>
      <c r="C1049" s="148" t="s">
        <v>1120</v>
      </c>
      <c r="D1049" s="148" t="s">
        <v>201</v>
      </c>
      <c r="E1049" s="148" t="s">
        <v>1009</v>
      </c>
      <c r="F1049" s="148" t="s">
        <v>1118</v>
      </c>
      <c r="G1049" s="148" t="s">
        <v>1011</v>
      </c>
      <c r="H1049" s="148">
        <v>46</v>
      </c>
      <c r="I1049" s="148">
        <v>1</v>
      </c>
      <c r="J1049" s="148">
        <v>2.1739000000000002</v>
      </c>
      <c r="K1049" s="148" t="str">
        <f t="shared" si="16"/>
        <v>ENTITYCSH</v>
      </c>
    </row>
    <row r="1050" spans="1:11" hidden="1">
      <c r="A1050" s="148" t="s">
        <v>3370</v>
      </c>
      <c r="B1050" s="148" t="s">
        <v>3371</v>
      </c>
      <c r="C1050" s="148" t="s">
        <v>1120</v>
      </c>
      <c r="D1050" s="148" t="s">
        <v>202</v>
      </c>
      <c r="E1050" s="148" t="s">
        <v>1009</v>
      </c>
      <c r="F1050" s="148" t="s">
        <v>1118</v>
      </c>
      <c r="G1050" s="148" t="s">
        <v>129</v>
      </c>
      <c r="H1050" s="148">
        <v>64912</v>
      </c>
      <c r="I1050" s="148">
        <v>0</v>
      </c>
      <c r="J1050" s="148">
        <v>0</v>
      </c>
      <c r="K1050" s="148" t="str">
        <f t="shared" si="16"/>
        <v>ENTITYCSH_PRVS</v>
      </c>
    </row>
    <row r="1051" spans="1:11" hidden="1">
      <c r="A1051" s="148" t="s">
        <v>3372</v>
      </c>
      <c r="B1051" s="148" t="s">
        <v>3373</v>
      </c>
      <c r="C1051" s="148" t="s">
        <v>1120</v>
      </c>
      <c r="D1051" s="148" t="s">
        <v>202</v>
      </c>
      <c r="E1051" s="148" t="s">
        <v>1009</v>
      </c>
      <c r="F1051" s="148" t="s">
        <v>1118</v>
      </c>
      <c r="G1051" s="148" t="s">
        <v>1011</v>
      </c>
      <c r="H1051" s="148">
        <v>46</v>
      </c>
      <c r="I1051" s="148">
        <v>1</v>
      </c>
      <c r="J1051" s="148">
        <v>2.1739000000000002</v>
      </c>
      <c r="K1051" s="148" t="str">
        <f t="shared" si="16"/>
        <v>ENTITYCSH_PRVS</v>
      </c>
    </row>
    <row r="1052" spans="1:11" hidden="1">
      <c r="A1052" s="148" t="s">
        <v>3374</v>
      </c>
      <c r="B1052" s="148" t="s">
        <v>3375</v>
      </c>
      <c r="C1052" s="148" t="s">
        <v>1120</v>
      </c>
      <c r="D1052" s="148" t="s">
        <v>364</v>
      </c>
      <c r="E1052" s="148" t="s">
        <v>1009</v>
      </c>
      <c r="F1052" s="148" t="s">
        <v>1118</v>
      </c>
      <c r="G1052" s="148" t="s">
        <v>129</v>
      </c>
      <c r="H1052" s="148">
        <v>68644</v>
      </c>
      <c r="I1052" s="148">
        <v>0</v>
      </c>
      <c r="J1052" s="148">
        <v>0</v>
      </c>
      <c r="K1052" s="148" t="str">
        <f t="shared" si="16"/>
        <v>ENTITYEBITDA</v>
      </c>
    </row>
    <row r="1053" spans="1:11" hidden="1">
      <c r="A1053" s="148" t="s">
        <v>3376</v>
      </c>
      <c r="B1053" s="148" t="s">
        <v>3377</v>
      </c>
      <c r="C1053" s="148" t="s">
        <v>1120</v>
      </c>
      <c r="D1053" s="148" t="s">
        <v>364</v>
      </c>
      <c r="E1053" s="148" t="s">
        <v>1009</v>
      </c>
      <c r="F1053" s="148" t="s">
        <v>1118</v>
      </c>
      <c r="G1053" s="148" t="s">
        <v>1011</v>
      </c>
      <c r="H1053" s="148">
        <v>46</v>
      </c>
      <c r="I1053" s="148">
        <v>1</v>
      </c>
      <c r="J1053" s="148">
        <v>2.1739000000000002</v>
      </c>
      <c r="K1053" s="148" t="str">
        <f t="shared" si="16"/>
        <v>ENTITYEBITDA</v>
      </c>
    </row>
    <row r="1054" spans="1:11" hidden="1">
      <c r="A1054" s="148" t="s">
        <v>3378</v>
      </c>
      <c r="B1054" s="148" t="s">
        <v>3379</v>
      </c>
      <c r="C1054" s="148" t="s">
        <v>1120</v>
      </c>
      <c r="D1054" s="148" t="s">
        <v>353</v>
      </c>
      <c r="E1054" s="148" t="s">
        <v>1009</v>
      </c>
      <c r="F1054" s="148" t="s">
        <v>1118</v>
      </c>
      <c r="G1054" s="148" t="s">
        <v>129</v>
      </c>
      <c r="H1054" s="148">
        <v>64912</v>
      </c>
      <c r="I1054" s="148">
        <v>0</v>
      </c>
      <c r="J1054" s="148">
        <v>0</v>
      </c>
      <c r="K1054" s="148" t="str">
        <f t="shared" si="16"/>
        <v>ENTITYEBITDA_PRVS</v>
      </c>
    </row>
    <row r="1055" spans="1:11" hidden="1">
      <c r="A1055" s="148" t="s">
        <v>3380</v>
      </c>
      <c r="B1055" s="148" t="s">
        <v>3381</v>
      </c>
      <c r="C1055" s="148" t="s">
        <v>1120</v>
      </c>
      <c r="D1055" s="148" t="s">
        <v>353</v>
      </c>
      <c r="E1055" s="148" t="s">
        <v>1009</v>
      </c>
      <c r="F1055" s="148" t="s">
        <v>1118</v>
      </c>
      <c r="G1055" s="148" t="s">
        <v>1011</v>
      </c>
      <c r="H1055" s="148">
        <v>46</v>
      </c>
      <c r="I1055" s="148">
        <v>1</v>
      </c>
      <c r="J1055" s="148">
        <v>2.1739000000000002</v>
      </c>
      <c r="K1055" s="148" t="str">
        <f t="shared" si="16"/>
        <v>ENTITYEBITDA_PRVS</v>
      </c>
    </row>
    <row r="1056" spans="1:11" hidden="1">
      <c r="A1056" s="148" t="s">
        <v>3382</v>
      </c>
      <c r="B1056" s="148" t="s">
        <v>3383</v>
      </c>
      <c r="C1056" s="148" t="s">
        <v>1120</v>
      </c>
      <c r="D1056" s="148" t="s">
        <v>308</v>
      </c>
      <c r="E1056" s="148" t="s">
        <v>1009</v>
      </c>
      <c r="F1056" s="148" t="s">
        <v>1118</v>
      </c>
      <c r="G1056" s="148" t="s">
        <v>129</v>
      </c>
      <c r="H1056" s="148">
        <v>68644</v>
      </c>
      <c r="I1056" s="148">
        <v>0</v>
      </c>
      <c r="J1056" s="148">
        <v>0</v>
      </c>
      <c r="K1056" s="148" t="str">
        <f t="shared" si="16"/>
        <v>ENTITYEQTY</v>
      </c>
    </row>
    <row r="1057" spans="1:11" hidden="1">
      <c r="A1057" s="148" t="s">
        <v>3384</v>
      </c>
      <c r="B1057" s="148" t="s">
        <v>3385</v>
      </c>
      <c r="C1057" s="148" t="s">
        <v>1120</v>
      </c>
      <c r="D1057" s="148" t="s">
        <v>308</v>
      </c>
      <c r="E1057" s="148" t="s">
        <v>1009</v>
      </c>
      <c r="F1057" s="148" t="s">
        <v>1118</v>
      </c>
      <c r="G1057" s="148" t="s">
        <v>1011</v>
      </c>
      <c r="H1057" s="148">
        <v>46</v>
      </c>
      <c r="I1057" s="148">
        <v>1</v>
      </c>
      <c r="J1057" s="148">
        <v>2.1739000000000002</v>
      </c>
      <c r="K1057" s="148" t="str">
        <f t="shared" si="16"/>
        <v>ENTITYEQTY</v>
      </c>
    </row>
    <row r="1058" spans="1:11" hidden="1">
      <c r="A1058" s="148" t="s">
        <v>3386</v>
      </c>
      <c r="B1058" s="148" t="s">
        <v>3387</v>
      </c>
      <c r="C1058" s="148" t="s">
        <v>1120</v>
      </c>
      <c r="D1058" s="148" t="s">
        <v>309</v>
      </c>
      <c r="E1058" s="148" t="s">
        <v>1009</v>
      </c>
      <c r="F1058" s="148" t="s">
        <v>1118</v>
      </c>
      <c r="G1058" s="148" t="s">
        <v>129</v>
      </c>
      <c r="H1058" s="148">
        <v>64912</v>
      </c>
      <c r="I1058" s="148">
        <v>0</v>
      </c>
      <c r="J1058" s="148">
        <v>0</v>
      </c>
      <c r="K1058" s="148" t="str">
        <f t="shared" si="16"/>
        <v>ENTITYEQTY_PRVS</v>
      </c>
    </row>
    <row r="1059" spans="1:11" hidden="1">
      <c r="A1059" s="148" t="s">
        <v>3388</v>
      </c>
      <c r="B1059" s="148" t="s">
        <v>3389</v>
      </c>
      <c r="C1059" s="148" t="s">
        <v>1120</v>
      </c>
      <c r="D1059" s="148" t="s">
        <v>309</v>
      </c>
      <c r="E1059" s="148" t="s">
        <v>1009</v>
      </c>
      <c r="F1059" s="148" t="s">
        <v>1118</v>
      </c>
      <c r="G1059" s="148" t="s">
        <v>1011</v>
      </c>
      <c r="H1059" s="148">
        <v>46</v>
      </c>
      <c r="I1059" s="148">
        <v>1</v>
      </c>
      <c r="J1059" s="148">
        <v>2.1739000000000002</v>
      </c>
      <c r="K1059" s="148" t="str">
        <f t="shared" si="16"/>
        <v>ENTITYEQTY_PRVS</v>
      </c>
    </row>
    <row r="1060" spans="1:11" hidden="1">
      <c r="A1060" s="148" t="s">
        <v>3390</v>
      </c>
      <c r="B1060" s="148" t="s">
        <v>3391</v>
      </c>
      <c r="C1060" s="148" t="s">
        <v>1120</v>
      </c>
      <c r="D1060" s="148" t="s">
        <v>347</v>
      </c>
      <c r="E1060" s="148" t="s">
        <v>1009</v>
      </c>
      <c r="F1060" s="148" t="s">
        <v>1118</v>
      </c>
      <c r="G1060" s="148" t="s">
        <v>129</v>
      </c>
      <c r="H1060" s="148">
        <v>64053</v>
      </c>
      <c r="I1060" s="148">
        <v>0</v>
      </c>
      <c r="J1060" s="148">
        <v>0</v>
      </c>
      <c r="K1060" s="148" t="str">
        <f t="shared" si="16"/>
        <v>ENTITYGRP_TTL_DBT</v>
      </c>
    </row>
    <row r="1061" spans="1:11" hidden="1">
      <c r="A1061" s="148" t="s">
        <v>3392</v>
      </c>
      <c r="B1061" s="148" t="s">
        <v>3393</v>
      </c>
      <c r="C1061" s="148" t="s">
        <v>1120</v>
      </c>
      <c r="D1061" s="148" t="s">
        <v>347</v>
      </c>
      <c r="E1061" s="148" t="s">
        <v>1009</v>
      </c>
      <c r="F1061" s="148" t="s">
        <v>1118</v>
      </c>
      <c r="G1061" s="148" t="s">
        <v>129</v>
      </c>
      <c r="H1061" s="148">
        <v>18697</v>
      </c>
      <c r="I1061" s="148">
        <v>0</v>
      </c>
      <c r="J1061" s="148">
        <v>0</v>
      </c>
      <c r="K1061" s="148" t="str">
        <f t="shared" si="16"/>
        <v>ENTITYGRP_TTL_DBT</v>
      </c>
    </row>
    <row r="1062" spans="1:11" hidden="1">
      <c r="A1062" s="148" t="s">
        <v>3394</v>
      </c>
      <c r="B1062" s="148" t="s">
        <v>3395</v>
      </c>
      <c r="C1062" s="148" t="s">
        <v>1120</v>
      </c>
      <c r="D1062" s="148" t="s">
        <v>347</v>
      </c>
      <c r="E1062" s="148" t="s">
        <v>1009</v>
      </c>
      <c r="F1062" s="148" t="s">
        <v>1118</v>
      </c>
      <c r="G1062" s="148" t="s">
        <v>129</v>
      </c>
      <c r="H1062" s="148">
        <v>46</v>
      </c>
      <c r="I1062" s="148">
        <v>0</v>
      </c>
      <c r="J1062" s="148">
        <v>0</v>
      </c>
      <c r="K1062" s="148" t="str">
        <f t="shared" si="16"/>
        <v>ENTITYGRP_TTL_DBT</v>
      </c>
    </row>
    <row r="1063" spans="1:11" hidden="1">
      <c r="A1063" s="148" t="s">
        <v>3396</v>
      </c>
      <c r="B1063" s="148" t="s">
        <v>3397</v>
      </c>
      <c r="C1063" s="148" t="s">
        <v>1120</v>
      </c>
      <c r="D1063" s="148" t="s">
        <v>347</v>
      </c>
      <c r="E1063" s="148" t="s">
        <v>1009</v>
      </c>
      <c r="F1063" s="148" t="s">
        <v>1118</v>
      </c>
      <c r="G1063" s="148" t="s">
        <v>1011</v>
      </c>
      <c r="H1063" s="148">
        <v>2959</v>
      </c>
      <c r="I1063" s="148">
        <v>278</v>
      </c>
      <c r="J1063" s="148">
        <v>9.3950999999999993</v>
      </c>
      <c r="K1063" s="148" t="str">
        <f t="shared" si="16"/>
        <v>ENTITYGRP_TTL_DBT</v>
      </c>
    </row>
    <row r="1064" spans="1:11" hidden="1">
      <c r="A1064" s="148" t="s">
        <v>3398</v>
      </c>
      <c r="B1064" s="148" t="s">
        <v>3399</v>
      </c>
      <c r="C1064" s="148" t="s">
        <v>139</v>
      </c>
      <c r="D1064" s="148" t="s">
        <v>347</v>
      </c>
      <c r="E1064" s="148" t="s">
        <v>1009</v>
      </c>
      <c r="F1064" s="148" t="s">
        <v>1118</v>
      </c>
      <c r="G1064" s="148" t="s">
        <v>129</v>
      </c>
      <c r="H1064" s="148">
        <v>82750</v>
      </c>
      <c r="I1064" s="148">
        <v>0</v>
      </c>
      <c r="J1064" s="148">
        <v>0</v>
      </c>
      <c r="K1064" s="148" t="str">
        <f t="shared" si="16"/>
        <v>ENTITYGRP_TTL_DBT</v>
      </c>
    </row>
    <row r="1065" spans="1:11" hidden="1">
      <c r="A1065" s="148" t="s">
        <v>3400</v>
      </c>
      <c r="B1065" s="148" t="s">
        <v>3401</v>
      </c>
      <c r="C1065" s="148" t="s">
        <v>1120</v>
      </c>
      <c r="D1065" s="148" t="s">
        <v>339</v>
      </c>
      <c r="E1065" s="148" t="s">
        <v>1009</v>
      </c>
      <c r="F1065" s="148" t="s">
        <v>1118</v>
      </c>
      <c r="G1065" s="148" t="s">
        <v>129</v>
      </c>
      <c r="H1065" s="148">
        <v>68644</v>
      </c>
      <c r="I1065" s="148">
        <v>0</v>
      </c>
      <c r="J1065" s="148">
        <v>0</v>
      </c>
      <c r="K1065" s="148" t="str">
        <f t="shared" si="16"/>
        <v>ENTITYGDWILL</v>
      </c>
    </row>
    <row r="1066" spans="1:11" hidden="1">
      <c r="A1066" s="148" t="s">
        <v>3402</v>
      </c>
      <c r="B1066" s="148" t="s">
        <v>3403</v>
      </c>
      <c r="C1066" s="148" t="s">
        <v>1120</v>
      </c>
      <c r="D1066" s="148" t="s">
        <v>339</v>
      </c>
      <c r="E1066" s="148" t="s">
        <v>1009</v>
      </c>
      <c r="F1066" s="148" t="s">
        <v>1118</v>
      </c>
      <c r="G1066" s="148" t="s">
        <v>1011</v>
      </c>
      <c r="H1066" s="148">
        <v>46</v>
      </c>
      <c r="I1066" s="148">
        <v>1</v>
      </c>
      <c r="J1066" s="148">
        <v>2.1739000000000002</v>
      </c>
      <c r="K1066" s="148" t="str">
        <f t="shared" si="16"/>
        <v>ENTITYGDWILL</v>
      </c>
    </row>
    <row r="1067" spans="1:11" hidden="1">
      <c r="A1067" s="148" t="s">
        <v>3404</v>
      </c>
      <c r="B1067" s="148" t="s">
        <v>3405</v>
      </c>
      <c r="C1067" s="148" t="s">
        <v>1120</v>
      </c>
      <c r="D1067" s="148" t="s">
        <v>340</v>
      </c>
      <c r="E1067" s="148" t="s">
        <v>1009</v>
      </c>
      <c r="F1067" s="148" t="s">
        <v>1118</v>
      </c>
      <c r="G1067" s="148" t="s">
        <v>129</v>
      </c>
      <c r="H1067" s="148">
        <v>64912</v>
      </c>
      <c r="I1067" s="148">
        <v>0</v>
      </c>
      <c r="J1067" s="148">
        <v>0</v>
      </c>
      <c r="K1067" s="148" t="str">
        <f t="shared" si="16"/>
        <v>ENTITYGDWILL_PRVS</v>
      </c>
    </row>
    <row r="1068" spans="1:11" hidden="1">
      <c r="A1068" s="148" t="s">
        <v>3406</v>
      </c>
      <c r="B1068" s="148" t="s">
        <v>3407</v>
      </c>
      <c r="C1068" s="148" t="s">
        <v>1120</v>
      </c>
      <c r="D1068" s="148" t="s">
        <v>340</v>
      </c>
      <c r="E1068" s="148" t="s">
        <v>1009</v>
      </c>
      <c r="F1068" s="148" t="s">
        <v>1118</v>
      </c>
      <c r="G1068" s="148" t="s">
        <v>1011</v>
      </c>
      <c r="H1068" s="148">
        <v>46</v>
      </c>
      <c r="I1068" s="148">
        <v>1</v>
      </c>
      <c r="J1068" s="148">
        <v>2.1739000000000002</v>
      </c>
      <c r="K1068" s="148" t="str">
        <f t="shared" si="16"/>
        <v>ENTITYGDWILL_PRVS</v>
      </c>
    </row>
    <row r="1069" spans="1:11" hidden="1">
      <c r="A1069" s="148" t="s">
        <v>3408</v>
      </c>
      <c r="B1069" s="148" t="s">
        <v>3409</v>
      </c>
      <c r="C1069" s="148" t="s">
        <v>1019</v>
      </c>
      <c r="D1069" s="148" t="s">
        <v>401</v>
      </c>
      <c r="E1069" s="148" t="s">
        <v>1009</v>
      </c>
      <c r="F1069" s="148" t="s">
        <v>1118</v>
      </c>
      <c r="G1069" s="148" t="s">
        <v>129</v>
      </c>
      <c r="H1069" s="148">
        <v>14860</v>
      </c>
      <c r="I1069" s="148">
        <v>0</v>
      </c>
      <c r="J1069" s="148">
        <v>0</v>
      </c>
      <c r="K1069" s="148" t="str">
        <f t="shared" si="16"/>
        <v>ENTITYLTI</v>
      </c>
    </row>
    <row r="1070" spans="1:11" hidden="1">
      <c r="A1070" s="148" t="s">
        <v>3410</v>
      </c>
      <c r="B1070" s="148" t="s">
        <v>3411</v>
      </c>
      <c r="C1070" s="148" t="s">
        <v>1120</v>
      </c>
      <c r="D1070" s="148" t="s">
        <v>406</v>
      </c>
      <c r="E1070" s="148" t="s">
        <v>1009</v>
      </c>
      <c r="F1070" s="148" t="s">
        <v>1118</v>
      </c>
      <c r="G1070" s="148" t="s">
        <v>129</v>
      </c>
      <c r="H1070" s="148">
        <v>68644</v>
      </c>
      <c r="I1070" s="148">
        <v>0</v>
      </c>
      <c r="J1070" s="148">
        <v>0</v>
      </c>
      <c r="K1070" s="148" t="str">
        <f t="shared" si="16"/>
        <v>ENTITYLVRG</v>
      </c>
    </row>
    <row r="1071" spans="1:11" hidden="1">
      <c r="A1071" s="148" t="s">
        <v>3412</v>
      </c>
      <c r="B1071" s="148" t="s">
        <v>3413</v>
      </c>
      <c r="C1071" s="148" t="s">
        <v>1019</v>
      </c>
      <c r="D1071" s="148" t="s">
        <v>406</v>
      </c>
      <c r="E1071" s="148" t="s">
        <v>1009</v>
      </c>
      <c r="F1071" s="148" t="s">
        <v>1118</v>
      </c>
      <c r="G1071" s="148" t="s">
        <v>129</v>
      </c>
      <c r="H1071" s="148">
        <v>67115</v>
      </c>
      <c r="I1071" s="148">
        <v>0</v>
      </c>
      <c r="J1071" s="148">
        <v>0</v>
      </c>
      <c r="K1071" s="148" t="str">
        <f t="shared" si="16"/>
        <v>ENTITYLVRG</v>
      </c>
    </row>
    <row r="1072" spans="1:11" hidden="1">
      <c r="A1072" s="148" t="s">
        <v>3414</v>
      </c>
      <c r="B1072" s="148" t="s">
        <v>3415</v>
      </c>
      <c r="C1072" s="148" t="s">
        <v>139</v>
      </c>
      <c r="D1072" s="148" t="s">
        <v>406</v>
      </c>
      <c r="E1072" s="148" t="s">
        <v>1009</v>
      </c>
      <c r="F1072" s="148" t="s">
        <v>1118</v>
      </c>
      <c r="G1072" s="148" t="s">
        <v>129</v>
      </c>
      <c r="H1072" s="148">
        <v>45</v>
      </c>
      <c r="I1072" s="148">
        <v>0</v>
      </c>
      <c r="J1072" s="148">
        <v>0</v>
      </c>
      <c r="K1072" s="148" t="str">
        <f t="shared" si="16"/>
        <v>ENTITYLVRG</v>
      </c>
    </row>
    <row r="1073" spans="1:11" hidden="1">
      <c r="A1073" s="148" t="s">
        <v>3416</v>
      </c>
      <c r="B1073" s="148" t="s">
        <v>3417</v>
      </c>
      <c r="C1073" s="148" t="s">
        <v>1120</v>
      </c>
      <c r="D1073" s="148" t="s">
        <v>406</v>
      </c>
      <c r="E1073" s="148" t="s">
        <v>1009</v>
      </c>
      <c r="F1073" s="148" t="s">
        <v>1118</v>
      </c>
      <c r="G1073" s="148" t="s">
        <v>1011</v>
      </c>
      <c r="H1073" s="148">
        <v>46</v>
      </c>
      <c r="I1073" s="148">
        <v>1</v>
      </c>
      <c r="J1073" s="148">
        <v>2.1739000000000002</v>
      </c>
      <c r="K1073" s="148" t="str">
        <f t="shared" si="16"/>
        <v>ENTITYLVRG</v>
      </c>
    </row>
    <row r="1074" spans="1:11" hidden="1">
      <c r="A1074" s="148" t="s">
        <v>3418</v>
      </c>
      <c r="B1074" s="148" t="s">
        <v>3419</v>
      </c>
      <c r="C1074" s="148" t="s">
        <v>1120</v>
      </c>
      <c r="D1074" s="148" t="s">
        <v>408</v>
      </c>
      <c r="E1074" s="148" t="s">
        <v>1009</v>
      </c>
      <c r="F1074" s="148" t="s">
        <v>1118</v>
      </c>
      <c r="G1074" s="148" t="s">
        <v>129</v>
      </c>
      <c r="H1074" s="148">
        <v>64912</v>
      </c>
      <c r="I1074" s="148">
        <v>0</v>
      </c>
      <c r="J1074" s="148">
        <v>0</v>
      </c>
      <c r="K1074" s="148" t="str">
        <f t="shared" si="16"/>
        <v>ENTITYLVRG_PRVS</v>
      </c>
    </row>
    <row r="1075" spans="1:11" hidden="1">
      <c r="A1075" s="148" t="s">
        <v>3420</v>
      </c>
      <c r="B1075" s="148" t="s">
        <v>3421</v>
      </c>
      <c r="C1075" s="148" t="s">
        <v>1120</v>
      </c>
      <c r="D1075" s="148" t="s">
        <v>408</v>
      </c>
      <c r="E1075" s="148" t="s">
        <v>1009</v>
      </c>
      <c r="F1075" s="148" t="s">
        <v>1118</v>
      </c>
      <c r="G1075" s="148" t="s">
        <v>129</v>
      </c>
      <c r="H1075" s="148">
        <v>45</v>
      </c>
      <c r="I1075" s="148">
        <v>0</v>
      </c>
      <c r="J1075" s="148">
        <v>0</v>
      </c>
      <c r="K1075" s="148" t="str">
        <f t="shared" si="16"/>
        <v>ENTITYLVRG_PRVS</v>
      </c>
    </row>
    <row r="1076" spans="1:11" hidden="1">
      <c r="A1076" s="148" t="s">
        <v>3422</v>
      </c>
      <c r="B1076" s="148" t="s">
        <v>3423</v>
      </c>
      <c r="C1076" s="148" t="s">
        <v>139</v>
      </c>
      <c r="D1076" s="148" t="s">
        <v>408</v>
      </c>
      <c r="E1076" s="148" t="s">
        <v>1009</v>
      </c>
      <c r="F1076" s="148" t="s">
        <v>1118</v>
      </c>
      <c r="G1076" s="148" t="s">
        <v>129</v>
      </c>
      <c r="H1076" s="148">
        <v>60251</v>
      </c>
      <c r="I1076" s="148">
        <v>0</v>
      </c>
      <c r="J1076" s="148">
        <v>0</v>
      </c>
      <c r="K1076" s="148" t="str">
        <f t="shared" si="16"/>
        <v>ENTITYLVRG_PRVS</v>
      </c>
    </row>
    <row r="1077" spans="1:11" hidden="1">
      <c r="A1077" s="148" t="s">
        <v>3424</v>
      </c>
      <c r="B1077" s="148" t="s">
        <v>3425</v>
      </c>
      <c r="C1077" s="148" t="s">
        <v>1120</v>
      </c>
      <c r="D1077" s="148" t="s">
        <v>408</v>
      </c>
      <c r="E1077" s="148" t="s">
        <v>1009</v>
      </c>
      <c r="F1077" s="148" t="s">
        <v>1118</v>
      </c>
      <c r="G1077" s="148" t="s">
        <v>1011</v>
      </c>
      <c r="H1077" s="148">
        <v>46</v>
      </c>
      <c r="I1077" s="148">
        <v>1</v>
      </c>
      <c r="J1077" s="148">
        <v>2.1739000000000002</v>
      </c>
      <c r="K1077" s="148" t="str">
        <f t="shared" si="16"/>
        <v>ENTITYLVRG_PRVS</v>
      </c>
    </row>
    <row r="1078" spans="1:11" hidden="1">
      <c r="A1078" s="148" t="s">
        <v>3426</v>
      </c>
      <c r="B1078" s="148" t="s">
        <v>3427</v>
      </c>
      <c r="C1078" s="148" t="s">
        <v>1120</v>
      </c>
      <c r="D1078" s="148" t="s">
        <v>413</v>
      </c>
      <c r="E1078" s="148" t="s">
        <v>1009</v>
      </c>
      <c r="F1078" s="148" t="s">
        <v>1118</v>
      </c>
      <c r="G1078" s="148" t="s">
        <v>129</v>
      </c>
      <c r="H1078" s="148">
        <v>654</v>
      </c>
      <c r="I1078" s="148">
        <v>0</v>
      </c>
      <c r="J1078" s="148">
        <v>0</v>
      </c>
      <c r="K1078" s="148" t="str">
        <f t="shared" si="16"/>
        <v>ENTITYMNTHL_INCM</v>
      </c>
    </row>
    <row r="1079" spans="1:11" hidden="1">
      <c r="A1079" s="148" t="s">
        <v>3428</v>
      </c>
      <c r="B1079" s="148" t="s">
        <v>3429</v>
      </c>
      <c r="C1079" s="148" t="s">
        <v>1120</v>
      </c>
      <c r="D1079" s="148" t="s">
        <v>414</v>
      </c>
      <c r="E1079" s="148" t="s">
        <v>1009</v>
      </c>
      <c r="F1079" s="148" t="s">
        <v>1118</v>
      </c>
      <c r="G1079" s="148" t="s">
        <v>1011</v>
      </c>
      <c r="H1079" s="148">
        <v>763141</v>
      </c>
      <c r="I1079" s="148">
        <v>183096</v>
      </c>
      <c r="J1079" s="148">
        <v>23.9924</v>
      </c>
      <c r="K1079" s="148" t="str">
        <f t="shared" si="16"/>
        <v>ENTITYMNTHL_INCM_SLR</v>
      </c>
    </row>
    <row r="1080" spans="1:11" hidden="1">
      <c r="A1080" s="148" t="s">
        <v>3430</v>
      </c>
      <c r="B1080" s="148" t="s">
        <v>3431</v>
      </c>
      <c r="C1080" s="148" t="s">
        <v>1120</v>
      </c>
      <c r="D1080" s="148" t="s">
        <v>414</v>
      </c>
      <c r="E1080" s="148" t="s">
        <v>1009</v>
      </c>
      <c r="F1080" s="148" t="s">
        <v>1118</v>
      </c>
      <c r="G1080" s="148" t="s">
        <v>129</v>
      </c>
      <c r="H1080" s="148">
        <v>654</v>
      </c>
      <c r="I1080" s="148">
        <v>0</v>
      </c>
      <c r="J1080" s="148">
        <v>0</v>
      </c>
      <c r="K1080" s="148" t="str">
        <f t="shared" si="16"/>
        <v>ENTITYMNTHL_INCM_SLR</v>
      </c>
    </row>
    <row r="1081" spans="1:11" hidden="1">
      <c r="A1081" s="148" t="s">
        <v>3432</v>
      </c>
      <c r="B1081" s="148" t="s">
        <v>3433</v>
      </c>
      <c r="C1081" s="148" t="s">
        <v>1120</v>
      </c>
      <c r="D1081" s="148" t="s">
        <v>415</v>
      </c>
      <c r="E1081" s="148" t="s">
        <v>1009</v>
      </c>
      <c r="F1081" s="148" t="s">
        <v>1118</v>
      </c>
      <c r="G1081" s="148" t="s">
        <v>1011</v>
      </c>
      <c r="H1081" s="148">
        <v>654</v>
      </c>
      <c r="I1081" s="148">
        <v>546</v>
      </c>
      <c r="J1081" s="148">
        <v>83.486199999999997</v>
      </c>
      <c r="K1081" s="148" t="str">
        <f t="shared" si="16"/>
        <v>ENTITYMNTHL_TRNVR</v>
      </c>
    </row>
    <row r="1082" spans="1:11" hidden="1">
      <c r="A1082" s="148" t="s">
        <v>3434</v>
      </c>
      <c r="B1082" s="148" t="s">
        <v>3435</v>
      </c>
      <c r="C1082" s="148" t="s">
        <v>1120</v>
      </c>
      <c r="D1082" s="148" t="s">
        <v>419</v>
      </c>
      <c r="E1082" s="148" t="s">
        <v>1009</v>
      </c>
      <c r="F1082" s="148" t="s">
        <v>1118</v>
      </c>
      <c r="G1082" s="148" t="s">
        <v>129</v>
      </c>
      <c r="H1082" s="148">
        <v>68644</v>
      </c>
      <c r="I1082" s="148">
        <v>0</v>
      </c>
      <c r="J1082" s="148">
        <v>0</v>
      </c>
      <c r="K1082" s="148" t="str">
        <f t="shared" si="16"/>
        <v>ENTITYNT_INCM</v>
      </c>
    </row>
    <row r="1083" spans="1:11" hidden="1">
      <c r="A1083" s="148" t="s">
        <v>3436</v>
      </c>
      <c r="B1083" s="148" t="s">
        <v>3437</v>
      </c>
      <c r="C1083" s="148" t="s">
        <v>1120</v>
      </c>
      <c r="D1083" s="148" t="s">
        <v>419</v>
      </c>
      <c r="E1083" s="148" t="s">
        <v>1009</v>
      </c>
      <c r="F1083" s="148" t="s">
        <v>1118</v>
      </c>
      <c r="G1083" s="148" t="s">
        <v>1011</v>
      </c>
      <c r="H1083" s="148">
        <v>46</v>
      </c>
      <c r="I1083" s="148">
        <v>1</v>
      </c>
      <c r="J1083" s="148">
        <v>2.1739000000000002</v>
      </c>
      <c r="K1083" s="148" t="str">
        <f t="shared" si="16"/>
        <v>ENTITYNT_INCM</v>
      </c>
    </row>
    <row r="1084" spans="1:11" hidden="1">
      <c r="A1084" s="148" t="s">
        <v>3438</v>
      </c>
      <c r="B1084" s="148" t="s">
        <v>3439</v>
      </c>
      <c r="C1084" s="148" t="s">
        <v>1120</v>
      </c>
      <c r="D1084" s="148" t="s">
        <v>420</v>
      </c>
      <c r="E1084" s="148" t="s">
        <v>1009</v>
      </c>
      <c r="F1084" s="148" t="s">
        <v>1118</v>
      </c>
      <c r="G1084" s="148" t="s">
        <v>129</v>
      </c>
      <c r="H1084" s="148">
        <v>64912</v>
      </c>
      <c r="I1084" s="148">
        <v>0</v>
      </c>
      <c r="J1084" s="148">
        <v>0</v>
      </c>
      <c r="K1084" s="148" t="str">
        <f t="shared" si="16"/>
        <v>ENTITYNT_INCM_PRVS</v>
      </c>
    </row>
    <row r="1085" spans="1:11" hidden="1">
      <c r="A1085" s="148" t="s">
        <v>3440</v>
      </c>
      <c r="B1085" s="148" t="s">
        <v>3441</v>
      </c>
      <c r="C1085" s="148" t="s">
        <v>1120</v>
      </c>
      <c r="D1085" s="148" t="s">
        <v>420</v>
      </c>
      <c r="E1085" s="148" t="s">
        <v>1009</v>
      </c>
      <c r="F1085" s="148" t="s">
        <v>1118</v>
      </c>
      <c r="G1085" s="148" t="s">
        <v>1011</v>
      </c>
      <c r="H1085" s="148">
        <v>46</v>
      </c>
      <c r="I1085" s="148">
        <v>1</v>
      </c>
      <c r="J1085" s="148">
        <v>2.1739000000000002</v>
      </c>
      <c r="K1085" s="148" t="str">
        <f t="shared" si="16"/>
        <v>ENTITYNT_INCM_PRVS</v>
      </c>
    </row>
    <row r="1086" spans="1:11" hidden="1">
      <c r="A1086" s="148" t="s">
        <v>3442</v>
      </c>
      <c r="B1086" s="148" t="s">
        <v>3443</v>
      </c>
      <c r="C1086" s="148" t="s">
        <v>1120</v>
      </c>
      <c r="D1086" s="148" t="s">
        <v>522</v>
      </c>
      <c r="E1086" s="148" t="s">
        <v>1009</v>
      </c>
      <c r="F1086" s="148" t="s">
        <v>1118</v>
      </c>
      <c r="G1086" s="148" t="s">
        <v>129</v>
      </c>
      <c r="H1086" s="148">
        <v>68644</v>
      </c>
      <c r="I1086" s="148">
        <v>0</v>
      </c>
      <c r="J1086" s="148">
        <v>0</v>
      </c>
      <c r="K1086" s="148" t="str">
        <f t="shared" si="16"/>
        <v>ENTITYTTL_DBT</v>
      </c>
    </row>
    <row r="1087" spans="1:11" hidden="1">
      <c r="A1087" s="148" t="s">
        <v>3444</v>
      </c>
      <c r="B1087" s="148" t="s">
        <v>3445</v>
      </c>
      <c r="C1087" s="148" t="s">
        <v>1120</v>
      </c>
      <c r="D1087" s="148" t="s">
        <v>522</v>
      </c>
      <c r="E1087" s="148" t="s">
        <v>1009</v>
      </c>
      <c r="F1087" s="148" t="s">
        <v>1118</v>
      </c>
      <c r="G1087" s="148" t="s">
        <v>1011</v>
      </c>
      <c r="H1087" s="148">
        <v>46</v>
      </c>
      <c r="I1087" s="148">
        <v>1</v>
      </c>
      <c r="J1087" s="148">
        <v>2.1739000000000002</v>
      </c>
      <c r="K1087" s="148" t="str">
        <f t="shared" si="16"/>
        <v>ENTITYTTL_DBT</v>
      </c>
    </row>
    <row r="1088" spans="1:11" hidden="1">
      <c r="A1088" s="148" t="s">
        <v>3446</v>
      </c>
      <c r="B1088" s="148" t="s">
        <v>3447</v>
      </c>
      <c r="C1088" s="148" t="s">
        <v>1120</v>
      </c>
      <c r="D1088" s="148" t="s">
        <v>523</v>
      </c>
      <c r="E1088" s="148" t="s">
        <v>1009</v>
      </c>
      <c r="F1088" s="148" t="s">
        <v>1118</v>
      </c>
      <c r="G1088" s="148" t="s">
        <v>129</v>
      </c>
      <c r="H1088" s="148">
        <v>64912</v>
      </c>
      <c r="I1088" s="148">
        <v>0</v>
      </c>
      <c r="J1088" s="148">
        <v>0</v>
      </c>
      <c r="K1088" s="148" t="str">
        <f t="shared" si="16"/>
        <v>ENTITYTTL_DBT_PRVS</v>
      </c>
    </row>
    <row r="1089" spans="1:11" hidden="1">
      <c r="A1089" s="148" t="s">
        <v>3448</v>
      </c>
      <c r="B1089" s="148" t="s">
        <v>3449</v>
      </c>
      <c r="C1089" s="148" t="s">
        <v>1120</v>
      </c>
      <c r="D1089" s="148" t="s">
        <v>523</v>
      </c>
      <c r="E1089" s="148" t="s">
        <v>1009</v>
      </c>
      <c r="F1089" s="148" t="s">
        <v>1118</v>
      </c>
      <c r="G1089" s="148" t="s">
        <v>1011</v>
      </c>
      <c r="H1089" s="148">
        <v>46</v>
      </c>
      <c r="I1089" s="148">
        <v>1</v>
      </c>
      <c r="J1089" s="148">
        <v>2.1739000000000002</v>
      </c>
      <c r="K1089" s="148" t="str">
        <f t="shared" si="16"/>
        <v>ENTITYTTL_DBT_PRVS</v>
      </c>
    </row>
    <row r="1090" spans="1:11" hidden="1">
      <c r="A1090" s="148" t="s">
        <v>3450</v>
      </c>
      <c r="B1090" s="148" t="s">
        <v>3451</v>
      </c>
      <c r="C1090" s="148" t="s">
        <v>1019</v>
      </c>
      <c r="D1090" s="148" t="s">
        <v>171</v>
      </c>
      <c r="E1090" s="148" t="s">
        <v>1009</v>
      </c>
      <c r="F1090" s="148" t="s">
        <v>1118</v>
      </c>
      <c r="G1090" s="148" t="s">
        <v>129</v>
      </c>
      <c r="H1090" s="148">
        <v>38373</v>
      </c>
      <c r="I1090" s="148">
        <v>0</v>
      </c>
      <c r="J1090" s="148">
        <v>0</v>
      </c>
      <c r="K1090" s="148" t="str">
        <f t="shared" si="16"/>
        <v>ENTITYTTL_INTRST_PD</v>
      </c>
    </row>
    <row r="1091" spans="1:11" hidden="1">
      <c r="A1091" s="148" t="s">
        <v>3452</v>
      </c>
      <c r="B1091" s="148" t="s">
        <v>3453</v>
      </c>
      <c r="C1091" s="148" t="s">
        <v>1019</v>
      </c>
      <c r="D1091" s="148" t="s">
        <v>171</v>
      </c>
      <c r="E1091" s="148" t="s">
        <v>1009</v>
      </c>
      <c r="F1091" s="148" t="s">
        <v>1118</v>
      </c>
      <c r="G1091" s="148" t="s">
        <v>129</v>
      </c>
      <c r="H1091" s="148">
        <v>38373</v>
      </c>
      <c r="I1091" s="148">
        <v>0</v>
      </c>
      <c r="J1091" s="148">
        <v>0</v>
      </c>
      <c r="K1091" s="148" t="str">
        <f t="shared" ref="K1091:K1154" si="17">_xlfn.CONCAT(_xlfn.IFS(ISNUMBER(SEARCH("EN",A1091)),"ENTITY",ISNUMBER(SEARCH("IN",A1091)),"INSTRUMENT",ISNUMBER(SEARCH("PR",A1091)),"PROTECTION",ISNUMBER(SEARCH("IP",A1091)),"INSTR_PROTECTION",ISNUMBER(SEARCH("IE",A1091)),"INSTR_ENTITY",ISNUMBER(SEARCH("AC",A1091)),"INSTR_ACTIVITY"),D1091)</f>
        <v>ENTITYTTL_INTRST_PD</v>
      </c>
    </row>
    <row r="1092" spans="1:11" hidden="1">
      <c r="A1092" s="148" t="s">
        <v>3454</v>
      </c>
      <c r="B1092" s="148" t="s">
        <v>3455</v>
      </c>
      <c r="C1092" s="148" t="s">
        <v>1120</v>
      </c>
      <c r="D1092" s="148" t="s">
        <v>171</v>
      </c>
      <c r="E1092" s="148" t="s">
        <v>1009</v>
      </c>
      <c r="F1092" s="148" t="s">
        <v>1118</v>
      </c>
      <c r="G1092" s="148" t="s">
        <v>129</v>
      </c>
      <c r="H1092" s="148">
        <v>39</v>
      </c>
      <c r="I1092" s="148">
        <v>0</v>
      </c>
      <c r="J1092" s="148">
        <v>0</v>
      </c>
      <c r="K1092" s="148" t="str">
        <f t="shared" si="17"/>
        <v>ENTITYTTL_INTRST_PD</v>
      </c>
    </row>
    <row r="1093" spans="1:11" hidden="1">
      <c r="A1093" s="148" t="s">
        <v>3456</v>
      </c>
      <c r="B1093" s="148" t="s">
        <v>3457</v>
      </c>
      <c r="C1093" s="148" t="s">
        <v>1037</v>
      </c>
      <c r="D1093" s="148" t="s">
        <v>525</v>
      </c>
      <c r="E1093" s="148" t="s">
        <v>1009</v>
      </c>
      <c r="F1093" s="148" t="s">
        <v>1118</v>
      </c>
      <c r="G1093" s="148" t="s">
        <v>1011</v>
      </c>
      <c r="H1093" s="148">
        <v>464</v>
      </c>
      <c r="I1093" s="148">
        <v>464</v>
      </c>
      <c r="J1093" s="148">
        <v>100</v>
      </c>
      <c r="K1093" s="148" t="str">
        <f t="shared" si="17"/>
        <v>ENTITYTTL_LVRG_RT</v>
      </c>
    </row>
    <row r="1094" spans="1:11" hidden="1">
      <c r="A1094" s="148" t="s">
        <v>3458</v>
      </c>
      <c r="B1094" s="148" t="s">
        <v>3459</v>
      </c>
      <c r="C1094" s="148" t="s">
        <v>1120</v>
      </c>
      <c r="D1094" s="148" t="s">
        <v>525</v>
      </c>
      <c r="E1094" s="148" t="s">
        <v>1009</v>
      </c>
      <c r="F1094" s="148" t="s">
        <v>1118</v>
      </c>
      <c r="G1094" s="148" t="s">
        <v>129</v>
      </c>
      <c r="H1094" s="148">
        <v>39</v>
      </c>
      <c r="I1094" s="148">
        <v>0</v>
      </c>
      <c r="J1094" s="148">
        <v>0</v>
      </c>
      <c r="K1094" s="148" t="str">
        <f t="shared" si="17"/>
        <v>ENTITYTTL_LVRG_RT</v>
      </c>
    </row>
    <row r="1095" spans="1:11" hidden="1">
      <c r="A1095" s="148" t="s">
        <v>3460</v>
      </c>
      <c r="B1095" s="148" t="s">
        <v>3461</v>
      </c>
      <c r="C1095" s="148" t="s">
        <v>1120</v>
      </c>
      <c r="D1095" s="148" t="s">
        <v>525</v>
      </c>
      <c r="E1095" s="148" t="s">
        <v>1009</v>
      </c>
      <c r="F1095" s="148" t="s">
        <v>1118</v>
      </c>
      <c r="G1095" s="148" t="s">
        <v>129</v>
      </c>
      <c r="H1095" s="148">
        <v>38</v>
      </c>
      <c r="I1095" s="148">
        <v>0</v>
      </c>
      <c r="J1095" s="148">
        <v>0</v>
      </c>
      <c r="K1095" s="148" t="str">
        <f t="shared" si="17"/>
        <v>ENTITYTTL_LVRG_RT</v>
      </c>
    </row>
    <row r="1096" spans="1:11" hidden="1">
      <c r="A1096" s="148" t="s">
        <v>3462</v>
      </c>
      <c r="B1096" s="148" t="s">
        <v>3463</v>
      </c>
      <c r="C1096" s="148" t="s">
        <v>1037</v>
      </c>
      <c r="D1096" s="148" t="s">
        <v>525</v>
      </c>
      <c r="E1096" s="148" t="s">
        <v>1009</v>
      </c>
      <c r="F1096" s="148" t="s">
        <v>1118</v>
      </c>
      <c r="G1096" s="148" t="s">
        <v>129</v>
      </c>
      <c r="H1096" s="148">
        <v>7</v>
      </c>
      <c r="I1096" s="148">
        <v>0</v>
      </c>
      <c r="J1096" s="148">
        <v>0</v>
      </c>
      <c r="K1096" s="148" t="str">
        <f t="shared" si="17"/>
        <v>ENTITYTTL_LVRG_RT</v>
      </c>
    </row>
    <row r="1097" spans="1:11" hidden="1">
      <c r="A1097" s="148" t="s">
        <v>3464</v>
      </c>
      <c r="B1097" s="148" t="s">
        <v>3465</v>
      </c>
      <c r="C1097" s="148" t="s">
        <v>1120</v>
      </c>
      <c r="D1097" s="148" t="s">
        <v>525</v>
      </c>
      <c r="E1097" s="148" t="s">
        <v>1009</v>
      </c>
      <c r="F1097" s="148" t="s">
        <v>1118</v>
      </c>
      <c r="G1097" s="148" t="s">
        <v>1011</v>
      </c>
      <c r="H1097" s="148">
        <v>68422</v>
      </c>
      <c r="I1097" s="148">
        <v>68370</v>
      </c>
      <c r="J1097" s="148">
        <v>99.924000000000007</v>
      </c>
      <c r="K1097" s="148" t="str">
        <f t="shared" si="17"/>
        <v>ENTITYTTL_LVRG_RT</v>
      </c>
    </row>
    <row r="1098" spans="1:11" hidden="1">
      <c r="A1098" s="148" t="s">
        <v>3466</v>
      </c>
      <c r="B1098" s="148" t="s">
        <v>3467</v>
      </c>
      <c r="C1098" s="148" t="s">
        <v>1019</v>
      </c>
      <c r="D1098" s="148" t="s">
        <v>525</v>
      </c>
      <c r="E1098" s="148" t="s">
        <v>10</v>
      </c>
      <c r="F1098" s="148" t="s">
        <v>1118</v>
      </c>
      <c r="G1098" s="148" t="s">
        <v>1011</v>
      </c>
      <c r="H1098" s="148">
        <v>6</v>
      </c>
      <c r="I1098" s="148">
        <v>6</v>
      </c>
      <c r="J1098" s="148">
        <v>100</v>
      </c>
      <c r="K1098" s="148" t="str">
        <f t="shared" si="17"/>
        <v>ENTITYTTL_LVRG_RT</v>
      </c>
    </row>
    <row r="1099" spans="1:11" hidden="1">
      <c r="A1099" s="148" t="s">
        <v>3468</v>
      </c>
      <c r="B1099" s="148" t="s">
        <v>3469</v>
      </c>
      <c r="C1099" s="148" t="s">
        <v>1120</v>
      </c>
      <c r="D1099" s="148" t="s">
        <v>526</v>
      </c>
      <c r="E1099" s="148" t="s">
        <v>1009</v>
      </c>
      <c r="F1099" s="148" t="s">
        <v>1118</v>
      </c>
      <c r="G1099" s="148" t="s">
        <v>129</v>
      </c>
      <c r="H1099" s="148">
        <v>38</v>
      </c>
      <c r="I1099" s="148">
        <v>0</v>
      </c>
      <c r="J1099" s="148">
        <v>0</v>
      </c>
      <c r="K1099" s="148" t="str">
        <f t="shared" si="17"/>
        <v>ENTITYTTL_LVRG_RT_PRVS</v>
      </c>
    </row>
    <row r="1100" spans="1:11" hidden="1">
      <c r="A1100" s="148" t="s">
        <v>3470</v>
      </c>
      <c r="B1100" s="148" t="s">
        <v>3471</v>
      </c>
      <c r="C1100" s="148" t="s">
        <v>1120</v>
      </c>
      <c r="D1100" s="148" t="s">
        <v>526</v>
      </c>
      <c r="E1100" s="148" t="s">
        <v>1009</v>
      </c>
      <c r="F1100" s="148" t="s">
        <v>1118</v>
      </c>
      <c r="G1100" s="148" t="s">
        <v>129</v>
      </c>
      <c r="H1100" s="148">
        <v>39</v>
      </c>
      <c r="I1100" s="148">
        <v>0</v>
      </c>
      <c r="J1100" s="148">
        <v>0</v>
      </c>
      <c r="K1100" s="148" t="str">
        <f t="shared" si="17"/>
        <v>ENTITYTTL_LVRG_RT_PRVS</v>
      </c>
    </row>
    <row r="1101" spans="1:11" hidden="1">
      <c r="A1101" s="148" t="s">
        <v>3472</v>
      </c>
      <c r="B1101" s="148" t="s">
        <v>3473</v>
      </c>
      <c r="C1101" s="148" t="s">
        <v>1120</v>
      </c>
      <c r="D1101" s="148" t="s">
        <v>526</v>
      </c>
      <c r="E1101" s="148" t="s">
        <v>1009</v>
      </c>
      <c r="F1101" s="148" t="s">
        <v>1118</v>
      </c>
      <c r="G1101" s="148" t="s">
        <v>1011</v>
      </c>
      <c r="H1101" s="148">
        <v>64690</v>
      </c>
      <c r="I1101" s="148">
        <v>64642</v>
      </c>
      <c r="J1101" s="148">
        <v>99.925799999999995</v>
      </c>
      <c r="K1101" s="148" t="str">
        <f t="shared" si="17"/>
        <v>ENTITYTTL_LVRG_RT_PRVS</v>
      </c>
    </row>
    <row r="1102" spans="1:11" hidden="1">
      <c r="A1102" s="148" t="s">
        <v>3474</v>
      </c>
      <c r="B1102" s="148" t="s">
        <v>3475</v>
      </c>
      <c r="C1102" s="148" t="s">
        <v>1019</v>
      </c>
      <c r="D1102" s="148" t="s">
        <v>206</v>
      </c>
      <c r="E1102" s="148" t="s">
        <v>1009</v>
      </c>
      <c r="F1102" s="148" t="s">
        <v>1118</v>
      </c>
      <c r="G1102" s="148" t="s">
        <v>129</v>
      </c>
      <c r="H1102" s="148">
        <v>301</v>
      </c>
      <c r="I1102" s="148">
        <v>0</v>
      </c>
      <c r="J1102" s="148">
        <v>0</v>
      </c>
      <c r="K1102" s="148" t="str">
        <f t="shared" si="17"/>
        <v>ENTITYDBT_RPYMNT_CPCTY_SNR_DBT</v>
      </c>
    </row>
    <row r="1103" spans="1:11" hidden="1">
      <c r="A1103" s="148" t="s">
        <v>3476</v>
      </c>
      <c r="B1103" s="148" t="s">
        <v>3477</v>
      </c>
      <c r="C1103" s="148" t="s">
        <v>1120</v>
      </c>
      <c r="D1103" s="148" t="s">
        <v>206</v>
      </c>
      <c r="E1103" s="148" t="s">
        <v>1009</v>
      </c>
      <c r="F1103" s="148" t="s">
        <v>1118</v>
      </c>
      <c r="G1103" s="148" t="s">
        <v>129</v>
      </c>
      <c r="H1103" s="148">
        <v>39</v>
      </c>
      <c r="I1103" s="148">
        <v>0</v>
      </c>
      <c r="J1103" s="148">
        <v>0</v>
      </c>
      <c r="K1103" s="148" t="str">
        <f t="shared" si="17"/>
        <v>ENTITYDBT_RPYMNT_CPCTY_SNR_DBT</v>
      </c>
    </row>
    <row r="1104" spans="1:11" hidden="1">
      <c r="A1104" s="148" t="s">
        <v>3478</v>
      </c>
      <c r="B1104" s="148" t="s">
        <v>3479</v>
      </c>
      <c r="C1104" s="148" t="s">
        <v>1019</v>
      </c>
      <c r="D1104" s="148" t="s">
        <v>207</v>
      </c>
      <c r="E1104" s="148" t="s">
        <v>1009</v>
      </c>
      <c r="F1104" s="148" t="s">
        <v>1118</v>
      </c>
      <c r="G1104" s="148" t="s">
        <v>129</v>
      </c>
      <c r="H1104" s="148">
        <v>301</v>
      </c>
      <c r="I1104" s="148">
        <v>0</v>
      </c>
      <c r="J1104" s="148">
        <v>0</v>
      </c>
      <c r="K1104" s="148" t="str">
        <f t="shared" si="17"/>
        <v>ENTITYDBT_RPYMNT_CPCTY_TTL</v>
      </c>
    </row>
    <row r="1105" spans="1:11" hidden="1">
      <c r="A1105" s="148" t="s">
        <v>3480</v>
      </c>
      <c r="B1105" s="148" t="s">
        <v>3481</v>
      </c>
      <c r="C1105" s="148" t="s">
        <v>1120</v>
      </c>
      <c r="D1105" s="148" t="s">
        <v>207</v>
      </c>
      <c r="E1105" s="148" t="s">
        <v>1009</v>
      </c>
      <c r="F1105" s="148" t="s">
        <v>1118</v>
      </c>
      <c r="G1105" s="148" t="s">
        <v>129</v>
      </c>
      <c r="H1105" s="148">
        <v>39</v>
      </c>
      <c r="I1105" s="148">
        <v>0</v>
      </c>
      <c r="J1105" s="148">
        <v>0</v>
      </c>
      <c r="K1105" s="148" t="str">
        <f t="shared" si="17"/>
        <v>ENTITYDBT_RPYMNT_CPCTY_TTL</v>
      </c>
    </row>
    <row r="1106" spans="1:11" hidden="1">
      <c r="A1106" s="148" t="s">
        <v>3482</v>
      </c>
      <c r="B1106" s="148" t="s">
        <v>3483</v>
      </c>
      <c r="C1106" s="148" t="s">
        <v>1120</v>
      </c>
      <c r="D1106" s="148" t="s">
        <v>208</v>
      </c>
      <c r="E1106" s="148" t="s">
        <v>1009</v>
      </c>
      <c r="F1106" s="148" t="s">
        <v>1118</v>
      </c>
      <c r="G1106" s="148" t="s">
        <v>129</v>
      </c>
      <c r="H1106" s="148">
        <v>68644</v>
      </c>
      <c r="I1106" s="148">
        <v>0</v>
      </c>
      <c r="J1106" s="148">
        <v>0</v>
      </c>
      <c r="K1106" s="148" t="str">
        <f t="shared" si="17"/>
        <v>ENTITYDBT_SRVC_RT</v>
      </c>
    </row>
    <row r="1107" spans="1:11" hidden="1">
      <c r="A1107" s="148" t="s">
        <v>3484</v>
      </c>
      <c r="B1107" s="148" t="s">
        <v>3485</v>
      </c>
      <c r="C1107" s="148" t="s">
        <v>1120</v>
      </c>
      <c r="D1107" s="148" t="s">
        <v>208</v>
      </c>
      <c r="E1107" s="148" t="s">
        <v>1009</v>
      </c>
      <c r="F1107" s="148" t="s">
        <v>1118</v>
      </c>
      <c r="G1107" s="148" t="s">
        <v>1011</v>
      </c>
      <c r="H1107" s="148">
        <v>46</v>
      </c>
      <c r="I1107" s="148">
        <v>1</v>
      </c>
      <c r="J1107" s="148">
        <v>2.1739000000000002</v>
      </c>
      <c r="K1107" s="148" t="str">
        <f t="shared" si="17"/>
        <v>ENTITYDBT_SRVC_RT</v>
      </c>
    </row>
    <row r="1108" spans="1:11" hidden="1">
      <c r="A1108" s="148" t="s">
        <v>3486</v>
      </c>
      <c r="B1108" s="148" t="s">
        <v>3487</v>
      </c>
      <c r="C1108" s="148" t="s">
        <v>1120</v>
      </c>
      <c r="D1108" s="148" t="s">
        <v>209</v>
      </c>
      <c r="E1108" s="148" t="s">
        <v>1009</v>
      </c>
      <c r="F1108" s="148" t="s">
        <v>1118</v>
      </c>
      <c r="G1108" s="148" t="s">
        <v>129</v>
      </c>
      <c r="H1108" s="148">
        <v>64912</v>
      </c>
      <c r="I1108" s="148">
        <v>0</v>
      </c>
      <c r="J1108" s="148">
        <v>0</v>
      </c>
      <c r="K1108" s="148" t="str">
        <f t="shared" si="17"/>
        <v>ENTITYDBT_SRVC_RT_12M</v>
      </c>
    </row>
    <row r="1109" spans="1:11" hidden="1">
      <c r="A1109" s="148" t="s">
        <v>3488</v>
      </c>
      <c r="B1109" s="148" t="s">
        <v>3489</v>
      </c>
      <c r="C1109" s="148" t="s">
        <v>1120</v>
      </c>
      <c r="D1109" s="148" t="s">
        <v>209</v>
      </c>
      <c r="E1109" s="148" t="s">
        <v>1009</v>
      </c>
      <c r="F1109" s="148" t="s">
        <v>1118</v>
      </c>
      <c r="G1109" s="148" t="s">
        <v>1011</v>
      </c>
      <c r="H1109" s="148">
        <v>46</v>
      </c>
      <c r="I1109" s="148">
        <v>1</v>
      </c>
      <c r="J1109" s="148">
        <v>2.1739000000000002</v>
      </c>
      <c r="K1109" s="148" t="str">
        <f t="shared" si="17"/>
        <v>ENTITYDBT_SRVC_RT_12M</v>
      </c>
    </row>
    <row r="1110" spans="1:11" hidden="1">
      <c r="A1110" s="148" t="s">
        <v>3490</v>
      </c>
      <c r="B1110" s="148" t="s">
        <v>3491</v>
      </c>
      <c r="C1110" s="148" t="s">
        <v>1019</v>
      </c>
      <c r="D1110" s="148" t="s">
        <v>437</v>
      </c>
      <c r="E1110" s="148" t="s">
        <v>1009</v>
      </c>
      <c r="F1110" s="148" t="s">
        <v>1118</v>
      </c>
      <c r="G1110" s="148" t="s">
        <v>129</v>
      </c>
      <c r="H1110" s="148">
        <v>1759460</v>
      </c>
      <c r="I1110" s="148">
        <v>0</v>
      </c>
      <c r="J1110" s="148">
        <v>0</v>
      </c>
      <c r="K1110" s="148" t="str">
        <f t="shared" si="17"/>
        <v>ENTITYPD_CRR_RD</v>
      </c>
    </row>
    <row r="1111" spans="1:11" hidden="1">
      <c r="A1111" s="148" t="s">
        <v>3492</v>
      </c>
      <c r="B1111" s="148" t="s">
        <v>3493</v>
      </c>
      <c r="C1111" s="148" t="s">
        <v>1019</v>
      </c>
      <c r="D1111" s="148" t="s">
        <v>437</v>
      </c>
      <c r="E1111" s="148" t="s">
        <v>1009</v>
      </c>
      <c r="F1111" s="148" t="s">
        <v>1118</v>
      </c>
      <c r="G1111" s="148" t="s">
        <v>129</v>
      </c>
      <c r="H1111" s="148">
        <v>1759460</v>
      </c>
      <c r="I1111" s="148">
        <v>0</v>
      </c>
      <c r="J1111" s="148">
        <v>0</v>
      </c>
      <c r="K1111" s="148" t="str">
        <f t="shared" si="17"/>
        <v>ENTITYPD_CRR_RD</v>
      </c>
    </row>
    <row r="1112" spans="1:11" hidden="1">
      <c r="A1112" s="148" t="s">
        <v>3494</v>
      </c>
      <c r="B1112" s="148" t="s">
        <v>3495</v>
      </c>
      <c r="C1112" s="148" t="s">
        <v>1019</v>
      </c>
      <c r="D1112" s="148" t="s">
        <v>440</v>
      </c>
      <c r="E1112" s="148" t="s">
        <v>1009</v>
      </c>
      <c r="F1112" s="148" t="s">
        <v>1118</v>
      </c>
      <c r="G1112" s="148" t="s">
        <v>1011</v>
      </c>
      <c r="H1112" s="148">
        <v>2138638</v>
      </c>
      <c r="I1112" s="148">
        <v>763</v>
      </c>
      <c r="J1112" s="148">
        <v>3.5700000000000003E-2</v>
      </c>
      <c r="K1112" s="148" t="str">
        <f t="shared" si="17"/>
        <v>ENTITYPD_IFRS9_12M_RD</v>
      </c>
    </row>
    <row r="1113" spans="1:11" hidden="1">
      <c r="A1113" s="148" t="s">
        <v>3496</v>
      </c>
      <c r="B1113" s="148" t="s">
        <v>3497</v>
      </c>
      <c r="C1113" s="148" t="s">
        <v>1019</v>
      </c>
      <c r="D1113" s="148" t="s">
        <v>442</v>
      </c>
      <c r="E1113" s="148" t="s">
        <v>1009</v>
      </c>
      <c r="F1113" s="148" t="s">
        <v>1118</v>
      </c>
      <c r="G1113" s="148" t="s">
        <v>1011</v>
      </c>
      <c r="H1113" s="148">
        <v>1385805</v>
      </c>
      <c r="I1113" s="148">
        <v>1385805</v>
      </c>
      <c r="J1113" s="148">
        <v>100</v>
      </c>
      <c r="K1113" s="148" t="str">
        <f t="shared" si="17"/>
        <v>ENTITYPD_IFRS9_12M_RD_T1</v>
      </c>
    </row>
    <row r="1114" spans="1:11" hidden="1">
      <c r="A1114" s="148" t="s">
        <v>3498</v>
      </c>
      <c r="B1114" s="148" t="s">
        <v>3499</v>
      </c>
      <c r="C1114" s="148" t="s">
        <v>1120</v>
      </c>
      <c r="D1114" s="148" t="s">
        <v>150</v>
      </c>
      <c r="E1114" s="148" t="s">
        <v>1009</v>
      </c>
      <c r="F1114" s="148" t="s">
        <v>1118</v>
      </c>
      <c r="G1114" s="148" t="s">
        <v>129</v>
      </c>
      <c r="H1114" s="148">
        <v>68644</v>
      </c>
      <c r="I1114" s="148">
        <v>0</v>
      </c>
      <c r="J1114" s="148">
        <v>0</v>
      </c>
      <c r="K1114" s="148" t="str">
        <f t="shared" si="17"/>
        <v>ENTITYANNL_TRNVR_LE_BDR</v>
      </c>
    </row>
    <row r="1115" spans="1:11" hidden="1">
      <c r="A1115" s="148" t="s">
        <v>3500</v>
      </c>
      <c r="B1115" s="148" t="s">
        <v>3501</v>
      </c>
      <c r="C1115" s="148" t="s">
        <v>1120</v>
      </c>
      <c r="D1115" s="148" t="s">
        <v>150</v>
      </c>
      <c r="E1115" s="148" t="s">
        <v>1009</v>
      </c>
      <c r="F1115" s="148" t="s">
        <v>1118</v>
      </c>
      <c r="G1115" s="148" t="s">
        <v>1011</v>
      </c>
      <c r="H1115" s="148">
        <v>46</v>
      </c>
      <c r="I1115" s="148">
        <v>1</v>
      </c>
      <c r="J1115" s="148">
        <v>2.1739000000000002</v>
      </c>
      <c r="K1115" s="148" t="str">
        <f t="shared" si="17"/>
        <v>ENTITYANNL_TRNVR_LE_BDR</v>
      </c>
    </row>
    <row r="1116" spans="1:11" hidden="1">
      <c r="A1116" s="148" t="s">
        <v>3502</v>
      </c>
      <c r="B1116" s="148" t="s">
        <v>3503</v>
      </c>
      <c r="C1116" s="148" t="s">
        <v>1120</v>
      </c>
      <c r="D1116" s="148" t="s">
        <v>152</v>
      </c>
      <c r="E1116" s="148" t="s">
        <v>1009</v>
      </c>
      <c r="F1116" s="148" t="s">
        <v>1118</v>
      </c>
      <c r="G1116" s="148" t="s">
        <v>129</v>
      </c>
      <c r="H1116" s="148">
        <v>64912</v>
      </c>
      <c r="I1116" s="148">
        <v>0</v>
      </c>
      <c r="J1116" s="148">
        <v>0</v>
      </c>
      <c r="K1116" s="148" t="str">
        <f t="shared" si="17"/>
        <v>ENTITYANNL_TRNVR_PRVS_BDR</v>
      </c>
    </row>
    <row r="1117" spans="1:11" hidden="1">
      <c r="A1117" s="148" t="s">
        <v>3504</v>
      </c>
      <c r="B1117" s="148" t="s">
        <v>3505</v>
      </c>
      <c r="C1117" s="148" t="s">
        <v>1120</v>
      </c>
      <c r="D1117" s="148" t="s">
        <v>152</v>
      </c>
      <c r="E1117" s="148" t="s">
        <v>1009</v>
      </c>
      <c r="F1117" s="148" t="s">
        <v>1118</v>
      </c>
      <c r="G1117" s="148" t="s">
        <v>129</v>
      </c>
      <c r="H1117" s="148">
        <v>46</v>
      </c>
      <c r="I1117" s="148">
        <v>0</v>
      </c>
      <c r="J1117" s="148">
        <v>0</v>
      </c>
      <c r="K1117" s="148" t="str">
        <f t="shared" si="17"/>
        <v>ENTITYANNL_TRNVR_PRVS_BDR</v>
      </c>
    </row>
    <row r="1118" spans="1:11" hidden="1">
      <c r="A1118" s="148" t="s">
        <v>3506</v>
      </c>
      <c r="B1118" s="148" t="s">
        <v>3507</v>
      </c>
      <c r="C1118" s="148" t="s">
        <v>1120</v>
      </c>
      <c r="D1118" s="148" t="s">
        <v>438</v>
      </c>
      <c r="E1118" s="148" t="s">
        <v>1009</v>
      </c>
      <c r="F1118" s="148" t="s">
        <v>1118</v>
      </c>
      <c r="G1118" s="148" t="s">
        <v>129</v>
      </c>
      <c r="H1118" s="148">
        <v>260702</v>
      </c>
      <c r="I1118" s="148">
        <v>0</v>
      </c>
      <c r="J1118" s="148">
        <v>0</v>
      </c>
      <c r="K1118" s="148" t="str">
        <f t="shared" si="17"/>
        <v>ENTITYPD_CRR_RD_T1</v>
      </c>
    </row>
    <row r="1119" spans="1:11" hidden="1">
      <c r="A1119" s="148" t="s">
        <v>3508</v>
      </c>
      <c r="B1119" s="148" t="s">
        <v>3509</v>
      </c>
      <c r="C1119" s="148" t="s">
        <v>1120</v>
      </c>
      <c r="D1119" s="148" t="s">
        <v>297</v>
      </c>
      <c r="E1119" s="148" t="s">
        <v>1009</v>
      </c>
      <c r="F1119" s="148" t="s">
        <v>1118</v>
      </c>
      <c r="G1119" s="148" t="s">
        <v>129</v>
      </c>
      <c r="H1119" s="148">
        <v>64053</v>
      </c>
      <c r="I1119" s="148">
        <v>0</v>
      </c>
      <c r="J1119" s="148">
        <v>0</v>
      </c>
      <c r="K1119" s="148" t="str">
        <f t="shared" si="17"/>
        <v>ENTITYEC_GRP_ID</v>
      </c>
    </row>
    <row r="1120" spans="1:11" hidden="1">
      <c r="A1120" s="148" t="s">
        <v>3510</v>
      </c>
      <c r="B1120" s="148" t="s">
        <v>3511</v>
      </c>
      <c r="C1120" s="148" t="s">
        <v>1120</v>
      </c>
      <c r="D1120" s="148" t="s">
        <v>297</v>
      </c>
      <c r="E1120" s="148" t="s">
        <v>1009</v>
      </c>
      <c r="F1120" s="148" t="s">
        <v>1118</v>
      </c>
      <c r="G1120" s="148" t="s">
        <v>1011</v>
      </c>
      <c r="H1120" s="148">
        <v>46</v>
      </c>
      <c r="I1120" s="148">
        <v>1</v>
      </c>
      <c r="J1120" s="148">
        <v>2.1739000000000002</v>
      </c>
      <c r="K1120" s="148" t="str">
        <f t="shared" si="17"/>
        <v>ENTITYEC_GRP_ID</v>
      </c>
    </row>
    <row r="1121" spans="1:11" hidden="1">
      <c r="A1121" s="148" t="s">
        <v>3512</v>
      </c>
      <c r="B1121" s="148" t="s">
        <v>3513</v>
      </c>
      <c r="C1121" s="148" t="s">
        <v>1037</v>
      </c>
      <c r="D1121" s="148" t="s">
        <v>297</v>
      </c>
      <c r="E1121" s="148" t="s">
        <v>1009</v>
      </c>
      <c r="F1121" s="148" t="s">
        <v>1118</v>
      </c>
      <c r="G1121" s="148" t="s">
        <v>129</v>
      </c>
      <c r="H1121" s="148">
        <v>190603</v>
      </c>
      <c r="I1121" s="148">
        <v>0</v>
      </c>
      <c r="J1121" s="148">
        <v>0</v>
      </c>
      <c r="K1121" s="148" t="str">
        <f t="shared" si="17"/>
        <v>ENTITYEC_GRP_ID</v>
      </c>
    </row>
    <row r="1122" spans="1:11" hidden="1">
      <c r="A1122" s="148" t="s">
        <v>3514</v>
      </c>
      <c r="B1122" s="148" t="s">
        <v>3515</v>
      </c>
      <c r="C1122" s="148" t="s">
        <v>1120</v>
      </c>
      <c r="D1122" s="148" t="s">
        <v>298</v>
      </c>
      <c r="E1122" s="148" t="s">
        <v>1009</v>
      </c>
      <c r="F1122" s="148" t="s">
        <v>1118</v>
      </c>
      <c r="G1122" s="148" t="s">
        <v>129</v>
      </c>
      <c r="H1122" s="148">
        <v>64053</v>
      </c>
      <c r="I1122" s="148">
        <v>0</v>
      </c>
      <c r="J1122" s="148">
        <v>0</v>
      </c>
      <c r="K1122" s="148" t="str">
        <f t="shared" si="17"/>
        <v>ENTITYEC_GRP_NM</v>
      </c>
    </row>
    <row r="1123" spans="1:11" hidden="1">
      <c r="A1123" s="148" t="s">
        <v>3516</v>
      </c>
      <c r="B1123" s="148" t="s">
        <v>3517</v>
      </c>
      <c r="C1123" s="148" t="s">
        <v>1120</v>
      </c>
      <c r="D1123" s="148" t="s">
        <v>298</v>
      </c>
      <c r="E1123" s="148" t="s">
        <v>1009</v>
      </c>
      <c r="F1123" s="148" t="s">
        <v>1118</v>
      </c>
      <c r="G1123" s="148" t="s">
        <v>1011</v>
      </c>
      <c r="H1123" s="148">
        <v>46</v>
      </c>
      <c r="I1123" s="148">
        <v>1</v>
      </c>
      <c r="J1123" s="148">
        <v>2.1739000000000002</v>
      </c>
      <c r="K1123" s="148" t="str">
        <f t="shared" si="17"/>
        <v>ENTITYEC_GRP_NM</v>
      </c>
    </row>
    <row r="1124" spans="1:11" hidden="1">
      <c r="A1124" s="148" t="s">
        <v>3518</v>
      </c>
      <c r="B1124" s="148" t="s">
        <v>3519</v>
      </c>
      <c r="C1124" s="148" t="s">
        <v>1120</v>
      </c>
      <c r="D1124" s="148" t="s">
        <v>1596</v>
      </c>
      <c r="E1124" s="148" t="s">
        <v>1009</v>
      </c>
      <c r="F1124" s="148" t="s">
        <v>1118</v>
      </c>
      <c r="G1124" s="148" t="s">
        <v>129</v>
      </c>
      <c r="H1124" s="148">
        <v>20</v>
      </c>
      <c r="I1124" s="148">
        <v>0</v>
      </c>
      <c r="J1124" s="148">
        <v>0</v>
      </c>
      <c r="K1124" s="148" t="str">
        <f t="shared" si="17"/>
        <v>ENTITYPST_CD</v>
      </c>
    </row>
    <row r="1125" spans="1:11" hidden="1">
      <c r="A1125" s="148" t="s">
        <v>3520</v>
      </c>
      <c r="B1125" s="148" t="s">
        <v>3521</v>
      </c>
      <c r="C1125" s="148" t="s">
        <v>1120</v>
      </c>
      <c r="D1125" s="148" t="s">
        <v>1596</v>
      </c>
      <c r="E1125" s="148" t="s">
        <v>1009</v>
      </c>
      <c r="F1125" s="148" t="s">
        <v>1118</v>
      </c>
      <c r="G1125" s="148" t="s">
        <v>129</v>
      </c>
      <c r="H1125" s="148">
        <v>9912</v>
      </c>
      <c r="I1125" s="148">
        <v>0</v>
      </c>
      <c r="J1125" s="148">
        <v>0</v>
      </c>
      <c r="K1125" s="148" t="str">
        <f t="shared" si="17"/>
        <v>ENTITYPST_CD</v>
      </c>
    </row>
    <row r="1126" spans="1:11" hidden="1">
      <c r="A1126" s="148" t="s">
        <v>3522</v>
      </c>
      <c r="B1126" s="148" t="s">
        <v>3523</v>
      </c>
      <c r="C1126" s="148" t="s">
        <v>1120</v>
      </c>
      <c r="D1126" s="148" t="s">
        <v>1596</v>
      </c>
      <c r="E1126" s="148" t="s">
        <v>1009</v>
      </c>
      <c r="F1126" s="148" t="s">
        <v>1118</v>
      </c>
      <c r="G1126" s="148" t="s">
        <v>129</v>
      </c>
      <c r="H1126" s="148">
        <v>10202</v>
      </c>
      <c r="I1126" s="148">
        <v>0</v>
      </c>
      <c r="J1126" s="148">
        <v>0</v>
      </c>
      <c r="K1126" s="148" t="str">
        <f t="shared" si="17"/>
        <v>ENTITYPST_CD</v>
      </c>
    </row>
    <row r="1127" spans="1:11" hidden="1">
      <c r="A1127" s="148" t="s">
        <v>3524</v>
      </c>
      <c r="B1127" s="148" t="s">
        <v>3525</v>
      </c>
      <c r="C1127" s="148" t="s">
        <v>1120</v>
      </c>
      <c r="D1127" s="148" t="s">
        <v>1596</v>
      </c>
      <c r="E1127" s="148" t="s">
        <v>1009</v>
      </c>
      <c r="F1127" s="148" t="s">
        <v>1118</v>
      </c>
      <c r="G1127" s="148" t="s">
        <v>129</v>
      </c>
      <c r="H1127" s="148">
        <v>21</v>
      </c>
      <c r="I1127" s="148">
        <v>0</v>
      </c>
      <c r="J1127" s="148">
        <v>0</v>
      </c>
      <c r="K1127" s="148" t="str">
        <f t="shared" si="17"/>
        <v>ENTITYPST_CD</v>
      </c>
    </row>
    <row r="1128" spans="1:11" hidden="1">
      <c r="A1128" s="148" t="s">
        <v>3526</v>
      </c>
      <c r="B1128" s="148" t="s">
        <v>3527</v>
      </c>
      <c r="C1128" s="148" t="s">
        <v>1120</v>
      </c>
      <c r="D1128" s="148" t="s">
        <v>1596</v>
      </c>
      <c r="E1128" s="148" t="s">
        <v>1009</v>
      </c>
      <c r="F1128" s="148" t="s">
        <v>1118</v>
      </c>
      <c r="G1128" s="148" t="s">
        <v>129</v>
      </c>
      <c r="H1128" s="148">
        <v>187</v>
      </c>
      <c r="I1128" s="148">
        <v>0</v>
      </c>
      <c r="J1128" s="148">
        <v>0</v>
      </c>
      <c r="K1128" s="148" t="str">
        <f t="shared" si="17"/>
        <v>ENTITYPST_CD</v>
      </c>
    </row>
    <row r="1129" spans="1:11" hidden="1">
      <c r="A1129" s="148" t="s">
        <v>3528</v>
      </c>
      <c r="B1129" s="148" t="s">
        <v>3529</v>
      </c>
      <c r="C1129" s="148" t="s">
        <v>1120</v>
      </c>
      <c r="D1129" s="148" t="s">
        <v>1596</v>
      </c>
      <c r="E1129" s="148" t="s">
        <v>1009</v>
      </c>
      <c r="F1129" s="148" t="s">
        <v>1118</v>
      </c>
      <c r="G1129" s="148" t="s">
        <v>129</v>
      </c>
      <c r="H1129" s="148">
        <v>681</v>
      </c>
      <c r="I1129" s="148">
        <v>0</v>
      </c>
      <c r="J1129" s="148">
        <v>0</v>
      </c>
      <c r="K1129" s="148" t="str">
        <f t="shared" si="17"/>
        <v>ENTITYPST_CD</v>
      </c>
    </row>
    <row r="1130" spans="1:11" hidden="1">
      <c r="A1130" s="148" t="s">
        <v>3530</v>
      </c>
      <c r="B1130" s="148" t="s">
        <v>3531</v>
      </c>
      <c r="C1130" s="148" t="s">
        <v>1120</v>
      </c>
      <c r="D1130" s="148" t="s">
        <v>1596</v>
      </c>
      <c r="E1130" s="148" t="s">
        <v>1009</v>
      </c>
      <c r="F1130" s="148" t="s">
        <v>1118</v>
      </c>
      <c r="G1130" s="148" t="s">
        <v>129</v>
      </c>
      <c r="H1130" s="148">
        <v>15</v>
      </c>
      <c r="I1130" s="148">
        <v>0</v>
      </c>
      <c r="J1130" s="148">
        <v>0</v>
      </c>
      <c r="K1130" s="148" t="str">
        <f t="shared" si="17"/>
        <v>ENTITYPST_CD</v>
      </c>
    </row>
    <row r="1131" spans="1:11" hidden="1">
      <c r="A1131" s="148" t="s">
        <v>3532</v>
      </c>
      <c r="B1131" s="148" t="s">
        <v>3533</v>
      </c>
      <c r="C1131" s="148" t="s">
        <v>1120</v>
      </c>
      <c r="D1131" s="148" t="s">
        <v>1596</v>
      </c>
      <c r="E1131" s="148" t="s">
        <v>1009</v>
      </c>
      <c r="F1131" s="148" t="s">
        <v>1118</v>
      </c>
      <c r="G1131" s="148" t="s">
        <v>129</v>
      </c>
      <c r="H1131" s="148">
        <v>572</v>
      </c>
      <c r="I1131" s="148">
        <v>0</v>
      </c>
      <c r="J1131" s="148">
        <v>0</v>
      </c>
      <c r="K1131" s="148" t="str">
        <f t="shared" si="17"/>
        <v>ENTITYPST_CD</v>
      </c>
    </row>
    <row r="1132" spans="1:11" hidden="1">
      <c r="A1132" s="148" t="s">
        <v>3534</v>
      </c>
      <c r="B1132" s="148" t="s">
        <v>3535</v>
      </c>
      <c r="C1132" s="148" t="s">
        <v>1120</v>
      </c>
      <c r="D1132" s="148" t="s">
        <v>1596</v>
      </c>
      <c r="E1132" s="148" t="s">
        <v>1009</v>
      </c>
      <c r="F1132" s="148" t="s">
        <v>1118</v>
      </c>
      <c r="G1132" s="148" t="s">
        <v>129</v>
      </c>
      <c r="H1132" s="148">
        <v>64</v>
      </c>
      <c r="I1132" s="148">
        <v>0</v>
      </c>
      <c r="J1132" s="148">
        <v>0</v>
      </c>
      <c r="K1132" s="148" t="str">
        <f t="shared" si="17"/>
        <v>ENTITYPST_CD</v>
      </c>
    </row>
    <row r="1133" spans="1:11" hidden="1">
      <c r="A1133" s="148" t="s">
        <v>3536</v>
      </c>
      <c r="B1133" s="148" t="s">
        <v>3537</v>
      </c>
      <c r="C1133" s="148" t="s">
        <v>1120</v>
      </c>
      <c r="D1133" s="148" t="s">
        <v>1596</v>
      </c>
      <c r="E1133" s="148" t="s">
        <v>1009</v>
      </c>
      <c r="F1133" s="148" t="s">
        <v>1118</v>
      </c>
      <c r="G1133" s="148" t="s">
        <v>129</v>
      </c>
      <c r="H1133" s="148">
        <v>1106458</v>
      </c>
      <c r="I1133" s="148">
        <v>0</v>
      </c>
      <c r="J1133" s="148">
        <v>0</v>
      </c>
      <c r="K1133" s="148" t="str">
        <f t="shared" si="17"/>
        <v>ENTITYPST_CD</v>
      </c>
    </row>
    <row r="1134" spans="1:11" hidden="1">
      <c r="A1134" s="148" t="s">
        <v>3538</v>
      </c>
      <c r="B1134" s="148" t="s">
        <v>3539</v>
      </c>
      <c r="C1134" s="148" t="s">
        <v>1120</v>
      </c>
      <c r="D1134" s="148" t="s">
        <v>1596</v>
      </c>
      <c r="E1134" s="148" t="s">
        <v>1009</v>
      </c>
      <c r="F1134" s="148" t="s">
        <v>1118</v>
      </c>
      <c r="G1134" s="148" t="s">
        <v>129</v>
      </c>
      <c r="H1134" s="148">
        <v>3</v>
      </c>
      <c r="I1134" s="148">
        <v>0</v>
      </c>
      <c r="J1134" s="148">
        <v>0</v>
      </c>
      <c r="K1134" s="148" t="str">
        <f t="shared" si="17"/>
        <v>ENTITYPST_CD</v>
      </c>
    </row>
    <row r="1135" spans="1:11" hidden="1">
      <c r="A1135" s="148" t="s">
        <v>3540</v>
      </c>
      <c r="B1135" s="148" t="s">
        <v>3541</v>
      </c>
      <c r="C1135" s="148" t="s">
        <v>1120</v>
      </c>
      <c r="D1135" s="148" t="s">
        <v>1596</v>
      </c>
      <c r="E1135" s="148" t="s">
        <v>1009</v>
      </c>
      <c r="F1135" s="148" t="s">
        <v>1118</v>
      </c>
      <c r="G1135" s="148" t="s">
        <v>129</v>
      </c>
      <c r="H1135" s="148">
        <v>6082</v>
      </c>
      <c r="I1135" s="148">
        <v>0</v>
      </c>
      <c r="J1135" s="148">
        <v>0</v>
      </c>
      <c r="K1135" s="148" t="str">
        <f t="shared" si="17"/>
        <v>ENTITYPST_CD</v>
      </c>
    </row>
    <row r="1136" spans="1:11" hidden="1">
      <c r="A1136" s="148" t="s">
        <v>3542</v>
      </c>
      <c r="B1136" s="148" t="s">
        <v>3543</v>
      </c>
      <c r="C1136" s="148" t="s">
        <v>1120</v>
      </c>
      <c r="D1136" s="148" t="s">
        <v>1596</v>
      </c>
      <c r="E1136" s="148" t="s">
        <v>1009</v>
      </c>
      <c r="F1136" s="148" t="s">
        <v>1118</v>
      </c>
      <c r="G1136" s="148" t="s">
        <v>129</v>
      </c>
      <c r="H1136" s="148">
        <v>1140685</v>
      </c>
      <c r="I1136" s="148">
        <v>0</v>
      </c>
      <c r="J1136" s="148">
        <v>0</v>
      </c>
      <c r="K1136" s="148" t="str">
        <f t="shared" si="17"/>
        <v>ENTITYPST_CD</v>
      </c>
    </row>
    <row r="1137" spans="1:11" hidden="1">
      <c r="A1137" s="148" t="s">
        <v>3544</v>
      </c>
      <c r="B1137" s="148" t="s">
        <v>3545</v>
      </c>
      <c r="C1137" s="148" t="s">
        <v>1120</v>
      </c>
      <c r="D1137" s="148" t="s">
        <v>1599</v>
      </c>
      <c r="E1137" s="148" t="s">
        <v>1009</v>
      </c>
      <c r="F1137" s="148" t="s">
        <v>1118</v>
      </c>
      <c r="G1137" s="148" t="s">
        <v>129</v>
      </c>
      <c r="H1137" s="148">
        <v>2</v>
      </c>
      <c r="I1137" s="148">
        <v>0</v>
      </c>
      <c r="J1137" s="148">
        <v>0</v>
      </c>
      <c r="K1137" s="148" t="str">
        <f t="shared" si="17"/>
        <v>ENTITYESG_SBSCTR</v>
      </c>
    </row>
    <row r="1138" spans="1:11" hidden="1">
      <c r="A1138" s="148" t="s">
        <v>3546</v>
      </c>
      <c r="B1138" s="148" t="s">
        <v>3547</v>
      </c>
      <c r="C1138" s="148" t="s">
        <v>1019</v>
      </c>
      <c r="D1138" s="148" t="s">
        <v>1599</v>
      </c>
      <c r="E1138" s="148" t="s">
        <v>1009</v>
      </c>
      <c r="F1138" s="148" t="s">
        <v>1118</v>
      </c>
      <c r="G1138" s="148" t="s">
        <v>129</v>
      </c>
      <c r="H1138" s="148">
        <v>7837</v>
      </c>
      <c r="I1138" s="148">
        <v>0</v>
      </c>
      <c r="J1138" s="148">
        <v>0</v>
      </c>
      <c r="K1138" s="148" t="str">
        <f t="shared" si="17"/>
        <v>ENTITYESG_SBSCTR</v>
      </c>
    </row>
    <row r="1139" spans="1:11" hidden="1">
      <c r="A1139" s="148" t="s">
        <v>3548</v>
      </c>
      <c r="B1139" s="148" t="s">
        <v>3549</v>
      </c>
      <c r="C1139" s="148" t="s">
        <v>1019</v>
      </c>
      <c r="D1139" s="148" t="s">
        <v>1599</v>
      </c>
      <c r="E1139" s="148" t="s">
        <v>1009</v>
      </c>
      <c r="F1139" s="148" t="s">
        <v>1118</v>
      </c>
      <c r="G1139" s="148" t="s">
        <v>129</v>
      </c>
      <c r="H1139" s="148">
        <v>17818</v>
      </c>
      <c r="I1139" s="148">
        <v>0</v>
      </c>
      <c r="J1139" s="148">
        <v>0</v>
      </c>
      <c r="K1139" s="148" t="str">
        <f t="shared" si="17"/>
        <v>ENTITYESG_SBSCTR</v>
      </c>
    </row>
    <row r="1140" spans="1:11" hidden="1">
      <c r="A1140" s="148" t="s">
        <v>3550</v>
      </c>
      <c r="B1140" s="148" t="s">
        <v>3551</v>
      </c>
      <c r="C1140" s="148" t="s">
        <v>1120</v>
      </c>
      <c r="D1140" s="148" t="s">
        <v>1602</v>
      </c>
      <c r="E1140" s="148" t="s">
        <v>1009</v>
      </c>
      <c r="F1140" s="148" t="s">
        <v>1118</v>
      </c>
      <c r="G1140" s="148" t="s">
        <v>129</v>
      </c>
      <c r="H1140" s="148">
        <v>46</v>
      </c>
      <c r="I1140" s="148">
        <v>0</v>
      </c>
      <c r="J1140" s="148">
        <v>0</v>
      </c>
      <c r="K1140" s="148" t="str">
        <f t="shared" si="17"/>
        <v>ENTITYNACE_ESG</v>
      </c>
    </row>
    <row r="1141" spans="1:11" hidden="1">
      <c r="A1141" s="148" t="s">
        <v>3552</v>
      </c>
      <c r="B1141" s="148" t="s">
        <v>3553</v>
      </c>
      <c r="C1141" s="148" t="s">
        <v>1120</v>
      </c>
      <c r="D1141" s="148" t="s">
        <v>1605</v>
      </c>
      <c r="E1141" s="148" t="s">
        <v>1009</v>
      </c>
      <c r="F1141" s="148" t="s">
        <v>1118</v>
      </c>
      <c r="G1141" s="148" t="s">
        <v>129</v>
      </c>
      <c r="H1141" s="148">
        <v>68644</v>
      </c>
      <c r="I1141" s="148">
        <v>0</v>
      </c>
      <c r="J1141" s="148">
        <v>0</v>
      </c>
      <c r="K1141" s="148" t="str">
        <f t="shared" si="17"/>
        <v>ENTITYTTL_LBLTY</v>
      </c>
    </row>
    <row r="1142" spans="1:11" hidden="1">
      <c r="A1142" s="148" t="s">
        <v>3554</v>
      </c>
      <c r="B1142" s="148" t="s">
        <v>3555</v>
      </c>
      <c r="C1142" s="148" t="s">
        <v>1120</v>
      </c>
      <c r="D1142" s="148" t="s">
        <v>1605</v>
      </c>
      <c r="E1142" s="148" t="s">
        <v>1009</v>
      </c>
      <c r="F1142" s="148" t="s">
        <v>1118</v>
      </c>
      <c r="G1142" s="148" t="s">
        <v>129</v>
      </c>
      <c r="H1142" s="148">
        <v>46</v>
      </c>
      <c r="I1142" s="148">
        <v>0</v>
      </c>
      <c r="J1142" s="148">
        <v>0</v>
      </c>
      <c r="K1142" s="148" t="str">
        <f t="shared" si="17"/>
        <v>ENTITYTTL_LBLTY</v>
      </c>
    </row>
    <row r="1143" spans="1:11" hidden="1">
      <c r="A1143" s="148" t="s">
        <v>3556</v>
      </c>
      <c r="B1143" s="148" t="s">
        <v>3557</v>
      </c>
      <c r="C1143" s="148" t="s">
        <v>1120</v>
      </c>
      <c r="D1143" s="148" t="s">
        <v>1608</v>
      </c>
      <c r="E1143" s="148" t="s">
        <v>1009</v>
      </c>
      <c r="F1143" s="148" t="s">
        <v>1118</v>
      </c>
      <c r="G1143" s="148" t="s">
        <v>129</v>
      </c>
      <c r="H1143" s="148">
        <v>46</v>
      </c>
      <c r="I1143" s="148">
        <v>0</v>
      </c>
      <c r="J1143" s="148">
        <v>0</v>
      </c>
      <c r="K1143" s="148" t="str">
        <f t="shared" si="17"/>
        <v>ENTITYTXNMY_ELGBL_CAPEX_CCM</v>
      </c>
    </row>
    <row r="1144" spans="1:11" hidden="1">
      <c r="A1144" s="148" t="s">
        <v>3558</v>
      </c>
      <c r="B1144" s="148" t="s">
        <v>3559</v>
      </c>
      <c r="C1144" s="148" t="s">
        <v>1120</v>
      </c>
      <c r="D1144" s="148" t="s">
        <v>1611</v>
      </c>
      <c r="E1144" s="148" t="s">
        <v>1009</v>
      </c>
      <c r="F1144" s="148" t="s">
        <v>1118</v>
      </c>
      <c r="G1144" s="148" t="s">
        <v>129</v>
      </c>
      <c r="H1144" s="148">
        <v>46</v>
      </c>
      <c r="I1144" s="148">
        <v>0</v>
      </c>
      <c r="J1144" s="148">
        <v>0</v>
      </c>
      <c r="K1144" s="148" t="str">
        <f t="shared" si="17"/>
        <v>ENTITYTXNMY_ELGBL_TRNVR_CCM</v>
      </c>
    </row>
    <row r="1145" spans="1:11" hidden="1">
      <c r="A1145" s="148" t="s">
        <v>3560</v>
      </c>
      <c r="B1145" s="148" t="s">
        <v>3561</v>
      </c>
      <c r="C1145" s="148" t="s">
        <v>1120</v>
      </c>
      <c r="D1145" s="148" t="s">
        <v>1614</v>
      </c>
      <c r="E1145" s="148" t="s">
        <v>1009</v>
      </c>
      <c r="F1145" s="148" t="s">
        <v>1118</v>
      </c>
      <c r="G1145" s="148" t="s">
        <v>129</v>
      </c>
      <c r="H1145" s="148">
        <v>46</v>
      </c>
      <c r="I1145" s="148">
        <v>0</v>
      </c>
      <c r="J1145" s="148">
        <v>0</v>
      </c>
      <c r="K1145" s="148" t="str">
        <f t="shared" si="17"/>
        <v>ENTITYTXNMY_ELGBL_CAPEX_CCA</v>
      </c>
    </row>
    <row r="1146" spans="1:11" hidden="1">
      <c r="A1146" s="148" t="s">
        <v>3562</v>
      </c>
      <c r="B1146" s="148" t="s">
        <v>3563</v>
      </c>
      <c r="C1146" s="148" t="s">
        <v>1120</v>
      </c>
      <c r="D1146" s="148" t="s">
        <v>1617</v>
      </c>
      <c r="E1146" s="148" t="s">
        <v>1009</v>
      </c>
      <c r="F1146" s="148" t="s">
        <v>1118</v>
      </c>
      <c r="G1146" s="148" t="s">
        <v>129</v>
      </c>
      <c r="H1146" s="148">
        <v>46</v>
      </c>
      <c r="I1146" s="148">
        <v>0</v>
      </c>
      <c r="J1146" s="148">
        <v>0</v>
      </c>
      <c r="K1146" s="148" t="str">
        <f t="shared" si="17"/>
        <v>ENTITYTXNMY_ELGBL_TRNVR_CCA</v>
      </c>
    </row>
    <row r="1147" spans="1:11" hidden="1">
      <c r="A1147" s="148" t="s">
        <v>3564</v>
      </c>
      <c r="B1147" s="148" t="s">
        <v>3565</v>
      </c>
      <c r="C1147" s="148" t="s">
        <v>1120</v>
      </c>
      <c r="D1147" s="148" t="s">
        <v>1620</v>
      </c>
      <c r="E1147" s="148" t="s">
        <v>1009</v>
      </c>
      <c r="F1147" s="148" t="s">
        <v>1118</v>
      </c>
      <c r="G1147" s="148" t="s">
        <v>129</v>
      </c>
      <c r="H1147" s="148">
        <v>46</v>
      </c>
      <c r="I1147" s="148">
        <v>0</v>
      </c>
      <c r="J1147" s="148">
        <v>0</v>
      </c>
      <c r="K1147" s="148" t="str">
        <f t="shared" si="17"/>
        <v>ENTITYENBLNG_CAPEX_CCM</v>
      </c>
    </row>
    <row r="1148" spans="1:11" hidden="1">
      <c r="A1148" s="148" t="s">
        <v>3566</v>
      </c>
      <c r="B1148" s="148" t="s">
        <v>3567</v>
      </c>
      <c r="C1148" s="148" t="s">
        <v>1120</v>
      </c>
      <c r="D1148" s="148" t="s">
        <v>1623</v>
      </c>
      <c r="E1148" s="148" t="s">
        <v>1009</v>
      </c>
      <c r="F1148" s="148" t="s">
        <v>1118</v>
      </c>
      <c r="G1148" s="148" t="s">
        <v>129</v>
      </c>
      <c r="H1148" s="148">
        <v>46</v>
      </c>
      <c r="I1148" s="148">
        <v>0</v>
      </c>
      <c r="J1148" s="148">
        <v>0</v>
      </c>
      <c r="K1148" s="148" t="str">
        <f t="shared" si="17"/>
        <v>ENTITYENBLNG_CAPEX_CCA</v>
      </c>
    </row>
    <row r="1149" spans="1:11" hidden="1">
      <c r="A1149" s="148" t="s">
        <v>3568</v>
      </c>
      <c r="B1149" s="148" t="s">
        <v>3569</v>
      </c>
      <c r="C1149" s="148" t="s">
        <v>1120</v>
      </c>
      <c r="D1149" s="148" t="s">
        <v>1626</v>
      </c>
      <c r="E1149" s="148" t="s">
        <v>1009</v>
      </c>
      <c r="F1149" s="148" t="s">
        <v>1118</v>
      </c>
      <c r="G1149" s="148" t="s">
        <v>129</v>
      </c>
      <c r="H1149" s="148">
        <v>46</v>
      </c>
      <c r="I1149" s="148">
        <v>0</v>
      </c>
      <c r="J1149" s="148">
        <v>0</v>
      </c>
      <c r="K1149" s="148" t="str">
        <f t="shared" si="17"/>
        <v>ENTITYTRNSTNL_CAPEX</v>
      </c>
    </row>
    <row r="1150" spans="1:11" hidden="1">
      <c r="A1150" s="148" t="s">
        <v>3570</v>
      </c>
      <c r="B1150" s="148" t="s">
        <v>3571</v>
      </c>
      <c r="C1150" s="148" t="s">
        <v>1120</v>
      </c>
      <c r="D1150" s="148" t="s">
        <v>1629</v>
      </c>
      <c r="E1150" s="148" t="s">
        <v>1009</v>
      </c>
      <c r="F1150" s="148" t="s">
        <v>1118</v>
      </c>
      <c r="G1150" s="148" t="s">
        <v>129</v>
      </c>
      <c r="H1150" s="148">
        <v>46</v>
      </c>
      <c r="I1150" s="148">
        <v>0</v>
      </c>
      <c r="J1150" s="148">
        <v>0</v>
      </c>
      <c r="K1150" s="148" t="str">
        <f t="shared" si="17"/>
        <v>ENTITYPURE_CAPEX_CCM</v>
      </c>
    </row>
    <row r="1151" spans="1:11" hidden="1">
      <c r="A1151" s="148" t="s">
        <v>3572</v>
      </c>
      <c r="B1151" s="148" t="s">
        <v>3573</v>
      </c>
      <c r="C1151" s="148" t="s">
        <v>1120</v>
      </c>
      <c r="D1151" s="148" t="s">
        <v>1632</v>
      </c>
      <c r="E1151" s="148" t="s">
        <v>1009</v>
      </c>
      <c r="F1151" s="148" t="s">
        <v>1118</v>
      </c>
      <c r="G1151" s="148" t="s">
        <v>129</v>
      </c>
      <c r="H1151" s="148">
        <v>46</v>
      </c>
      <c r="I1151" s="148">
        <v>0</v>
      </c>
      <c r="J1151" s="148">
        <v>0</v>
      </c>
      <c r="K1151" s="148" t="str">
        <f t="shared" si="17"/>
        <v>ENTITYPURE_CAPEX_CCA</v>
      </c>
    </row>
    <row r="1152" spans="1:11" hidden="1">
      <c r="A1152" s="148" t="s">
        <v>3574</v>
      </c>
      <c r="B1152" s="148" t="s">
        <v>3575</v>
      </c>
      <c r="C1152" s="148" t="s">
        <v>1120</v>
      </c>
      <c r="D1152" s="148" t="s">
        <v>1635</v>
      </c>
      <c r="E1152" s="148" t="s">
        <v>1009</v>
      </c>
      <c r="F1152" s="148" t="s">
        <v>1118</v>
      </c>
      <c r="G1152" s="148" t="s">
        <v>129</v>
      </c>
      <c r="H1152" s="148">
        <v>46</v>
      </c>
      <c r="I1152" s="148">
        <v>0</v>
      </c>
      <c r="J1152" s="148">
        <v>0</v>
      </c>
      <c r="K1152" s="148" t="str">
        <f t="shared" si="17"/>
        <v>ENTITYENBLNG_TRNVR_CCM</v>
      </c>
    </row>
    <row r="1153" spans="1:11" hidden="1">
      <c r="A1153" s="148" t="s">
        <v>3576</v>
      </c>
      <c r="B1153" s="148" t="s">
        <v>3577</v>
      </c>
      <c r="C1153" s="148" t="s">
        <v>1120</v>
      </c>
      <c r="D1153" s="148" t="s">
        <v>1638</v>
      </c>
      <c r="E1153" s="148" t="s">
        <v>1009</v>
      </c>
      <c r="F1153" s="148" t="s">
        <v>1118</v>
      </c>
      <c r="G1153" s="148" t="s">
        <v>129</v>
      </c>
      <c r="H1153" s="148">
        <v>46</v>
      </c>
      <c r="I1153" s="148">
        <v>0</v>
      </c>
      <c r="J1153" s="148">
        <v>0</v>
      </c>
      <c r="K1153" s="148" t="str">
        <f t="shared" si="17"/>
        <v>ENTITYENBLNG_TRNVR_CCA</v>
      </c>
    </row>
    <row r="1154" spans="1:11" hidden="1">
      <c r="A1154" s="148" t="s">
        <v>3578</v>
      </c>
      <c r="B1154" s="148" t="s">
        <v>3579</v>
      </c>
      <c r="C1154" s="148" t="s">
        <v>1120</v>
      </c>
      <c r="D1154" s="148" t="s">
        <v>1641</v>
      </c>
      <c r="E1154" s="148" t="s">
        <v>1009</v>
      </c>
      <c r="F1154" s="148" t="s">
        <v>1118</v>
      </c>
      <c r="G1154" s="148" t="s">
        <v>129</v>
      </c>
      <c r="H1154" s="148">
        <v>46</v>
      </c>
      <c r="I1154" s="148">
        <v>0</v>
      </c>
      <c r="J1154" s="148">
        <v>0</v>
      </c>
      <c r="K1154" s="148" t="str">
        <f t="shared" si="17"/>
        <v>ENTITYTRNSTNL_TRNVR</v>
      </c>
    </row>
    <row r="1155" spans="1:11" hidden="1">
      <c r="A1155" s="148" t="s">
        <v>3580</v>
      </c>
      <c r="B1155" s="148" t="s">
        <v>3581</v>
      </c>
      <c r="C1155" s="148" t="s">
        <v>1120</v>
      </c>
      <c r="D1155" s="148" t="s">
        <v>1644</v>
      </c>
      <c r="E1155" s="148" t="s">
        <v>1009</v>
      </c>
      <c r="F1155" s="148" t="s">
        <v>1118</v>
      </c>
      <c r="G1155" s="148" t="s">
        <v>129</v>
      </c>
      <c r="H1155" s="148">
        <v>46</v>
      </c>
      <c r="I1155" s="148">
        <v>0</v>
      </c>
      <c r="J1155" s="148">
        <v>0</v>
      </c>
      <c r="K1155" s="148" t="str">
        <f t="shared" ref="K1155:K1218" si="18">_xlfn.CONCAT(_xlfn.IFS(ISNUMBER(SEARCH("EN",A1155)),"ENTITY",ISNUMBER(SEARCH("IN",A1155)),"INSTRUMENT",ISNUMBER(SEARCH("PR",A1155)),"PROTECTION",ISNUMBER(SEARCH("IP",A1155)),"INSTR_PROTECTION",ISNUMBER(SEARCH("IE",A1155)),"INSTR_ENTITY",ISNUMBER(SEARCH("AC",A1155)),"INSTR_ACTIVITY"),D1155)</f>
        <v>ENTITYPURE_TRNVR_CCM</v>
      </c>
    </row>
    <row r="1156" spans="1:11" hidden="1">
      <c r="A1156" s="148" t="s">
        <v>3582</v>
      </c>
      <c r="B1156" s="148" t="s">
        <v>3583</v>
      </c>
      <c r="C1156" s="148" t="s">
        <v>1120</v>
      </c>
      <c r="D1156" s="148" t="s">
        <v>1647</v>
      </c>
      <c r="E1156" s="148" t="s">
        <v>1009</v>
      </c>
      <c r="F1156" s="148" t="s">
        <v>1118</v>
      </c>
      <c r="G1156" s="148" t="s">
        <v>129</v>
      </c>
      <c r="H1156" s="148">
        <v>46</v>
      </c>
      <c r="I1156" s="148">
        <v>0</v>
      </c>
      <c r="J1156" s="148">
        <v>0</v>
      </c>
      <c r="K1156" s="148" t="str">
        <f t="shared" si="18"/>
        <v>ENTITYPURE_TRNVR_CCA</v>
      </c>
    </row>
    <row r="1157" spans="1:11" hidden="1">
      <c r="A1157" s="148" t="s">
        <v>3584</v>
      </c>
      <c r="B1157" s="148" t="s">
        <v>3585</v>
      </c>
      <c r="C1157" s="148" t="s">
        <v>1120</v>
      </c>
      <c r="D1157" s="148" t="s">
        <v>1231</v>
      </c>
      <c r="E1157" s="148" t="s">
        <v>1009</v>
      </c>
      <c r="F1157" s="148" t="s">
        <v>1118</v>
      </c>
      <c r="G1157" s="148" t="s">
        <v>129</v>
      </c>
      <c r="H1157" s="148">
        <v>78132</v>
      </c>
      <c r="I1157" s="148">
        <v>0</v>
      </c>
      <c r="J1157" s="148">
        <v>0</v>
      </c>
      <c r="K1157" s="148" t="str">
        <f t="shared" si="18"/>
        <v>ENTITYFLG_CSRD_APPLCBLTY</v>
      </c>
    </row>
    <row r="1158" spans="1:11" hidden="1">
      <c r="A1158" s="148" t="s">
        <v>3586</v>
      </c>
      <c r="B1158" s="148" t="s">
        <v>3587</v>
      </c>
      <c r="C1158" s="148" t="s">
        <v>1120</v>
      </c>
      <c r="D1158" s="148" t="s">
        <v>1231</v>
      </c>
      <c r="E1158" s="148" t="s">
        <v>1009</v>
      </c>
      <c r="F1158" s="148" t="s">
        <v>1118</v>
      </c>
      <c r="G1158" s="148" t="s">
        <v>129</v>
      </c>
      <c r="H1158" s="148">
        <v>46</v>
      </c>
      <c r="I1158" s="148">
        <v>0</v>
      </c>
      <c r="J1158" s="148">
        <v>0</v>
      </c>
      <c r="K1158" s="148" t="str">
        <f t="shared" si="18"/>
        <v>ENTITYFLG_CSRD_APPLCBLTY</v>
      </c>
    </row>
    <row r="1159" spans="1:11" hidden="1">
      <c r="A1159" s="148" t="s">
        <v>3588</v>
      </c>
      <c r="B1159" s="148" t="s">
        <v>3589</v>
      </c>
      <c r="C1159" s="148" t="s">
        <v>1120</v>
      </c>
      <c r="D1159" s="148" t="s">
        <v>1234</v>
      </c>
      <c r="E1159" s="148" t="s">
        <v>1009</v>
      </c>
      <c r="F1159" s="148" t="s">
        <v>1118</v>
      </c>
      <c r="G1159" s="148" t="s">
        <v>129</v>
      </c>
      <c r="H1159" s="148">
        <v>46</v>
      </c>
      <c r="I1159" s="148">
        <v>0</v>
      </c>
      <c r="J1159" s="148">
        <v>0</v>
      </c>
      <c r="K1159" s="148" t="str">
        <f t="shared" si="18"/>
        <v>ENTITYFLG_GRP_CSRD_APPLCBLTY</v>
      </c>
    </row>
    <row r="1160" spans="1:11" hidden="1">
      <c r="A1160" s="148" t="s">
        <v>3590</v>
      </c>
      <c r="B1160" s="148" t="s">
        <v>3591</v>
      </c>
      <c r="C1160" s="148" t="s">
        <v>139</v>
      </c>
      <c r="D1160" s="148" t="s">
        <v>1234</v>
      </c>
      <c r="E1160" s="148" t="s">
        <v>10</v>
      </c>
      <c r="F1160" s="148" t="s">
        <v>1118</v>
      </c>
      <c r="G1160" s="148" t="s">
        <v>129</v>
      </c>
      <c r="H1160" s="148">
        <v>82443</v>
      </c>
      <c r="I1160" s="148">
        <v>0</v>
      </c>
      <c r="J1160" s="148">
        <v>0</v>
      </c>
      <c r="K1160" s="148" t="str">
        <f t="shared" si="18"/>
        <v>ENTITYFLG_GRP_CSRD_APPLCBLTY</v>
      </c>
    </row>
    <row r="1161" spans="1:11" hidden="1">
      <c r="A1161" s="148" t="s">
        <v>3592</v>
      </c>
      <c r="B1161" s="148" t="s">
        <v>3593</v>
      </c>
      <c r="C1161" s="148" t="s">
        <v>1120</v>
      </c>
      <c r="D1161" s="148" t="s">
        <v>380</v>
      </c>
      <c r="E1161" s="148" t="s">
        <v>1009</v>
      </c>
      <c r="F1161" s="148" t="s">
        <v>1118</v>
      </c>
      <c r="G1161" s="148" t="s">
        <v>129</v>
      </c>
      <c r="H1161" s="148">
        <v>44</v>
      </c>
      <c r="I1161" s="148">
        <v>0</v>
      </c>
      <c r="J1161" s="148">
        <v>0</v>
      </c>
      <c r="K1161" s="148" t="str">
        <f t="shared" si="18"/>
        <v>ENTITYISIN</v>
      </c>
    </row>
    <row r="1162" spans="1:11" hidden="1">
      <c r="A1162" s="148" t="s">
        <v>3594</v>
      </c>
      <c r="B1162" s="148" t="s">
        <v>3595</v>
      </c>
      <c r="C1162" s="148" t="s">
        <v>1120</v>
      </c>
      <c r="D1162" s="148" t="s">
        <v>1656</v>
      </c>
      <c r="E1162" s="148" t="s">
        <v>1009</v>
      </c>
      <c r="F1162" s="148" t="s">
        <v>1118</v>
      </c>
      <c r="G1162" s="148" t="s">
        <v>1011</v>
      </c>
      <c r="H1162" s="148">
        <v>18697</v>
      </c>
      <c r="I1162" s="148">
        <v>18697</v>
      </c>
      <c r="J1162" s="148">
        <v>100</v>
      </c>
      <c r="K1162" s="148" t="str">
        <f t="shared" si="18"/>
        <v>ENTITYGRP_ANNL_TRNVR_LE</v>
      </c>
    </row>
    <row r="1163" spans="1:11" hidden="1">
      <c r="A1163" s="148" t="s">
        <v>3596</v>
      </c>
      <c r="B1163" s="148" t="s">
        <v>3597</v>
      </c>
      <c r="C1163" s="148" t="s">
        <v>1120</v>
      </c>
      <c r="D1163" s="148" t="s">
        <v>1656</v>
      </c>
      <c r="E1163" s="148" t="s">
        <v>1009</v>
      </c>
      <c r="F1163" s="148" t="s">
        <v>1118</v>
      </c>
      <c r="G1163" s="148" t="s">
        <v>129</v>
      </c>
      <c r="H1163" s="148">
        <v>64053</v>
      </c>
      <c r="I1163" s="148">
        <v>0</v>
      </c>
      <c r="J1163" s="148">
        <v>0</v>
      </c>
      <c r="K1163" s="148" t="str">
        <f t="shared" si="18"/>
        <v>ENTITYGRP_ANNL_TRNVR_LE</v>
      </c>
    </row>
    <row r="1164" spans="1:11" hidden="1">
      <c r="A1164" s="148" t="s">
        <v>3598</v>
      </c>
      <c r="B1164" s="148" t="s">
        <v>3599</v>
      </c>
      <c r="C1164" s="148" t="s">
        <v>1120</v>
      </c>
      <c r="D1164" s="148" t="s">
        <v>1656</v>
      </c>
      <c r="E1164" s="148" t="s">
        <v>1009</v>
      </c>
      <c r="F1164" s="148" t="s">
        <v>1118</v>
      </c>
      <c r="G1164" s="148" t="s">
        <v>129</v>
      </c>
      <c r="H1164" s="148">
        <v>46</v>
      </c>
      <c r="I1164" s="148">
        <v>0</v>
      </c>
      <c r="J1164" s="148">
        <v>0</v>
      </c>
      <c r="K1164" s="148" t="str">
        <f t="shared" si="18"/>
        <v>ENTITYGRP_ANNL_TRNVR_LE</v>
      </c>
    </row>
    <row r="1165" spans="1:11" hidden="1">
      <c r="A1165" s="148" t="s">
        <v>3600</v>
      </c>
      <c r="B1165" s="148" t="s">
        <v>3601</v>
      </c>
      <c r="C1165" s="148" t="s">
        <v>139</v>
      </c>
      <c r="D1165" s="148" t="s">
        <v>1656</v>
      </c>
      <c r="E1165" s="148" t="s">
        <v>10</v>
      </c>
      <c r="F1165" s="148" t="s">
        <v>1118</v>
      </c>
      <c r="G1165" s="148" t="s">
        <v>129</v>
      </c>
      <c r="H1165" s="148">
        <v>82750</v>
      </c>
      <c r="I1165" s="148">
        <v>0</v>
      </c>
      <c r="J1165" s="148">
        <v>0</v>
      </c>
      <c r="K1165" s="148" t="str">
        <f t="shared" si="18"/>
        <v>ENTITYGRP_ANNL_TRNVR_LE</v>
      </c>
    </row>
    <row r="1166" spans="1:11" hidden="1">
      <c r="A1166" s="148" t="s">
        <v>3602</v>
      </c>
      <c r="B1166" s="148" t="s">
        <v>3603</v>
      </c>
      <c r="C1166" s="148" t="s">
        <v>1120</v>
      </c>
      <c r="D1166" s="148" t="s">
        <v>1659</v>
      </c>
      <c r="E1166" s="148" t="s">
        <v>1009</v>
      </c>
      <c r="F1166" s="148" t="s">
        <v>1118</v>
      </c>
      <c r="G1166" s="148" t="s">
        <v>129</v>
      </c>
      <c r="H1166" s="148">
        <v>18697</v>
      </c>
      <c r="I1166" s="148">
        <v>0</v>
      </c>
      <c r="J1166" s="148">
        <v>0</v>
      </c>
      <c r="K1166" s="148" t="str">
        <f t="shared" si="18"/>
        <v>ENTITYGRP_TTL_LBLTY</v>
      </c>
    </row>
    <row r="1167" spans="1:11" hidden="1">
      <c r="A1167" s="148" t="s">
        <v>3604</v>
      </c>
      <c r="B1167" s="148" t="s">
        <v>3605</v>
      </c>
      <c r="C1167" s="148" t="s">
        <v>1120</v>
      </c>
      <c r="D1167" s="148" t="s">
        <v>1659</v>
      </c>
      <c r="E1167" s="148" t="s">
        <v>1009</v>
      </c>
      <c r="F1167" s="148" t="s">
        <v>1118</v>
      </c>
      <c r="G1167" s="148" t="s">
        <v>129</v>
      </c>
      <c r="H1167" s="148">
        <v>64053</v>
      </c>
      <c r="I1167" s="148">
        <v>0</v>
      </c>
      <c r="J1167" s="148">
        <v>0</v>
      </c>
      <c r="K1167" s="148" t="str">
        <f t="shared" si="18"/>
        <v>ENTITYGRP_TTL_LBLTY</v>
      </c>
    </row>
    <row r="1168" spans="1:11" hidden="1">
      <c r="A1168" s="148" t="s">
        <v>3606</v>
      </c>
      <c r="B1168" s="148" t="s">
        <v>3607</v>
      </c>
      <c r="C1168" s="148" t="s">
        <v>1120</v>
      </c>
      <c r="D1168" s="148" t="s">
        <v>1659</v>
      </c>
      <c r="E1168" s="148" t="s">
        <v>1009</v>
      </c>
      <c r="F1168" s="148" t="s">
        <v>1118</v>
      </c>
      <c r="G1168" s="148" t="s">
        <v>129</v>
      </c>
      <c r="H1168" s="148">
        <v>46</v>
      </c>
      <c r="I1168" s="148">
        <v>0</v>
      </c>
      <c r="J1168" s="148">
        <v>0</v>
      </c>
      <c r="K1168" s="148" t="str">
        <f t="shared" si="18"/>
        <v>ENTITYGRP_TTL_LBLTY</v>
      </c>
    </row>
    <row r="1169" spans="1:11" hidden="1">
      <c r="A1169" s="148" t="s">
        <v>3608</v>
      </c>
      <c r="B1169" s="148" t="s">
        <v>3609</v>
      </c>
      <c r="C1169" s="148" t="s">
        <v>139</v>
      </c>
      <c r="D1169" s="148" t="s">
        <v>1659</v>
      </c>
      <c r="E1169" s="148" t="s">
        <v>10</v>
      </c>
      <c r="F1169" s="148" t="s">
        <v>1118</v>
      </c>
      <c r="G1169" s="148" t="s">
        <v>129</v>
      </c>
      <c r="H1169" s="148">
        <v>82750</v>
      </c>
      <c r="I1169" s="148">
        <v>0</v>
      </c>
      <c r="J1169" s="148">
        <v>0</v>
      </c>
      <c r="K1169" s="148" t="str">
        <f t="shared" si="18"/>
        <v>ENTITYGRP_TTL_LBLTY</v>
      </c>
    </row>
    <row r="1170" spans="1:11" hidden="1">
      <c r="A1170" s="148" t="s">
        <v>3610</v>
      </c>
      <c r="B1170" s="148" t="s">
        <v>3611</v>
      </c>
      <c r="C1170" s="148" t="s">
        <v>1019</v>
      </c>
      <c r="D1170" s="148" t="s">
        <v>1662</v>
      </c>
      <c r="E1170" s="148" t="s">
        <v>1009</v>
      </c>
      <c r="F1170" s="148" t="s">
        <v>1118</v>
      </c>
      <c r="G1170" s="148" t="s">
        <v>129</v>
      </c>
      <c r="H1170" s="148">
        <v>0</v>
      </c>
      <c r="I1170" s="148">
        <v>0</v>
      </c>
      <c r="J1170" s="148">
        <v>0</v>
      </c>
      <c r="K1170" s="148" t="str">
        <f t="shared" si="18"/>
        <v>ENTITYCNTRPRTY_EMSSNS_SCP1</v>
      </c>
    </row>
    <row r="1171" spans="1:11" hidden="1">
      <c r="A1171" s="148" t="s">
        <v>3612</v>
      </c>
      <c r="B1171" s="148" t="s">
        <v>3613</v>
      </c>
      <c r="C1171" s="148" t="s">
        <v>1120</v>
      </c>
      <c r="D1171" s="148" t="s">
        <v>1662</v>
      </c>
      <c r="E1171" s="148" t="s">
        <v>1009</v>
      </c>
      <c r="F1171" s="148" t="s">
        <v>1118</v>
      </c>
      <c r="G1171" s="148" t="s">
        <v>129</v>
      </c>
      <c r="H1171" s="148">
        <v>37</v>
      </c>
      <c r="I1171" s="148">
        <v>0</v>
      </c>
      <c r="J1171" s="148">
        <v>0</v>
      </c>
      <c r="K1171" s="148" t="str">
        <f t="shared" si="18"/>
        <v>ENTITYCNTRPRTY_EMSSNS_SCP1</v>
      </c>
    </row>
    <row r="1172" spans="1:11" hidden="1">
      <c r="A1172" s="148" t="s">
        <v>3614</v>
      </c>
      <c r="B1172" s="148" t="s">
        <v>3615</v>
      </c>
      <c r="C1172" s="148" t="s">
        <v>1019</v>
      </c>
      <c r="D1172" s="148" t="s">
        <v>1665</v>
      </c>
      <c r="E1172" s="148" t="s">
        <v>1009</v>
      </c>
      <c r="F1172" s="148" t="s">
        <v>1118</v>
      </c>
      <c r="G1172" s="148" t="s">
        <v>129</v>
      </c>
      <c r="H1172" s="148">
        <v>0</v>
      </c>
      <c r="I1172" s="148">
        <v>0</v>
      </c>
      <c r="J1172" s="148">
        <v>0</v>
      </c>
      <c r="K1172" s="148" t="str">
        <f t="shared" si="18"/>
        <v>ENTITYCNTRPRTY_EMSSNS_SCP2</v>
      </c>
    </row>
    <row r="1173" spans="1:11" hidden="1">
      <c r="A1173" s="148" t="s">
        <v>3616</v>
      </c>
      <c r="B1173" s="148" t="s">
        <v>3617</v>
      </c>
      <c r="C1173" s="148" t="s">
        <v>1120</v>
      </c>
      <c r="D1173" s="148" t="s">
        <v>1665</v>
      </c>
      <c r="E1173" s="148" t="s">
        <v>1009</v>
      </c>
      <c r="F1173" s="148" t="s">
        <v>1118</v>
      </c>
      <c r="G1173" s="148" t="s">
        <v>129</v>
      </c>
      <c r="H1173" s="148">
        <v>37</v>
      </c>
      <c r="I1173" s="148">
        <v>0</v>
      </c>
      <c r="J1173" s="148">
        <v>0</v>
      </c>
      <c r="K1173" s="148" t="str">
        <f t="shared" si="18"/>
        <v>ENTITYCNTRPRTY_EMSSNS_SCP2</v>
      </c>
    </row>
    <row r="1174" spans="1:11" hidden="1">
      <c r="A1174" s="148" t="s">
        <v>3618</v>
      </c>
      <c r="B1174" s="148" t="s">
        <v>3619</v>
      </c>
      <c r="C1174" s="148" t="s">
        <v>1019</v>
      </c>
      <c r="D1174" s="148" t="s">
        <v>1668</v>
      </c>
      <c r="E1174" s="148" t="s">
        <v>1009</v>
      </c>
      <c r="F1174" s="148" t="s">
        <v>1118</v>
      </c>
      <c r="G1174" s="148" t="s">
        <v>129</v>
      </c>
      <c r="H1174" s="148">
        <v>0</v>
      </c>
      <c r="I1174" s="148">
        <v>0</v>
      </c>
      <c r="J1174" s="148">
        <v>0</v>
      </c>
      <c r="K1174" s="148" t="str">
        <f t="shared" si="18"/>
        <v>ENTITYCNTRPRTY_EMSSNS_SCP3</v>
      </c>
    </row>
    <row r="1175" spans="1:11" hidden="1">
      <c r="A1175" s="148" t="s">
        <v>3620</v>
      </c>
      <c r="B1175" s="148" t="s">
        <v>3621</v>
      </c>
      <c r="C1175" s="148" t="s">
        <v>1120</v>
      </c>
      <c r="D1175" s="148" t="s">
        <v>1668</v>
      </c>
      <c r="E1175" s="148" t="s">
        <v>1009</v>
      </c>
      <c r="F1175" s="148" t="s">
        <v>1118</v>
      </c>
      <c r="G1175" s="148" t="s">
        <v>129</v>
      </c>
      <c r="H1175" s="148">
        <v>37</v>
      </c>
      <c r="I1175" s="148">
        <v>0</v>
      </c>
      <c r="J1175" s="148">
        <v>0</v>
      </c>
      <c r="K1175" s="148" t="str">
        <f t="shared" si="18"/>
        <v>ENTITYCNTRPRTY_EMSSNS_SCP3</v>
      </c>
    </row>
    <row r="1176" spans="1:11" hidden="1">
      <c r="A1176" s="148" t="s">
        <v>3622</v>
      </c>
      <c r="B1176" s="148" t="s">
        <v>3623</v>
      </c>
      <c r="C1176" s="148" t="s">
        <v>1120</v>
      </c>
      <c r="D1176" s="148" t="s">
        <v>1237</v>
      </c>
      <c r="E1176" s="148" t="s">
        <v>1009</v>
      </c>
      <c r="F1176" s="148" t="s">
        <v>1118</v>
      </c>
      <c r="G1176" s="148" t="s">
        <v>129</v>
      </c>
      <c r="H1176" s="148">
        <v>37</v>
      </c>
      <c r="I1176" s="148">
        <v>0</v>
      </c>
      <c r="J1176" s="148">
        <v>0</v>
      </c>
      <c r="K1176" s="148" t="str">
        <f t="shared" si="18"/>
        <v>ENTITYFLG_EXCLDD_EU_PRS_ALGND_BNCHMRK</v>
      </c>
    </row>
    <row r="1177" spans="1:11" hidden="1">
      <c r="A1177" s="148" t="s">
        <v>3624</v>
      </c>
      <c r="B1177" s="148" t="s">
        <v>3625</v>
      </c>
      <c r="C1177" s="148" t="s">
        <v>1120</v>
      </c>
      <c r="D1177" s="148" t="s">
        <v>1673</v>
      </c>
      <c r="E1177" s="148" t="s">
        <v>1009</v>
      </c>
      <c r="F1177" s="148" t="s">
        <v>1118</v>
      </c>
      <c r="G1177" s="148" t="s">
        <v>129</v>
      </c>
      <c r="H1177" s="148">
        <v>0</v>
      </c>
      <c r="I1177" s="148">
        <v>0</v>
      </c>
      <c r="J1177" s="148">
        <v>0</v>
      </c>
      <c r="K1177" s="148" t="str">
        <f t="shared" si="18"/>
        <v>ENTITYGRP_EMSSNS_SCP1</v>
      </c>
    </row>
    <row r="1178" spans="1:11" hidden="1">
      <c r="A1178" s="148" t="s">
        <v>3626</v>
      </c>
      <c r="B1178" s="148" t="s">
        <v>3627</v>
      </c>
      <c r="C1178" s="148" t="s">
        <v>1120</v>
      </c>
      <c r="D1178" s="148" t="s">
        <v>1673</v>
      </c>
      <c r="E1178" s="148" t="s">
        <v>1009</v>
      </c>
      <c r="F1178" s="148" t="s">
        <v>1118</v>
      </c>
      <c r="G1178" s="148" t="s">
        <v>129</v>
      </c>
      <c r="H1178" s="148">
        <v>0</v>
      </c>
      <c r="I1178" s="148">
        <v>0</v>
      </c>
      <c r="J1178" s="148">
        <v>0</v>
      </c>
      <c r="K1178" s="148" t="str">
        <f t="shared" si="18"/>
        <v>ENTITYGRP_EMSSNS_SCP1</v>
      </c>
    </row>
    <row r="1179" spans="1:11" hidden="1">
      <c r="A1179" s="148" t="s">
        <v>3628</v>
      </c>
      <c r="B1179" s="148" t="s">
        <v>3629</v>
      </c>
      <c r="C1179" s="148" t="s">
        <v>1120</v>
      </c>
      <c r="D1179" s="148" t="s">
        <v>1673</v>
      </c>
      <c r="E1179" s="148" t="s">
        <v>1009</v>
      </c>
      <c r="F1179" s="148" t="s">
        <v>1118</v>
      </c>
      <c r="G1179" s="148" t="s">
        <v>129</v>
      </c>
      <c r="H1179" s="148">
        <v>37</v>
      </c>
      <c r="I1179" s="148">
        <v>0</v>
      </c>
      <c r="J1179" s="148">
        <v>0</v>
      </c>
      <c r="K1179" s="148" t="str">
        <f t="shared" si="18"/>
        <v>ENTITYGRP_EMSSNS_SCP1</v>
      </c>
    </row>
    <row r="1180" spans="1:11" hidden="1">
      <c r="A1180" s="148" t="s">
        <v>3630</v>
      </c>
      <c r="B1180" s="148" t="s">
        <v>3631</v>
      </c>
      <c r="C1180" s="148" t="s">
        <v>139</v>
      </c>
      <c r="D1180" s="148" t="s">
        <v>1673</v>
      </c>
      <c r="E1180" s="148" t="s">
        <v>10</v>
      </c>
      <c r="F1180" s="148" t="s">
        <v>1118</v>
      </c>
      <c r="G1180" s="148" t="s">
        <v>129</v>
      </c>
      <c r="H1180" s="148">
        <v>81421</v>
      </c>
      <c r="I1180" s="148">
        <v>0</v>
      </c>
      <c r="J1180" s="148">
        <v>0</v>
      </c>
      <c r="K1180" s="148" t="str">
        <f t="shared" si="18"/>
        <v>ENTITYGRP_EMSSNS_SCP1</v>
      </c>
    </row>
    <row r="1181" spans="1:11" hidden="1">
      <c r="A1181" s="148" t="s">
        <v>3632</v>
      </c>
      <c r="B1181" s="148" t="s">
        <v>3633</v>
      </c>
      <c r="C1181" s="148" t="s">
        <v>1120</v>
      </c>
      <c r="D1181" s="148" t="s">
        <v>1676</v>
      </c>
      <c r="E1181" s="148" t="s">
        <v>1009</v>
      </c>
      <c r="F1181" s="148" t="s">
        <v>1118</v>
      </c>
      <c r="G1181" s="148" t="s">
        <v>129</v>
      </c>
      <c r="H1181" s="148">
        <v>0</v>
      </c>
      <c r="I1181" s="148">
        <v>0</v>
      </c>
      <c r="J1181" s="148">
        <v>0</v>
      </c>
      <c r="K1181" s="148" t="str">
        <f t="shared" si="18"/>
        <v>ENTITYGRP_EMSSNS_SCP2</v>
      </c>
    </row>
    <row r="1182" spans="1:11" hidden="1">
      <c r="A1182" s="148" t="s">
        <v>3634</v>
      </c>
      <c r="B1182" s="148" t="s">
        <v>3635</v>
      </c>
      <c r="C1182" s="148" t="s">
        <v>1120</v>
      </c>
      <c r="D1182" s="148" t="s">
        <v>1676</v>
      </c>
      <c r="E1182" s="148" t="s">
        <v>1009</v>
      </c>
      <c r="F1182" s="148" t="s">
        <v>1118</v>
      </c>
      <c r="G1182" s="148" t="s">
        <v>129</v>
      </c>
      <c r="H1182" s="148">
        <v>0</v>
      </c>
      <c r="I1182" s="148">
        <v>0</v>
      </c>
      <c r="J1182" s="148">
        <v>0</v>
      </c>
      <c r="K1182" s="148" t="str">
        <f t="shared" si="18"/>
        <v>ENTITYGRP_EMSSNS_SCP2</v>
      </c>
    </row>
    <row r="1183" spans="1:11" hidden="1">
      <c r="A1183" s="148" t="s">
        <v>3636</v>
      </c>
      <c r="B1183" s="148" t="s">
        <v>3637</v>
      </c>
      <c r="C1183" s="148" t="s">
        <v>1120</v>
      </c>
      <c r="D1183" s="148" t="s">
        <v>1676</v>
      </c>
      <c r="E1183" s="148" t="s">
        <v>1009</v>
      </c>
      <c r="F1183" s="148" t="s">
        <v>1118</v>
      </c>
      <c r="G1183" s="148" t="s">
        <v>129</v>
      </c>
      <c r="H1183" s="148">
        <v>37</v>
      </c>
      <c r="I1183" s="148">
        <v>0</v>
      </c>
      <c r="J1183" s="148">
        <v>0</v>
      </c>
      <c r="K1183" s="148" t="str">
        <f t="shared" si="18"/>
        <v>ENTITYGRP_EMSSNS_SCP2</v>
      </c>
    </row>
    <row r="1184" spans="1:11" hidden="1">
      <c r="A1184" s="148" t="s">
        <v>3638</v>
      </c>
      <c r="B1184" s="148" t="s">
        <v>3639</v>
      </c>
      <c r="C1184" s="148" t="s">
        <v>139</v>
      </c>
      <c r="D1184" s="148" t="s">
        <v>1676</v>
      </c>
      <c r="E1184" s="148" t="s">
        <v>10</v>
      </c>
      <c r="F1184" s="148" t="s">
        <v>1118</v>
      </c>
      <c r="G1184" s="148" t="s">
        <v>129</v>
      </c>
      <c r="H1184" s="148">
        <v>81421</v>
      </c>
      <c r="I1184" s="148">
        <v>0</v>
      </c>
      <c r="J1184" s="148">
        <v>0</v>
      </c>
      <c r="K1184" s="148" t="str">
        <f t="shared" si="18"/>
        <v>ENTITYGRP_EMSSNS_SCP2</v>
      </c>
    </row>
    <row r="1185" spans="1:11" hidden="1">
      <c r="A1185" s="148" t="s">
        <v>3640</v>
      </c>
      <c r="B1185" s="148" t="s">
        <v>3641</v>
      </c>
      <c r="C1185" s="148" t="s">
        <v>1120</v>
      </c>
      <c r="D1185" s="148" t="s">
        <v>1679</v>
      </c>
      <c r="E1185" s="148" t="s">
        <v>1009</v>
      </c>
      <c r="F1185" s="148" t="s">
        <v>1118</v>
      </c>
      <c r="G1185" s="148" t="s">
        <v>129</v>
      </c>
      <c r="H1185" s="148">
        <v>0</v>
      </c>
      <c r="I1185" s="148">
        <v>0</v>
      </c>
      <c r="J1185" s="148">
        <v>0</v>
      </c>
      <c r="K1185" s="148" t="str">
        <f t="shared" si="18"/>
        <v>ENTITYGRP_EMSSNS_SCP3</v>
      </c>
    </row>
    <row r="1186" spans="1:11" hidden="1">
      <c r="A1186" s="148" t="s">
        <v>3642</v>
      </c>
      <c r="B1186" s="148" t="s">
        <v>3643</v>
      </c>
      <c r="C1186" s="148" t="s">
        <v>1120</v>
      </c>
      <c r="D1186" s="148" t="s">
        <v>1679</v>
      </c>
      <c r="E1186" s="148" t="s">
        <v>1009</v>
      </c>
      <c r="F1186" s="148" t="s">
        <v>1118</v>
      </c>
      <c r="G1186" s="148" t="s">
        <v>129</v>
      </c>
      <c r="H1186" s="148">
        <v>0</v>
      </c>
      <c r="I1186" s="148">
        <v>0</v>
      </c>
      <c r="J1186" s="148">
        <v>0</v>
      </c>
      <c r="K1186" s="148" t="str">
        <f t="shared" si="18"/>
        <v>ENTITYGRP_EMSSNS_SCP3</v>
      </c>
    </row>
    <row r="1187" spans="1:11" hidden="1">
      <c r="A1187" s="148" t="s">
        <v>3644</v>
      </c>
      <c r="B1187" s="148" t="s">
        <v>3645</v>
      </c>
      <c r="C1187" s="148" t="s">
        <v>1120</v>
      </c>
      <c r="D1187" s="148" t="s">
        <v>1679</v>
      </c>
      <c r="E1187" s="148" t="s">
        <v>1009</v>
      </c>
      <c r="F1187" s="148" t="s">
        <v>1118</v>
      </c>
      <c r="G1187" s="148" t="s">
        <v>129</v>
      </c>
      <c r="H1187" s="148">
        <v>37</v>
      </c>
      <c r="I1187" s="148">
        <v>0</v>
      </c>
      <c r="J1187" s="148">
        <v>0</v>
      </c>
      <c r="K1187" s="148" t="str">
        <f t="shared" si="18"/>
        <v>ENTITYGRP_EMSSNS_SCP3</v>
      </c>
    </row>
    <row r="1188" spans="1:11" hidden="1">
      <c r="A1188" s="148" t="s">
        <v>3646</v>
      </c>
      <c r="B1188" s="148" t="s">
        <v>3647</v>
      </c>
      <c r="C1188" s="148" t="s">
        <v>139</v>
      </c>
      <c r="D1188" s="148" t="s">
        <v>1679</v>
      </c>
      <c r="E1188" s="148" t="s">
        <v>10</v>
      </c>
      <c r="F1188" s="148" t="s">
        <v>1118</v>
      </c>
      <c r="G1188" s="148" t="s">
        <v>129</v>
      </c>
      <c r="H1188" s="148">
        <v>81421</v>
      </c>
      <c r="I1188" s="148">
        <v>0</v>
      </c>
      <c r="J1188" s="148">
        <v>0</v>
      </c>
      <c r="K1188" s="148" t="str">
        <f t="shared" si="18"/>
        <v>ENTITYGRP_EMSSNS_SCP3</v>
      </c>
    </row>
    <row r="1189" spans="1:11" hidden="1">
      <c r="A1189" s="148" t="s">
        <v>3648</v>
      </c>
      <c r="B1189" s="148" t="s">
        <v>3649</v>
      </c>
      <c r="C1189" s="148" t="s">
        <v>1120</v>
      </c>
      <c r="D1189" s="148" t="s">
        <v>1240</v>
      </c>
      <c r="E1189" s="148" t="s">
        <v>1009</v>
      </c>
      <c r="F1189" s="148" t="s">
        <v>1118</v>
      </c>
      <c r="G1189" s="148" t="s">
        <v>129</v>
      </c>
      <c r="H1189" s="148">
        <v>1057383</v>
      </c>
      <c r="I1189" s="148">
        <v>0</v>
      </c>
      <c r="J1189" s="148">
        <v>0</v>
      </c>
      <c r="K1189" s="148" t="str">
        <f t="shared" si="18"/>
        <v>ENTITYFLG_ACT_PHYSCL_RSK</v>
      </c>
    </row>
    <row r="1190" spans="1:11" hidden="1">
      <c r="A1190" s="148" t="s">
        <v>3650</v>
      </c>
      <c r="B1190" s="148" t="s">
        <v>3651</v>
      </c>
      <c r="C1190" s="148" t="s">
        <v>1120</v>
      </c>
      <c r="D1190" s="148" t="s">
        <v>1243</v>
      </c>
      <c r="E1190" s="148" t="s">
        <v>1009</v>
      </c>
      <c r="F1190" s="148" t="s">
        <v>1118</v>
      </c>
      <c r="G1190" s="148" t="s">
        <v>129</v>
      </c>
      <c r="H1190" s="148">
        <v>1057383</v>
      </c>
      <c r="I1190" s="148">
        <v>0</v>
      </c>
      <c r="J1190" s="148">
        <v>0</v>
      </c>
      <c r="K1190" s="148" t="str">
        <f t="shared" si="18"/>
        <v>ENTITYFLG_CHRNC_PHYSCL_RSK</v>
      </c>
    </row>
    <row r="1191" spans="1:11" hidden="1">
      <c r="A1191" s="148" t="s">
        <v>3652</v>
      </c>
      <c r="B1191" s="148" t="s">
        <v>3653</v>
      </c>
      <c r="C1191" s="148" t="s">
        <v>1120</v>
      </c>
      <c r="D1191" s="148" t="s">
        <v>1686</v>
      </c>
      <c r="E1191" s="148" t="s">
        <v>1009</v>
      </c>
      <c r="F1191" s="148" t="s">
        <v>1118</v>
      </c>
      <c r="G1191" s="148" t="s">
        <v>129</v>
      </c>
      <c r="H1191" s="148">
        <v>46</v>
      </c>
      <c r="I1191" s="148">
        <v>0</v>
      </c>
      <c r="J1191" s="148">
        <v>0</v>
      </c>
      <c r="K1191" s="148" t="str">
        <f t="shared" si="18"/>
        <v>ENTITYGRP_ECNMC_ACTVTY</v>
      </c>
    </row>
    <row r="1192" spans="1:11" hidden="1">
      <c r="A1192" s="148" t="s">
        <v>3654</v>
      </c>
      <c r="B1192" s="148" t="s">
        <v>3655</v>
      </c>
      <c r="C1192" s="148" t="s">
        <v>139</v>
      </c>
      <c r="D1192" s="148" t="s">
        <v>1686</v>
      </c>
      <c r="E1192" s="148" t="s">
        <v>1009</v>
      </c>
      <c r="F1192" s="148" t="s">
        <v>1118</v>
      </c>
      <c r="G1192" s="148" t="s">
        <v>129</v>
      </c>
      <c r="H1192" s="148">
        <v>82695</v>
      </c>
      <c r="I1192" s="148">
        <v>0</v>
      </c>
      <c r="J1192" s="148">
        <v>0</v>
      </c>
      <c r="K1192" s="148" t="str">
        <f t="shared" si="18"/>
        <v>ENTITYGRP_ECNMC_ACTVTY</v>
      </c>
    </row>
    <row r="1193" spans="1:11" hidden="1">
      <c r="A1193" s="148" t="s">
        <v>3656</v>
      </c>
      <c r="B1193" s="148" t="s">
        <v>3657</v>
      </c>
      <c r="C1193" s="148" t="s">
        <v>1120</v>
      </c>
      <c r="D1193" s="148" t="s">
        <v>331</v>
      </c>
      <c r="E1193" s="148" t="s">
        <v>1009</v>
      </c>
      <c r="F1193" s="148" t="s">
        <v>1118</v>
      </c>
      <c r="G1193" s="148" t="s">
        <v>1011</v>
      </c>
      <c r="H1193" s="148">
        <v>39</v>
      </c>
      <c r="I1193" s="148">
        <v>1</v>
      </c>
      <c r="J1193" s="148">
        <v>2.5640999999999998</v>
      </c>
      <c r="K1193" s="148" t="str">
        <f t="shared" si="18"/>
        <v>ENTITYFR_CSH_FLW</v>
      </c>
    </row>
    <row r="1194" spans="1:11" hidden="1">
      <c r="A1194" s="148" t="s">
        <v>3658</v>
      </c>
      <c r="B1194" s="148" t="s">
        <v>3659</v>
      </c>
      <c r="C1194" s="148" t="s">
        <v>1120</v>
      </c>
      <c r="D1194" s="148" t="s">
        <v>332</v>
      </c>
      <c r="E1194" s="148" t="s">
        <v>1009</v>
      </c>
      <c r="F1194" s="148" t="s">
        <v>1118</v>
      </c>
      <c r="G1194" s="148" t="s">
        <v>129</v>
      </c>
      <c r="H1194" s="148">
        <v>39</v>
      </c>
      <c r="I1194" s="148">
        <v>0</v>
      </c>
      <c r="J1194" s="148">
        <v>0</v>
      </c>
      <c r="K1194" s="148" t="str">
        <f t="shared" si="18"/>
        <v>ENTITYFR_CSH_FLW_T1</v>
      </c>
    </row>
    <row r="1195" spans="1:11" hidden="1">
      <c r="A1195" s="148" t="s">
        <v>3660</v>
      </c>
      <c r="B1195" s="148" t="s">
        <v>3661</v>
      </c>
      <c r="C1195" s="148" t="s">
        <v>1120</v>
      </c>
      <c r="D1195" s="148" t="s">
        <v>333</v>
      </c>
      <c r="E1195" s="148" t="s">
        <v>1009</v>
      </c>
      <c r="F1195" s="148" t="s">
        <v>1118</v>
      </c>
      <c r="G1195" s="148" t="s">
        <v>129</v>
      </c>
      <c r="H1195" s="148">
        <v>39</v>
      </c>
      <c r="I1195" s="148">
        <v>0</v>
      </c>
      <c r="J1195" s="148">
        <v>0</v>
      </c>
      <c r="K1195" s="148" t="str">
        <f t="shared" si="18"/>
        <v>ENTITYFR_CSH_FLW_T2</v>
      </c>
    </row>
    <row r="1196" spans="1:11" hidden="1">
      <c r="A1196" s="148" t="s">
        <v>3662</v>
      </c>
      <c r="B1196" s="148" t="s">
        <v>3663</v>
      </c>
      <c r="C1196" s="148" t="s">
        <v>1120</v>
      </c>
      <c r="D1196" s="148" t="s">
        <v>334</v>
      </c>
      <c r="E1196" s="148" t="s">
        <v>1009</v>
      </c>
      <c r="F1196" s="148" t="s">
        <v>1118</v>
      </c>
      <c r="G1196" s="148" t="s">
        <v>129</v>
      </c>
      <c r="H1196" s="148">
        <v>39</v>
      </c>
      <c r="I1196" s="148">
        <v>0</v>
      </c>
      <c r="J1196" s="148">
        <v>0</v>
      </c>
      <c r="K1196" s="148" t="str">
        <f t="shared" si="18"/>
        <v>ENTITYFR_CSH_FLW_T3</v>
      </c>
    </row>
    <row r="1197" spans="1:11" hidden="1">
      <c r="A1197" s="148" t="s">
        <v>3664</v>
      </c>
      <c r="B1197" s="148" t="s">
        <v>3665</v>
      </c>
      <c r="C1197" s="148" t="s">
        <v>1120</v>
      </c>
      <c r="D1197" s="148" t="s">
        <v>543</v>
      </c>
      <c r="E1197" s="148" t="s">
        <v>1009</v>
      </c>
      <c r="F1197" s="148" t="s">
        <v>1118</v>
      </c>
      <c r="G1197" s="148" t="s">
        <v>129</v>
      </c>
      <c r="H1197" s="148">
        <v>0</v>
      </c>
      <c r="I1197" s="148">
        <v>0</v>
      </c>
      <c r="J1197" s="148">
        <v>0</v>
      </c>
      <c r="K1197" s="148" t="str">
        <f t="shared" si="18"/>
        <v>ENTITYADDRSS_CTY</v>
      </c>
    </row>
    <row r="1198" spans="1:11" hidden="1">
      <c r="A1198" s="148" t="s">
        <v>3666</v>
      </c>
      <c r="B1198" s="148" t="s">
        <v>3667</v>
      </c>
      <c r="C1198" s="148" t="s">
        <v>1120</v>
      </c>
      <c r="D1198" s="148" t="s">
        <v>545</v>
      </c>
      <c r="E1198" s="148" t="s">
        <v>1009</v>
      </c>
      <c r="F1198" s="148" t="s">
        <v>1118</v>
      </c>
      <c r="G1198" s="148" t="s">
        <v>129</v>
      </c>
      <c r="H1198" s="148">
        <v>0</v>
      </c>
      <c r="I1198" s="148">
        <v>0</v>
      </c>
      <c r="J1198" s="148">
        <v>0</v>
      </c>
      <c r="K1198" s="148" t="str">
        <f t="shared" si="18"/>
        <v>ENTITYADDRSS_STRT</v>
      </c>
    </row>
    <row r="1199" spans="1:11" hidden="1">
      <c r="A1199" s="148" t="s">
        <v>3668</v>
      </c>
      <c r="B1199" s="148" t="s">
        <v>3669</v>
      </c>
      <c r="C1199" s="148" t="s">
        <v>1120</v>
      </c>
      <c r="D1199" s="148" t="s">
        <v>546</v>
      </c>
      <c r="E1199" s="148" t="s">
        <v>1009</v>
      </c>
      <c r="F1199" s="148" t="s">
        <v>1118</v>
      </c>
      <c r="G1199" s="148" t="s">
        <v>129</v>
      </c>
      <c r="H1199" s="148">
        <v>81382</v>
      </c>
      <c r="I1199" s="148">
        <v>0</v>
      </c>
      <c r="J1199" s="148">
        <v>0</v>
      </c>
      <c r="K1199" s="148" t="str">
        <f t="shared" si="18"/>
        <v>ENTITYDT_ENTRPRS_SZ</v>
      </c>
    </row>
    <row r="1200" spans="1:11" hidden="1">
      <c r="A1200" s="148" t="s">
        <v>3670</v>
      </c>
      <c r="B1200" s="148" t="s">
        <v>3671</v>
      </c>
      <c r="C1200" s="148" t="s">
        <v>1120</v>
      </c>
      <c r="D1200" s="148" t="s">
        <v>546</v>
      </c>
      <c r="E1200" s="148" t="s">
        <v>1009</v>
      </c>
      <c r="F1200" s="148" t="s">
        <v>1118</v>
      </c>
      <c r="G1200" s="148" t="s">
        <v>129</v>
      </c>
      <c r="H1200" s="148">
        <v>0</v>
      </c>
      <c r="I1200" s="148">
        <v>0</v>
      </c>
      <c r="J1200" s="148">
        <v>0</v>
      </c>
      <c r="K1200" s="148" t="str">
        <f t="shared" si="18"/>
        <v>ENTITYDT_ENTRPRS_SZ</v>
      </c>
    </row>
    <row r="1201" spans="1:11" hidden="1">
      <c r="A1201" s="148" t="s">
        <v>3672</v>
      </c>
      <c r="B1201" s="148" t="s">
        <v>3673</v>
      </c>
      <c r="C1201" s="148" t="s">
        <v>1008</v>
      </c>
      <c r="D1201" s="148" t="s">
        <v>546</v>
      </c>
      <c r="E1201" s="148" t="s">
        <v>1009</v>
      </c>
      <c r="F1201" s="148" t="s">
        <v>1118</v>
      </c>
      <c r="G1201" s="148" t="s">
        <v>129</v>
      </c>
      <c r="H1201" s="148">
        <v>0</v>
      </c>
      <c r="I1201" s="148">
        <v>0</v>
      </c>
      <c r="J1201" s="148">
        <v>0</v>
      </c>
      <c r="K1201" s="148" t="str">
        <f t="shared" si="18"/>
        <v>ENTITYDT_ENTRPRS_SZ</v>
      </c>
    </row>
    <row r="1202" spans="1:11" hidden="1">
      <c r="A1202" s="148" t="s">
        <v>3674</v>
      </c>
      <c r="B1202" s="148" t="s">
        <v>3675</v>
      </c>
      <c r="C1202" s="148" t="s">
        <v>1120</v>
      </c>
      <c r="D1202" s="148" t="s">
        <v>547</v>
      </c>
      <c r="E1202" s="148" t="s">
        <v>1009</v>
      </c>
      <c r="F1202" s="148" t="s">
        <v>1118</v>
      </c>
      <c r="G1202" s="148" t="s">
        <v>129</v>
      </c>
      <c r="H1202" s="148">
        <v>81382</v>
      </c>
      <c r="I1202" s="148">
        <v>0</v>
      </c>
      <c r="J1202" s="148">
        <v>0</v>
      </c>
      <c r="K1202" s="148" t="str">
        <f t="shared" si="18"/>
        <v>ENTITYNMBR_EMPLYS</v>
      </c>
    </row>
    <row r="1203" spans="1:11" hidden="1">
      <c r="A1203" s="148" t="s">
        <v>3676</v>
      </c>
      <c r="B1203" s="148" t="s">
        <v>3677</v>
      </c>
      <c r="C1203" s="148" t="s">
        <v>1120</v>
      </c>
      <c r="D1203" s="148" t="s">
        <v>548</v>
      </c>
      <c r="E1203" s="148" t="s">
        <v>1009</v>
      </c>
      <c r="F1203" s="148" t="s">
        <v>1118</v>
      </c>
      <c r="G1203" s="148" t="s">
        <v>129</v>
      </c>
      <c r="H1203" s="148">
        <v>46</v>
      </c>
      <c r="I1203" s="148">
        <v>0</v>
      </c>
      <c r="J1203" s="148">
        <v>0</v>
      </c>
      <c r="K1203" s="148" t="str">
        <f t="shared" si="18"/>
        <v>ENTITYLGL_FRM</v>
      </c>
    </row>
    <row r="1204" spans="1:11" hidden="1">
      <c r="A1204" s="148" t="s">
        <v>3678</v>
      </c>
      <c r="B1204" s="148" t="s">
        <v>3679</v>
      </c>
      <c r="C1204" s="148" t="s">
        <v>1120</v>
      </c>
      <c r="D1204" s="148" t="s">
        <v>548</v>
      </c>
      <c r="E1204" s="148" t="s">
        <v>1009</v>
      </c>
      <c r="F1204" s="148" t="s">
        <v>1118</v>
      </c>
      <c r="G1204" s="148" t="s">
        <v>129</v>
      </c>
      <c r="H1204" s="148">
        <v>0</v>
      </c>
      <c r="I1204" s="148">
        <v>0</v>
      </c>
      <c r="J1204" s="148">
        <v>0</v>
      </c>
      <c r="K1204" s="148" t="str">
        <f t="shared" si="18"/>
        <v>ENTITYLGL_FRM</v>
      </c>
    </row>
    <row r="1205" spans="1:11" hidden="1">
      <c r="A1205" s="148" t="s">
        <v>3680</v>
      </c>
      <c r="B1205" s="148" t="s">
        <v>3681</v>
      </c>
      <c r="C1205" s="148" t="s">
        <v>1120</v>
      </c>
      <c r="D1205" s="148" t="s">
        <v>549</v>
      </c>
      <c r="E1205" s="148" t="s">
        <v>1009</v>
      </c>
      <c r="F1205" s="148" t="s">
        <v>1118</v>
      </c>
      <c r="G1205" s="148" t="s">
        <v>129</v>
      </c>
      <c r="H1205" s="148">
        <v>46</v>
      </c>
      <c r="I1205" s="148">
        <v>0</v>
      </c>
      <c r="J1205" s="148">
        <v>0</v>
      </c>
      <c r="K1205" s="148" t="str">
        <f t="shared" si="18"/>
        <v>ENTITYHD_OFFC_UNDRTKNG_ID</v>
      </c>
    </row>
    <row r="1206" spans="1:11" hidden="1">
      <c r="A1206" s="148" t="s">
        <v>3682</v>
      </c>
      <c r="B1206" s="148" t="s">
        <v>3683</v>
      </c>
      <c r="C1206" s="148" t="s">
        <v>1120</v>
      </c>
      <c r="D1206" s="148" t="s">
        <v>549</v>
      </c>
      <c r="E1206" s="148" t="s">
        <v>1009</v>
      </c>
      <c r="F1206" s="148" t="s">
        <v>1118</v>
      </c>
      <c r="G1206" s="148" t="s">
        <v>129</v>
      </c>
      <c r="H1206" s="148">
        <v>63823</v>
      </c>
      <c r="I1206" s="148">
        <v>0</v>
      </c>
      <c r="J1206" s="148">
        <v>0</v>
      </c>
      <c r="K1206" s="148" t="str">
        <f t="shared" si="18"/>
        <v>ENTITYHD_OFFC_UNDRTKNG_ID</v>
      </c>
    </row>
    <row r="1207" spans="1:11" hidden="1">
      <c r="A1207" s="148" t="s">
        <v>3684</v>
      </c>
      <c r="B1207" s="148" t="s">
        <v>3685</v>
      </c>
      <c r="C1207" s="148" t="s">
        <v>1120</v>
      </c>
      <c r="D1207" s="148" t="s">
        <v>549</v>
      </c>
      <c r="E1207" s="148" t="s">
        <v>1009</v>
      </c>
      <c r="F1207" s="148" t="s">
        <v>1118</v>
      </c>
      <c r="G1207" s="148" t="s">
        <v>129</v>
      </c>
      <c r="H1207" s="148">
        <v>18573</v>
      </c>
      <c r="I1207" s="148">
        <v>0</v>
      </c>
      <c r="J1207" s="148">
        <v>0</v>
      </c>
      <c r="K1207" s="148" t="str">
        <f t="shared" si="18"/>
        <v>ENTITYHD_OFFC_UNDRTKNG_ID</v>
      </c>
    </row>
    <row r="1208" spans="1:11" hidden="1">
      <c r="A1208" s="148" t="s">
        <v>3686</v>
      </c>
      <c r="B1208" s="148" t="s">
        <v>3687</v>
      </c>
      <c r="C1208" s="148" t="s">
        <v>139</v>
      </c>
      <c r="D1208" s="148" t="s">
        <v>549</v>
      </c>
      <c r="E1208" s="148" t="s">
        <v>10</v>
      </c>
      <c r="F1208" s="148" t="s">
        <v>1118</v>
      </c>
      <c r="G1208" s="148" t="s">
        <v>129</v>
      </c>
      <c r="H1208" s="148">
        <v>82443</v>
      </c>
      <c r="I1208" s="148">
        <v>0</v>
      </c>
      <c r="J1208" s="148">
        <v>0</v>
      </c>
      <c r="K1208" s="148" t="str">
        <f t="shared" si="18"/>
        <v>ENTITYHD_OFFC_UNDRTKNG_ID</v>
      </c>
    </row>
    <row r="1209" spans="1:11" hidden="1">
      <c r="A1209" s="148" t="s">
        <v>3688</v>
      </c>
      <c r="B1209" s="148" t="s">
        <v>3689</v>
      </c>
      <c r="C1209" s="148" t="s">
        <v>1120</v>
      </c>
      <c r="D1209" s="148" t="s">
        <v>550</v>
      </c>
      <c r="E1209" s="148" t="s">
        <v>1009</v>
      </c>
      <c r="F1209" s="148" t="s">
        <v>1118</v>
      </c>
      <c r="G1209" s="148" t="s">
        <v>129</v>
      </c>
      <c r="H1209" s="148">
        <v>46</v>
      </c>
      <c r="I1209" s="148">
        <v>0</v>
      </c>
      <c r="J1209" s="148">
        <v>0</v>
      </c>
      <c r="K1209" s="148" t="str">
        <f t="shared" si="18"/>
        <v>ENTITYIMMDT_PRNT_UNDRTKNG_ID</v>
      </c>
    </row>
    <row r="1210" spans="1:11" hidden="1">
      <c r="A1210" s="148" t="s">
        <v>3690</v>
      </c>
      <c r="B1210" s="148" t="s">
        <v>3691</v>
      </c>
      <c r="C1210" s="148" t="s">
        <v>1120</v>
      </c>
      <c r="D1210" s="148" t="s">
        <v>550</v>
      </c>
      <c r="E1210" s="148" t="s">
        <v>1009</v>
      </c>
      <c r="F1210" s="148" t="s">
        <v>1118</v>
      </c>
      <c r="G1210" s="148" t="s">
        <v>129</v>
      </c>
      <c r="H1210" s="148">
        <v>0</v>
      </c>
      <c r="I1210" s="148">
        <v>0</v>
      </c>
      <c r="J1210" s="148">
        <v>0</v>
      </c>
      <c r="K1210" s="148" t="str">
        <f t="shared" si="18"/>
        <v>ENTITYIMMDT_PRNT_UNDRTKNG_ID</v>
      </c>
    </row>
    <row r="1211" spans="1:11" hidden="1">
      <c r="A1211" s="148" t="s">
        <v>3692</v>
      </c>
      <c r="B1211" s="148" t="s">
        <v>3693</v>
      </c>
      <c r="C1211" s="148" t="s">
        <v>1120</v>
      </c>
      <c r="D1211" s="148" t="s">
        <v>550</v>
      </c>
      <c r="E1211" s="148" t="s">
        <v>1009</v>
      </c>
      <c r="F1211" s="148" t="s">
        <v>1118</v>
      </c>
      <c r="G1211" s="148" t="s">
        <v>129</v>
      </c>
      <c r="H1211" s="148">
        <v>0</v>
      </c>
      <c r="I1211" s="148">
        <v>0</v>
      </c>
      <c r="J1211" s="148">
        <v>0</v>
      </c>
      <c r="K1211" s="148" t="str">
        <f t="shared" si="18"/>
        <v>ENTITYIMMDT_PRNT_UNDRTKNG_ID</v>
      </c>
    </row>
    <row r="1212" spans="1:11" hidden="1">
      <c r="A1212" s="148" t="s">
        <v>3694</v>
      </c>
      <c r="B1212" s="148" t="s">
        <v>3695</v>
      </c>
      <c r="C1212" s="148" t="s">
        <v>1120</v>
      </c>
      <c r="D1212" s="148" t="s">
        <v>551</v>
      </c>
      <c r="E1212" s="148" t="s">
        <v>1009</v>
      </c>
      <c r="F1212" s="148" t="s">
        <v>1118</v>
      </c>
      <c r="G1212" s="148" t="s">
        <v>129</v>
      </c>
      <c r="H1212" s="148">
        <v>46</v>
      </c>
      <c r="I1212" s="148">
        <v>0</v>
      </c>
      <c r="J1212" s="148">
        <v>0</v>
      </c>
      <c r="K1212" s="148" t="str">
        <f t="shared" si="18"/>
        <v>ENTITYULTMT_PRNT_UNDRTKNG_ID</v>
      </c>
    </row>
    <row r="1213" spans="1:11" hidden="1">
      <c r="A1213" s="148" t="s">
        <v>3696</v>
      </c>
      <c r="B1213" s="148" t="s">
        <v>3697</v>
      </c>
      <c r="C1213" s="148" t="s">
        <v>1120</v>
      </c>
      <c r="D1213" s="148" t="s">
        <v>551</v>
      </c>
      <c r="E1213" s="148" t="s">
        <v>1009</v>
      </c>
      <c r="F1213" s="148" t="s">
        <v>1118</v>
      </c>
      <c r="G1213" s="148" t="s">
        <v>129</v>
      </c>
      <c r="H1213" s="148">
        <v>0</v>
      </c>
      <c r="I1213" s="148">
        <v>0</v>
      </c>
      <c r="J1213" s="148">
        <v>0</v>
      </c>
      <c r="K1213" s="148" t="str">
        <f t="shared" si="18"/>
        <v>ENTITYULTMT_PRNT_UNDRTKNG_ID</v>
      </c>
    </row>
    <row r="1214" spans="1:11" hidden="1">
      <c r="A1214" s="148" t="s">
        <v>3698</v>
      </c>
      <c r="B1214" s="148" t="s">
        <v>3699</v>
      </c>
      <c r="C1214" s="148" t="s">
        <v>1120</v>
      </c>
      <c r="D1214" s="148" t="s">
        <v>551</v>
      </c>
      <c r="E1214" s="148" t="s">
        <v>1009</v>
      </c>
      <c r="F1214" s="148" t="s">
        <v>1118</v>
      </c>
      <c r="G1214" s="148" t="s">
        <v>129</v>
      </c>
      <c r="H1214" s="148">
        <v>0</v>
      </c>
      <c r="I1214" s="148">
        <v>0</v>
      </c>
      <c r="J1214" s="148">
        <v>0</v>
      </c>
      <c r="K1214" s="148" t="str">
        <f t="shared" si="18"/>
        <v>ENTITYULTMT_PRNT_UNDRTKNG_ID</v>
      </c>
    </row>
    <row r="1215" spans="1:11" hidden="1">
      <c r="A1215" s="148" t="s">
        <v>3700</v>
      </c>
      <c r="B1215" s="148" t="s">
        <v>3701</v>
      </c>
      <c r="C1215" s="148" t="s">
        <v>1120</v>
      </c>
      <c r="D1215" s="148" t="s">
        <v>552</v>
      </c>
      <c r="E1215" s="148" t="s">
        <v>1009</v>
      </c>
      <c r="F1215" s="148" t="s">
        <v>1118</v>
      </c>
      <c r="G1215" s="148" t="s">
        <v>129</v>
      </c>
      <c r="H1215" s="148">
        <v>68644</v>
      </c>
      <c r="I1215" s="148">
        <v>0</v>
      </c>
      <c r="J1215" s="148">
        <v>0</v>
      </c>
      <c r="K1215" s="148" t="str">
        <f t="shared" si="18"/>
        <v>ENTITYTTL_ASSTS</v>
      </c>
    </row>
    <row r="1216" spans="1:11" hidden="1">
      <c r="A1216" s="148" t="s">
        <v>3702</v>
      </c>
      <c r="B1216" s="148" t="s">
        <v>3703</v>
      </c>
      <c r="C1216" s="148" t="s">
        <v>1120</v>
      </c>
      <c r="D1216" s="148" t="s">
        <v>552</v>
      </c>
      <c r="E1216" s="148" t="s">
        <v>1009</v>
      </c>
      <c r="F1216" s="148" t="s">
        <v>1118</v>
      </c>
      <c r="G1216" s="148" t="s">
        <v>129</v>
      </c>
      <c r="H1216" s="148">
        <v>46</v>
      </c>
      <c r="I1216" s="148">
        <v>0</v>
      </c>
      <c r="J1216" s="148">
        <v>0</v>
      </c>
      <c r="K1216" s="148" t="str">
        <f t="shared" si="18"/>
        <v>ENTITYTTL_ASSTS</v>
      </c>
    </row>
    <row r="1217" spans="1:11" hidden="1">
      <c r="A1217" s="148" t="s">
        <v>3704</v>
      </c>
      <c r="B1217" s="148" t="s">
        <v>3705</v>
      </c>
      <c r="C1217" s="148" t="s">
        <v>1120</v>
      </c>
      <c r="D1217" s="148" t="s">
        <v>1189</v>
      </c>
      <c r="E1217" s="148" t="s">
        <v>1009</v>
      </c>
      <c r="F1217" s="148" t="s">
        <v>1118</v>
      </c>
      <c r="G1217" s="148" t="s">
        <v>1011</v>
      </c>
      <c r="H1217" s="148">
        <v>39</v>
      </c>
      <c r="I1217" s="148">
        <v>38</v>
      </c>
      <c r="J1217" s="148">
        <v>97.435900000000004</v>
      </c>
      <c r="K1217" s="148" t="str">
        <f t="shared" si="18"/>
        <v>ENTITYFLLN_ANGL_NRRW_DFNTN</v>
      </c>
    </row>
    <row r="1218" spans="1:11" hidden="1">
      <c r="A1218" s="148" t="s">
        <v>3706</v>
      </c>
      <c r="B1218" s="148" t="s">
        <v>3707</v>
      </c>
      <c r="C1218" s="148" t="s">
        <v>1120</v>
      </c>
      <c r="D1218" s="148" t="s">
        <v>1190</v>
      </c>
      <c r="E1218" s="148" t="s">
        <v>1009</v>
      </c>
      <c r="F1218" s="148" t="s">
        <v>1118</v>
      </c>
      <c r="G1218" s="148" t="s">
        <v>1011</v>
      </c>
      <c r="H1218" s="148">
        <v>39</v>
      </c>
      <c r="I1218" s="148">
        <v>38</v>
      </c>
      <c r="J1218" s="148">
        <v>97.435900000000004</v>
      </c>
      <c r="K1218" s="148" t="str">
        <f t="shared" si="18"/>
        <v>ENTITYFLLN_ANGL_EXTNDD_DFNTN</v>
      </c>
    </row>
    <row r="1219" spans="1:11" hidden="1">
      <c r="A1219" s="148" t="s">
        <v>3708</v>
      </c>
      <c r="B1219" s="148" t="s">
        <v>3709</v>
      </c>
      <c r="C1219" s="148" t="s">
        <v>1120</v>
      </c>
      <c r="D1219" s="148" t="s">
        <v>1723</v>
      </c>
      <c r="E1219" s="148" t="s">
        <v>1009</v>
      </c>
      <c r="F1219" s="148" t="s">
        <v>1118</v>
      </c>
      <c r="G1219" s="148" t="s">
        <v>129</v>
      </c>
      <c r="H1219" s="148">
        <v>46</v>
      </c>
      <c r="I1219" s="148">
        <v>0</v>
      </c>
      <c r="J1219" s="148">
        <v>0</v>
      </c>
      <c r="K1219" s="148" t="str">
        <f t="shared" ref="K1219:K1282" si="19">_xlfn.CONCAT(_xlfn.IFS(ISNUMBER(SEARCH("EN",A1219)),"ENTITY",ISNUMBER(SEARCH("IN",A1219)),"INSTRUMENT",ISNUMBER(SEARCH("PR",A1219)),"PROTECTION",ISNUMBER(SEARCH("IP",A1219)),"INSTR_PROTECTION",ISNUMBER(SEARCH("IE",A1219)),"INSTR_ENTITY",ISNUMBER(SEARCH("AC",A1219)),"INSTR_ACTIVITY"),D1219)</f>
        <v>ENTITYTXNMY_ELGBL_CAPEX_W</v>
      </c>
    </row>
    <row r="1220" spans="1:11" hidden="1">
      <c r="A1220" s="148" t="s">
        <v>3710</v>
      </c>
      <c r="B1220" s="148" t="s">
        <v>3711</v>
      </c>
      <c r="C1220" s="148" t="s">
        <v>1120</v>
      </c>
      <c r="D1220" s="148" t="s">
        <v>1726</v>
      </c>
      <c r="E1220" s="148" t="s">
        <v>1009</v>
      </c>
      <c r="F1220" s="148" t="s">
        <v>1118</v>
      </c>
      <c r="G1220" s="148" t="s">
        <v>129</v>
      </c>
      <c r="H1220" s="148">
        <v>46</v>
      </c>
      <c r="I1220" s="148">
        <v>0</v>
      </c>
      <c r="J1220" s="148">
        <v>0</v>
      </c>
      <c r="K1220" s="148" t="str">
        <f t="shared" si="19"/>
        <v>ENTITYTXNMY_ELGBL_TRNVR_W</v>
      </c>
    </row>
    <row r="1221" spans="1:11" hidden="1">
      <c r="A1221" s="148" t="s">
        <v>3712</v>
      </c>
      <c r="B1221" s="148" t="s">
        <v>3713</v>
      </c>
      <c r="C1221" s="148" t="s">
        <v>1120</v>
      </c>
      <c r="D1221" s="148" t="s">
        <v>1729</v>
      </c>
      <c r="E1221" s="148" t="s">
        <v>1009</v>
      </c>
      <c r="F1221" s="148" t="s">
        <v>1118</v>
      </c>
      <c r="G1221" s="148" t="s">
        <v>129</v>
      </c>
      <c r="H1221" s="148">
        <v>46</v>
      </c>
      <c r="I1221" s="148">
        <v>0</v>
      </c>
      <c r="J1221" s="148">
        <v>0</v>
      </c>
      <c r="K1221" s="148" t="str">
        <f t="shared" si="19"/>
        <v>ENTITYTXNMY_ELGBL_CAPEX_P</v>
      </c>
    </row>
    <row r="1222" spans="1:11" hidden="1">
      <c r="A1222" s="148" t="s">
        <v>3714</v>
      </c>
      <c r="B1222" s="148" t="s">
        <v>3715</v>
      </c>
      <c r="C1222" s="148" t="s">
        <v>1120</v>
      </c>
      <c r="D1222" s="148" t="s">
        <v>1732</v>
      </c>
      <c r="E1222" s="148" t="s">
        <v>1009</v>
      </c>
      <c r="F1222" s="148" t="s">
        <v>1118</v>
      </c>
      <c r="G1222" s="148" t="s">
        <v>129</v>
      </c>
      <c r="H1222" s="148">
        <v>46</v>
      </c>
      <c r="I1222" s="148">
        <v>0</v>
      </c>
      <c r="J1222" s="148">
        <v>0</v>
      </c>
      <c r="K1222" s="148" t="str">
        <f t="shared" si="19"/>
        <v>ENTITYTXNMY_ELGBL_TRNVR_P</v>
      </c>
    </row>
    <row r="1223" spans="1:11" hidden="1">
      <c r="A1223" s="148" t="s">
        <v>3716</v>
      </c>
      <c r="B1223" s="148" t="s">
        <v>3717</v>
      </c>
      <c r="C1223" s="148" t="s">
        <v>1120</v>
      </c>
      <c r="D1223" s="148" t="s">
        <v>1735</v>
      </c>
      <c r="E1223" s="148" t="s">
        <v>1009</v>
      </c>
      <c r="F1223" s="148" t="s">
        <v>1118</v>
      </c>
      <c r="G1223" s="148" t="s">
        <v>129</v>
      </c>
      <c r="H1223" s="148">
        <v>46</v>
      </c>
      <c r="I1223" s="148">
        <v>0</v>
      </c>
      <c r="J1223" s="148">
        <v>0</v>
      </c>
      <c r="K1223" s="148" t="str">
        <f t="shared" si="19"/>
        <v>ENTITYTXNMY_ELGBL_CAPEX_B</v>
      </c>
    </row>
    <row r="1224" spans="1:11" hidden="1">
      <c r="A1224" s="148" t="s">
        <v>3718</v>
      </c>
      <c r="B1224" s="148" t="s">
        <v>3719</v>
      </c>
      <c r="C1224" s="148" t="s">
        <v>1120</v>
      </c>
      <c r="D1224" s="148" t="s">
        <v>1738</v>
      </c>
      <c r="E1224" s="148" t="s">
        <v>1009</v>
      </c>
      <c r="F1224" s="148" t="s">
        <v>1118</v>
      </c>
      <c r="G1224" s="148" t="s">
        <v>129</v>
      </c>
      <c r="H1224" s="148">
        <v>46</v>
      </c>
      <c r="I1224" s="148">
        <v>0</v>
      </c>
      <c r="J1224" s="148">
        <v>0</v>
      </c>
      <c r="K1224" s="148" t="str">
        <f t="shared" si="19"/>
        <v>ENTITYTXNMY_ELGBL_TRNVR_B</v>
      </c>
    </row>
    <row r="1225" spans="1:11" hidden="1">
      <c r="A1225" s="148" t="s">
        <v>3720</v>
      </c>
      <c r="B1225" s="148" t="s">
        <v>3721</v>
      </c>
      <c r="C1225" s="148" t="s">
        <v>1120</v>
      </c>
      <c r="D1225" s="148" t="s">
        <v>1741</v>
      </c>
      <c r="E1225" s="148" t="s">
        <v>1009</v>
      </c>
      <c r="F1225" s="148" t="s">
        <v>1118</v>
      </c>
      <c r="G1225" s="148" t="s">
        <v>129</v>
      </c>
      <c r="H1225" s="148">
        <v>46</v>
      </c>
      <c r="I1225" s="148">
        <v>0</v>
      </c>
      <c r="J1225" s="148">
        <v>0</v>
      </c>
      <c r="K1225" s="148" t="str">
        <f t="shared" si="19"/>
        <v>ENTITYTXNMY_ELGBL_CAPEX_CE</v>
      </c>
    </row>
    <row r="1226" spans="1:11" hidden="1">
      <c r="A1226" s="148" t="s">
        <v>3722</v>
      </c>
      <c r="B1226" s="148" t="s">
        <v>3723</v>
      </c>
      <c r="C1226" s="148" t="s">
        <v>1120</v>
      </c>
      <c r="D1226" s="148" t="s">
        <v>1744</v>
      </c>
      <c r="E1226" s="148" t="s">
        <v>1009</v>
      </c>
      <c r="F1226" s="148" t="s">
        <v>1118</v>
      </c>
      <c r="G1226" s="148" t="s">
        <v>129</v>
      </c>
      <c r="H1226" s="148">
        <v>46</v>
      </c>
      <c r="I1226" s="148">
        <v>0</v>
      </c>
      <c r="J1226" s="148">
        <v>0</v>
      </c>
      <c r="K1226" s="148" t="str">
        <f t="shared" si="19"/>
        <v>ENTITYTXNMY_ELGBL_TRNVR_CE</v>
      </c>
    </row>
    <row r="1227" spans="1:11" hidden="1">
      <c r="A1227" s="148" t="s">
        <v>3724</v>
      </c>
      <c r="B1227" s="148" t="s">
        <v>3725</v>
      </c>
      <c r="C1227" s="148" t="s">
        <v>1120</v>
      </c>
      <c r="D1227" s="148" t="s">
        <v>1747</v>
      </c>
      <c r="E1227" s="148" t="s">
        <v>1009</v>
      </c>
      <c r="F1227" s="148" t="s">
        <v>1118</v>
      </c>
      <c r="G1227" s="148" t="s">
        <v>129</v>
      </c>
      <c r="H1227" s="148">
        <v>46</v>
      </c>
      <c r="I1227" s="148">
        <v>0</v>
      </c>
      <c r="J1227" s="148">
        <v>0</v>
      </c>
      <c r="K1227" s="148" t="str">
        <f t="shared" si="19"/>
        <v>ENTITYPURE_CAPEX_P</v>
      </c>
    </row>
    <row r="1228" spans="1:11" hidden="1">
      <c r="A1228" s="148" t="s">
        <v>3726</v>
      </c>
      <c r="B1228" s="148" t="s">
        <v>3727</v>
      </c>
      <c r="C1228" s="148" t="s">
        <v>1120</v>
      </c>
      <c r="D1228" s="148" t="s">
        <v>1750</v>
      </c>
      <c r="E1228" s="148" t="s">
        <v>1009</v>
      </c>
      <c r="F1228" s="148" t="s">
        <v>1118</v>
      </c>
      <c r="G1228" s="148" t="s">
        <v>129</v>
      </c>
      <c r="H1228" s="148">
        <v>46</v>
      </c>
      <c r="I1228" s="148">
        <v>0</v>
      </c>
      <c r="J1228" s="148">
        <v>0</v>
      </c>
      <c r="K1228" s="148" t="str">
        <f t="shared" si="19"/>
        <v>ENTITYPURE_TRNVR_P</v>
      </c>
    </row>
    <row r="1229" spans="1:11" hidden="1">
      <c r="A1229" s="148" t="s">
        <v>3728</v>
      </c>
      <c r="B1229" s="148" t="s">
        <v>3729</v>
      </c>
      <c r="C1229" s="148" t="s">
        <v>1120</v>
      </c>
      <c r="D1229" s="148" t="s">
        <v>1753</v>
      </c>
      <c r="E1229" s="148" t="s">
        <v>1009</v>
      </c>
      <c r="F1229" s="148" t="s">
        <v>1118</v>
      </c>
      <c r="G1229" s="148" t="s">
        <v>129</v>
      </c>
      <c r="H1229" s="148">
        <v>46</v>
      </c>
      <c r="I1229" s="148">
        <v>0</v>
      </c>
      <c r="J1229" s="148">
        <v>0</v>
      </c>
      <c r="K1229" s="148" t="str">
        <f t="shared" si="19"/>
        <v>ENTITYPURE_CAPEX_B</v>
      </c>
    </row>
    <row r="1230" spans="1:11" hidden="1">
      <c r="A1230" s="148" t="s">
        <v>3730</v>
      </c>
      <c r="B1230" s="148" t="s">
        <v>3731</v>
      </c>
      <c r="C1230" s="148" t="s">
        <v>1120</v>
      </c>
      <c r="D1230" s="148" t="s">
        <v>1756</v>
      </c>
      <c r="E1230" s="148" t="s">
        <v>1009</v>
      </c>
      <c r="F1230" s="148" t="s">
        <v>1118</v>
      </c>
      <c r="G1230" s="148" t="s">
        <v>129</v>
      </c>
      <c r="H1230" s="148">
        <v>46</v>
      </c>
      <c r="I1230" s="148">
        <v>0</v>
      </c>
      <c r="J1230" s="148">
        <v>0</v>
      </c>
      <c r="K1230" s="148" t="str">
        <f t="shared" si="19"/>
        <v>ENTITYPURE_TRNVR_B</v>
      </c>
    </row>
    <row r="1231" spans="1:11" hidden="1">
      <c r="A1231" s="148" t="s">
        <v>3732</v>
      </c>
      <c r="B1231" s="148" t="s">
        <v>3733</v>
      </c>
      <c r="C1231" s="148" t="s">
        <v>1120</v>
      </c>
      <c r="D1231" s="148" t="s">
        <v>1759</v>
      </c>
      <c r="E1231" s="148" t="s">
        <v>1009</v>
      </c>
      <c r="F1231" s="148" t="s">
        <v>1118</v>
      </c>
      <c r="G1231" s="148" t="s">
        <v>129</v>
      </c>
      <c r="H1231" s="148">
        <v>46</v>
      </c>
      <c r="I1231" s="148">
        <v>0</v>
      </c>
      <c r="J1231" s="148">
        <v>0</v>
      </c>
      <c r="K1231" s="148" t="str">
        <f t="shared" si="19"/>
        <v>ENTITYPURE_CAPEX_W</v>
      </c>
    </row>
    <row r="1232" spans="1:11" hidden="1">
      <c r="A1232" s="148" t="s">
        <v>3734</v>
      </c>
      <c r="B1232" s="148" t="s">
        <v>3735</v>
      </c>
      <c r="C1232" s="148" t="s">
        <v>1120</v>
      </c>
      <c r="D1232" s="148" t="s">
        <v>1762</v>
      </c>
      <c r="E1232" s="148" t="s">
        <v>1009</v>
      </c>
      <c r="F1232" s="148" t="s">
        <v>1118</v>
      </c>
      <c r="G1232" s="148" t="s">
        <v>129</v>
      </c>
      <c r="H1232" s="148">
        <v>46</v>
      </c>
      <c r="I1232" s="148">
        <v>0</v>
      </c>
      <c r="J1232" s="148">
        <v>0</v>
      </c>
      <c r="K1232" s="148" t="str">
        <f t="shared" si="19"/>
        <v>ENTITYPURE_TRNVR_W</v>
      </c>
    </row>
    <row r="1233" spans="1:11" hidden="1">
      <c r="A1233" s="148" t="s">
        <v>3736</v>
      </c>
      <c r="B1233" s="148" t="s">
        <v>3737</v>
      </c>
      <c r="C1233" s="148" t="s">
        <v>1120</v>
      </c>
      <c r="D1233" s="148" t="s">
        <v>1765</v>
      </c>
      <c r="E1233" s="148" t="s">
        <v>1009</v>
      </c>
      <c r="F1233" s="148" t="s">
        <v>1118</v>
      </c>
      <c r="G1233" s="148" t="s">
        <v>129</v>
      </c>
      <c r="H1233" s="148">
        <v>46</v>
      </c>
      <c r="I1233" s="148">
        <v>0</v>
      </c>
      <c r="J1233" s="148">
        <v>0</v>
      </c>
      <c r="K1233" s="148" t="str">
        <f t="shared" si="19"/>
        <v>ENTITYPURE_CAPEX_CE</v>
      </c>
    </row>
    <row r="1234" spans="1:11" hidden="1">
      <c r="A1234" s="148" t="s">
        <v>3738</v>
      </c>
      <c r="B1234" s="148" t="s">
        <v>3739</v>
      </c>
      <c r="C1234" s="148" t="s">
        <v>1120</v>
      </c>
      <c r="D1234" s="148" t="s">
        <v>1768</v>
      </c>
      <c r="E1234" s="148" t="s">
        <v>1009</v>
      </c>
      <c r="F1234" s="148" t="s">
        <v>1118</v>
      </c>
      <c r="G1234" s="148" t="s">
        <v>129</v>
      </c>
      <c r="H1234" s="148">
        <v>46</v>
      </c>
      <c r="I1234" s="148">
        <v>0</v>
      </c>
      <c r="J1234" s="148">
        <v>0</v>
      </c>
      <c r="K1234" s="148" t="str">
        <f t="shared" si="19"/>
        <v>ENTITYPURE_TRNVR_CE</v>
      </c>
    </row>
    <row r="1235" spans="1:11" hidden="1">
      <c r="A1235" s="148" t="s">
        <v>3740</v>
      </c>
      <c r="B1235" s="148" t="s">
        <v>3741</v>
      </c>
      <c r="C1235" s="148" t="s">
        <v>1120</v>
      </c>
      <c r="D1235" s="148" t="s">
        <v>1771</v>
      </c>
      <c r="E1235" s="148" t="s">
        <v>1009</v>
      </c>
      <c r="F1235" s="148" t="s">
        <v>1118</v>
      </c>
      <c r="G1235" s="148" t="s">
        <v>129</v>
      </c>
      <c r="H1235" s="148">
        <v>46</v>
      </c>
      <c r="I1235" s="148">
        <v>0</v>
      </c>
      <c r="J1235" s="148">
        <v>0</v>
      </c>
      <c r="K1235" s="148" t="str">
        <f t="shared" si="19"/>
        <v>ENTITYENBLNG_CAPEX_W</v>
      </c>
    </row>
    <row r="1236" spans="1:11" hidden="1">
      <c r="A1236" s="148" t="s">
        <v>3742</v>
      </c>
      <c r="B1236" s="148" t="s">
        <v>3743</v>
      </c>
      <c r="C1236" s="148" t="s">
        <v>1120</v>
      </c>
      <c r="D1236" s="148" t="s">
        <v>1774</v>
      </c>
      <c r="E1236" s="148" t="s">
        <v>1009</v>
      </c>
      <c r="F1236" s="148" t="s">
        <v>1118</v>
      </c>
      <c r="G1236" s="148" t="s">
        <v>129</v>
      </c>
      <c r="H1236" s="148">
        <v>46</v>
      </c>
      <c r="I1236" s="148">
        <v>0</v>
      </c>
      <c r="J1236" s="148">
        <v>0</v>
      </c>
      <c r="K1236" s="148" t="str">
        <f t="shared" si="19"/>
        <v>ENTITYENBLNG_TRNVR_W</v>
      </c>
    </row>
    <row r="1237" spans="1:11" hidden="1">
      <c r="A1237" s="148" t="s">
        <v>3744</v>
      </c>
      <c r="B1237" s="148" t="s">
        <v>3745</v>
      </c>
      <c r="C1237" s="148" t="s">
        <v>1120</v>
      </c>
      <c r="D1237" s="148" t="s">
        <v>1777</v>
      </c>
      <c r="E1237" s="148" t="s">
        <v>1009</v>
      </c>
      <c r="F1237" s="148" t="s">
        <v>1118</v>
      </c>
      <c r="G1237" s="148" t="s">
        <v>129</v>
      </c>
      <c r="H1237" s="148">
        <v>46</v>
      </c>
      <c r="I1237" s="148">
        <v>0</v>
      </c>
      <c r="J1237" s="148">
        <v>0</v>
      </c>
      <c r="K1237" s="148" t="str">
        <f t="shared" si="19"/>
        <v>ENTITYENBLNG_CAPEX_CE</v>
      </c>
    </row>
    <row r="1238" spans="1:11" hidden="1">
      <c r="A1238" s="148" t="s">
        <v>3746</v>
      </c>
      <c r="B1238" s="148" t="s">
        <v>3747</v>
      </c>
      <c r="C1238" s="148" t="s">
        <v>1120</v>
      </c>
      <c r="D1238" s="148" t="s">
        <v>1780</v>
      </c>
      <c r="E1238" s="148" t="s">
        <v>1009</v>
      </c>
      <c r="F1238" s="148" t="s">
        <v>1118</v>
      </c>
      <c r="G1238" s="148" t="s">
        <v>129</v>
      </c>
      <c r="H1238" s="148">
        <v>46</v>
      </c>
      <c r="I1238" s="148">
        <v>0</v>
      </c>
      <c r="J1238" s="148">
        <v>0</v>
      </c>
      <c r="K1238" s="148" t="str">
        <f t="shared" si="19"/>
        <v>ENTITYENBLNG_TRNVR_CE</v>
      </c>
    </row>
    <row r="1239" spans="1:11" hidden="1">
      <c r="A1239" s="148" t="s">
        <v>3748</v>
      </c>
      <c r="B1239" s="148" t="s">
        <v>3749</v>
      </c>
      <c r="C1239" s="148" t="s">
        <v>1120</v>
      </c>
      <c r="D1239" s="148" t="s">
        <v>1188</v>
      </c>
      <c r="E1239" s="148" t="s">
        <v>1009</v>
      </c>
      <c r="F1239" s="148" t="s">
        <v>1118</v>
      </c>
      <c r="G1239" s="148" t="s">
        <v>129</v>
      </c>
      <c r="H1239" s="148">
        <v>63747</v>
      </c>
      <c r="I1239" s="148">
        <v>0</v>
      </c>
      <c r="J1239" s="148">
        <v>0</v>
      </c>
      <c r="K1239" s="148" t="str">
        <f t="shared" si="19"/>
        <v>ENTITYGRP_RORAC</v>
      </c>
    </row>
    <row r="1240" spans="1:11" hidden="1">
      <c r="A1240" s="148" t="s">
        <v>3750</v>
      </c>
      <c r="B1240" s="148" t="s">
        <v>3751</v>
      </c>
      <c r="C1240" s="148" t="s">
        <v>1120</v>
      </c>
      <c r="D1240" s="148" t="s">
        <v>1188</v>
      </c>
      <c r="E1240" s="148" t="s">
        <v>1009</v>
      </c>
      <c r="F1240" s="148" t="s">
        <v>1118</v>
      </c>
      <c r="G1240" s="148" t="s">
        <v>129</v>
      </c>
      <c r="H1240" s="148">
        <v>18582</v>
      </c>
      <c r="I1240" s="148">
        <v>0</v>
      </c>
      <c r="J1240" s="148">
        <v>0</v>
      </c>
      <c r="K1240" s="148" t="str">
        <f t="shared" si="19"/>
        <v>ENTITYGRP_RORAC</v>
      </c>
    </row>
    <row r="1241" spans="1:11" hidden="1">
      <c r="A1241" s="148" t="s">
        <v>3752</v>
      </c>
      <c r="B1241" s="148" t="s">
        <v>3753</v>
      </c>
      <c r="C1241" s="148" t="s">
        <v>139</v>
      </c>
      <c r="D1241" s="148" t="s">
        <v>1188</v>
      </c>
      <c r="E1241" s="148" t="s">
        <v>10</v>
      </c>
      <c r="F1241" s="148" t="s">
        <v>1118</v>
      </c>
      <c r="G1241" s="148" t="s">
        <v>129</v>
      </c>
      <c r="H1241" s="148">
        <v>82329</v>
      </c>
      <c r="I1241" s="148">
        <v>0</v>
      </c>
      <c r="J1241" s="148">
        <v>0</v>
      </c>
      <c r="K1241" s="148" t="str">
        <f t="shared" si="19"/>
        <v>ENTITYGRP_RORAC</v>
      </c>
    </row>
    <row r="1242" spans="1:11" hidden="1">
      <c r="A1242" s="148" t="s">
        <v>3754</v>
      </c>
      <c r="B1242" s="148" t="s">
        <v>3755</v>
      </c>
      <c r="C1242" s="148" t="s">
        <v>1120</v>
      </c>
      <c r="D1242" s="148" t="s">
        <v>1187</v>
      </c>
      <c r="E1242" s="148" t="s">
        <v>1009</v>
      </c>
      <c r="F1242" s="148" t="s">
        <v>1118</v>
      </c>
      <c r="G1242" s="148" t="s">
        <v>129</v>
      </c>
      <c r="H1242" s="148">
        <v>63747</v>
      </c>
      <c r="I1242" s="148">
        <v>0</v>
      </c>
      <c r="J1242" s="148">
        <v>0</v>
      </c>
      <c r="K1242" s="148" t="str">
        <f t="shared" si="19"/>
        <v>ENTITYGRP_RORWA</v>
      </c>
    </row>
    <row r="1243" spans="1:11" hidden="1">
      <c r="A1243" s="148" t="s">
        <v>3756</v>
      </c>
      <c r="B1243" s="148" t="s">
        <v>3757</v>
      </c>
      <c r="C1243" s="148" t="s">
        <v>1120</v>
      </c>
      <c r="D1243" s="148" t="s">
        <v>1187</v>
      </c>
      <c r="E1243" s="148" t="s">
        <v>1009</v>
      </c>
      <c r="F1243" s="148" t="s">
        <v>1118</v>
      </c>
      <c r="G1243" s="148" t="s">
        <v>129</v>
      </c>
      <c r="H1243" s="148">
        <v>18582</v>
      </c>
      <c r="I1243" s="148">
        <v>0</v>
      </c>
      <c r="J1243" s="148">
        <v>0</v>
      </c>
      <c r="K1243" s="148" t="str">
        <f t="shared" si="19"/>
        <v>ENTITYGRP_RORWA</v>
      </c>
    </row>
    <row r="1244" spans="1:11" hidden="1">
      <c r="A1244" s="148" t="s">
        <v>3758</v>
      </c>
      <c r="B1244" s="148" t="s">
        <v>3759</v>
      </c>
      <c r="C1244" s="148" t="s">
        <v>139</v>
      </c>
      <c r="D1244" s="148" t="s">
        <v>1187</v>
      </c>
      <c r="E1244" s="148" t="s">
        <v>10</v>
      </c>
      <c r="F1244" s="148" t="s">
        <v>1118</v>
      </c>
      <c r="G1244" s="148" t="s">
        <v>129</v>
      </c>
      <c r="H1244" s="148">
        <v>82329</v>
      </c>
      <c r="I1244" s="148">
        <v>0</v>
      </c>
      <c r="J1244" s="148">
        <v>0</v>
      </c>
      <c r="K1244" s="148" t="str">
        <f t="shared" si="19"/>
        <v>ENTITYGRP_RORWA</v>
      </c>
    </row>
    <row r="1245" spans="1:11" hidden="1">
      <c r="A1245" s="148" t="s">
        <v>3760</v>
      </c>
      <c r="B1245" s="148" t="s">
        <v>3761</v>
      </c>
      <c r="C1245" s="148" t="s">
        <v>1120</v>
      </c>
      <c r="D1245" s="148" t="s">
        <v>1178</v>
      </c>
      <c r="E1245" s="148" t="s">
        <v>1009</v>
      </c>
      <c r="F1245" s="148" t="s">
        <v>1118</v>
      </c>
      <c r="G1245" s="148" t="s">
        <v>129</v>
      </c>
      <c r="H1245" s="148">
        <v>38</v>
      </c>
      <c r="I1245" s="148">
        <v>0</v>
      </c>
      <c r="J1245" s="148">
        <v>0</v>
      </c>
      <c r="K1245" s="148" t="str">
        <f t="shared" si="19"/>
        <v>ENTITYTTL_PRMSSBL_DBT_BLNC</v>
      </c>
    </row>
    <row r="1246" spans="1:11" hidden="1">
      <c r="A1246" s="148" t="s">
        <v>3762</v>
      </c>
      <c r="B1246" s="148" t="s">
        <v>3763</v>
      </c>
      <c r="C1246" s="148" t="s">
        <v>1120</v>
      </c>
      <c r="D1246" s="148" t="s">
        <v>1178</v>
      </c>
      <c r="E1246" s="148" t="s">
        <v>1009</v>
      </c>
      <c r="F1246" s="148" t="s">
        <v>1118</v>
      </c>
      <c r="G1246" s="148" t="s">
        <v>1011</v>
      </c>
      <c r="H1246" s="148">
        <v>68372</v>
      </c>
      <c r="I1246" s="148">
        <v>1</v>
      </c>
      <c r="J1246" s="148">
        <v>1.5E-3</v>
      </c>
      <c r="K1246" s="148" t="str">
        <f t="shared" si="19"/>
        <v>ENTITYTTL_PRMSSBL_DBT_BLNC</v>
      </c>
    </row>
    <row r="1247" spans="1:11" hidden="1">
      <c r="A1247" s="148" t="s">
        <v>3764</v>
      </c>
      <c r="B1247" s="148" t="s">
        <v>3765</v>
      </c>
      <c r="C1247" s="148" t="s">
        <v>1008</v>
      </c>
      <c r="D1247" s="148" t="s">
        <v>510</v>
      </c>
      <c r="E1247" s="148" t="s">
        <v>1009</v>
      </c>
      <c r="F1247" s="148" t="s">
        <v>1010</v>
      </c>
      <c r="G1247" s="148" t="s">
        <v>129</v>
      </c>
      <c r="H1247" s="148">
        <v>0</v>
      </c>
      <c r="I1247" s="148">
        <v>0</v>
      </c>
      <c r="J1247" s="148">
        <v>0</v>
      </c>
      <c r="K1247" s="148" t="str">
        <f t="shared" si="19"/>
        <v>INSTRUMENTSUBPORTFOLIO_ID</v>
      </c>
    </row>
    <row r="1248" spans="1:11" hidden="1">
      <c r="A1248" s="148" t="s">
        <v>3766</v>
      </c>
      <c r="B1248" s="148" t="s">
        <v>3767</v>
      </c>
      <c r="C1248" s="148" t="s">
        <v>1019</v>
      </c>
      <c r="D1248" s="148" t="s">
        <v>367</v>
      </c>
      <c r="E1248" s="148" t="s">
        <v>1009</v>
      </c>
      <c r="F1248" s="148" t="s">
        <v>1010</v>
      </c>
      <c r="G1248" s="148" t="s">
        <v>129</v>
      </c>
      <c r="H1248" s="148">
        <v>2138477</v>
      </c>
      <c r="I1248" s="148">
        <v>0</v>
      </c>
      <c r="J1248" s="148">
        <v>0</v>
      </c>
      <c r="K1248" s="148" t="str">
        <f t="shared" si="19"/>
        <v>INSTRUMENTINSTRMNT_ID</v>
      </c>
    </row>
    <row r="1249" spans="1:11" hidden="1">
      <c r="A1249" s="148" t="s">
        <v>3768</v>
      </c>
      <c r="B1249" s="148" t="s">
        <v>3769</v>
      </c>
      <c r="C1249" s="148" t="s">
        <v>1019</v>
      </c>
      <c r="D1249" s="148" t="s">
        <v>259</v>
      </c>
      <c r="E1249" s="148" t="s">
        <v>1009</v>
      </c>
      <c r="F1249" s="148" t="s">
        <v>1010</v>
      </c>
      <c r="G1249" s="148" t="s">
        <v>1011</v>
      </c>
      <c r="H1249" s="148">
        <v>2108486</v>
      </c>
      <c r="I1249" s="148">
        <v>1428</v>
      </c>
      <c r="J1249" s="148">
        <v>6.7699999999999996E-2</v>
      </c>
      <c r="K1249" s="148" t="str">
        <f t="shared" si="19"/>
        <v>INSTRUMENTDT_INCPTN</v>
      </c>
    </row>
    <row r="1250" spans="1:11" hidden="1">
      <c r="A1250" s="148" t="s">
        <v>3770</v>
      </c>
      <c r="B1250" s="148" t="s">
        <v>3771</v>
      </c>
      <c r="C1250" s="148" t="s">
        <v>1008</v>
      </c>
      <c r="D1250" s="148" t="s">
        <v>259</v>
      </c>
      <c r="E1250" s="148" t="s">
        <v>1009</v>
      </c>
      <c r="F1250" s="148" t="s">
        <v>1010</v>
      </c>
      <c r="G1250" s="148" t="s">
        <v>1011</v>
      </c>
      <c r="H1250" s="148">
        <v>206</v>
      </c>
      <c r="I1250" s="148">
        <v>13</v>
      </c>
      <c r="J1250" s="148">
        <v>6.3106999999999998</v>
      </c>
      <c r="K1250" s="148" t="str">
        <f t="shared" si="19"/>
        <v>INSTRUMENTDT_INCPTN</v>
      </c>
    </row>
    <row r="1251" spans="1:11" hidden="1">
      <c r="A1251" s="148" t="s">
        <v>3772</v>
      </c>
      <c r="B1251" s="148" t="s">
        <v>3773</v>
      </c>
      <c r="C1251" s="148" t="s">
        <v>127</v>
      </c>
      <c r="D1251" s="148" t="s">
        <v>259</v>
      </c>
      <c r="E1251" s="148" t="s">
        <v>1009</v>
      </c>
      <c r="F1251" s="148" t="s">
        <v>1010</v>
      </c>
      <c r="G1251" s="148" t="s">
        <v>129</v>
      </c>
      <c r="H1251" s="148">
        <v>2138963</v>
      </c>
      <c r="I1251" s="148">
        <v>0</v>
      </c>
      <c r="J1251" s="148">
        <v>0</v>
      </c>
      <c r="K1251" s="148" t="str">
        <f t="shared" si="19"/>
        <v>INSTRUMENTDT_INCPTN</v>
      </c>
    </row>
    <row r="1252" spans="1:11" hidden="1">
      <c r="A1252" s="148" t="s">
        <v>3774</v>
      </c>
      <c r="B1252" s="148" t="s">
        <v>3775</v>
      </c>
      <c r="C1252" s="148" t="s">
        <v>1008</v>
      </c>
      <c r="D1252" s="148" t="s">
        <v>259</v>
      </c>
      <c r="E1252" s="148" t="s">
        <v>1009</v>
      </c>
      <c r="F1252" s="148" t="s">
        <v>1010</v>
      </c>
      <c r="G1252" s="148" t="s">
        <v>129</v>
      </c>
      <c r="H1252" s="148">
        <v>3</v>
      </c>
      <c r="I1252" s="148">
        <v>0</v>
      </c>
      <c r="J1252" s="148">
        <v>0</v>
      </c>
      <c r="K1252" s="148" t="str">
        <f t="shared" si="19"/>
        <v>INSTRUMENTDT_INCPTN</v>
      </c>
    </row>
    <row r="1253" spans="1:11" hidden="1">
      <c r="A1253" s="148" t="s">
        <v>3776</v>
      </c>
      <c r="B1253" s="148" t="s">
        <v>3777</v>
      </c>
      <c r="C1253" s="148" t="s">
        <v>1008</v>
      </c>
      <c r="D1253" s="148" t="s">
        <v>163</v>
      </c>
      <c r="E1253" s="148" t="s">
        <v>1009</v>
      </c>
      <c r="F1253" s="148" t="s">
        <v>1010</v>
      </c>
      <c r="G1253" s="148" t="s">
        <v>129</v>
      </c>
      <c r="H1253" s="148">
        <v>279</v>
      </c>
      <c r="I1253" s="148">
        <v>0</v>
      </c>
      <c r="J1253" s="148">
        <v>0</v>
      </c>
      <c r="K1253" s="148" t="str">
        <f t="shared" si="19"/>
        <v>INSTRUMENTBRCHD_CVNNTS</v>
      </c>
    </row>
    <row r="1254" spans="1:11" hidden="1">
      <c r="A1254" s="148" t="s">
        <v>3778</v>
      </c>
      <c r="B1254" s="148" t="s">
        <v>3779</v>
      </c>
      <c r="C1254" s="148" t="s">
        <v>1008</v>
      </c>
      <c r="D1254" s="148" t="s">
        <v>204</v>
      </c>
      <c r="E1254" s="148" t="s">
        <v>1009</v>
      </c>
      <c r="F1254" s="148" t="s">
        <v>1010</v>
      </c>
      <c r="G1254" s="148" t="s">
        <v>129</v>
      </c>
      <c r="H1254" s="148">
        <v>0</v>
      </c>
      <c r="I1254" s="148">
        <v>0</v>
      </c>
      <c r="J1254" s="148">
        <v>0</v>
      </c>
      <c r="K1254" s="148" t="str">
        <f t="shared" si="19"/>
        <v>INSTRUMENTCVNNT_STTS</v>
      </c>
    </row>
    <row r="1255" spans="1:11" hidden="1">
      <c r="A1255" s="148" t="s">
        <v>3780</v>
      </c>
      <c r="B1255" s="148" t="s">
        <v>3781</v>
      </c>
      <c r="C1255" s="148" t="s">
        <v>1008</v>
      </c>
      <c r="D1255" s="148" t="s">
        <v>204</v>
      </c>
      <c r="E1255" s="148" t="s">
        <v>1009</v>
      </c>
      <c r="F1255" s="148" t="s">
        <v>1010</v>
      </c>
      <c r="G1255" s="148" t="s">
        <v>1011</v>
      </c>
      <c r="H1255" s="148">
        <v>378839</v>
      </c>
      <c r="I1255" s="148">
        <v>378543</v>
      </c>
      <c r="J1255" s="148">
        <v>99.921899999999994</v>
      </c>
      <c r="K1255" s="148" t="str">
        <f t="shared" si="19"/>
        <v>INSTRUMENTCVNNT_STTS</v>
      </c>
    </row>
    <row r="1256" spans="1:11" hidden="1">
      <c r="A1256" s="148" t="s">
        <v>3782</v>
      </c>
      <c r="B1256" s="148" t="s">
        <v>3783</v>
      </c>
      <c r="C1256" s="148" t="s">
        <v>1008</v>
      </c>
      <c r="D1256" s="148" t="s">
        <v>205</v>
      </c>
      <c r="E1256" s="148" t="s">
        <v>1009</v>
      </c>
      <c r="F1256" s="148" t="s">
        <v>1010</v>
      </c>
      <c r="G1256" s="148" t="s">
        <v>129</v>
      </c>
      <c r="H1256" s="148">
        <v>0</v>
      </c>
      <c r="I1256" s="148">
        <v>0</v>
      </c>
      <c r="J1256" s="148">
        <v>0</v>
      </c>
      <c r="K1256" s="148" t="str">
        <f t="shared" si="19"/>
        <v>INSTRUMENTCVNNT_TYP</v>
      </c>
    </row>
    <row r="1257" spans="1:11" hidden="1">
      <c r="A1257" s="148" t="s">
        <v>3784</v>
      </c>
      <c r="B1257" s="148" t="s">
        <v>3785</v>
      </c>
      <c r="C1257" s="148" t="s">
        <v>1008</v>
      </c>
      <c r="D1257" s="148" t="s">
        <v>205</v>
      </c>
      <c r="E1257" s="148" t="s">
        <v>1009</v>
      </c>
      <c r="F1257" s="148" t="s">
        <v>1010</v>
      </c>
      <c r="G1257" s="148" t="s">
        <v>129</v>
      </c>
      <c r="H1257" s="148">
        <v>279</v>
      </c>
      <c r="I1257" s="148">
        <v>0</v>
      </c>
      <c r="J1257" s="148">
        <v>0</v>
      </c>
      <c r="K1257" s="148" t="str">
        <f t="shared" si="19"/>
        <v>INSTRUMENTCVNNT_TYP</v>
      </c>
    </row>
    <row r="1258" spans="1:11" hidden="1">
      <c r="A1258" s="148" t="s">
        <v>3786</v>
      </c>
      <c r="B1258" s="148" t="s">
        <v>3787</v>
      </c>
      <c r="C1258" s="148" t="s">
        <v>1008</v>
      </c>
      <c r="D1258" s="148" t="s">
        <v>205</v>
      </c>
      <c r="E1258" s="148" t="s">
        <v>1009</v>
      </c>
      <c r="F1258" s="148" t="s">
        <v>1010</v>
      </c>
      <c r="G1258" s="148" t="s">
        <v>129</v>
      </c>
      <c r="H1258" s="148">
        <v>18</v>
      </c>
      <c r="I1258" s="148">
        <v>0</v>
      </c>
      <c r="J1258" s="148">
        <v>0</v>
      </c>
      <c r="K1258" s="148" t="str">
        <f t="shared" si="19"/>
        <v>INSTRUMENTCVNNT_TYP</v>
      </c>
    </row>
    <row r="1259" spans="1:11" hidden="1">
      <c r="A1259" s="148" t="s">
        <v>3788</v>
      </c>
      <c r="B1259" s="148" t="s">
        <v>3789</v>
      </c>
      <c r="C1259" s="148" t="s">
        <v>1008</v>
      </c>
      <c r="D1259" s="148" t="s">
        <v>205</v>
      </c>
      <c r="E1259" s="148" t="s">
        <v>1009</v>
      </c>
      <c r="F1259" s="148" t="s">
        <v>1010</v>
      </c>
      <c r="G1259" s="148" t="s">
        <v>129</v>
      </c>
      <c r="H1259" s="148">
        <v>1</v>
      </c>
      <c r="I1259" s="148">
        <v>0</v>
      </c>
      <c r="J1259" s="148">
        <v>0</v>
      </c>
      <c r="K1259" s="148" t="str">
        <f t="shared" si="19"/>
        <v>INSTRUMENTCVNNT_TYP</v>
      </c>
    </row>
    <row r="1260" spans="1:11" hidden="1">
      <c r="A1260" s="148" t="s">
        <v>3790</v>
      </c>
      <c r="B1260" s="148" t="s">
        <v>3791</v>
      </c>
      <c r="C1260" s="148" t="s">
        <v>1019</v>
      </c>
      <c r="D1260" s="148" t="s">
        <v>480</v>
      </c>
      <c r="E1260" s="148" t="s">
        <v>1009</v>
      </c>
      <c r="F1260" s="148" t="s">
        <v>1010</v>
      </c>
      <c r="G1260" s="148" t="s">
        <v>129</v>
      </c>
      <c r="H1260" s="148">
        <v>0</v>
      </c>
      <c r="I1260" s="148">
        <v>0</v>
      </c>
      <c r="J1260" s="148">
        <v>0</v>
      </c>
      <c r="K1260" s="148" t="str">
        <f t="shared" si="19"/>
        <v>INSTRUMENTDFLT_STTS_INSTRMNT</v>
      </c>
    </row>
    <row r="1261" spans="1:11" hidden="1">
      <c r="A1261" s="148" t="s">
        <v>3792</v>
      </c>
      <c r="B1261" s="148" t="s">
        <v>3793</v>
      </c>
      <c r="C1261" s="148" t="s">
        <v>1037</v>
      </c>
      <c r="D1261" s="148" t="s">
        <v>480</v>
      </c>
      <c r="E1261" s="148" t="s">
        <v>1009</v>
      </c>
      <c r="F1261" s="148" t="s">
        <v>1010</v>
      </c>
      <c r="G1261" s="148" t="s">
        <v>1011</v>
      </c>
      <c r="H1261" s="148">
        <v>110</v>
      </c>
      <c r="I1261" s="148">
        <v>12</v>
      </c>
      <c r="J1261" s="148">
        <v>10.9091</v>
      </c>
      <c r="K1261" s="148" t="str">
        <f t="shared" si="19"/>
        <v>INSTRUMENTDFLT_STTS_INSTRMNT</v>
      </c>
    </row>
    <row r="1262" spans="1:11" hidden="1">
      <c r="A1262" s="148" t="s">
        <v>3794</v>
      </c>
      <c r="B1262" s="148" t="s">
        <v>3795</v>
      </c>
      <c r="C1262" s="148" t="s">
        <v>1019</v>
      </c>
      <c r="D1262" s="148" t="s">
        <v>241</v>
      </c>
      <c r="E1262" s="148" t="s">
        <v>1009</v>
      </c>
      <c r="F1262" s="148" t="s">
        <v>1010</v>
      </c>
      <c r="G1262" s="148" t="s">
        <v>129</v>
      </c>
      <c r="H1262" s="148">
        <v>0</v>
      </c>
      <c r="I1262" s="148">
        <v>0</v>
      </c>
      <c r="J1262" s="148">
        <v>0</v>
      </c>
      <c r="K1262" s="148" t="str">
        <f t="shared" si="19"/>
        <v>INSTRUMENTDT_DFLT_STTS_INSTRMNT</v>
      </c>
    </row>
    <row r="1263" spans="1:11" hidden="1">
      <c r="A1263" s="148" t="s">
        <v>3796</v>
      </c>
      <c r="B1263" s="148" t="s">
        <v>3797</v>
      </c>
      <c r="C1263" s="148" t="s">
        <v>1019</v>
      </c>
      <c r="D1263" s="148" t="s">
        <v>241</v>
      </c>
      <c r="E1263" s="148" t="s">
        <v>1009</v>
      </c>
      <c r="F1263" s="148" t="s">
        <v>1010</v>
      </c>
      <c r="G1263" s="148" t="s">
        <v>129</v>
      </c>
      <c r="H1263" s="148">
        <v>23410</v>
      </c>
      <c r="I1263" s="148">
        <v>0</v>
      </c>
      <c r="J1263" s="148">
        <v>0</v>
      </c>
      <c r="K1263" s="148" t="str">
        <f t="shared" si="19"/>
        <v>INSTRUMENTDT_DFLT_STTS_INSTRMNT</v>
      </c>
    </row>
    <row r="1264" spans="1:11" hidden="1">
      <c r="A1264" s="148" t="s">
        <v>3798</v>
      </c>
      <c r="B1264" s="148" t="s">
        <v>3799</v>
      </c>
      <c r="C1264" s="148" t="s">
        <v>1008</v>
      </c>
      <c r="D1264" s="148" t="s">
        <v>241</v>
      </c>
      <c r="E1264" s="148" t="s">
        <v>1009</v>
      </c>
      <c r="F1264" s="148" t="s">
        <v>1010</v>
      </c>
      <c r="G1264" s="148" t="s">
        <v>1011</v>
      </c>
      <c r="H1264" s="148">
        <v>2138628</v>
      </c>
      <c r="I1264" s="148">
        <v>1</v>
      </c>
      <c r="J1264" s="148">
        <v>0</v>
      </c>
      <c r="K1264" s="148" t="str">
        <f t="shared" si="19"/>
        <v>INSTRUMENTDT_DFLT_STTS_INSTRMNT</v>
      </c>
    </row>
    <row r="1265" spans="1:11" hidden="1">
      <c r="A1265" s="148" t="s">
        <v>3800</v>
      </c>
      <c r="B1265" s="148" t="s">
        <v>3801</v>
      </c>
      <c r="C1265" s="148" t="s">
        <v>1008</v>
      </c>
      <c r="D1265" s="148" t="s">
        <v>241</v>
      </c>
      <c r="E1265" s="148" t="s">
        <v>1009</v>
      </c>
      <c r="F1265" s="148" t="s">
        <v>1010</v>
      </c>
      <c r="G1265" s="148" t="s">
        <v>1011</v>
      </c>
      <c r="H1265" s="148">
        <v>117687</v>
      </c>
      <c r="I1265" s="148">
        <v>545</v>
      </c>
      <c r="J1265" s="148">
        <v>0.46310000000000001</v>
      </c>
      <c r="K1265" s="148" t="str">
        <f t="shared" si="19"/>
        <v>INSTRUMENTDT_DFLT_STTS_INSTRMNT</v>
      </c>
    </row>
    <row r="1266" spans="1:11" hidden="1">
      <c r="A1266" s="148" t="s">
        <v>3802</v>
      </c>
      <c r="B1266" s="148" t="s">
        <v>3803</v>
      </c>
      <c r="C1266" s="148" t="s">
        <v>1008</v>
      </c>
      <c r="D1266" s="148" t="s">
        <v>243</v>
      </c>
      <c r="E1266" s="148" t="s">
        <v>1009</v>
      </c>
      <c r="F1266" s="148" t="s">
        <v>1010</v>
      </c>
      <c r="G1266" s="148" t="s">
        <v>129</v>
      </c>
      <c r="H1266" s="148">
        <v>110020</v>
      </c>
      <c r="I1266" s="148">
        <v>0</v>
      </c>
      <c r="J1266" s="148">
        <v>0</v>
      </c>
      <c r="K1266" s="148" t="str">
        <f t="shared" si="19"/>
        <v>INSTRUMENTDT_END_GP_PPAL</v>
      </c>
    </row>
    <row r="1267" spans="1:11" hidden="1">
      <c r="A1267" s="148" t="s">
        <v>3804</v>
      </c>
      <c r="B1267" s="148" t="s">
        <v>3805</v>
      </c>
      <c r="C1267" s="148" t="s">
        <v>1008</v>
      </c>
      <c r="D1267" s="148" t="s">
        <v>243</v>
      </c>
      <c r="E1267" s="148" t="s">
        <v>1009</v>
      </c>
      <c r="F1267" s="148" t="s">
        <v>1010</v>
      </c>
      <c r="G1267" s="148" t="s">
        <v>1011</v>
      </c>
      <c r="H1267" s="148">
        <v>109996</v>
      </c>
      <c r="I1267" s="148">
        <v>49</v>
      </c>
      <c r="J1267" s="148">
        <v>4.4499999999999998E-2</v>
      </c>
      <c r="K1267" s="148" t="str">
        <f t="shared" si="19"/>
        <v>INSTRUMENTDT_END_GP_PPAL</v>
      </c>
    </row>
    <row r="1268" spans="1:11" hidden="1">
      <c r="A1268" s="148" t="s">
        <v>3806</v>
      </c>
      <c r="B1268" s="148" t="s">
        <v>3807</v>
      </c>
      <c r="C1268" s="148" t="s">
        <v>1008</v>
      </c>
      <c r="D1268" s="148" t="s">
        <v>243</v>
      </c>
      <c r="E1268" s="148" t="s">
        <v>1009</v>
      </c>
      <c r="F1268" s="148" t="s">
        <v>1010</v>
      </c>
      <c r="G1268" s="148" t="s">
        <v>129</v>
      </c>
      <c r="H1268" s="148">
        <v>108359</v>
      </c>
      <c r="I1268" s="148">
        <v>0</v>
      </c>
      <c r="J1268" s="148">
        <v>0</v>
      </c>
      <c r="K1268" s="148" t="str">
        <f t="shared" si="19"/>
        <v>INSTRUMENTDT_END_GP_PPAL</v>
      </c>
    </row>
    <row r="1269" spans="1:11" hidden="1">
      <c r="A1269" s="148" t="s">
        <v>3808</v>
      </c>
      <c r="B1269" s="148" t="s">
        <v>3809</v>
      </c>
      <c r="C1269" s="148" t="s">
        <v>1008</v>
      </c>
      <c r="D1269" s="148" t="s">
        <v>243</v>
      </c>
      <c r="E1269" s="148" t="s">
        <v>1009</v>
      </c>
      <c r="F1269" s="148" t="s">
        <v>1010</v>
      </c>
      <c r="G1269" s="148" t="s">
        <v>129</v>
      </c>
      <c r="H1269" s="148">
        <v>11612</v>
      </c>
      <c r="I1269" s="148">
        <v>0</v>
      </c>
      <c r="J1269" s="148">
        <v>0</v>
      </c>
      <c r="K1269" s="148" t="str">
        <f t="shared" si="19"/>
        <v>INSTRUMENTDT_END_GP_PPAL</v>
      </c>
    </row>
    <row r="1270" spans="1:11" hidden="1">
      <c r="A1270" s="148" t="s">
        <v>3810</v>
      </c>
      <c r="B1270" s="148" t="s">
        <v>3811</v>
      </c>
      <c r="C1270" s="148" t="s">
        <v>1008</v>
      </c>
      <c r="D1270" s="148" t="s">
        <v>243</v>
      </c>
      <c r="E1270" s="148" t="s">
        <v>1009</v>
      </c>
      <c r="F1270" s="148" t="s">
        <v>1010</v>
      </c>
      <c r="G1270" s="148" t="s">
        <v>1011</v>
      </c>
      <c r="H1270" s="148">
        <v>1964372</v>
      </c>
      <c r="I1270" s="148">
        <v>24</v>
      </c>
      <c r="J1270" s="148">
        <v>1.1999999999999999E-3</v>
      </c>
      <c r="K1270" s="148" t="str">
        <f t="shared" si="19"/>
        <v>INSTRUMENTDT_END_GP_PPAL</v>
      </c>
    </row>
    <row r="1271" spans="1:11" hidden="1">
      <c r="A1271" s="148" t="s">
        <v>3812</v>
      </c>
      <c r="B1271" s="148" t="s">
        <v>3813</v>
      </c>
      <c r="C1271" s="148" t="s">
        <v>127</v>
      </c>
      <c r="D1271" s="148" t="s">
        <v>243</v>
      </c>
      <c r="E1271" s="148" t="s">
        <v>1009</v>
      </c>
      <c r="F1271" s="148" t="s">
        <v>1010</v>
      </c>
      <c r="G1271" s="148" t="s">
        <v>1011</v>
      </c>
      <c r="H1271" s="148">
        <v>110020</v>
      </c>
      <c r="I1271" s="148">
        <v>4</v>
      </c>
      <c r="J1271" s="148">
        <v>3.5999999999999999E-3</v>
      </c>
      <c r="K1271" s="148" t="str">
        <f t="shared" si="19"/>
        <v>INSTRUMENTDT_END_GP_PPAL</v>
      </c>
    </row>
    <row r="1272" spans="1:11" hidden="1">
      <c r="A1272" s="148" t="s">
        <v>3814</v>
      </c>
      <c r="B1272" s="148" t="s">
        <v>3815</v>
      </c>
      <c r="C1272" s="148" t="s">
        <v>1008</v>
      </c>
      <c r="D1272" s="148" t="s">
        <v>245</v>
      </c>
      <c r="E1272" s="148" t="s">
        <v>1009</v>
      </c>
      <c r="F1272" s="148" t="s">
        <v>1010</v>
      </c>
      <c r="G1272" s="148" t="s">
        <v>1011</v>
      </c>
      <c r="H1272" s="148">
        <v>121632</v>
      </c>
      <c r="I1272" s="148">
        <v>7971</v>
      </c>
      <c r="J1272" s="148">
        <v>6.5533999999999999</v>
      </c>
      <c r="K1272" s="148" t="str">
        <f t="shared" si="19"/>
        <v>INSTRUMENTDT_END_INTRST_ONLY</v>
      </c>
    </row>
    <row r="1273" spans="1:11" hidden="1">
      <c r="A1273" s="148" t="s">
        <v>3816</v>
      </c>
      <c r="B1273" s="148" t="s">
        <v>3817</v>
      </c>
      <c r="C1273" s="148" t="s">
        <v>1008</v>
      </c>
      <c r="D1273" s="148" t="s">
        <v>245</v>
      </c>
      <c r="E1273" s="148" t="s">
        <v>1009</v>
      </c>
      <c r="F1273" s="148" t="s">
        <v>1010</v>
      </c>
      <c r="G1273" s="148" t="s">
        <v>129</v>
      </c>
      <c r="H1273" s="148">
        <v>111031</v>
      </c>
      <c r="I1273" s="148">
        <v>0</v>
      </c>
      <c r="J1273" s="148">
        <v>0</v>
      </c>
      <c r="K1273" s="148" t="str">
        <f t="shared" si="19"/>
        <v>INSTRUMENTDT_END_INTRST_ONLY</v>
      </c>
    </row>
    <row r="1274" spans="1:11" hidden="1">
      <c r="A1274" s="148" t="s">
        <v>3818</v>
      </c>
      <c r="B1274" s="148" t="s">
        <v>3819</v>
      </c>
      <c r="C1274" s="148" t="s">
        <v>1008</v>
      </c>
      <c r="D1274" s="148" t="s">
        <v>245</v>
      </c>
      <c r="E1274" s="148" t="s">
        <v>1009</v>
      </c>
      <c r="F1274" s="148" t="s">
        <v>1010</v>
      </c>
      <c r="G1274" s="148" t="s">
        <v>1011</v>
      </c>
      <c r="H1274" s="148">
        <v>1960696</v>
      </c>
      <c r="I1274" s="148">
        <v>24</v>
      </c>
      <c r="J1274" s="148">
        <v>1.1999999999999999E-3</v>
      </c>
      <c r="K1274" s="148" t="str">
        <f t="shared" si="19"/>
        <v>INSTRUMENTDT_END_INTRST_ONLY</v>
      </c>
    </row>
    <row r="1275" spans="1:11" hidden="1">
      <c r="A1275" s="148" t="s">
        <v>3820</v>
      </c>
      <c r="B1275" s="148" t="s">
        <v>3821</v>
      </c>
      <c r="C1275" s="148" t="s">
        <v>127</v>
      </c>
      <c r="D1275" s="148" t="s">
        <v>245</v>
      </c>
      <c r="E1275" s="148" t="s">
        <v>1009</v>
      </c>
      <c r="F1275" s="148" t="s">
        <v>1010</v>
      </c>
      <c r="G1275" s="148" t="s">
        <v>1011</v>
      </c>
      <c r="H1275" s="148">
        <v>111031</v>
      </c>
      <c r="I1275" s="148">
        <v>5</v>
      </c>
      <c r="J1275" s="148">
        <v>4.4999999999999997E-3</v>
      </c>
      <c r="K1275" s="148" t="str">
        <f t="shared" si="19"/>
        <v>INSTRUMENTDT_END_INTRST_ONLY</v>
      </c>
    </row>
    <row r="1276" spans="1:11" hidden="1">
      <c r="A1276" s="148" t="s">
        <v>3822</v>
      </c>
      <c r="B1276" s="148" t="s">
        <v>3823</v>
      </c>
      <c r="C1276" s="148" t="s">
        <v>1008</v>
      </c>
      <c r="D1276" s="148" t="s">
        <v>447</v>
      </c>
      <c r="E1276" s="148" t="s">
        <v>1009</v>
      </c>
      <c r="F1276" s="148" t="s">
        <v>1010</v>
      </c>
      <c r="G1276" s="148" t="s">
        <v>1011</v>
      </c>
      <c r="H1276" s="148">
        <v>2138963</v>
      </c>
      <c r="I1276" s="148">
        <v>4</v>
      </c>
      <c r="J1276" s="148">
        <v>2.0000000000000001E-4</v>
      </c>
      <c r="K1276" s="148" t="str">
        <f t="shared" si="19"/>
        <v>INSTRUMENTDT_FRBRNC_STTS</v>
      </c>
    </row>
    <row r="1277" spans="1:11" hidden="1">
      <c r="A1277" s="148" t="s">
        <v>3824</v>
      </c>
      <c r="B1277" s="148" t="s">
        <v>3825</v>
      </c>
      <c r="C1277" s="148" t="s">
        <v>1008</v>
      </c>
      <c r="D1277" s="148" t="s">
        <v>447</v>
      </c>
      <c r="E1277" s="148" t="s">
        <v>1009</v>
      </c>
      <c r="F1277" s="148" t="s">
        <v>1010</v>
      </c>
      <c r="G1277" s="148" t="s">
        <v>129</v>
      </c>
      <c r="H1277" s="148">
        <v>2138963</v>
      </c>
      <c r="I1277" s="148">
        <v>0</v>
      </c>
      <c r="J1277" s="148">
        <v>0</v>
      </c>
      <c r="K1277" s="148" t="str">
        <f t="shared" si="19"/>
        <v>INSTRUMENTDT_FRBRNC_STTS</v>
      </c>
    </row>
    <row r="1278" spans="1:11" hidden="1">
      <c r="A1278" s="148" t="s">
        <v>3826</v>
      </c>
      <c r="B1278" s="148" t="s">
        <v>3827</v>
      </c>
      <c r="C1278" s="148" t="s">
        <v>1008</v>
      </c>
      <c r="D1278" s="148" t="s">
        <v>447</v>
      </c>
      <c r="E1278" s="148" t="s">
        <v>1009</v>
      </c>
      <c r="F1278" s="148" t="s">
        <v>1010</v>
      </c>
      <c r="G1278" s="148" t="s">
        <v>1011</v>
      </c>
      <c r="H1278" s="148">
        <v>570</v>
      </c>
      <c r="I1278" s="148">
        <v>419</v>
      </c>
      <c r="J1278" s="148">
        <v>73.508799999999994</v>
      </c>
      <c r="K1278" s="148" t="str">
        <f t="shared" si="19"/>
        <v>INSTRUMENTDT_FRBRNC_STTS</v>
      </c>
    </row>
    <row r="1279" spans="1:11" hidden="1">
      <c r="A1279" s="148" t="s">
        <v>3828</v>
      </c>
      <c r="B1279" s="148" t="s">
        <v>3829</v>
      </c>
      <c r="C1279" s="148" t="s">
        <v>1037</v>
      </c>
      <c r="D1279" s="148" t="s">
        <v>447</v>
      </c>
      <c r="E1279" s="148" t="s">
        <v>1009</v>
      </c>
      <c r="F1279" s="148" t="s">
        <v>1010</v>
      </c>
      <c r="G1279" s="148" t="s">
        <v>1011</v>
      </c>
      <c r="H1279" s="148">
        <v>29649</v>
      </c>
      <c r="I1279" s="148">
        <v>29649</v>
      </c>
      <c r="J1279" s="148">
        <v>100</v>
      </c>
      <c r="K1279" s="148" t="str">
        <f t="shared" si="19"/>
        <v>INSTRUMENTDT_FRBRNC_STTS</v>
      </c>
    </row>
    <row r="1280" spans="1:11" hidden="1">
      <c r="A1280" s="148" t="s">
        <v>3830</v>
      </c>
      <c r="B1280" s="148" t="s">
        <v>3831</v>
      </c>
      <c r="C1280" s="148" t="s">
        <v>1008</v>
      </c>
      <c r="D1280" s="148" t="s">
        <v>431</v>
      </c>
      <c r="E1280" s="148" t="s">
        <v>1009</v>
      </c>
      <c r="F1280" s="148" t="s">
        <v>1010</v>
      </c>
      <c r="G1280" s="148" t="s">
        <v>1011</v>
      </c>
      <c r="H1280" s="148">
        <v>28775</v>
      </c>
      <c r="I1280" s="148">
        <v>1330</v>
      </c>
      <c r="J1280" s="148">
        <v>4.6220999999999997</v>
      </c>
      <c r="K1280" s="148" t="str">
        <f t="shared" si="19"/>
        <v>INSTRUMENTDT_FRBRNC_STTS_PRVS</v>
      </c>
    </row>
    <row r="1281" spans="1:11" hidden="1">
      <c r="A1281" s="148" t="s">
        <v>3832</v>
      </c>
      <c r="B1281" s="148" t="s">
        <v>3833</v>
      </c>
      <c r="C1281" s="148" t="s">
        <v>1008</v>
      </c>
      <c r="D1281" s="148" t="s">
        <v>431</v>
      </c>
      <c r="E1281" s="148" t="s">
        <v>1009</v>
      </c>
      <c r="F1281" s="148" t="s">
        <v>1010</v>
      </c>
      <c r="G1281" s="148" t="s">
        <v>1011</v>
      </c>
      <c r="H1281" s="148">
        <v>28775</v>
      </c>
      <c r="I1281" s="148">
        <v>6</v>
      </c>
      <c r="J1281" s="148">
        <v>2.0899999999999998E-2</v>
      </c>
      <c r="K1281" s="148" t="str">
        <f t="shared" si="19"/>
        <v>INSTRUMENTDT_FRBRNC_STTS_PRVS</v>
      </c>
    </row>
    <row r="1282" spans="1:11" hidden="1">
      <c r="A1282" s="148" t="s">
        <v>3834</v>
      </c>
      <c r="B1282" s="148" t="s">
        <v>3835</v>
      </c>
      <c r="C1282" s="148" t="s">
        <v>1008</v>
      </c>
      <c r="D1282" s="148" t="s">
        <v>3836</v>
      </c>
      <c r="E1282" s="148" t="s">
        <v>1009</v>
      </c>
      <c r="F1282" s="148" t="s">
        <v>1010</v>
      </c>
      <c r="G1282" s="148" t="s">
        <v>129</v>
      </c>
      <c r="H1282" s="148">
        <v>2008604</v>
      </c>
      <c r="I1282" s="148">
        <v>0</v>
      </c>
      <c r="J1282" s="148">
        <v>0</v>
      </c>
      <c r="K1282" s="148" t="str">
        <f t="shared" si="19"/>
        <v>INSTRUMENTIN_DT_INTRNL_RTNG</v>
      </c>
    </row>
    <row r="1283" spans="1:11" hidden="1">
      <c r="A1283" s="148" t="s">
        <v>3837</v>
      </c>
      <c r="B1283" s="148" t="s">
        <v>3838</v>
      </c>
      <c r="C1283" s="148" t="s">
        <v>1019</v>
      </c>
      <c r="D1283" s="148" t="s">
        <v>260</v>
      </c>
      <c r="E1283" s="148" t="s">
        <v>1009</v>
      </c>
      <c r="F1283" s="148" t="s">
        <v>1010</v>
      </c>
      <c r="G1283" s="148" t="s">
        <v>1011</v>
      </c>
      <c r="H1283" s="148">
        <v>90401</v>
      </c>
      <c r="I1283" s="148">
        <v>30807</v>
      </c>
      <c r="J1283" s="148">
        <v>34.078200000000002</v>
      </c>
      <c r="K1283" s="148" t="str">
        <f t="shared" ref="K1283:K1346" si="20">_xlfn.CONCAT(_xlfn.IFS(ISNUMBER(SEARCH("EN",A1283)),"ENTITY",ISNUMBER(SEARCH("IN",A1283)),"INSTRUMENT",ISNUMBER(SEARCH("PR",A1283)),"PROTECTION",ISNUMBER(SEARCH("IP",A1283)),"INSTR_PROTECTION",ISNUMBER(SEARCH("IE",A1283)),"INSTR_ENTITY",ISNUMBER(SEARCH("AC",A1283)),"INSTR_ACTIVITY"),D1283)</f>
        <v>INSTRUMENTDT_INTRNL_RTNG</v>
      </c>
    </row>
    <row r="1284" spans="1:11" hidden="1">
      <c r="A1284" s="148" t="s">
        <v>3839</v>
      </c>
      <c r="B1284" s="148" t="s">
        <v>3840</v>
      </c>
      <c r="C1284" s="148" t="s">
        <v>1008</v>
      </c>
      <c r="D1284" s="148" t="s">
        <v>260</v>
      </c>
      <c r="E1284" s="148" t="s">
        <v>1009</v>
      </c>
      <c r="F1284" s="148" t="s">
        <v>1010</v>
      </c>
      <c r="G1284" s="148" t="s">
        <v>129</v>
      </c>
      <c r="H1284" s="148">
        <v>1961151</v>
      </c>
      <c r="I1284" s="148">
        <v>0</v>
      </c>
      <c r="J1284" s="148">
        <v>0</v>
      </c>
      <c r="K1284" s="148" t="str">
        <f t="shared" si="20"/>
        <v>INSTRUMENTDT_INTRNL_RTNG</v>
      </c>
    </row>
    <row r="1285" spans="1:11" hidden="1">
      <c r="A1285" s="148" t="s">
        <v>3841</v>
      </c>
      <c r="B1285" s="148" t="s">
        <v>3842</v>
      </c>
      <c r="C1285" s="148" t="s">
        <v>1019</v>
      </c>
      <c r="D1285" s="148" t="s">
        <v>53</v>
      </c>
      <c r="E1285" s="148" t="s">
        <v>1009</v>
      </c>
      <c r="F1285" s="148" t="s">
        <v>1010</v>
      </c>
      <c r="G1285" s="148" t="s">
        <v>129</v>
      </c>
      <c r="H1285" s="148">
        <v>10509</v>
      </c>
      <c r="I1285" s="148">
        <v>0</v>
      </c>
      <c r="J1285" s="148">
        <v>0</v>
      </c>
      <c r="K1285" s="148" t="str">
        <f t="shared" si="20"/>
        <v>INSTRUMENTDT_PRFRMNG_STTS</v>
      </c>
    </row>
    <row r="1286" spans="1:11" hidden="1">
      <c r="A1286" s="148" t="s">
        <v>3843</v>
      </c>
      <c r="B1286" s="148" t="s">
        <v>3844</v>
      </c>
      <c r="C1286" s="148" t="s">
        <v>1008</v>
      </c>
      <c r="D1286" s="148" t="s">
        <v>53</v>
      </c>
      <c r="E1286" s="148" t="s">
        <v>1009</v>
      </c>
      <c r="F1286" s="148" t="s">
        <v>1010</v>
      </c>
      <c r="G1286" s="148" t="s">
        <v>129</v>
      </c>
      <c r="H1286" s="148">
        <v>2138963</v>
      </c>
      <c r="I1286" s="148">
        <v>0</v>
      </c>
      <c r="J1286" s="148">
        <v>0</v>
      </c>
      <c r="K1286" s="148" t="str">
        <f t="shared" si="20"/>
        <v>INSTRUMENTDT_PRFRMNG_STTS</v>
      </c>
    </row>
    <row r="1287" spans="1:11" hidden="1">
      <c r="A1287" s="148" t="s">
        <v>3845</v>
      </c>
      <c r="B1287" s="148" t="s">
        <v>3846</v>
      </c>
      <c r="C1287" s="148" t="s">
        <v>1008</v>
      </c>
      <c r="D1287" s="148" t="s">
        <v>53</v>
      </c>
      <c r="E1287" s="148" t="s">
        <v>1009</v>
      </c>
      <c r="F1287" s="148" t="s">
        <v>1010</v>
      </c>
      <c r="G1287" s="148" t="s">
        <v>129</v>
      </c>
      <c r="H1287" s="148">
        <v>2138953</v>
      </c>
      <c r="I1287" s="148">
        <v>0</v>
      </c>
      <c r="J1287" s="148">
        <v>0</v>
      </c>
      <c r="K1287" s="148" t="str">
        <f t="shared" si="20"/>
        <v>INSTRUMENTDT_PRFRMNG_STTS</v>
      </c>
    </row>
    <row r="1288" spans="1:11" hidden="1">
      <c r="A1288" s="148" t="s">
        <v>3847</v>
      </c>
      <c r="B1288" s="148" t="s">
        <v>3848</v>
      </c>
      <c r="C1288" s="148" t="s">
        <v>1008</v>
      </c>
      <c r="D1288" s="148" t="s">
        <v>54</v>
      </c>
      <c r="E1288" s="148" t="s">
        <v>1009</v>
      </c>
      <c r="F1288" s="148" t="s">
        <v>1010</v>
      </c>
      <c r="G1288" s="148" t="s">
        <v>129</v>
      </c>
      <c r="H1288" s="148">
        <v>2138963</v>
      </c>
      <c r="I1288" s="148">
        <v>0</v>
      </c>
      <c r="J1288" s="148">
        <v>0</v>
      </c>
      <c r="K1288" s="148" t="str">
        <f t="shared" si="20"/>
        <v>INSTRUMENTDT_PRFRMNG_STTS_PRVS</v>
      </c>
    </row>
    <row r="1289" spans="1:11" hidden="1">
      <c r="A1289" s="148" t="s">
        <v>3849</v>
      </c>
      <c r="B1289" s="148" t="s">
        <v>3850</v>
      </c>
      <c r="C1289" s="148" t="s">
        <v>1019</v>
      </c>
      <c r="D1289" s="148" t="s">
        <v>54</v>
      </c>
      <c r="E1289" s="148" t="s">
        <v>1009</v>
      </c>
      <c r="F1289" s="148" t="s">
        <v>1010</v>
      </c>
      <c r="G1289" s="148" t="s">
        <v>129</v>
      </c>
      <c r="H1289" s="148">
        <v>10509</v>
      </c>
      <c r="I1289" s="148">
        <v>0</v>
      </c>
      <c r="J1289" s="148">
        <v>0</v>
      </c>
      <c r="K1289" s="148" t="str">
        <f t="shared" si="20"/>
        <v>INSTRUMENTDT_PRFRMNG_STTS_PRVS</v>
      </c>
    </row>
    <row r="1290" spans="1:11" hidden="1">
      <c r="A1290" s="148" t="s">
        <v>3851</v>
      </c>
      <c r="B1290" s="148" t="s">
        <v>3852</v>
      </c>
      <c r="C1290" s="148" t="s">
        <v>1008</v>
      </c>
      <c r="D1290" s="148" t="s">
        <v>54</v>
      </c>
      <c r="E1290" s="148" t="s">
        <v>1009</v>
      </c>
      <c r="F1290" s="148" t="s">
        <v>1010</v>
      </c>
      <c r="G1290" s="148" t="s">
        <v>129</v>
      </c>
      <c r="H1290" s="148">
        <v>2138953</v>
      </c>
      <c r="I1290" s="148">
        <v>0</v>
      </c>
      <c r="J1290" s="148">
        <v>0</v>
      </c>
      <c r="K1290" s="148" t="str">
        <f t="shared" si="20"/>
        <v>INSTRUMENTDT_PRFRMNG_STTS_PRVS</v>
      </c>
    </row>
    <row r="1291" spans="1:11" hidden="1">
      <c r="A1291" s="148" t="s">
        <v>3853</v>
      </c>
      <c r="B1291" s="148" t="s">
        <v>3854</v>
      </c>
      <c r="C1291" s="148" t="s">
        <v>1008</v>
      </c>
      <c r="D1291" s="148" t="s">
        <v>54</v>
      </c>
      <c r="E1291" s="148" t="s">
        <v>1009</v>
      </c>
      <c r="F1291" s="148" t="s">
        <v>1010</v>
      </c>
      <c r="G1291" s="148" t="s">
        <v>129</v>
      </c>
      <c r="H1291" s="148">
        <v>0</v>
      </c>
      <c r="I1291" s="148">
        <v>0</v>
      </c>
      <c r="J1291" s="148">
        <v>0</v>
      </c>
      <c r="K1291" s="148" t="str">
        <f t="shared" si="20"/>
        <v>INSTRUMENTDT_PRFRMNG_STTS_PRVS</v>
      </c>
    </row>
    <row r="1292" spans="1:11" hidden="1">
      <c r="A1292" s="148" t="s">
        <v>3855</v>
      </c>
      <c r="B1292" s="148" t="s">
        <v>3856</v>
      </c>
      <c r="C1292" s="148" t="s">
        <v>1008</v>
      </c>
      <c r="D1292" s="148" t="s">
        <v>285</v>
      </c>
      <c r="E1292" s="148" t="s">
        <v>1009</v>
      </c>
      <c r="F1292" s="148" t="s">
        <v>1010</v>
      </c>
      <c r="G1292" s="148" t="s">
        <v>1011</v>
      </c>
      <c r="H1292" s="148">
        <v>111007</v>
      </c>
      <c r="I1292" s="148">
        <v>49</v>
      </c>
      <c r="J1292" s="148">
        <v>4.41E-2</v>
      </c>
      <c r="K1292" s="148" t="str">
        <f t="shared" si="20"/>
        <v>INSTRUMENTDT_STRT_INTRST_ONLY</v>
      </c>
    </row>
    <row r="1293" spans="1:11" hidden="1">
      <c r="A1293" s="148" t="s">
        <v>3857</v>
      </c>
      <c r="B1293" s="148" t="s">
        <v>3858</v>
      </c>
      <c r="C1293" s="148" t="s">
        <v>1008</v>
      </c>
      <c r="D1293" s="148" t="s">
        <v>285</v>
      </c>
      <c r="E1293" s="148" t="s">
        <v>1009</v>
      </c>
      <c r="F1293" s="148" t="s">
        <v>1010</v>
      </c>
      <c r="G1293" s="148" t="s">
        <v>1011</v>
      </c>
      <c r="H1293" s="148">
        <v>121632</v>
      </c>
      <c r="I1293" s="148">
        <v>7960</v>
      </c>
      <c r="J1293" s="148">
        <v>6.5442999999999998</v>
      </c>
      <c r="K1293" s="148" t="str">
        <f t="shared" si="20"/>
        <v>INSTRUMENTDT_STRT_INTRST_ONLY</v>
      </c>
    </row>
    <row r="1294" spans="1:11" hidden="1">
      <c r="A1294" s="148" t="s">
        <v>3859</v>
      </c>
      <c r="B1294" s="148" t="s">
        <v>3860</v>
      </c>
      <c r="C1294" s="148" t="s">
        <v>1008</v>
      </c>
      <c r="D1294" s="148" t="s">
        <v>285</v>
      </c>
      <c r="E1294" s="148" t="s">
        <v>1009</v>
      </c>
      <c r="F1294" s="148" t="s">
        <v>1010</v>
      </c>
      <c r="G1294" s="148" t="s">
        <v>1011</v>
      </c>
      <c r="H1294" s="148">
        <v>131548</v>
      </c>
      <c r="I1294" s="148">
        <v>117</v>
      </c>
      <c r="J1294" s="148">
        <v>8.8900000000000007E-2</v>
      </c>
      <c r="K1294" s="148" t="str">
        <f t="shared" si="20"/>
        <v>INSTRUMENTDT_STRT_INTRST_ONLY</v>
      </c>
    </row>
    <row r="1295" spans="1:11" hidden="1">
      <c r="A1295" s="148" t="s">
        <v>3861</v>
      </c>
      <c r="B1295" s="148" t="s">
        <v>3862</v>
      </c>
      <c r="C1295" s="148" t="s">
        <v>1008</v>
      </c>
      <c r="D1295" s="148" t="s">
        <v>285</v>
      </c>
      <c r="E1295" s="148" t="s">
        <v>1009</v>
      </c>
      <c r="F1295" s="148" t="s">
        <v>1010</v>
      </c>
      <c r="G1295" s="148" t="s">
        <v>129</v>
      </c>
      <c r="H1295" s="148">
        <v>131548</v>
      </c>
      <c r="I1295" s="148">
        <v>0</v>
      </c>
      <c r="J1295" s="148">
        <v>0</v>
      </c>
      <c r="K1295" s="148" t="str">
        <f t="shared" si="20"/>
        <v>INSTRUMENTDT_STRT_INTRST_ONLY</v>
      </c>
    </row>
    <row r="1296" spans="1:11" hidden="1">
      <c r="A1296" s="148" t="s">
        <v>3863</v>
      </c>
      <c r="B1296" s="148" t="s">
        <v>3864</v>
      </c>
      <c r="C1296" s="148" t="s">
        <v>127</v>
      </c>
      <c r="D1296" s="148" t="s">
        <v>324</v>
      </c>
      <c r="E1296" s="148" t="s">
        <v>10</v>
      </c>
      <c r="F1296" s="148" t="s">
        <v>1010</v>
      </c>
      <c r="G1296" s="148" t="s">
        <v>129</v>
      </c>
      <c r="H1296" s="148">
        <v>378839</v>
      </c>
      <c r="I1296" s="148">
        <v>0</v>
      </c>
      <c r="J1296" s="148">
        <v>0</v>
      </c>
      <c r="K1296" s="148" t="str">
        <f t="shared" si="20"/>
        <v>INSTRUMENTFLG_LBO</v>
      </c>
    </row>
    <row r="1297" spans="1:11" hidden="1">
      <c r="A1297" s="148" t="s">
        <v>3865</v>
      </c>
      <c r="B1297" s="148" t="s">
        <v>3866</v>
      </c>
      <c r="C1297" s="148" t="s">
        <v>1008</v>
      </c>
      <c r="D1297" s="148" t="s">
        <v>312</v>
      </c>
      <c r="E1297" s="148" t="s">
        <v>1009</v>
      </c>
      <c r="F1297" s="148" t="s">
        <v>1010</v>
      </c>
      <c r="G1297" s="148" t="s">
        <v>129</v>
      </c>
      <c r="H1297" s="148">
        <v>3552</v>
      </c>
      <c r="I1297" s="148">
        <v>0</v>
      </c>
      <c r="J1297" s="148">
        <v>0</v>
      </c>
      <c r="K1297" s="148" t="str">
        <f t="shared" si="20"/>
        <v>INSTRUMENTFRBRNC_STTS_INSTRMNT</v>
      </c>
    </row>
    <row r="1298" spans="1:11" hidden="1">
      <c r="A1298" s="148" t="s">
        <v>3867</v>
      </c>
      <c r="B1298" s="148" t="s">
        <v>3868</v>
      </c>
      <c r="C1298" s="148" t="s">
        <v>1008</v>
      </c>
      <c r="D1298" s="148" t="s">
        <v>312</v>
      </c>
      <c r="E1298" s="148" t="s">
        <v>1009</v>
      </c>
      <c r="F1298" s="148" t="s">
        <v>1010</v>
      </c>
      <c r="G1298" s="148" t="s">
        <v>129</v>
      </c>
      <c r="H1298" s="148">
        <v>394780</v>
      </c>
      <c r="I1298" s="148">
        <v>0</v>
      </c>
      <c r="J1298" s="148">
        <v>0</v>
      </c>
      <c r="K1298" s="148" t="str">
        <f t="shared" si="20"/>
        <v>INSTRUMENTFRBRNC_STTS_INSTRMNT</v>
      </c>
    </row>
    <row r="1299" spans="1:11" hidden="1">
      <c r="A1299" s="148" t="s">
        <v>3869</v>
      </c>
      <c r="B1299" s="148" t="s">
        <v>686</v>
      </c>
      <c r="C1299" s="148" t="s">
        <v>1008</v>
      </c>
      <c r="D1299" s="148" t="s">
        <v>44</v>
      </c>
      <c r="E1299" s="148" t="s">
        <v>1009</v>
      </c>
      <c r="F1299" s="148" t="s">
        <v>1010</v>
      </c>
      <c r="G1299" s="148" t="s">
        <v>129</v>
      </c>
      <c r="H1299" s="148">
        <v>7814</v>
      </c>
      <c r="I1299" s="148">
        <v>0</v>
      </c>
      <c r="J1299" s="148">
        <v>0</v>
      </c>
      <c r="K1299" s="148" t="str">
        <f t="shared" si="20"/>
        <v>INSTRUMENTIMPRMNT_STTS</v>
      </c>
    </row>
    <row r="1300" spans="1:11" hidden="1">
      <c r="A1300" s="148" t="s">
        <v>1022</v>
      </c>
      <c r="B1300" s="148" t="s">
        <v>1023</v>
      </c>
      <c r="C1300" s="148" t="s">
        <v>1008</v>
      </c>
      <c r="D1300" s="148" t="s">
        <v>44</v>
      </c>
      <c r="E1300" s="148" t="s">
        <v>1009</v>
      </c>
      <c r="F1300" s="148" t="s">
        <v>1010</v>
      </c>
      <c r="G1300" s="148" t="s">
        <v>1011</v>
      </c>
      <c r="H1300" s="148">
        <v>130343</v>
      </c>
      <c r="I1300" s="148">
        <v>67</v>
      </c>
      <c r="J1300" s="148">
        <v>5.1400000000000001E-2</v>
      </c>
      <c r="K1300" s="148" t="str">
        <f t="shared" si="20"/>
        <v>INSTRUMENTIMPRMNT_STTS</v>
      </c>
    </row>
    <row r="1301" spans="1:11" hidden="1">
      <c r="A1301" s="148" t="s">
        <v>1024</v>
      </c>
      <c r="B1301" s="148" t="s">
        <v>1025</v>
      </c>
      <c r="C1301" s="148" t="s">
        <v>1008</v>
      </c>
      <c r="D1301" s="148" t="s">
        <v>44</v>
      </c>
      <c r="E1301" s="148" t="s">
        <v>1009</v>
      </c>
      <c r="F1301" s="148" t="s">
        <v>1010</v>
      </c>
      <c r="G1301" s="148" t="s">
        <v>1011</v>
      </c>
      <c r="H1301" s="148">
        <v>2008285</v>
      </c>
      <c r="I1301" s="148">
        <v>51</v>
      </c>
      <c r="J1301" s="148">
        <v>2.5000000000000001E-3</v>
      </c>
      <c r="K1301" s="148" t="str">
        <f t="shared" si="20"/>
        <v>INSTRUMENTIMPRMNT_STTS</v>
      </c>
    </row>
    <row r="1302" spans="1:11" hidden="1">
      <c r="A1302" s="148" t="s">
        <v>3870</v>
      </c>
      <c r="B1302" s="148" t="s">
        <v>695</v>
      </c>
      <c r="C1302" s="148" t="s">
        <v>1008</v>
      </c>
      <c r="D1302" s="148" t="s">
        <v>44</v>
      </c>
      <c r="E1302" s="148" t="s">
        <v>1009</v>
      </c>
      <c r="F1302" s="148" t="s">
        <v>1010</v>
      </c>
      <c r="G1302" s="148" t="s">
        <v>129</v>
      </c>
      <c r="H1302" s="148">
        <v>2008623</v>
      </c>
      <c r="I1302" s="148">
        <v>0</v>
      </c>
      <c r="J1302" s="148">
        <v>0</v>
      </c>
      <c r="K1302" s="148" t="str">
        <f t="shared" si="20"/>
        <v>INSTRUMENTIMPRMNT_STTS</v>
      </c>
    </row>
    <row r="1303" spans="1:11" hidden="1">
      <c r="A1303" s="148" t="s">
        <v>1026</v>
      </c>
      <c r="B1303" s="148" t="s">
        <v>1027</v>
      </c>
      <c r="C1303" s="148" t="s">
        <v>1019</v>
      </c>
      <c r="D1303" s="148" t="s">
        <v>44</v>
      </c>
      <c r="E1303" s="148" t="s">
        <v>1009</v>
      </c>
      <c r="F1303" s="148" t="s">
        <v>1010</v>
      </c>
      <c r="G1303" s="148" t="s">
        <v>1011</v>
      </c>
      <c r="H1303" s="148">
        <v>16150</v>
      </c>
      <c r="I1303" s="148">
        <v>1924</v>
      </c>
      <c r="J1303" s="148">
        <v>11.9133</v>
      </c>
      <c r="K1303" s="148" t="str">
        <f t="shared" si="20"/>
        <v>INSTRUMENTIMPRMNT_STTS</v>
      </c>
    </row>
    <row r="1304" spans="1:11" hidden="1">
      <c r="A1304" s="148" t="s">
        <v>3871</v>
      </c>
      <c r="B1304" s="148" t="s">
        <v>3872</v>
      </c>
      <c r="C1304" s="148" t="s">
        <v>1028</v>
      </c>
      <c r="D1304" s="148" t="s">
        <v>44</v>
      </c>
      <c r="E1304" s="148" t="s">
        <v>1009</v>
      </c>
      <c r="F1304" s="148" t="s">
        <v>1010</v>
      </c>
      <c r="G1304" s="148" t="s">
        <v>129</v>
      </c>
      <c r="H1304" s="148">
        <v>1871334</v>
      </c>
      <c r="I1304" s="148">
        <v>0</v>
      </c>
      <c r="J1304" s="148">
        <v>0</v>
      </c>
      <c r="K1304" s="148" t="str">
        <f t="shared" si="20"/>
        <v>INSTRUMENTIMPRMNT_STTS</v>
      </c>
    </row>
    <row r="1305" spans="1:11" hidden="1">
      <c r="A1305" s="148" t="s">
        <v>1029</v>
      </c>
      <c r="B1305" s="148" t="s">
        <v>1030</v>
      </c>
      <c r="C1305" s="148" t="s">
        <v>1028</v>
      </c>
      <c r="D1305" s="148" t="s">
        <v>44</v>
      </c>
      <c r="E1305" s="148" t="s">
        <v>1009</v>
      </c>
      <c r="F1305" s="148" t="s">
        <v>1010</v>
      </c>
      <c r="G1305" s="148" t="s">
        <v>1011</v>
      </c>
      <c r="H1305" s="148">
        <v>1676415</v>
      </c>
      <c r="I1305" s="148">
        <v>7</v>
      </c>
      <c r="J1305" s="148">
        <v>4.0000000000000002E-4</v>
      </c>
      <c r="K1305" s="148" t="str">
        <f t="shared" si="20"/>
        <v>INSTRUMENTIMPRMNT_STTS</v>
      </c>
    </row>
    <row r="1306" spans="1:11" hidden="1">
      <c r="A1306" s="148" t="s">
        <v>3873</v>
      </c>
      <c r="B1306" s="148" t="s">
        <v>3874</v>
      </c>
      <c r="C1306" s="148" t="s">
        <v>1028</v>
      </c>
      <c r="D1306" s="148" t="s">
        <v>44</v>
      </c>
      <c r="E1306" s="148" t="s">
        <v>1009</v>
      </c>
      <c r="F1306" s="148" t="s">
        <v>1010</v>
      </c>
      <c r="G1306" s="148" t="s">
        <v>129</v>
      </c>
      <c r="H1306" s="148">
        <v>332211</v>
      </c>
      <c r="I1306" s="148">
        <v>0</v>
      </c>
      <c r="J1306" s="148">
        <v>0</v>
      </c>
      <c r="K1306" s="148" t="str">
        <f t="shared" si="20"/>
        <v>INSTRUMENTIMPRMNT_STTS</v>
      </c>
    </row>
    <row r="1307" spans="1:11" hidden="1">
      <c r="A1307" s="148" t="s">
        <v>3875</v>
      </c>
      <c r="B1307" s="148" t="s">
        <v>3876</v>
      </c>
      <c r="C1307" s="148" t="s">
        <v>1028</v>
      </c>
      <c r="D1307" s="148" t="s">
        <v>44</v>
      </c>
      <c r="E1307" s="148" t="s">
        <v>1009</v>
      </c>
      <c r="F1307" s="148" t="s">
        <v>1010</v>
      </c>
      <c r="G1307" s="148" t="s">
        <v>129</v>
      </c>
      <c r="H1307" s="148">
        <v>130324</v>
      </c>
      <c r="I1307" s="148">
        <v>0</v>
      </c>
      <c r="J1307" s="148">
        <v>0</v>
      </c>
      <c r="K1307" s="148" t="str">
        <f t="shared" si="20"/>
        <v>INSTRUMENTIMPRMNT_STTS</v>
      </c>
    </row>
    <row r="1308" spans="1:11" hidden="1">
      <c r="A1308" s="148" t="s">
        <v>1031</v>
      </c>
      <c r="B1308" s="148" t="s">
        <v>1032</v>
      </c>
      <c r="C1308" s="148" t="s">
        <v>1028</v>
      </c>
      <c r="D1308" s="148" t="s">
        <v>46</v>
      </c>
      <c r="E1308" s="148" t="s">
        <v>1009</v>
      </c>
      <c r="F1308" s="148" t="s">
        <v>1010</v>
      </c>
      <c r="G1308" s="148" t="s">
        <v>1011</v>
      </c>
      <c r="H1308" s="148">
        <v>13</v>
      </c>
      <c r="I1308" s="148">
        <v>3</v>
      </c>
      <c r="J1308" s="148">
        <v>23.076899999999998</v>
      </c>
      <c r="K1308" s="148" t="str">
        <f t="shared" si="20"/>
        <v>INSTRUMENTIMPRMNT_STTS_PRVS</v>
      </c>
    </row>
    <row r="1309" spans="1:11" hidden="1">
      <c r="A1309" s="148" t="s">
        <v>3877</v>
      </c>
      <c r="B1309" s="148" t="s">
        <v>3878</v>
      </c>
      <c r="C1309" s="148" t="s">
        <v>1028</v>
      </c>
      <c r="D1309" s="148" t="s">
        <v>46</v>
      </c>
      <c r="E1309" s="148" t="s">
        <v>1009</v>
      </c>
      <c r="F1309" s="148" t="s">
        <v>1010</v>
      </c>
      <c r="G1309" s="148" t="s">
        <v>129</v>
      </c>
      <c r="H1309" s="148">
        <v>1871334</v>
      </c>
      <c r="I1309" s="148">
        <v>0</v>
      </c>
      <c r="J1309" s="148">
        <v>0</v>
      </c>
      <c r="K1309" s="148" t="str">
        <f t="shared" si="20"/>
        <v>INSTRUMENTIMPRMNT_STTS_PRVS</v>
      </c>
    </row>
    <row r="1310" spans="1:11" hidden="1">
      <c r="A1310" s="148" t="s">
        <v>3879</v>
      </c>
      <c r="B1310" s="148" t="s">
        <v>3880</v>
      </c>
      <c r="C1310" s="148" t="s">
        <v>1008</v>
      </c>
      <c r="D1310" s="148" t="s">
        <v>1864</v>
      </c>
      <c r="E1310" s="148" t="s">
        <v>1009</v>
      </c>
      <c r="F1310" s="148" t="s">
        <v>1010</v>
      </c>
      <c r="G1310" s="148" t="s">
        <v>129</v>
      </c>
      <c r="H1310" s="148">
        <v>1961151</v>
      </c>
      <c r="I1310" s="148">
        <v>0</v>
      </c>
      <c r="J1310" s="148">
        <v>0</v>
      </c>
      <c r="K1310" s="148" t="str">
        <f t="shared" si="20"/>
        <v>INSTRUMENTIN_INTRNL_RTNG</v>
      </c>
    </row>
    <row r="1311" spans="1:11" hidden="1">
      <c r="A1311" s="148" t="s">
        <v>3881</v>
      </c>
      <c r="B1311" s="148" t="s">
        <v>3882</v>
      </c>
      <c r="C1311" s="148" t="s">
        <v>1008</v>
      </c>
      <c r="D1311" s="148" t="s">
        <v>1864</v>
      </c>
      <c r="E1311" s="148" t="s">
        <v>1009</v>
      </c>
      <c r="F1311" s="148" t="s">
        <v>1010</v>
      </c>
      <c r="G1311" s="148" t="s">
        <v>1011</v>
      </c>
      <c r="H1311" s="148">
        <v>1759460</v>
      </c>
      <c r="I1311" s="148">
        <v>115347</v>
      </c>
      <c r="J1311" s="148">
        <v>6.5557999999999996</v>
      </c>
      <c r="K1311" s="148" t="str">
        <f t="shared" si="20"/>
        <v>INSTRUMENTIN_INTRNL_RTNG</v>
      </c>
    </row>
    <row r="1312" spans="1:11" hidden="1">
      <c r="A1312" s="148" t="s">
        <v>3883</v>
      </c>
      <c r="B1312" s="148" t="s">
        <v>3884</v>
      </c>
      <c r="C1312" s="148" t="s">
        <v>1008</v>
      </c>
      <c r="D1312" s="148" t="s">
        <v>1864</v>
      </c>
      <c r="E1312" s="148" t="s">
        <v>1009</v>
      </c>
      <c r="F1312" s="148" t="s">
        <v>1010</v>
      </c>
      <c r="G1312" s="148" t="s">
        <v>1011</v>
      </c>
      <c r="H1312" s="148">
        <v>379168</v>
      </c>
      <c r="I1312" s="148">
        <v>364170</v>
      </c>
      <c r="J1312" s="148">
        <v>96.044499999999999</v>
      </c>
      <c r="K1312" s="148" t="str">
        <f t="shared" si="20"/>
        <v>INSTRUMENTIN_INTRNL_RTNG</v>
      </c>
    </row>
    <row r="1313" spans="1:11" hidden="1">
      <c r="A1313" s="148" t="s">
        <v>3885</v>
      </c>
      <c r="B1313" s="148" t="s">
        <v>3886</v>
      </c>
      <c r="C1313" s="148" t="s">
        <v>1008</v>
      </c>
      <c r="D1313" s="148" t="s">
        <v>370</v>
      </c>
      <c r="E1313" s="148" t="s">
        <v>1009</v>
      </c>
      <c r="F1313" s="148" t="s">
        <v>1010</v>
      </c>
      <c r="G1313" s="148" t="s">
        <v>129</v>
      </c>
      <c r="H1313" s="148">
        <v>130343</v>
      </c>
      <c r="I1313" s="148">
        <v>0</v>
      </c>
      <c r="J1313" s="148">
        <v>0</v>
      </c>
      <c r="K1313" s="148" t="str">
        <f t="shared" si="20"/>
        <v>INSTRUMENTINTRNL_RTNG_INCPTN</v>
      </c>
    </row>
    <row r="1314" spans="1:11" hidden="1">
      <c r="A1314" s="148" t="s">
        <v>3887</v>
      </c>
      <c r="B1314" s="148" t="s">
        <v>3888</v>
      </c>
      <c r="C1314" s="148" t="s">
        <v>1008</v>
      </c>
      <c r="D1314" s="148" t="s">
        <v>370</v>
      </c>
      <c r="E1314" s="148" t="s">
        <v>1009</v>
      </c>
      <c r="F1314" s="148" t="s">
        <v>1010</v>
      </c>
      <c r="G1314" s="148" t="s">
        <v>129</v>
      </c>
      <c r="H1314" s="148">
        <v>772729</v>
      </c>
      <c r="I1314" s="148">
        <v>0</v>
      </c>
      <c r="J1314" s="148">
        <v>0</v>
      </c>
      <c r="K1314" s="148" t="str">
        <f t="shared" si="20"/>
        <v>INSTRUMENTINTRNL_RTNG_INCPTN</v>
      </c>
    </row>
    <row r="1315" spans="1:11" hidden="1">
      <c r="A1315" s="148" t="s">
        <v>3889</v>
      </c>
      <c r="B1315" s="148" t="s">
        <v>3890</v>
      </c>
      <c r="C1315" s="148" t="s">
        <v>1008</v>
      </c>
      <c r="D1315" s="148" t="s">
        <v>393</v>
      </c>
      <c r="E1315" s="148" t="s">
        <v>1009</v>
      </c>
      <c r="F1315" s="148" t="s">
        <v>1010</v>
      </c>
      <c r="G1315" s="148" t="s">
        <v>1011</v>
      </c>
      <c r="H1315" s="148">
        <v>13</v>
      </c>
      <c r="I1315" s="148">
        <v>13</v>
      </c>
      <c r="J1315" s="148">
        <v>100</v>
      </c>
      <c r="K1315" s="148" t="str">
        <f t="shared" si="20"/>
        <v>INSTRUMENTLCRE</v>
      </c>
    </row>
    <row r="1316" spans="1:11" hidden="1">
      <c r="A1316" s="148" t="s">
        <v>3891</v>
      </c>
      <c r="B1316" s="148" t="s">
        <v>3892</v>
      </c>
      <c r="C1316" s="148" t="s">
        <v>1008</v>
      </c>
      <c r="D1316" s="148" t="s">
        <v>393</v>
      </c>
      <c r="E1316" s="148" t="s">
        <v>1009</v>
      </c>
      <c r="F1316" s="148" t="s">
        <v>1010</v>
      </c>
      <c r="G1316" s="148" t="s">
        <v>129</v>
      </c>
      <c r="H1316" s="148">
        <v>2138819</v>
      </c>
      <c r="I1316" s="148">
        <v>0</v>
      </c>
      <c r="J1316" s="148">
        <v>0</v>
      </c>
      <c r="K1316" s="148" t="str">
        <f t="shared" si="20"/>
        <v>INSTRUMENTLCRE</v>
      </c>
    </row>
    <row r="1317" spans="1:11" hidden="1">
      <c r="A1317" s="148" t="s">
        <v>3893</v>
      </c>
      <c r="B1317" s="148" t="s">
        <v>3894</v>
      </c>
      <c r="C1317" s="148" t="s">
        <v>1037</v>
      </c>
      <c r="D1317" s="148" t="s">
        <v>397</v>
      </c>
      <c r="E1317" s="148" t="s">
        <v>1009</v>
      </c>
      <c r="F1317" s="148" t="s">
        <v>1010</v>
      </c>
      <c r="G1317" s="148" t="s">
        <v>129</v>
      </c>
      <c r="H1317" s="148">
        <v>16</v>
      </c>
      <c r="I1317" s="148">
        <v>0</v>
      </c>
      <c r="J1317" s="148">
        <v>0</v>
      </c>
      <c r="K1317" s="148" t="str">
        <f t="shared" si="20"/>
        <v>INSTRUMENTLGL_PRCDNG_STTS</v>
      </c>
    </row>
    <row r="1318" spans="1:11" hidden="1">
      <c r="A1318" s="148" t="s">
        <v>3895</v>
      </c>
      <c r="B1318" s="148" t="s">
        <v>3896</v>
      </c>
      <c r="C1318" s="148" t="s">
        <v>1019</v>
      </c>
      <c r="D1318" s="148" t="s">
        <v>397</v>
      </c>
      <c r="E1318" s="148" t="s">
        <v>1009</v>
      </c>
      <c r="F1318" s="148" t="s">
        <v>1010</v>
      </c>
      <c r="G1318" s="148" t="s">
        <v>129</v>
      </c>
      <c r="H1318" s="148">
        <v>398355</v>
      </c>
      <c r="I1318" s="148">
        <v>0</v>
      </c>
      <c r="J1318" s="148">
        <v>0</v>
      </c>
      <c r="K1318" s="148" t="str">
        <f t="shared" si="20"/>
        <v>INSTRUMENTLGL_PRCDNG_STTS</v>
      </c>
    </row>
    <row r="1319" spans="1:11" hidden="1">
      <c r="A1319" s="148" t="s">
        <v>3897</v>
      </c>
      <c r="B1319" s="148" t="s">
        <v>3898</v>
      </c>
      <c r="C1319" s="148" t="s">
        <v>1008</v>
      </c>
      <c r="D1319" s="148" t="s">
        <v>287</v>
      </c>
      <c r="E1319" s="148" t="s">
        <v>1009</v>
      </c>
      <c r="F1319" s="148" t="s">
        <v>1010</v>
      </c>
      <c r="G1319" s="148" t="s">
        <v>1011</v>
      </c>
      <c r="H1319" s="148">
        <v>13</v>
      </c>
      <c r="I1319" s="148">
        <v>13</v>
      </c>
      <c r="J1319" s="148">
        <v>100</v>
      </c>
      <c r="K1319" s="148" t="str">
        <f t="shared" si="20"/>
        <v>INSTRUMENTPOCI</v>
      </c>
    </row>
    <row r="1320" spans="1:11" hidden="1">
      <c r="A1320" s="148" t="s">
        <v>3899</v>
      </c>
      <c r="B1320" s="148" t="s">
        <v>3900</v>
      </c>
      <c r="C1320" s="148" t="s">
        <v>1008</v>
      </c>
      <c r="D1320" s="148" t="s">
        <v>287</v>
      </c>
      <c r="E1320" s="148" t="s">
        <v>1009</v>
      </c>
      <c r="F1320" s="148" t="s">
        <v>1010</v>
      </c>
      <c r="G1320" s="148" t="s">
        <v>129</v>
      </c>
      <c r="H1320" s="148">
        <v>2138819</v>
      </c>
      <c r="I1320" s="148">
        <v>0</v>
      </c>
      <c r="J1320" s="148">
        <v>0</v>
      </c>
      <c r="K1320" s="148" t="str">
        <f t="shared" si="20"/>
        <v>INSTRUMENTPOCI</v>
      </c>
    </row>
    <row r="1321" spans="1:11" hidden="1">
      <c r="A1321" s="148" t="s">
        <v>1033</v>
      </c>
      <c r="B1321" s="148" t="s">
        <v>1034</v>
      </c>
      <c r="C1321" s="148" t="s">
        <v>1008</v>
      </c>
      <c r="D1321" s="148" t="s">
        <v>45</v>
      </c>
      <c r="E1321" s="148" t="s">
        <v>1009</v>
      </c>
      <c r="F1321" s="148" t="s">
        <v>1010</v>
      </c>
      <c r="G1321" s="148" t="s">
        <v>1011</v>
      </c>
      <c r="H1321" s="148">
        <v>130343</v>
      </c>
      <c r="I1321" s="148">
        <v>67</v>
      </c>
      <c r="J1321" s="148">
        <v>5.1400000000000001E-2</v>
      </c>
      <c r="K1321" s="148" t="str">
        <f t="shared" si="20"/>
        <v>INSTRUMENTPRFRMNG_STTS</v>
      </c>
    </row>
    <row r="1322" spans="1:11" hidden="1">
      <c r="A1322" s="148" t="s">
        <v>3901</v>
      </c>
      <c r="B1322" s="148" t="s">
        <v>3902</v>
      </c>
      <c r="C1322" s="148" t="s">
        <v>1008</v>
      </c>
      <c r="D1322" s="148" t="s">
        <v>45</v>
      </c>
      <c r="E1322" s="148" t="s">
        <v>1009</v>
      </c>
      <c r="F1322" s="148" t="s">
        <v>1010</v>
      </c>
      <c r="G1322" s="148" t="s">
        <v>129</v>
      </c>
      <c r="H1322" s="148">
        <v>2138953</v>
      </c>
      <c r="I1322" s="148">
        <v>0</v>
      </c>
      <c r="J1322" s="148">
        <v>0</v>
      </c>
      <c r="K1322" s="148" t="str">
        <f t="shared" si="20"/>
        <v>INSTRUMENTPRFRMNG_STTS</v>
      </c>
    </row>
    <row r="1323" spans="1:11" hidden="1">
      <c r="A1323" s="148" t="s">
        <v>3903</v>
      </c>
      <c r="B1323" s="148" t="s">
        <v>3904</v>
      </c>
      <c r="C1323" s="148" t="s">
        <v>1008</v>
      </c>
      <c r="D1323" s="148" t="s">
        <v>45</v>
      </c>
      <c r="E1323" s="148" t="s">
        <v>1009</v>
      </c>
      <c r="F1323" s="148" t="s">
        <v>1010</v>
      </c>
      <c r="G1323" s="148" t="s">
        <v>129</v>
      </c>
      <c r="H1323" s="148">
        <v>1676086</v>
      </c>
      <c r="I1323" s="148">
        <v>0</v>
      </c>
      <c r="J1323" s="148">
        <v>0</v>
      </c>
      <c r="K1323" s="148" t="str">
        <f t="shared" si="20"/>
        <v>INSTRUMENTPRFRMNG_STTS</v>
      </c>
    </row>
    <row r="1324" spans="1:11" hidden="1">
      <c r="A1324" s="148" t="s">
        <v>1035</v>
      </c>
      <c r="B1324" s="148" t="s">
        <v>1036</v>
      </c>
      <c r="C1324" s="148" t="s">
        <v>1037</v>
      </c>
      <c r="D1324" s="148" t="s">
        <v>45</v>
      </c>
      <c r="E1324" s="148" t="s">
        <v>1009</v>
      </c>
      <c r="F1324" s="148" t="s">
        <v>1010</v>
      </c>
      <c r="G1324" s="148" t="s">
        <v>1011</v>
      </c>
      <c r="H1324" s="148">
        <v>110</v>
      </c>
      <c r="I1324" s="148">
        <v>12</v>
      </c>
      <c r="J1324" s="148">
        <v>10.9091</v>
      </c>
      <c r="K1324" s="148" t="str">
        <f t="shared" si="20"/>
        <v>INSTRUMENTPRFRMNG_STTS</v>
      </c>
    </row>
    <row r="1325" spans="1:11" hidden="1">
      <c r="A1325" s="148" t="s">
        <v>1040</v>
      </c>
      <c r="B1325" s="148" t="s">
        <v>1041</v>
      </c>
      <c r="C1325" s="148" t="s">
        <v>1028</v>
      </c>
      <c r="D1325" s="148" t="s">
        <v>45</v>
      </c>
      <c r="E1325" s="148" t="s">
        <v>1009</v>
      </c>
      <c r="F1325" s="148" t="s">
        <v>1010</v>
      </c>
      <c r="G1325" s="148" t="s">
        <v>1011</v>
      </c>
      <c r="H1325" s="148">
        <v>2008639</v>
      </c>
      <c r="I1325" s="148">
        <v>3</v>
      </c>
      <c r="J1325" s="148">
        <v>1E-4</v>
      </c>
      <c r="K1325" s="148" t="str">
        <f t="shared" si="20"/>
        <v>INSTRUMENTPRFRMNG_STTS</v>
      </c>
    </row>
    <row r="1326" spans="1:11" hidden="1">
      <c r="A1326" s="148" t="s">
        <v>3905</v>
      </c>
      <c r="B1326" s="148" t="s">
        <v>3906</v>
      </c>
      <c r="C1326" s="148" t="s">
        <v>1028</v>
      </c>
      <c r="D1326" s="148" t="s">
        <v>45</v>
      </c>
      <c r="E1326" s="148" t="s">
        <v>1009</v>
      </c>
      <c r="F1326" s="148" t="s">
        <v>1010</v>
      </c>
      <c r="G1326" s="148" t="s">
        <v>129</v>
      </c>
      <c r="H1326" s="148">
        <v>130324</v>
      </c>
      <c r="I1326" s="148">
        <v>0</v>
      </c>
      <c r="J1326" s="148">
        <v>0</v>
      </c>
      <c r="K1326" s="148" t="str">
        <f t="shared" si="20"/>
        <v>INSTRUMENTPRFRMNG_STTS</v>
      </c>
    </row>
    <row r="1327" spans="1:11" hidden="1">
      <c r="A1327" s="148" t="s">
        <v>3907</v>
      </c>
      <c r="B1327" s="148" t="s">
        <v>3908</v>
      </c>
      <c r="C1327" s="148" t="s">
        <v>1037</v>
      </c>
      <c r="D1327" s="148" t="s">
        <v>45</v>
      </c>
      <c r="E1327" s="148" t="s">
        <v>1009</v>
      </c>
      <c r="F1327" s="148" t="s">
        <v>1010</v>
      </c>
      <c r="G1327" s="148" t="s">
        <v>129</v>
      </c>
      <c r="H1327" s="148">
        <v>0</v>
      </c>
      <c r="I1327" s="148">
        <v>0</v>
      </c>
      <c r="J1327" s="148">
        <v>0</v>
      </c>
      <c r="K1327" s="148" t="str">
        <f t="shared" si="20"/>
        <v>INSTRUMENTPRFRMNG_STTS</v>
      </c>
    </row>
    <row r="1328" spans="1:11" hidden="1">
      <c r="A1328" s="148" t="s">
        <v>3909</v>
      </c>
      <c r="B1328" s="148" t="s">
        <v>3910</v>
      </c>
      <c r="C1328" s="148" t="s">
        <v>1008</v>
      </c>
      <c r="D1328" s="148" t="s">
        <v>45</v>
      </c>
      <c r="E1328" s="148" t="s">
        <v>1009</v>
      </c>
      <c r="F1328" s="148" t="s">
        <v>1010</v>
      </c>
      <c r="G1328" s="148" t="s">
        <v>129</v>
      </c>
      <c r="H1328" s="148">
        <v>130327</v>
      </c>
      <c r="I1328" s="148">
        <v>0</v>
      </c>
      <c r="J1328" s="148">
        <v>0</v>
      </c>
      <c r="K1328" s="148" t="str">
        <f t="shared" si="20"/>
        <v>INSTRUMENTPRFRMNG_STTS</v>
      </c>
    </row>
    <row r="1329" spans="1:11" hidden="1">
      <c r="A1329" s="148" t="s">
        <v>1038</v>
      </c>
      <c r="B1329" s="148" t="s">
        <v>1039</v>
      </c>
      <c r="C1329" s="148" t="s">
        <v>1019</v>
      </c>
      <c r="D1329" s="148" t="s">
        <v>45</v>
      </c>
      <c r="E1329" s="148" t="s">
        <v>1009</v>
      </c>
      <c r="F1329" s="148" t="s">
        <v>1010</v>
      </c>
      <c r="G1329" s="148" t="s">
        <v>1011</v>
      </c>
      <c r="H1329" s="148">
        <v>141060</v>
      </c>
      <c r="I1329" s="148">
        <v>10733</v>
      </c>
      <c r="J1329" s="148">
        <v>7.6087999999999996</v>
      </c>
      <c r="K1329" s="148" t="str">
        <f t="shared" si="20"/>
        <v>INSTRUMENTPRFRMNG_STTS</v>
      </c>
    </row>
    <row r="1330" spans="1:11" hidden="1">
      <c r="A1330" s="148" t="s">
        <v>3911</v>
      </c>
      <c r="B1330" s="148" t="s">
        <v>3912</v>
      </c>
      <c r="C1330" s="148" t="s">
        <v>1008</v>
      </c>
      <c r="D1330" s="148" t="s">
        <v>47</v>
      </c>
      <c r="E1330" s="148" t="s">
        <v>1009</v>
      </c>
      <c r="F1330" s="148" t="s">
        <v>1010</v>
      </c>
      <c r="G1330" s="148" t="s">
        <v>129</v>
      </c>
      <c r="H1330" s="148">
        <v>50885</v>
      </c>
      <c r="I1330" s="148">
        <v>0</v>
      </c>
      <c r="J1330" s="148">
        <v>0</v>
      </c>
      <c r="K1330" s="148" t="str">
        <f t="shared" si="20"/>
        <v>INSTRUMENTPRFRMNG_STTS_PRVS</v>
      </c>
    </row>
    <row r="1331" spans="1:11" hidden="1">
      <c r="A1331" s="148" t="s">
        <v>3913</v>
      </c>
      <c r="B1331" s="148" t="s">
        <v>3914</v>
      </c>
      <c r="C1331" s="148" t="s">
        <v>1008</v>
      </c>
      <c r="D1331" s="148" t="s">
        <v>47</v>
      </c>
      <c r="E1331" s="148" t="s">
        <v>1009</v>
      </c>
      <c r="F1331" s="148" t="s">
        <v>1010</v>
      </c>
      <c r="G1331" s="148" t="s">
        <v>129</v>
      </c>
      <c r="H1331" s="148">
        <v>0</v>
      </c>
      <c r="I1331" s="148">
        <v>0</v>
      </c>
      <c r="J1331" s="148">
        <v>0</v>
      </c>
      <c r="K1331" s="148" t="str">
        <f t="shared" si="20"/>
        <v>INSTRUMENTPRFRMNG_STTS_PRVS</v>
      </c>
    </row>
    <row r="1332" spans="1:11" hidden="1">
      <c r="A1332" s="148" t="s">
        <v>3915</v>
      </c>
      <c r="B1332" s="148" t="s">
        <v>3916</v>
      </c>
      <c r="C1332" s="148" t="s">
        <v>1008</v>
      </c>
      <c r="D1332" s="148" t="s">
        <v>47</v>
      </c>
      <c r="E1332" s="148" t="s">
        <v>1009</v>
      </c>
      <c r="F1332" s="148" t="s">
        <v>1010</v>
      </c>
      <c r="G1332" s="148" t="s">
        <v>129</v>
      </c>
      <c r="H1332" s="148">
        <v>0</v>
      </c>
      <c r="I1332" s="148">
        <v>0</v>
      </c>
      <c r="J1332" s="148">
        <v>0</v>
      </c>
      <c r="K1332" s="148" t="str">
        <f t="shared" si="20"/>
        <v>INSTRUMENTPRFRMNG_STTS_PRVS</v>
      </c>
    </row>
    <row r="1333" spans="1:11" hidden="1">
      <c r="A1333" s="148" t="s">
        <v>3917</v>
      </c>
      <c r="B1333" s="148" t="s">
        <v>3918</v>
      </c>
      <c r="C1333" s="148" t="s">
        <v>1008</v>
      </c>
      <c r="D1333" s="148" t="s">
        <v>452</v>
      </c>
      <c r="E1333" s="148" t="s">
        <v>1009</v>
      </c>
      <c r="F1333" s="148" t="s">
        <v>1010</v>
      </c>
      <c r="G1333" s="148" t="s">
        <v>129</v>
      </c>
      <c r="H1333" s="148">
        <v>486</v>
      </c>
      <c r="I1333" s="148">
        <v>0</v>
      </c>
      <c r="J1333" s="148">
        <v>0</v>
      </c>
      <c r="K1333" s="148" t="str">
        <f t="shared" si="20"/>
        <v>INSTRUMENTPRJCT_FNNC_LN</v>
      </c>
    </row>
    <row r="1334" spans="1:11" hidden="1">
      <c r="A1334" s="148" t="s">
        <v>3919</v>
      </c>
      <c r="B1334" s="148" t="s">
        <v>3920</v>
      </c>
      <c r="C1334" s="148" t="s">
        <v>1008</v>
      </c>
      <c r="D1334" s="148" t="s">
        <v>456</v>
      </c>
      <c r="E1334" s="148" t="s">
        <v>1009</v>
      </c>
      <c r="F1334" s="148" t="s">
        <v>1010</v>
      </c>
      <c r="G1334" s="148" t="s">
        <v>129</v>
      </c>
      <c r="H1334" s="148">
        <v>2254</v>
      </c>
      <c r="I1334" s="148">
        <v>0</v>
      </c>
      <c r="J1334" s="148">
        <v>0</v>
      </c>
      <c r="K1334" s="148" t="str">
        <f t="shared" si="20"/>
        <v>INSTRUMENTPRPS</v>
      </c>
    </row>
    <row r="1335" spans="1:11" hidden="1">
      <c r="A1335" s="148" t="s">
        <v>3921</v>
      </c>
      <c r="B1335" s="148" t="s">
        <v>3922</v>
      </c>
      <c r="C1335" s="148" t="s">
        <v>1008</v>
      </c>
      <c r="D1335" s="148" t="s">
        <v>456</v>
      </c>
      <c r="E1335" s="148" t="s">
        <v>1009</v>
      </c>
      <c r="F1335" s="148" t="s">
        <v>1010</v>
      </c>
      <c r="G1335" s="148" t="s">
        <v>129</v>
      </c>
      <c r="H1335" s="148">
        <v>0</v>
      </c>
      <c r="I1335" s="148">
        <v>0</v>
      </c>
      <c r="J1335" s="148">
        <v>0</v>
      </c>
      <c r="K1335" s="148" t="str">
        <f t="shared" si="20"/>
        <v>INSTRUMENTPRPS</v>
      </c>
    </row>
    <row r="1336" spans="1:11" hidden="1">
      <c r="A1336" s="148" t="s">
        <v>3923</v>
      </c>
      <c r="B1336" s="148" t="s">
        <v>3924</v>
      </c>
      <c r="C1336" s="148" t="s">
        <v>1008</v>
      </c>
      <c r="D1336" s="148" t="s">
        <v>474</v>
      </c>
      <c r="E1336" s="148" t="s">
        <v>1009</v>
      </c>
      <c r="F1336" s="148" t="s">
        <v>1010</v>
      </c>
      <c r="G1336" s="148" t="s">
        <v>129</v>
      </c>
      <c r="H1336" s="148">
        <v>11612</v>
      </c>
      <c r="I1336" s="148">
        <v>0</v>
      </c>
      <c r="J1336" s="148">
        <v>0</v>
      </c>
      <c r="K1336" s="148" t="str">
        <f t="shared" si="20"/>
        <v>INSTRUMENTPYMNT_INTRST_ONLY</v>
      </c>
    </row>
    <row r="1337" spans="1:11" hidden="1">
      <c r="A1337" s="148" t="s">
        <v>3925</v>
      </c>
      <c r="B1337" s="148" t="s">
        <v>3926</v>
      </c>
      <c r="C1337" s="148" t="s">
        <v>1008</v>
      </c>
      <c r="D1337" s="148" t="s">
        <v>474</v>
      </c>
      <c r="E1337" s="148" t="s">
        <v>1009</v>
      </c>
      <c r="F1337" s="148" t="s">
        <v>1010</v>
      </c>
      <c r="G1337" s="148" t="s">
        <v>129</v>
      </c>
      <c r="H1337" s="148">
        <v>8619</v>
      </c>
      <c r="I1337" s="148">
        <v>0</v>
      </c>
      <c r="J1337" s="148">
        <v>0</v>
      </c>
      <c r="K1337" s="148" t="str">
        <f t="shared" si="20"/>
        <v>INSTRUMENTPYMNT_INTRST_ONLY</v>
      </c>
    </row>
    <row r="1338" spans="1:11" hidden="1">
      <c r="A1338" s="148" t="s">
        <v>3927</v>
      </c>
      <c r="B1338" s="148" t="s">
        <v>3928</v>
      </c>
      <c r="C1338" s="148" t="s">
        <v>1008</v>
      </c>
      <c r="D1338" s="148" t="s">
        <v>474</v>
      </c>
      <c r="E1338" s="148" t="s">
        <v>1009</v>
      </c>
      <c r="F1338" s="148" t="s">
        <v>1010</v>
      </c>
      <c r="G1338" s="148" t="s">
        <v>1011</v>
      </c>
      <c r="H1338" s="148">
        <v>102388</v>
      </c>
      <c r="I1338" s="148">
        <v>102388</v>
      </c>
      <c r="J1338" s="148">
        <v>100</v>
      </c>
      <c r="K1338" s="148" t="str">
        <f t="shared" si="20"/>
        <v>INSTRUMENTPYMNT_INTRST_ONLY</v>
      </c>
    </row>
    <row r="1339" spans="1:11" hidden="1">
      <c r="A1339" s="148" t="s">
        <v>3929</v>
      </c>
      <c r="B1339" s="148" t="s">
        <v>3930</v>
      </c>
      <c r="C1339" s="148" t="s">
        <v>1008</v>
      </c>
      <c r="D1339" s="148" t="s">
        <v>474</v>
      </c>
      <c r="E1339" s="148" t="s">
        <v>1009</v>
      </c>
      <c r="F1339" s="148" t="s">
        <v>1010</v>
      </c>
      <c r="G1339" s="148" t="s">
        <v>1011</v>
      </c>
      <c r="H1339" s="148">
        <v>1960672</v>
      </c>
      <c r="I1339" s="148">
        <v>7936</v>
      </c>
      <c r="J1339" s="148">
        <v>0.40479999999999999</v>
      </c>
      <c r="K1339" s="148" t="str">
        <f t="shared" si="20"/>
        <v>INSTRUMENTPYMNT_INTRST_ONLY</v>
      </c>
    </row>
    <row r="1340" spans="1:11" hidden="1">
      <c r="A1340" s="148" t="s">
        <v>3931</v>
      </c>
      <c r="B1340" s="148" t="s">
        <v>3932</v>
      </c>
      <c r="C1340" s="148" t="s">
        <v>1008</v>
      </c>
      <c r="D1340" s="148" t="s">
        <v>505</v>
      </c>
      <c r="E1340" s="148" t="s">
        <v>1009</v>
      </c>
      <c r="F1340" s="148" t="s">
        <v>1010</v>
      </c>
      <c r="G1340" s="148" t="s">
        <v>129</v>
      </c>
      <c r="H1340" s="148">
        <v>366933</v>
      </c>
      <c r="I1340" s="148">
        <v>0</v>
      </c>
      <c r="J1340" s="148">
        <v>0</v>
      </c>
      <c r="K1340" s="148" t="str">
        <f t="shared" si="20"/>
        <v>INSTRUMENTSPCLTV_LNDNG</v>
      </c>
    </row>
    <row r="1341" spans="1:11" hidden="1">
      <c r="A1341" s="148" t="s">
        <v>3933</v>
      </c>
      <c r="B1341" s="148" t="s">
        <v>3934</v>
      </c>
      <c r="C1341" s="148" t="s">
        <v>1008</v>
      </c>
      <c r="D1341" s="148" t="s">
        <v>505</v>
      </c>
      <c r="E1341" s="148" t="s">
        <v>1009</v>
      </c>
      <c r="F1341" s="148" t="s">
        <v>1010</v>
      </c>
      <c r="G1341" s="148" t="s">
        <v>1011</v>
      </c>
      <c r="H1341" s="148">
        <v>3208</v>
      </c>
      <c r="I1341" s="148">
        <v>954</v>
      </c>
      <c r="J1341" s="148">
        <v>29.738199999999999</v>
      </c>
      <c r="K1341" s="148" t="str">
        <f t="shared" si="20"/>
        <v>INSTRUMENTSPCLTV_LNDNG</v>
      </c>
    </row>
    <row r="1342" spans="1:11" hidden="1">
      <c r="A1342" s="148" t="s">
        <v>3935</v>
      </c>
      <c r="B1342" s="148" t="s">
        <v>3936</v>
      </c>
      <c r="C1342" s="148" t="s">
        <v>1008</v>
      </c>
      <c r="D1342" s="148" t="s">
        <v>509</v>
      </c>
      <c r="E1342" s="148" t="s">
        <v>1009</v>
      </c>
      <c r="F1342" s="148" t="s">
        <v>1010</v>
      </c>
      <c r="G1342" s="148" t="s">
        <v>1011</v>
      </c>
      <c r="H1342" s="148">
        <v>26</v>
      </c>
      <c r="I1342" s="148">
        <v>1</v>
      </c>
      <c r="J1342" s="148">
        <v>3.8462000000000001</v>
      </c>
      <c r="K1342" s="148" t="str">
        <f t="shared" si="20"/>
        <v>INSTRUMENTSTTS_UNDRWRTTN_TRNSCTN</v>
      </c>
    </row>
    <row r="1343" spans="1:11" hidden="1">
      <c r="A1343" s="148" t="s">
        <v>3937</v>
      </c>
      <c r="B1343" s="148" t="s">
        <v>3938</v>
      </c>
      <c r="C1343" s="148" t="s">
        <v>1008</v>
      </c>
      <c r="D1343" s="148" t="s">
        <v>509</v>
      </c>
      <c r="E1343" s="148" t="s">
        <v>1009</v>
      </c>
      <c r="F1343" s="148" t="s">
        <v>1010</v>
      </c>
      <c r="G1343" s="148" t="s">
        <v>1011</v>
      </c>
      <c r="H1343" s="148">
        <v>378813</v>
      </c>
      <c r="I1343" s="148">
        <v>1</v>
      </c>
      <c r="J1343" s="148">
        <v>2.9999999999999997E-4</v>
      </c>
      <c r="K1343" s="148" t="str">
        <f t="shared" si="20"/>
        <v>INSTRUMENTSTTS_UNDRWRTTN_TRNSCTN</v>
      </c>
    </row>
    <row r="1344" spans="1:11" hidden="1">
      <c r="A1344" s="148" t="s">
        <v>3939</v>
      </c>
      <c r="B1344" s="148" t="s">
        <v>3940</v>
      </c>
      <c r="C1344" s="148" t="s">
        <v>1008</v>
      </c>
      <c r="D1344" s="148" t="s">
        <v>521</v>
      </c>
      <c r="E1344" s="148" t="s">
        <v>1009</v>
      </c>
      <c r="F1344" s="148" t="s">
        <v>1010</v>
      </c>
      <c r="G1344" s="148" t="s">
        <v>129</v>
      </c>
      <c r="H1344" s="148">
        <v>100</v>
      </c>
      <c r="I1344" s="148">
        <v>0</v>
      </c>
      <c r="J1344" s="148">
        <v>0</v>
      </c>
      <c r="K1344" s="148" t="str">
        <f t="shared" si="20"/>
        <v>INSTRUMENTTRNCH</v>
      </c>
    </row>
    <row r="1345" spans="1:11" hidden="1">
      <c r="A1345" s="148" t="s">
        <v>3941</v>
      </c>
      <c r="B1345" s="148" t="s">
        <v>3942</v>
      </c>
      <c r="C1345" s="148" t="s">
        <v>1008</v>
      </c>
      <c r="D1345" s="148" t="s">
        <v>521</v>
      </c>
      <c r="E1345" s="148" t="s">
        <v>1009</v>
      </c>
      <c r="F1345" s="148" t="s">
        <v>1010</v>
      </c>
      <c r="G1345" s="148" t="s">
        <v>129</v>
      </c>
      <c r="H1345" s="148">
        <v>378734</v>
      </c>
      <c r="I1345" s="148">
        <v>0</v>
      </c>
      <c r="J1345" s="148">
        <v>0</v>
      </c>
      <c r="K1345" s="148" t="str">
        <f t="shared" si="20"/>
        <v>INSTRUMENTTRNCH</v>
      </c>
    </row>
    <row r="1346" spans="1:11" hidden="1">
      <c r="A1346" s="148" t="s">
        <v>3943</v>
      </c>
      <c r="B1346" s="148" t="s">
        <v>3944</v>
      </c>
      <c r="C1346" s="148" t="s">
        <v>1008</v>
      </c>
      <c r="D1346" s="148" t="s">
        <v>527</v>
      </c>
      <c r="E1346" s="148" t="s">
        <v>1009</v>
      </c>
      <c r="F1346" s="148" t="s">
        <v>1010</v>
      </c>
      <c r="G1346" s="148" t="s">
        <v>1011</v>
      </c>
      <c r="H1346" s="148">
        <v>4535</v>
      </c>
      <c r="I1346" s="148">
        <v>303</v>
      </c>
      <c r="J1346" s="148">
        <v>6.6814</v>
      </c>
      <c r="K1346" s="148" t="str">
        <f t="shared" si="20"/>
        <v>INSTRUMENTTYP_AMRTSTN</v>
      </c>
    </row>
    <row r="1347" spans="1:11" hidden="1">
      <c r="A1347" s="148" t="s">
        <v>3945</v>
      </c>
      <c r="B1347" s="148" t="s">
        <v>3946</v>
      </c>
      <c r="C1347" s="148" t="s">
        <v>1008</v>
      </c>
      <c r="D1347" s="148" t="s">
        <v>527</v>
      </c>
      <c r="E1347" s="148" t="s">
        <v>1009</v>
      </c>
      <c r="F1347" s="148" t="s">
        <v>1010</v>
      </c>
      <c r="G1347" s="148" t="s">
        <v>129</v>
      </c>
      <c r="H1347" s="148">
        <v>402804</v>
      </c>
      <c r="I1347" s="148">
        <v>0</v>
      </c>
      <c r="J1347" s="148">
        <v>0</v>
      </c>
      <c r="K1347" s="148" t="str">
        <f t="shared" ref="K1347:K1410" si="21">_xlfn.CONCAT(_xlfn.IFS(ISNUMBER(SEARCH("EN",A1347)),"ENTITY",ISNUMBER(SEARCH("IN",A1347)),"INSTRUMENT",ISNUMBER(SEARCH("PR",A1347)),"PROTECTION",ISNUMBER(SEARCH("IP",A1347)),"INSTR_PROTECTION",ISNUMBER(SEARCH("IE",A1347)),"INSTR_ENTITY",ISNUMBER(SEARCH("AC",A1347)),"INSTR_ACTIVITY"),D1347)</f>
        <v>INSTRUMENTTYP_AMRTSTN</v>
      </c>
    </row>
    <row r="1348" spans="1:11" hidden="1">
      <c r="A1348" s="148" t="s">
        <v>3947</v>
      </c>
      <c r="B1348" s="148" t="s">
        <v>3948</v>
      </c>
      <c r="C1348" s="148" t="s">
        <v>1008</v>
      </c>
      <c r="D1348" s="148" t="s">
        <v>530</v>
      </c>
      <c r="E1348" s="148" t="s">
        <v>1009</v>
      </c>
      <c r="F1348" s="148" t="s">
        <v>1010</v>
      </c>
      <c r="G1348" s="148" t="s">
        <v>129</v>
      </c>
      <c r="H1348" s="148">
        <v>0</v>
      </c>
      <c r="I1348" s="148">
        <v>0</v>
      </c>
      <c r="J1348" s="148">
        <v>0</v>
      </c>
      <c r="K1348" s="148" t="str">
        <f t="shared" si="21"/>
        <v>INSTRUMENTTYP_INSTRMNT</v>
      </c>
    </row>
    <row r="1349" spans="1:11" hidden="1">
      <c r="A1349" s="148" t="s">
        <v>3949</v>
      </c>
      <c r="B1349" s="148" t="s">
        <v>3950</v>
      </c>
      <c r="C1349" s="148" t="s">
        <v>1008</v>
      </c>
      <c r="D1349" s="148" t="s">
        <v>530</v>
      </c>
      <c r="E1349" s="148" t="s">
        <v>1009</v>
      </c>
      <c r="F1349" s="148" t="s">
        <v>1010</v>
      </c>
      <c r="G1349" s="148" t="s">
        <v>1011</v>
      </c>
      <c r="H1349" s="148">
        <v>17</v>
      </c>
      <c r="I1349" s="148">
        <v>8</v>
      </c>
      <c r="J1349" s="148">
        <v>47.058799999999998</v>
      </c>
      <c r="K1349" s="148" t="str">
        <f t="shared" si="21"/>
        <v>INSTRUMENTTYP_INSTRMNT</v>
      </c>
    </row>
    <row r="1350" spans="1:11" hidden="1">
      <c r="A1350" s="148" t="s">
        <v>3951</v>
      </c>
      <c r="B1350" s="148" t="s">
        <v>3952</v>
      </c>
      <c r="C1350" s="148" t="s">
        <v>1008</v>
      </c>
      <c r="D1350" s="148" t="s">
        <v>530</v>
      </c>
      <c r="E1350" s="148" t="s">
        <v>1009</v>
      </c>
      <c r="F1350" s="148" t="s">
        <v>1010</v>
      </c>
      <c r="G1350" s="148" t="s">
        <v>1011</v>
      </c>
      <c r="H1350" s="148">
        <v>301</v>
      </c>
      <c r="I1350" s="148">
        <v>277</v>
      </c>
      <c r="J1350" s="148">
        <v>92.026600000000002</v>
      </c>
      <c r="K1350" s="148" t="str">
        <f t="shared" si="21"/>
        <v>INSTRUMENTTYP_INSTRMNT</v>
      </c>
    </row>
    <row r="1351" spans="1:11" hidden="1">
      <c r="A1351" s="148" t="s">
        <v>3953</v>
      </c>
      <c r="B1351" s="148" t="s">
        <v>3954</v>
      </c>
      <c r="C1351" s="148" t="s">
        <v>1008</v>
      </c>
      <c r="D1351" s="148" t="s">
        <v>531</v>
      </c>
      <c r="E1351" s="148" t="s">
        <v>1009</v>
      </c>
      <c r="F1351" s="148" t="s">
        <v>1010</v>
      </c>
      <c r="G1351" s="148" t="s">
        <v>129</v>
      </c>
      <c r="H1351" s="148">
        <v>398775</v>
      </c>
      <c r="I1351" s="148">
        <v>0</v>
      </c>
      <c r="J1351" s="148">
        <v>0</v>
      </c>
      <c r="K1351" s="148" t="str">
        <f t="shared" si="21"/>
        <v>INSTRUMENTTYP_INTRST_RT</v>
      </c>
    </row>
    <row r="1352" spans="1:11" hidden="1">
      <c r="A1352" s="148" t="s">
        <v>3955</v>
      </c>
      <c r="B1352" s="148" t="s">
        <v>3956</v>
      </c>
      <c r="C1352" s="148" t="s">
        <v>1008</v>
      </c>
      <c r="D1352" s="148" t="s">
        <v>531</v>
      </c>
      <c r="E1352" s="148" t="s">
        <v>1009</v>
      </c>
      <c r="F1352" s="148" t="s">
        <v>1010</v>
      </c>
      <c r="G1352" s="148" t="s">
        <v>129</v>
      </c>
      <c r="H1352" s="148">
        <v>1795693</v>
      </c>
      <c r="I1352" s="148">
        <v>0</v>
      </c>
      <c r="J1352" s="148">
        <v>0</v>
      </c>
      <c r="K1352" s="148" t="str">
        <f t="shared" si="21"/>
        <v>INSTRUMENTTYP_INTRST_RT</v>
      </c>
    </row>
    <row r="1353" spans="1:11" hidden="1">
      <c r="A1353" s="148" t="s">
        <v>3957</v>
      </c>
      <c r="B1353" s="148" t="s">
        <v>640</v>
      </c>
      <c r="C1353" s="148" t="s">
        <v>1008</v>
      </c>
      <c r="D1353" s="148" t="s">
        <v>144</v>
      </c>
      <c r="E1353" s="148" t="s">
        <v>1009</v>
      </c>
      <c r="F1353" s="148" t="s">
        <v>1010</v>
      </c>
      <c r="G1353" s="148" t="s">
        <v>1011</v>
      </c>
      <c r="H1353" s="148">
        <v>1081986</v>
      </c>
      <c r="I1353" s="148">
        <v>35</v>
      </c>
      <c r="J1353" s="148">
        <v>3.2000000000000002E-3</v>
      </c>
      <c r="K1353" s="148" t="str">
        <f t="shared" si="21"/>
        <v>INSTRUMENTTYP_MRTGG</v>
      </c>
    </row>
    <row r="1354" spans="1:11" hidden="1">
      <c r="A1354" s="148" t="s">
        <v>3958</v>
      </c>
      <c r="B1354" s="148" t="s">
        <v>643</v>
      </c>
      <c r="C1354" s="148" t="s">
        <v>1028</v>
      </c>
      <c r="D1354" s="148" t="s">
        <v>144</v>
      </c>
      <c r="E1354" s="148" t="s">
        <v>1009</v>
      </c>
      <c r="F1354" s="148" t="s">
        <v>1010</v>
      </c>
      <c r="G1354" s="148" t="s">
        <v>129</v>
      </c>
      <c r="H1354" s="148">
        <v>364700</v>
      </c>
      <c r="I1354" s="148">
        <v>0</v>
      </c>
      <c r="J1354" s="148">
        <v>0</v>
      </c>
      <c r="K1354" s="148" t="str">
        <f t="shared" si="21"/>
        <v>INSTRUMENTTYP_MRTGG</v>
      </c>
    </row>
    <row r="1355" spans="1:11" hidden="1">
      <c r="A1355" s="148" t="s">
        <v>3959</v>
      </c>
      <c r="B1355" s="148" t="s">
        <v>3960</v>
      </c>
      <c r="C1355" s="148" t="s">
        <v>1037</v>
      </c>
      <c r="D1355" s="148" t="s">
        <v>144</v>
      </c>
      <c r="E1355" s="148" t="s">
        <v>1009</v>
      </c>
      <c r="F1355" s="148" t="s">
        <v>1010</v>
      </c>
      <c r="G1355" s="148" t="s">
        <v>1011</v>
      </c>
      <c r="H1355" s="148">
        <v>391434</v>
      </c>
      <c r="I1355" s="148">
        <v>32472</v>
      </c>
      <c r="J1355" s="148">
        <v>8.2957000000000001</v>
      </c>
      <c r="K1355" s="148" t="str">
        <f t="shared" si="21"/>
        <v>INSTRUMENTTYP_MRTGG</v>
      </c>
    </row>
    <row r="1356" spans="1:11" hidden="1">
      <c r="A1356" s="148" t="s">
        <v>3961</v>
      </c>
      <c r="B1356" s="148" t="s">
        <v>3962</v>
      </c>
      <c r="C1356" s="148" t="s">
        <v>1037</v>
      </c>
      <c r="D1356" s="148" t="s">
        <v>144</v>
      </c>
      <c r="E1356" s="148" t="s">
        <v>1009</v>
      </c>
      <c r="F1356" s="148" t="s">
        <v>1010</v>
      </c>
      <c r="G1356" s="148" t="s">
        <v>1011</v>
      </c>
      <c r="H1356" s="148">
        <v>1645528</v>
      </c>
      <c r="I1356" s="148">
        <v>1645528</v>
      </c>
      <c r="J1356" s="148">
        <v>100</v>
      </c>
      <c r="K1356" s="148" t="str">
        <f t="shared" si="21"/>
        <v>INSTRUMENTTYP_MRTGG</v>
      </c>
    </row>
    <row r="1357" spans="1:11" hidden="1">
      <c r="A1357" s="148" t="s">
        <v>3963</v>
      </c>
      <c r="B1357" s="148" t="s">
        <v>3964</v>
      </c>
      <c r="C1357" s="148" t="s">
        <v>127</v>
      </c>
      <c r="D1357" s="148" t="s">
        <v>144</v>
      </c>
      <c r="E1357" s="148" t="s">
        <v>10</v>
      </c>
      <c r="F1357" s="148" t="s">
        <v>1010</v>
      </c>
      <c r="G1357" s="148" t="s">
        <v>1011</v>
      </c>
      <c r="H1357" s="148">
        <v>101870</v>
      </c>
      <c r="I1357" s="148">
        <v>101870</v>
      </c>
      <c r="J1357" s="148">
        <v>100</v>
      </c>
      <c r="K1357" s="148" t="str">
        <f t="shared" si="21"/>
        <v>INSTRUMENTTYP_MRTGG</v>
      </c>
    </row>
    <row r="1358" spans="1:11" hidden="1">
      <c r="A1358" s="148" t="s">
        <v>3965</v>
      </c>
      <c r="B1358" s="148" t="s">
        <v>3966</v>
      </c>
      <c r="C1358" s="148" t="s">
        <v>1008</v>
      </c>
      <c r="D1358" s="148" t="s">
        <v>529</v>
      </c>
      <c r="E1358" s="148" t="s">
        <v>1009</v>
      </c>
      <c r="F1358" s="148" t="s">
        <v>1010</v>
      </c>
      <c r="G1358" s="148" t="s">
        <v>1011</v>
      </c>
      <c r="H1358" s="148">
        <v>2881</v>
      </c>
      <c r="I1358" s="148">
        <v>674</v>
      </c>
      <c r="J1358" s="148">
        <v>23.3947</v>
      </c>
      <c r="K1358" s="148" t="str">
        <f t="shared" si="21"/>
        <v>INSTRUMENTTYP_CRE_OPRTN</v>
      </c>
    </row>
    <row r="1359" spans="1:11" hidden="1">
      <c r="A1359" s="148" t="s">
        <v>3967</v>
      </c>
      <c r="B1359" s="148" t="s">
        <v>3968</v>
      </c>
      <c r="C1359" s="148" t="s">
        <v>1008</v>
      </c>
      <c r="D1359" s="148" t="s">
        <v>529</v>
      </c>
      <c r="E1359" s="148" t="s">
        <v>1009</v>
      </c>
      <c r="F1359" s="148" t="s">
        <v>1010</v>
      </c>
      <c r="G1359" s="148" t="s">
        <v>129</v>
      </c>
      <c r="H1359" s="148">
        <v>0</v>
      </c>
      <c r="I1359" s="148">
        <v>0</v>
      </c>
      <c r="J1359" s="148">
        <v>0</v>
      </c>
      <c r="K1359" s="148" t="str">
        <f t="shared" si="21"/>
        <v>INSTRUMENTTYP_CRE_OPRTN</v>
      </c>
    </row>
    <row r="1360" spans="1:11" hidden="1">
      <c r="A1360" s="148" t="s">
        <v>3969</v>
      </c>
      <c r="B1360" s="148" t="s">
        <v>3970</v>
      </c>
      <c r="C1360" s="148" t="s">
        <v>1008</v>
      </c>
      <c r="D1360" s="148" t="s">
        <v>529</v>
      </c>
      <c r="E1360" s="148" t="s">
        <v>1009</v>
      </c>
      <c r="F1360" s="148" t="s">
        <v>1010</v>
      </c>
      <c r="G1360" s="148" t="s">
        <v>129</v>
      </c>
      <c r="H1360" s="148">
        <v>0</v>
      </c>
      <c r="I1360" s="148">
        <v>0</v>
      </c>
      <c r="J1360" s="148">
        <v>0</v>
      </c>
      <c r="K1360" s="148" t="str">
        <f t="shared" si="21"/>
        <v>INSTRUMENTTYP_CRE_OPRTN</v>
      </c>
    </row>
    <row r="1361" spans="1:11" hidden="1">
      <c r="A1361" s="148" t="s">
        <v>3971</v>
      </c>
      <c r="B1361" s="148" t="s">
        <v>3972</v>
      </c>
      <c r="C1361" s="148" t="s">
        <v>1008</v>
      </c>
      <c r="D1361" s="148" t="s">
        <v>529</v>
      </c>
      <c r="E1361" s="148" t="s">
        <v>1009</v>
      </c>
      <c r="F1361" s="148" t="s">
        <v>1010</v>
      </c>
      <c r="G1361" s="148" t="s">
        <v>1011</v>
      </c>
      <c r="H1361" s="148">
        <v>79</v>
      </c>
      <c r="I1361" s="148">
        <v>77</v>
      </c>
      <c r="J1361" s="148">
        <v>97.468400000000003</v>
      </c>
      <c r="K1361" s="148" t="str">
        <f t="shared" si="21"/>
        <v>INSTRUMENTTYP_CRE_OPRTN</v>
      </c>
    </row>
    <row r="1362" spans="1:11" hidden="1">
      <c r="A1362" s="148" t="s">
        <v>3973</v>
      </c>
      <c r="B1362" s="148" t="s">
        <v>3974</v>
      </c>
      <c r="C1362" s="148" t="s">
        <v>1008</v>
      </c>
      <c r="D1362" s="148" t="s">
        <v>284</v>
      </c>
      <c r="E1362" s="148" t="s">
        <v>1009</v>
      </c>
      <c r="F1362" s="148" t="s">
        <v>1010</v>
      </c>
      <c r="G1362" s="148" t="s">
        <v>1011</v>
      </c>
      <c r="H1362" s="148">
        <v>109996</v>
      </c>
      <c r="I1362" s="148">
        <v>49</v>
      </c>
      <c r="J1362" s="148">
        <v>4.4499999999999998E-2</v>
      </c>
      <c r="K1362" s="148" t="str">
        <f t="shared" si="21"/>
        <v>INSTRUMENTDT_STRT_GP_PPAL</v>
      </c>
    </row>
    <row r="1363" spans="1:11" hidden="1">
      <c r="A1363" s="148" t="s">
        <v>3975</v>
      </c>
      <c r="B1363" s="148" t="s">
        <v>3976</v>
      </c>
      <c r="C1363" s="148" t="s">
        <v>1008</v>
      </c>
      <c r="D1363" s="148" t="s">
        <v>284</v>
      </c>
      <c r="E1363" s="148" t="s">
        <v>1009</v>
      </c>
      <c r="F1363" s="148" t="s">
        <v>1010</v>
      </c>
      <c r="G1363" s="148" t="s">
        <v>1011</v>
      </c>
      <c r="H1363" s="148">
        <v>130502</v>
      </c>
      <c r="I1363" s="148">
        <v>117</v>
      </c>
      <c r="J1363" s="148">
        <v>8.9700000000000002E-2</v>
      </c>
      <c r="K1363" s="148" t="str">
        <f t="shared" si="21"/>
        <v>INSTRUMENTDT_STRT_GP_PPAL</v>
      </c>
    </row>
    <row r="1364" spans="1:11" hidden="1">
      <c r="A1364" s="148" t="s">
        <v>3977</v>
      </c>
      <c r="B1364" s="148" t="s">
        <v>3978</v>
      </c>
      <c r="C1364" s="148" t="s">
        <v>1008</v>
      </c>
      <c r="D1364" s="148" t="s">
        <v>284</v>
      </c>
      <c r="E1364" s="148" t="s">
        <v>1009</v>
      </c>
      <c r="F1364" s="148" t="s">
        <v>1010</v>
      </c>
      <c r="G1364" s="148" t="s">
        <v>129</v>
      </c>
      <c r="H1364" s="148">
        <v>130502</v>
      </c>
      <c r="I1364" s="148">
        <v>0</v>
      </c>
      <c r="J1364" s="148">
        <v>0</v>
      </c>
      <c r="K1364" s="148" t="str">
        <f t="shared" si="21"/>
        <v>INSTRUMENTDT_STRT_GP_PPAL</v>
      </c>
    </row>
    <row r="1365" spans="1:11" hidden="1">
      <c r="A1365" s="148" t="s">
        <v>3979</v>
      </c>
      <c r="B1365" s="148" t="s">
        <v>3980</v>
      </c>
      <c r="C1365" s="148" t="s">
        <v>1008</v>
      </c>
      <c r="D1365" s="148" t="s">
        <v>348</v>
      </c>
      <c r="E1365" s="148" t="s">
        <v>1009</v>
      </c>
      <c r="F1365" s="148" t="s">
        <v>1010</v>
      </c>
      <c r="G1365" s="148" t="s">
        <v>129</v>
      </c>
      <c r="H1365" s="148">
        <v>1871334</v>
      </c>
      <c r="I1365" s="148">
        <v>0</v>
      </c>
      <c r="J1365" s="148">
        <v>0</v>
      </c>
      <c r="K1365" s="148" t="str">
        <f t="shared" si="21"/>
        <v>INSTRUMENTGRSS_CRRYNG_AMNT_INSTRMNT</v>
      </c>
    </row>
    <row r="1366" spans="1:11" hidden="1">
      <c r="A1366" s="148" t="s">
        <v>3981</v>
      </c>
      <c r="B1366" s="148" t="s">
        <v>3982</v>
      </c>
      <c r="C1366" s="148" t="s">
        <v>1008</v>
      </c>
      <c r="D1366" s="148" t="s">
        <v>348</v>
      </c>
      <c r="E1366" s="148" t="s">
        <v>1009</v>
      </c>
      <c r="F1366" s="148" t="s">
        <v>1010</v>
      </c>
      <c r="G1366" s="148" t="s">
        <v>129</v>
      </c>
      <c r="H1366" s="148">
        <v>13</v>
      </c>
      <c r="I1366" s="148">
        <v>0</v>
      </c>
      <c r="J1366" s="148">
        <v>0</v>
      </c>
      <c r="K1366" s="148" t="str">
        <f t="shared" si="21"/>
        <v>INSTRUMENTGRSS_CRRYNG_AMNT_INSTRMNT</v>
      </c>
    </row>
    <row r="1367" spans="1:11" hidden="1">
      <c r="A1367" s="148" t="s">
        <v>3983</v>
      </c>
      <c r="B1367" s="148" t="s">
        <v>3984</v>
      </c>
      <c r="C1367" s="148" t="s">
        <v>1008</v>
      </c>
      <c r="D1367" s="148" t="s">
        <v>348</v>
      </c>
      <c r="E1367" s="148" t="s">
        <v>1009</v>
      </c>
      <c r="F1367" s="148" t="s">
        <v>1010</v>
      </c>
      <c r="G1367" s="148" t="s">
        <v>129</v>
      </c>
      <c r="H1367" s="148">
        <v>267616</v>
      </c>
      <c r="I1367" s="148">
        <v>0</v>
      </c>
      <c r="J1367" s="148">
        <v>0</v>
      </c>
      <c r="K1367" s="148" t="str">
        <f t="shared" si="21"/>
        <v>INSTRUMENTGRSS_CRRYNG_AMNT_INSTRMNT</v>
      </c>
    </row>
    <row r="1368" spans="1:11" hidden="1">
      <c r="A1368" s="148" t="s">
        <v>3985</v>
      </c>
      <c r="B1368" s="148" t="s">
        <v>975</v>
      </c>
      <c r="C1368" s="148" t="s">
        <v>1008</v>
      </c>
      <c r="D1368" s="148" t="s">
        <v>128</v>
      </c>
      <c r="E1368" s="148" t="s">
        <v>1009</v>
      </c>
      <c r="F1368" s="148" t="s">
        <v>1010</v>
      </c>
      <c r="G1368" s="148" t="s">
        <v>129</v>
      </c>
      <c r="H1368" s="148">
        <v>1871203</v>
      </c>
      <c r="I1368" s="148">
        <v>0</v>
      </c>
      <c r="J1368" s="148">
        <v>0</v>
      </c>
      <c r="K1368" s="148" t="str">
        <f t="shared" si="21"/>
        <v>INSTRUMENTACCMLTD_CHNGS_FV_CR_INSTRMNT</v>
      </c>
    </row>
    <row r="1369" spans="1:11" hidden="1">
      <c r="A1369" s="148" t="s">
        <v>3986</v>
      </c>
      <c r="B1369" s="148" t="s">
        <v>976</v>
      </c>
      <c r="C1369" s="148" t="s">
        <v>1008</v>
      </c>
      <c r="D1369" s="148" t="s">
        <v>128</v>
      </c>
      <c r="E1369" s="148" t="s">
        <v>1009</v>
      </c>
      <c r="F1369" s="148" t="s">
        <v>1010</v>
      </c>
      <c r="G1369" s="148" t="s">
        <v>129</v>
      </c>
      <c r="H1369" s="148">
        <v>13</v>
      </c>
      <c r="I1369" s="148">
        <v>0</v>
      </c>
      <c r="J1369" s="148">
        <v>0</v>
      </c>
      <c r="K1369" s="148" t="str">
        <f t="shared" si="21"/>
        <v>INSTRUMENTACCMLTD_CHNGS_FV_CR_INSTRMNT</v>
      </c>
    </row>
    <row r="1370" spans="1:11" hidden="1">
      <c r="A1370" s="148" t="s">
        <v>3987</v>
      </c>
      <c r="B1370" s="148" t="s">
        <v>977</v>
      </c>
      <c r="C1370" s="148" t="s">
        <v>1008</v>
      </c>
      <c r="D1370" s="148" t="s">
        <v>128</v>
      </c>
      <c r="E1370" s="148" t="s">
        <v>1009</v>
      </c>
      <c r="F1370" s="148" t="s">
        <v>1010</v>
      </c>
      <c r="G1370" s="148" t="s">
        <v>129</v>
      </c>
      <c r="H1370" s="148">
        <v>0</v>
      </c>
      <c r="I1370" s="148">
        <v>0</v>
      </c>
      <c r="J1370" s="148">
        <v>0</v>
      </c>
      <c r="K1370" s="148" t="str">
        <f t="shared" si="21"/>
        <v>INSTRUMENTACCMLTD_CHNGS_FV_CR_INSTRMNT</v>
      </c>
    </row>
    <row r="1371" spans="1:11" hidden="1">
      <c r="A1371" s="148" t="s">
        <v>3988</v>
      </c>
      <c r="B1371" s="148" t="s">
        <v>978</v>
      </c>
      <c r="C1371" s="148" t="s">
        <v>1008</v>
      </c>
      <c r="D1371" s="148" t="s">
        <v>128</v>
      </c>
      <c r="E1371" s="148" t="s">
        <v>1009</v>
      </c>
      <c r="F1371" s="148" t="s">
        <v>1010</v>
      </c>
      <c r="G1371" s="148" t="s">
        <v>129</v>
      </c>
      <c r="H1371" s="148">
        <v>12159</v>
      </c>
      <c r="I1371" s="148">
        <v>0</v>
      </c>
      <c r="J1371" s="148">
        <v>0</v>
      </c>
      <c r="K1371" s="148" t="str">
        <f t="shared" si="21"/>
        <v>INSTRUMENTACCMLTD_CHNGS_FV_CR_INSTRMNT</v>
      </c>
    </row>
    <row r="1372" spans="1:11" hidden="1">
      <c r="A1372" s="148" t="s">
        <v>3989</v>
      </c>
      <c r="B1372" s="148" t="s">
        <v>3990</v>
      </c>
      <c r="C1372" s="148" t="s">
        <v>1008</v>
      </c>
      <c r="D1372" s="148" t="s">
        <v>138</v>
      </c>
      <c r="E1372" s="148" t="s">
        <v>1009</v>
      </c>
      <c r="F1372" s="148" t="s">
        <v>1010</v>
      </c>
      <c r="G1372" s="148" t="s">
        <v>1011</v>
      </c>
      <c r="H1372" s="148">
        <v>1871195</v>
      </c>
      <c r="I1372" s="148">
        <v>1</v>
      </c>
      <c r="J1372" s="148">
        <v>1E-4</v>
      </c>
      <c r="K1372" s="148" t="str">
        <f t="shared" si="21"/>
        <v>INSTRUMENTACCNTNG_CLSSFCTN</v>
      </c>
    </row>
    <row r="1373" spans="1:11" hidden="1">
      <c r="A1373" s="148" t="s">
        <v>3991</v>
      </c>
      <c r="B1373" s="148" t="s">
        <v>3992</v>
      </c>
      <c r="C1373" s="148" t="s">
        <v>1008</v>
      </c>
      <c r="D1373" s="148" t="s">
        <v>138</v>
      </c>
      <c r="E1373" s="148" t="s">
        <v>1009</v>
      </c>
      <c r="F1373" s="148" t="s">
        <v>1010</v>
      </c>
      <c r="G1373" s="148" t="s">
        <v>129</v>
      </c>
      <c r="H1373" s="148">
        <v>131</v>
      </c>
      <c r="I1373" s="148">
        <v>0</v>
      </c>
      <c r="J1373" s="148">
        <v>0</v>
      </c>
      <c r="K1373" s="148" t="str">
        <f t="shared" si="21"/>
        <v>INSTRUMENTACCNTNG_CLSSFCTN</v>
      </c>
    </row>
    <row r="1374" spans="1:11" hidden="1">
      <c r="A1374" s="148" t="s">
        <v>3993</v>
      </c>
      <c r="B1374" s="148" t="s">
        <v>3994</v>
      </c>
      <c r="C1374" s="148" t="s">
        <v>1008</v>
      </c>
      <c r="D1374" s="148" t="s">
        <v>138</v>
      </c>
      <c r="E1374" s="148" t="s">
        <v>1009</v>
      </c>
      <c r="F1374" s="148" t="s">
        <v>1010</v>
      </c>
      <c r="G1374" s="148" t="s">
        <v>129</v>
      </c>
      <c r="H1374" s="148">
        <v>13</v>
      </c>
      <c r="I1374" s="148">
        <v>0</v>
      </c>
      <c r="J1374" s="148">
        <v>0</v>
      </c>
      <c r="K1374" s="148" t="str">
        <f t="shared" si="21"/>
        <v>INSTRUMENTACCNTNG_CLSSFCTN</v>
      </c>
    </row>
    <row r="1375" spans="1:11" hidden="1">
      <c r="A1375" s="148" t="s">
        <v>3995</v>
      </c>
      <c r="B1375" s="148" t="s">
        <v>3996</v>
      </c>
      <c r="C1375" s="148" t="s">
        <v>1008</v>
      </c>
      <c r="D1375" s="148" t="s">
        <v>138</v>
      </c>
      <c r="E1375" s="148" t="s">
        <v>1009</v>
      </c>
      <c r="F1375" s="148" t="s">
        <v>1010</v>
      </c>
      <c r="G1375" s="148" t="s">
        <v>129</v>
      </c>
      <c r="H1375" s="148">
        <v>8</v>
      </c>
      <c r="I1375" s="148">
        <v>0</v>
      </c>
      <c r="J1375" s="148">
        <v>0</v>
      </c>
      <c r="K1375" s="148" t="str">
        <f t="shared" si="21"/>
        <v>INSTRUMENTACCNTNG_CLSSFCTN</v>
      </c>
    </row>
    <row r="1376" spans="1:11" hidden="1">
      <c r="A1376" s="148" t="s">
        <v>3997</v>
      </c>
      <c r="B1376" s="148" t="s">
        <v>3998</v>
      </c>
      <c r="C1376" s="148" t="s">
        <v>1008</v>
      </c>
      <c r="D1376" s="148" t="s">
        <v>138</v>
      </c>
      <c r="E1376" s="148" t="s">
        <v>1009</v>
      </c>
      <c r="F1376" s="148" t="s">
        <v>1010</v>
      </c>
      <c r="G1376" s="148" t="s">
        <v>129</v>
      </c>
      <c r="H1376" s="148">
        <v>0</v>
      </c>
      <c r="I1376" s="148">
        <v>0</v>
      </c>
      <c r="J1376" s="148">
        <v>0</v>
      </c>
      <c r="K1376" s="148" t="str">
        <f t="shared" si="21"/>
        <v>INSTRUMENTACCNTNG_CLSSFCTN</v>
      </c>
    </row>
    <row r="1377" spans="1:11" hidden="1">
      <c r="A1377" s="148" t="s">
        <v>3999</v>
      </c>
      <c r="B1377" s="148" t="s">
        <v>4000</v>
      </c>
      <c r="C1377" s="148" t="s">
        <v>1008</v>
      </c>
      <c r="D1377" s="148" t="s">
        <v>524</v>
      </c>
      <c r="E1377" s="148" t="s">
        <v>1009</v>
      </c>
      <c r="F1377" s="148" t="s">
        <v>1010</v>
      </c>
      <c r="G1377" s="148" t="s">
        <v>129</v>
      </c>
      <c r="H1377" s="148">
        <v>0</v>
      </c>
      <c r="I1377" s="148">
        <v>0</v>
      </c>
      <c r="J1377" s="148">
        <v>0</v>
      </c>
      <c r="K1377" s="148" t="str">
        <f t="shared" si="21"/>
        <v>INSTRUMENTACCRD_INTRST_INSTRMNT</v>
      </c>
    </row>
    <row r="1378" spans="1:11" hidden="1">
      <c r="A1378" s="148" t="s">
        <v>4001</v>
      </c>
      <c r="B1378" s="148" t="s">
        <v>4002</v>
      </c>
      <c r="C1378" s="148" t="s">
        <v>1008</v>
      </c>
      <c r="D1378" s="148" t="s">
        <v>148</v>
      </c>
      <c r="E1378" s="148" t="s">
        <v>1009</v>
      </c>
      <c r="F1378" s="148" t="s">
        <v>1010</v>
      </c>
      <c r="G1378" s="148" t="s">
        <v>1011</v>
      </c>
      <c r="H1378" s="148">
        <v>797571</v>
      </c>
      <c r="I1378" s="148">
        <v>7380</v>
      </c>
      <c r="J1378" s="148">
        <v>0.92530000000000001</v>
      </c>
      <c r="K1378" s="148" t="str">
        <f t="shared" si="21"/>
        <v>INSTRUMENTAMNT_D_AT_MTRTY</v>
      </c>
    </row>
    <row r="1379" spans="1:11" hidden="1">
      <c r="A1379" s="148" t="s">
        <v>4003</v>
      </c>
      <c r="B1379" s="148" t="s">
        <v>4004</v>
      </c>
      <c r="C1379" s="148" t="s">
        <v>4005</v>
      </c>
      <c r="D1379" s="148" t="s">
        <v>148</v>
      </c>
      <c r="E1379" s="148" t="s">
        <v>1009</v>
      </c>
      <c r="F1379" s="148" t="s">
        <v>1010</v>
      </c>
      <c r="G1379" s="148" t="s">
        <v>1011</v>
      </c>
      <c r="H1379" s="148">
        <v>824635</v>
      </c>
      <c r="I1379" s="148">
        <v>21896</v>
      </c>
      <c r="J1379" s="148">
        <v>2.6551999999999998</v>
      </c>
      <c r="K1379" s="148" t="str">
        <f t="shared" si="21"/>
        <v>INSTRUMENTAMNT_D_AT_MTRTY</v>
      </c>
    </row>
    <row r="1380" spans="1:11" hidden="1">
      <c r="A1380" s="148" t="s">
        <v>4006</v>
      </c>
      <c r="B1380" s="148" t="s">
        <v>4007</v>
      </c>
      <c r="C1380" s="148" t="s">
        <v>1008</v>
      </c>
      <c r="D1380" s="148" t="s">
        <v>173</v>
      </c>
      <c r="E1380" s="148" t="s">
        <v>1009</v>
      </c>
      <c r="F1380" s="148" t="s">
        <v>1010</v>
      </c>
      <c r="G1380" s="148" t="s">
        <v>129</v>
      </c>
      <c r="H1380" s="148">
        <v>4109</v>
      </c>
      <c r="I1380" s="148">
        <v>0</v>
      </c>
      <c r="J1380" s="148">
        <v>0</v>
      </c>
      <c r="K1380" s="148" t="str">
        <f t="shared" si="21"/>
        <v>INSTRUMENTCMMTMNT_INCPTN_INSTRMNT</v>
      </c>
    </row>
    <row r="1381" spans="1:11" hidden="1">
      <c r="A1381" s="148" t="s">
        <v>4008</v>
      </c>
      <c r="B1381" s="148" t="s">
        <v>4009</v>
      </c>
      <c r="C1381" s="148" t="s">
        <v>1008</v>
      </c>
      <c r="D1381" s="148" t="s">
        <v>173</v>
      </c>
      <c r="E1381" s="148" t="s">
        <v>1009</v>
      </c>
      <c r="F1381" s="148" t="s">
        <v>1010</v>
      </c>
      <c r="G1381" s="148" t="s">
        <v>129</v>
      </c>
      <c r="H1381" s="148">
        <v>4109</v>
      </c>
      <c r="I1381" s="148">
        <v>0</v>
      </c>
      <c r="J1381" s="148">
        <v>0</v>
      </c>
      <c r="K1381" s="148" t="str">
        <f t="shared" si="21"/>
        <v>INSTRUMENTCMMTMNT_INCPTN_INSTRMNT</v>
      </c>
    </row>
    <row r="1382" spans="1:11" hidden="1">
      <c r="A1382" s="148" t="s">
        <v>4010</v>
      </c>
      <c r="B1382" s="148" t="s">
        <v>1068</v>
      </c>
      <c r="C1382" s="148" t="s">
        <v>1008</v>
      </c>
      <c r="D1382" s="148" t="s">
        <v>210</v>
      </c>
      <c r="E1382" s="148" t="s">
        <v>1009</v>
      </c>
      <c r="F1382" s="148" t="s">
        <v>1010</v>
      </c>
      <c r="G1382" s="148" t="s">
        <v>129</v>
      </c>
      <c r="H1382" s="148">
        <v>367053</v>
      </c>
      <c r="I1382" s="148">
        <v>0</v>
      </c>
      <c r="J1382" s="148">
        <v>0</v>
      </c>
      <c r="K1382" s="148" t="str">
        <f t="shared" si="21"/>
        <v>INSTRUMENTDBT_YLD</v>
      </c>
    </row>
    <row r="1383" spans="1:11" hidden="1">
      <c r="A1383" s="148" t="s">
        <v>4011</v>
      </c>
      <c r="B1383" s="148" t="s">
        <v>4012</v>
      </c>
      <c r="C1383" s="148" t="s">
        <v>1019</v>
      </c>
      <c r="D1383" s="148" t="s">
        <v>210</v>
      </c>
      <c r="E1383" s="148" t="s">
        <v>1009</v>
      </c>
      <c r="F1383" s="148" t="s">
        <v>1010</v>
      </c>
      <c r="G1383" s="148" t="s">
        <v>1011</v>
      </c>
      <c r="H1383" s="148">
        <v>334127</v>
      </c>
      <c r="I1383" s="148">
        <v>330225</v>
      </c>
      <c r="J1383" s="148">
        <v>98.8322</v>
      </c>
      <c r="K1383" s="148" t="str">
        <f t="shared" si="21"/>
        <v>INSTRUMENTDBT_YLD</v>
      </c>
    </row>
    <row r="1384" spans="1:11" hidden="1">
      <c r="A1384" s="148" t="s">
        <v>4013</v>
      </c>
      <c r="B1384" s="148" t="s">
        <v>4014</v>
      </c>
      <c r="C1384" s="148" t="s">
        <v>1008</v>
      </c>
      <c r="D1384" s="148" t="s">
        <v>496</v>
      </c>
      <c r="E1384" s="148" t="s">
        <v>1009</v>
      </c>
      <c r="F1384" s="148" t="s">
        <v>1010</v>
      </c>
      <c r="G1384" s="148" t="s">
        <v>1011</v>
      </c>
      <c r="H1384" s="148">
        <v>1057187</v>
      </c>
      <c r="I1384" s="148">
        <v>10</v>
      </c>
      <c r="J1384" s="148">
        <v>8.9999999999999998E-4</v>
      </c>
      <c r="K1384" s="148" t="str">
        <f t="shared" si="21"/>
        <v>INSTRUMENTDT_LGL_FNL_MTRTY</v>
      </c>
    </row>
    <row r="1385" spans="1:11" hidden="1">
      <c r="A1385" s="148" t="s">
        <v>4015</v>
      </c>
      <c r="B1385" s="148" t="s">
        <v>4016</v>
      </c>
      <c r="C1385" s="148" t="s">
        <v>1008</v>
      </c>
      <c r="D1385" s="148" t="s">
        <v>496</v>
      </c>
      <c r="E1385" s="148" t="s">
        <v>1009</v>
      </c>
      <c r="F1385" s="148" t="s">
        <v>1010</v>
      </c>
      <c r="G1385" s="148" t="s">
        <v>1011</v>
      </c>
      <c r="H1385" s="148">
        <v>797571</v>
      </c>
      <c r="I1385" s="148">
        <v>849</v>
      </c>
      <c r="J1385" s="148">
        <v>0.10639999999999999</v>
      </c>
      <c r="K1385" s="148" t="str">
        <f t="shared" si="21"/>
        <v>INSTRUMENTDT_LGL_FNL_MTRTY</v>
      </c>
    </row>
    <row r="1386" spans="1:11" hidden="1">
      <c r="A1386" s="148" t="s">
        <v>4017</v>
      </c>
      <c r="B1386" s="148" t="s">
        <v>4018</v>
      </c>
      <c r="C1386" s="148" t="s">
        <v>1008</v>
      </c>
      <c r="D1386" s="148" t="s">
        <v>496</v>
      </c>
      <c r="E1386" s="148" t="s">
        <v>1009</v>
      </c>
      <c r="F1386" s="148" t="s">
        <v>1010</v>
      </c>
      <c r="G1386" s="148" t="s">
        <v>1011</v>
      </c>
      <c r="H1386" s="148">
        <v>1057093</v>
      </c>
      <c r="I1386" s="148">
        <v>1</v>
      </c>
      <c r="J1386" s="148">
        <v>1E-4</v>
      </c>
      <c r="K1386" s="148" t="str">
        <f t="shared" si="21"/>
        <v>INSTRUMENTDT_LGL_FNL_MTRTY</v>
      </c>
    </row>
    <row r="1387" spans="1:11" hidden="1">
      <c r="A1387" s="148" t="s">
        <v>4019</v>
      </c>
      <c r="B1387" s="148" t="s">
        <v>4020</v>
      </c>
      <c r="C1387" s="148" t="s">
        <v>1008</v>
      </c>
      <c r="D1387" s="148" t="s">
        <v>500</v>
      </c>
      <c r="E1387" s="148" t="s">
        <v>1009</v>
      </c>
      <c r="F1387" s="148" t="s">
        <v>1010</v>
      </c>
      <c r="G1387" s="148" t="s">
        <v>1011</v>
      </c>
      <c r="H1387" s="148">
        <v>28232</v>
      </c>
      <c r="I1387" s="148">
        <v>374</v>
      </c>
      <c r="J1387" s="148">
        <v>1.3247</v>
      </c>
      <c r="K1387" s="148" t="str">
        <f t="shared" si="21"/>
        <v>INSTRUMENTDT_NXT_INTRST_RT_RST</v>
      </c>
    </row>
    <row r="1388" spans="1:11" hidden="1">
      <c r="A1388" s="148" t="s">
        <v>4021</v>
      </c>
      <c r="B1388" s="148" t="s">
        <v>4022</v>
      </c>
      <c r="C1388" s="148" t="s">
        <v>1008</v>
      </c>
      <c r="D1388" s="148" t="s">
        <v>500</v>
      </c>
      <c r="E1388" s="148" t="s">
        <v>1009</v>
      </c>
      <c r="F1388" s="148" t="s">
        <v>1010</v>
      </c>
      <c r="G1388" s="148" t="s">
        <v>1011</v>
      </c>
      <c r="H1388" s="148">
        <v>2990</v>
      </c>
      <c r="I1388" s="148">
        <v>54</v>
      </c>
      <c r="J1388" s="148">
        <v>1.806</v>
      </c>
      <c r="K1388" s="148" t="str">
        <f t="shared" si="21"/>
        <v>INSTRUMENTDT_NXT_INTRST_RT_RST</v>
      </c>
    </row>
    <row r="1389" spans="1:11" hidden="1">
      <c r="A1389" s="148" t="s">
        <v>4023</v>
      </c>
      <c r="B1389" s="148" t="s">
        <v>4024</v>
      </c>
      <c r="C1389" s="148" t="s">
        <v>1008</v>
      </c>
      <c r="D1389" s="148" t="s">
        <v>500</v>
      </c>
      <c r="E1389" s="148" t="s">
        <v>1009</v>
      </c>
      <c r="F1389" s="148" t="s">
        <v>1010</v>
      </c>
      <c r="G1389" s="148" t="s">
        <v>129</v>
      </c>
      <c r="H1389" s="148">
        <v>0</v>
      </c>
      <c r="I1389" s="148">
        <v>0</v>
      </c>
      <c r="J1389" s="148">
        <v>0</v>
      </c>
      <c r="K1389" s="148" t="str">
        <f t="shared" si="21"/>
        <v>INSTRUMENTDT_NXT_INTRST_RT_RST</v>
      </c>
    </row>
    <row r="1390" spans="1:11" hidden="1">
      <c r="A1390" s="148" t="s">
        <v>4025</v>
      </c>
      <c r="B1390" s="148" t="s">
        <v>4026</v>
      </c>
      <c r="C1390" s="148" t="s">
        <v>1008</v>
      </c>
      <c r="D1390" s="148" t="s">
        <v>500</v>
      </c>
      <c r="E1390" s="148" t="s">
        <v>1009</v>
      </c>
      <c r="F1390" s="148" t="s">
        <v>1010</v>
      </c>
      <c r="G1390" s="148" t="s">
        <v>1011</v>
      </c>
      <c r="H1390" s="148">
        <v>25853</v>
      </c>
      <c r="I1390" s="148">
        <v>103</v>
      </c>
      <c r="J1390" s="148">
        <v>0.39839999999999998</v>
      </c>
      <c r="K1390" s="148" t="str">
        <f t="shared" si="21"/>
        <v>INSTRUMENTDT_NXT_INTRST_RT_RST</v>
      </c>
    </row>
    <row r="1391" spans="1:11" hidden="1">
      <c r="A1391" s="148" t="s">
        <v>4027</v>
      </c>
      <c r="B1391" s="148" t="s">
        <v>4028</v>
      </c>
      <c r="C1391" s="148" t="s">
        <v>1008</v>
      </c>
      <c r="D1391" s="148" t="s">
        <v>500</v>
      </c>
      <c r="E1391" s="148" t="s">
        <v>1009</v>
      </c>
      <c r="F1391" s="148" t="s">
        <v>1010</v>
      </c>
      <c r="G1391" s="148" t="s">
        <v>1011</v>
      </c>
      <c r="H1391" s="148">
        <v>41390</v>
      </c>
      <c r="I1391" s="148">
        <v>3347</v>
      </c>
      <c r="J1391" s="148">
        <v>8.0864999999999991</v>
      </c>
      <c r="K1391" s="148" t="str">
        <f t="shared" si="21"/>
        <v>INSTRUMENTDT_NXT_INTRST_RT_RST</v>
      </c>
    </row>
    <row r="1392" spans="1:11" hidden="1">
      <c r="A1392" s="148" t="s">
        <v>4029</v>
      </c>
      <c r="B1392" s="148" t="s">
        <v>4030</v>
      </c>
      <c r="C1392" s="148" t="s">
        <v>1008</v>
      </c>
      <c r="D1392" s="148" t="s">
        <v>500</v>
      </c>
      <c r="E1392" s="148" t="s">
        <v>1009</v>
      </c>
      <c r="F1392" s="148" t="s">
        <v>1010</v>
      </c>
      <c r="G1392" s="148" t="s">
        <v>129</v>
      </c>
      <c r="H1392" s="148">
        <v>0</v>
      </c>
      <c r="I1392" s="148">
        <v>0</v>
      </c>
      <c r="J1392" s="148">
        <v>0</v>
      </c>
      <c r="K1392" s="148" t="str">
        <f t="shared" si="21"/>
        <v>INSTRUMENTDT_NXT_INTRST_RT_RST</v>
      </c>
    </row>
    <row r="1393" spans="1:11" hidden="1">
      <c r="A1393" s="148" t="s">
        <v>4031</v>
      </c>
      <c r="B1393" s="148" t="s">
        <v>4032</v>
      </c>
      <c r="C1393" s="148" t="s">
        <v>1008</v>
      </c>
      <c r="D1393" s="148" t="s">
        <v>500</v>
      </c>
      <c r="E1393" s="148" t="s">
        <v>1009</v>
      </c>
      <c r="F1393" s="148" t="s">
        <v>1010</v>
      </c>
      <c r="G1393" s="148" t="s">
        <v>129</v>
      </c>
      <c r="H1393" s="148">
        <v>1335607</v>
      </c>
      <c r="I1393" s="148">
        <v>0</v>
      </c>
      <c r="J1393" s="148">
        <v>0</v>
      </c>
      <c r="K1393" s="148" t="str">
        <f t="shared" si="21"/>
        <v>INSTRUMENTDT_NXT_INTRST_RT_RST</v>
      </c>
    </row>
    <row r="1394" spans="1:11" hidden="1">
      <c r="A1394" s="148" t="s">
        <v>4033</v>
      </c>
      <c r="B1394" s="148" t="s">
        <v>4034</v>
      </c>
      <c r="C1394" s="148" t="s">
        <v>1008</v>
      </c>
      <c r="D1394" s="148" t="s">
        <v>500</v>
      </c>
      <c r="E1394" s="148" t="s">
        <v>1009</v>
      </c>
      <c r="F1394" s="148" t="s">
        <v>1010</v>
      </c>
      <c r="G1394" s="148" t="s">
        <v>1011</v>
      </c>
      <c r="H1394" s="148">
        <v>420975</v>
      </c>
      <c r="I1394" s="148">
        <v>1191</v>
      </c>
      <c r="J1394" s="148">
        <v>0.28289999999999998</v>
      </c>
      <c r="K1394" s="148" t="str">
        <f t="shared" si="21"/>
        <v>INSTRUMENTDT_NXT_INTRST_RT_RST</v>
      </c>
    </row>
    <row r="1395" spans="1:11" hidden="1">
      <c r="A1395" s="148" t="s">
        <v>4035</v>
      </c>
      <c r="B1395" s="148" t="s">
        <v>4036</v>
      </c>
      <c r="C1395" s="148" t="s">
        <v>127</v>
      </c>
      <c r="D1395" s="148" t="s">
        <v>500</v>
      </c>
      <c r="E1395" s="148" t="s">
        <v>1009</v>
      </c>
      <c r="F1395" s="148" t="s">
        <v>1010</v>
      </c>
      <c r="G1395" s="148" t="s">
        <v>1011</v>
      </c>
      <c r="H1395" s="148">
        <v>420975</v>
      </c>
      <c r="I1395" s="148">
        <v>10125</v>
      </c>
      <c r="J1395" s="148">
        <v>2.4051</v>
      </c>
      <c r="K1395" s="148" t="str">
        <f t="shared" si="21"/>
        <v>INSTRUMENTDT_NXT_INTRST_RT_RST</v>
      </c>
    </row>
    <row r="1396" spans="1:11" hidden="1">
      <c r="A1396" s="148" t="s">
        <v>4037</v>
      </c>
      <c r="B1396" s="148" t="s">
        <v>4038</v>
      </c>
      <c r="C1396" s="148" t="s">
        <v>1008</v>
      </c>
      <c r="D1396" s="148" t="s">
        <v>500</v>
      </c>
      <c r="E1396" s="148" t="s">
        <v>1009</v>
      </c>
      <c r="F1396" s="148" t="s">
        <v>1010</v>
      </c>
      <c r="G1396" s="148" t="s">
        <v>1011</v>
      </c>
      <c r="H1396" s="148">
        <v>420975</v>
      </c>
      <c r="I1396" s="148">
        <v>8</v>
      </c>
      <c r="J1396" s="148">
        <v>1.9E-3</v>
      </c>
      <c r="K1396" s="148" t="str">
        <f t="shared" si="21"/>
        <v>INSTRUMENTDT_NXT_INTRST_RT_RST</v>
      </c>
    </row>
    <row r="1397" spans="1:11" hidden="1">
      <c r="A1397" s="148" t="s">
        <v>4039</v>
      </c>
      <c r="B1397" s="148" t="s">
        <v>4040</v>
      </c>
      <c r="C1397" s="148" t="s">
        <v>1008</v>
      </c>
      <c r="D1397" s="148" t="s">
        <v>274</v>
      </c>
      <c r="E1397" s="148" t="s">
        <v>1009</v>
      </c>
      <c r="F1397" s="148" t="s">
        <v>1010</v>
      </c>
      <c r="G1397" s="148" t="s">
        <v>1011</v>
      </c>
      <c r="H1397" s="148">
        <v>1057187</v>
      </c>
      <c r="I1397" s="148">
        <v>44</v>
      </c>
      <c r="J1397" s="148">
        <v>4.1999999999999997E-3</v>
      </c>
      <c r="K1397" s="148" t="str">
        <f t="shared" si="21"/>
        <v>INSTRUMENTDT_ORGNL_MTRTY</v>
      </c>
    </row>
    <row r="1398" spans="1:11" hidden="1">
      <c r="A1398" s="148" t="s">
        <v>4041</v>
      </c>
      <c r="B1398" s="148" t="s">
        <v>4042</v>
      </c>
      <c r="C1398" s="148" t="s">
        <v>1008</v>
      </c>
      <c r="D1398" s="148" t="s">
        <v>355</v>
      </c>
      <c r="E1398" s="148" t="s">
        <v>1009</v>
      </c>
      <c r="F1398" s="148" t="s">
        <v>1010</v>
      </c>
      <c r="G1398" s="148" t="s">
        <v>129</v>
      </c>
      <c r="H1398" s="148">
        <v>905713</v>
      </c>
      <c r="I1398" s="148">
        <v>0</v>
      </c>
      <c r="J1398" s="148">
        <v>0</v>
      </c>
      <c r="K1398" s="148" t="str">
        <f t="shared" si="21"/>
        <v>INSTRUMENTIFRS9_CCF</v>
      </c>
    </row>
    <row r="1399" spans="1:11" hidden="1">
      <c r="A1399" s="148" t="s">
        <v>4043</v>
      </c>
      <c r="B1399" s="148" t="s">
        <v>4044</v>
      </c>
      <c r="C1399" s="148" t="s">
        <v>1008</v>
      </c>
      <c r="D1399" s="148" t="s">
        <v>357</v>
      </c>
      <c r="E1399" s="148" t="s">
        <v>1009</v>
      </c>
      <c r="F1399" s="148" t="s">
        <v>1010</v>
      </c>
      <c r="G1399" s="148" t="s">
        <v>1011</v>
      </c>
      <c r="H1399" s="148">
        <v>2138832</v>
      </c>
      <c r="I1399" s="148">
        <v>273250</v>
      </c>
      <c r="J1399" s="148">
        <v>12.775700000000001</v>
      </c>
      <c r="K1399" s="148" t="str">
        <f t="shared" si="21"/>
        <v>INSTRUMENTIFRS9_EAD</v>
      </c>
    </row>
    <row r="1400" spans="1:11" hidden="1">
      <c r="A1400" s="148" t="s">
        <v>4045</v>
      </c>
      <c r="B1400" s="148" t="s">
        <v>4046</v>
      </c>
      <c r="C1400" s="148" t="s">
        <v>1008</v>
      </c>
      <c r="D1400" s="148" t="s">
        <v>357</v>
      </c>
      <c r="E1400" s="148" t="s">
        <v>1009</v>
      </c>
      <c r="F1400" s="148" t="s">
        <v>1010</v>
      </c>
      <c r="G1400" s="148" t="s">
        <v>1011</v>
      </c>
      <c r="H1400" s="148">
        <v>905713</v>
      </c>
      <c r="I1400" s="148">
        <v>5456</v>
      </c>
      <c r="J1400" s="148">
        <v>0.60240000000000005</v>
      </c>
      <c r="K1400" s="148" t="str">
        <f t="shared" si="21"/>
        <v>INSTRUMENTIFRS9_EAD</v>
      </c>
    </row>
    <row r="1401" spans="1:11" hidden="1">
      <c r="A1401" s="148" t="s">
        <v>4047</v>
      </c>
      <c r="B1401" s="148" t="s">
        <v>4048</v>
      </c>
      <c r="C1401" s="148" t="s">
        <v>1008</v>
      </c>
      <c r="D1401" s="148" t="s">
        <v>295</v>
      </c>
      <c r="E1401" s="148" t="s">
        <v>1009</v>
      </c>
      <c r="F1401" s="148" t="s">
        <v>1010</v>
      </c>
      <c r="G1401" s="148" t="s">
        <v>129</v>
      </c>
      <c r="H1401" s="148">
        <v>785959</v>
      </c>
      <c r="I1401" s="148">
        <v>0</v>
      </c>
      <c r="J1401" s="148">
        <v>0</v>
      </c>
      <c r="K1401" s="148" t="str">
        <f t="shared" si="21"/>
        <v>INSTRUMENTINSTLMNT_PAY</v>
      </c>
    </row>
    <row r="1402" spans="1:11" hidden="1">
      <c r="A1402" s="148" t="s">
        <v>4049</v>
      </c>
      <c r="B1402" s="148" t="s">
        <v>4050</v>
      </c>
      <c r="C1402" s="148" t="s">
        <v>1008</v>
      </c>
      <c r="D1402" s="148" t="s">
        <v>426</v>
      </c>
      <c r="E1402" s="148" t="s">
        <v>1009</v>
      </c>
      <c r="F1402" s="148" t="s">
        <v>1010</v>
      </c>
      <c r="G1402" s="148" t="s">
        <v>1011</v>
      </c>
      <c r="H1402" s="148">
        <v>2138832</v>
      </c>
      <c r="I1402" s="148">
        <v>93</v>
      </c>
      <c r="J1402" s="148">
        <v>4.3E-3</v>
      </c>
      <c r="K1402" s="148" t="str">
        <f t="shared" si="21"/>
        <v>INSTRUMENTOFF_BLNC_SHT_AMNT_INSTRMNT</v>
      </c>
    </row>
    <row r="1403" spans="1:11" hidden="1">
      <c r="A1403" s="148" t="s">
        <v>4051</v>
      </c>
      <c r="B1403" s="148" t="s">
        <v>4052</v>
      </c>
      <c r="C1403" s="148" t="s">
        <v>1008</v>
      </c>
      <c r="D1403" s="148" t="s">
        <v>426</v>
      </c>
      <c r="E1403" s="148" t="s">
        <v>1009</v>
      </c>
      <c r="F1403" s="148" t="s">
        <v>1010</v>
      </c>
      <c r="G1403" s="148" t="s">
        <v>129</v>
      </c>
      <c r="H1403" s="148">
        <v>1781429</v>
      </c>
      <c r="I1403" s="148">
        <v>0</v>
      </c>
      <c r="J1403" s="148">
        <v>0</v>
      </c>
      <c r="K1403" s="148" t="str">
        <f t="shared" si="21"/>
        <v>INSTRUMENTOFF_BLNC_SHT_AMNT_INSTRMNT</v>
      </c>
    </row>
    <row r="1404" spans="1:11" hidden="1">
      <c r="A1404" s="148" t="s">
        <v>4053</v>
      </c>
      <c r="B1404" s="148" t="s">
        <v>4054</v>
      </c>
      <c r="C1404" s="148" t="s">
        <v>1008</v>
      </c>
      <c r="D1404" s="148" t="s">
        <v>426</v>
      </c>
      <c r="E1404" s="148" t="s">
        <v>1009</v>
      </c>
      <c r="F1404" s="148" t="s">
        <v>1010</v>
      </c>
      <c r="G1404" s="148" t="s">
        <v>129</v>
      </c>
      <c r="H1404" s="148">
        <v>196</v>
      </c>
      <c r="I1404" s="148">
        <v>0</v>
      </c>
      <c r="J1404" s="148">
        <v>0</v>
      </c>
      <c r="K1404" s="148" t="str">
        <f t="shared" si="21"/>
        <v>INSTRUMENTOFF_BLNC_SHT_AMNT_INSTRMNT</v>
      </c>
    </row>
    <row r="1405" spans="1:11" hidden="1">
      <c r="A1405" s="148" t="s">
        <v>4055</v>
      </c>
      <c r="B1405" s="148" t="s">
        <v>4056</v>
      </c>
      <c r="C1405" s="148" t="s">
        <v>1008</v>
      </c>
      <c r="D1405" s="148" t="s">
        <v>426</v>
      </c>
      <c r="E1405" s="148" t="s">
        <v>1009</v>
      </c>
      <c r="F1405" s="148" t="s">
        <v>1010</v>
      </c>
      <c r="G1405" s="148" t="s">
        <v>129</v>
      </c>
      <c r="H1405" s="148">
        <v>13</v>
      </c>
      <c r="I1405" s="148">
        <v>0</v>
      </c>
      <c r="J1405" s="148">
        <v>0</v>
      </c>
      <c r="K1405" s="148" t="str">
        <f t="shared" si="21"/>
        <v>INSTRUMENTOFF_BLNC_SHT_AMNT_INSTRMNT</v>
      </c>
    </row>
    <row r="1406" spans="1:11" hidden="1">
      <c r="A1406" s="148" t="s">
        <v>4057</v>
      </c>
      <c r="B1406" s="148" t="s">
        <v>914</v>
      </c>
      <c r="C1406" s="148" t="s">
        <v>1008</v>
      </c>
      <c r="D1406" s="148" t="s">
        <v>427</v>
      </c>
      <c r="E1406" s="148" t="s">
        <v>1009</v>
      </c>
      <c r="F1406" s="148" t="s">
        <v>1010</v>
      </c>
      <c r="G1406" s="148" t="s">
        <v>129</v>
      </c>
      <c r="H1406" s="148">
        <v>381343</v>
      </c>
      <c r="I1406" s="148">
        <v>0</v>
      </c>
      <c r="J1406" s="148">
        <v>0</v>
      </c>
      <c r="K1406" s="148" t="str">
        <f t="shared" si="21"/>
        <v>INSTRUMENTOFF_BLNC_SHT_AMNT_INSTRMNT_PRVS</v>
      </c>
    </row>
    <row r="1407" spans="1:11" hidden="1">
      <c r="A1407" s="148" t="s">
        <v>4058</v>
      </c>
      <c r="B1407" s="148" t="s">
        <v>916</v>
      </c>
      <c r="C1407" s="148" t="s">
        <v>1008</v>
      </c>
      <c r="D1407" s="148" t="s">
        <v>427</v>
      </c>
      <c r="E1407" s="148" t="s">
        <v>1009</v>
      </c>
      <c r="F1407" s="148" t="s">
        <v>1010</v>
      </c>
      <c r="G1407" s="148" t="s">
        <v>129</v>
      </c>
      <c r="H1407" s="148">
        <v>1745059</v>
      </c>
      <c r="I1407" s="148">
        <v>0</v>
      </c>
      <c r="J1407" s="148">
        <v>0</v>
      </c>
      <c r="K1407" s="148" t="str">
        <f t="shared" si="21"/>
        <v>INSTRUMENTOFF_BLNC_SHT_AMNT_INSTRMNT_PRVS</v>
      </c>
    </row>
    <row r="1408" spans="1:11" hidden="1">
      <c r="A1408" s="148" t="s">
        <v>4059</v>
      </c>
      <c r="B1408" s="148" t="s">
        <v>4060</v>
      </c>
      <c r="C1408" s="148" t="s">
        <v>127</v>
      </c>
      <c r="D1408" s="148" t="s">
        <v>430</v>
      </c>
      <c r="E1408" s="148" t="s">
        <v>1397</v>
      </c>
      <c r="F1408" s="148" t="s">
        <v>1802</v>
      </c>
      <c r="G1408" s="148" t="s">
        <v>129</v>
      </c>
      <c r="H1408" s="148">
        <v>2266163</v>
      </c>
      <c r="I1408" s="148">
        <v>0</v>
      </c>
      <c r="J1408" s="148">
        <v>0</v>
      </c>
      <c r="K1408" s="148" t="str">
        <f t="shared" si="21"/>
        <v>INSTRUMENTOTSTNDNG_NMNL_AMNT_INSTRMNT</v>
      </c>
    </row>
    <row r="1409" spans="1:11" hidden="1">
      <c r="A1409" s="148" t="s">
        <v>1125</v>
      </c>
      <c r="B1409" s="148" t="s">
        <v>1126</v>
      </c>
      <c r="C1409" s="148" t="s">
        <v>127</v>
      </c>
      <c r="D1409" s="148" t="s">
        <v>430</v>
      </c>
      <c r="E1409" s="148" t="s">
        <v>1004</v>
      </c>
      <c r="F1409" s="148" t="s">
        <v>1005</v>
      </c>
      <c r="G1409" s="148" t="s">
        <v>1011</v>
      </c>
      <c r="H1409" s="148">
        <v>2138963</v>
      </c>
      <c r="I1409" s="148">
        <v>26793</v>
      </c>
      <c r="J1409" s="148">
        <v>1.2525999999999999</v>
      </c>
      <c r="K1409" s="148" t="str">
        <f t="shared" si="21"/>
        <v>INSTRUMENTOTSTNDNG_NMNL_AMNT_INSTRMNT</v>
      </c>
    </row>
    <row r="1410" spans="1:11" hidden="1">
      <c r="A1410" s="148" t="s">
        <v>4061</v>
      </c>
      <c r="B1410" s="148" t="s">
        <v>4062</v>
      </c>
      <c r="C1410" s="148" t="s">
        <v>1008</v>
      </c>
      <c r="D1410" s="148" t="s">
        <v>430</v>
      </c>
      <c r="E1410" s="148" t="s">
        <v>1009</v>
      </c>
      <c r="F1410" s="148" t="s">
        <v>1010</v>
      </c>
      <c r="G1410" s="148" t="s">
        <v>129</v>
      </c>
      <c r="H1410" s="148">
        <v>1871203</v>
      </c>
      <c r="I1410" s="148">
        <v>0</v>
      </c>
      <c r="J1410" s="148">
        <v>0</v>
      </c>
      <c r="K1410" s="148" t="str">
        <f t="shared" si="21"/>
        <v>INSTRUMENTOTSTNDNG_NMNL_AMNT_INSTRMNT</v>
      </c>
    </row>
    <row r="1411" spans="1:11" hidden="1">
      <c r="A1411" s="148" t="s">
        <v>4063</v>
      </c>
      <c r="B1411" s="148" t="s">
        <v>4064</v>
      </c>
      <c r="C1411" s="148" t="s">
        <v>1008</v>
      </c>
      <c r="D1411" s="148" t="s">
        <v>430</v>
      </c>
      <c r="E1411" s="148" t="s">
        <v>1009</v>
      </c>
      <c r="F1411" s="148" t="s">
        <v>1010</v>
      </c>
      <c r="G1411" s="148" t="s">
        <v>129</v>
      </c>
      <c r="H1411" s="148">
        <v>2138832</v>
      </c>
      <c r="I1411" s="148">
        <v>0</v>
      </c>
      <c r="J1411" s="148">
        <v>0</v>
      </c>
      <c r="K1411" s="148" t="str">
        <f t="shared" ref="K1411:K1474" si="22">_xlfn.CONCAT(_xlfn.IFS(ISNUMBER(SEARCH("EN",A1411)),"ENTITY",ISNUMBER(SEARCH("IN",A1411)),"INSTRUMENT",ISNUMBER(SEARCH("PR",A1411)),"PROTECTION",ISNUMBER(SEARCH("IP",A1411)),"INSTR_PROTECTION",ISNUMBER(SEARCH("IE",A1411)),"INSTR_ENTITY",ISNUMBER(SEARCH("AC",A1411)),"INSTR_ACTIVITY"),D1411)</f>
        <v>INSTRUMENTOTSTNDNG_NMNL_AMNT_INSTRMNT</v>
      </c>
    </row>
    <row r="1412" spans="1:11" hidden="1">
      <c r="A1412" s="148" t="s">
        <v>1123</v>
      </c>
      <c r="B1412" s="148" t="s">
        <v>1124</v>
      </c>
      <c r="C1412" s="148" t="s">
        <v>1008</v>
      </c>
      <c r="D1412" s="148" t="s">
        <v>430</v>
      </c>
      <c r="E1412" s="148" t="s">
        <v>1009</v>
      </c>
      <c r="F1412" s="148" t="s">
        <v>1010</v>
      </c>
      <c r="G1412" s="148" t="s">
        <v>1011</v>
      </c>
      <c r="H1412" s="148">
        <v>1233119</v>
      </c>
      <c r="I1412" s="148">
        <v>46553</v>
      </c>
      <c r="J1412" s="148">
        <v>3.7751999999999999</v>
      </c>
      <c r="K1412" s="148" t="str">
        <f t="shared" si="22"/>
        <v>INSTRUMENTOTSTNDNG_NMNL_AMNT_INSTRMNT</v>
      </c>
    </row>
    <row r="1413" spans="1:11" hidden="1">
      <c r="A1413" s="148" t="s">
        <v>4065</v>
      </c>
      <c r="B1413" s="148" t="s">
        <v>4066</v>
      </c>
      <c r="C1413" s="148" t="s">
        <v>1008</v>
      </c>
      <c r="D1413" s="148" t="s">
        <v>430</v>
      </c>
      <c r="E1413" s="148" t="s">
        <v>1009</v>
      </c>
      <c r="F1413" s="148" t="s">
        <v>1010</v>
      </c>
      <c r="G1413" s="148" t="s">
        <v>129</v>
      </c>
      <c r="H1413" s="148">
        <v>13</v>
      </c>
      <c r="I1413" s="148">
        <v>0</v>
      </c>
      <c r="J1413" s="148">
        <v>0</v>
      </c>
      <c r="K1413" s="148" t="str">
        <f t="shared" si="22"/>
        <v>INSTRUMENTOTSTNDNG_NMNL_AMNT_INSTRMNT</v>
      </c>
    </row>
    <row r="1414" spans="1:11" hidden="1">
      <c r="A1414" s="148" t="s">
        <v>4067</v>
      </c>
      <c r="B1414" s="148" t="s">
        <v>4068</v>
      </c>
      <c r="C1414" s="148" t="s">
        <v>1008</v>
      </c>
      <c r="D1414" s="148" t="s">
        <v>430</v>
      </c>
      <c r="E1414" s="148" t="s">
        <v>1009</v>
      </c>
      <c r="F1414" s="148" t="s">
        <v>1010</v>
      </c>
      <c r="G1414" s="148" t="s">
        <v>129</v>
      </c>
      <c r="H1414" s="148">
        <v>0</v>
      </c>
      <c r="I1414" s="148">
        <v>0</v>
      </c>
      <c r="J1414" s="148">
        <v>0</v>
      </c>
      <c r="K1414" s="148" t="str">
        <f t="shared" si="22"/>
        <v>INSTRUMENTOTSTNDNG_NMNL_AMNT_INSTRMNT</v>
      </c>
    </row>
    <row r="1415" spans="1:11" hidden="1">
      <c r="A1415" s="148" t="s">
        <v>4069</v>
      </c>
      <c r="B1415" s="148" t="s">
        <v>4070</v>
      </c>
      <c r="C1415" s="148" t="s">
        <v>1008</v>
      </c>
      <c r="D1415" s="148" t="s">
        <v>470</v>
      </c>
      <c r="E1415" s="148" t="s">
        <v>1009</v>
      </c>
      <c r="F1415" s="148" t="s">
        <v>1010</v>
      </c>
      <c r="G1415" s="148" t="s">
        <v>129</v>
      </c>
      <c r="H1415" s="148">
        <v>0</v>
      </c>
      <c r="I1415" s="148">
        <v>0</v>
      </c>
      <c r="J1415" s="148">
        <v>0</v>
      </c>
      <c r="K1415" s="148" t="str">
        <f t="shared" si="22"/>
        <v>INSTRUMENTPRVSNS_OFF_BLNC_SHT</v>
      </c>
    </row>
    <row r="1416" spans="1:11" hidden="1">
      <c r="A1416" s="148" t="s">
        <v>4071</v>
      </c>
      <c r="B1416" s="148" t="s">
        <v>4072</v>
      </c>
      <c r="C1416" s="148" t="s">
        <v>1008</v>
      </c>
      <c r="D1416" s="148" t="s">
        <v>470</v>
      </c>
      <c r="E1416" s="148" t="s">
        <v>1009</v>
      </c>
      <c r="F1416" s="148" t="s">
        <v>1010</v>
      </c>
      <c r="G1416" s="148" t="s">
        <v>129</v>
      </c>
      <c r="H1416" s="148">
        <v>13</v>
      </c>
      <c r="I1416" s="148">
        <v>0</v>
      </c>
      <c r="J1416" s="148">
        <v>0</v>
      </c>
      <c r="K1416" s="148" t="str">
        <f t="shared" si="22"/>
        <v>INSTRUMENTPRVSNS_OFF_BLNC_SHT</v>
      </c>
    </row>
    <row r="1417" spans="1:11" hidden="1">
      <c r="A1417" s="148" t="s">
        <v>4073</v>
      </c>
      <c r="B1417" s="148" t="s">
        <v>4074</v>
      </c>
      <c r="C1417" s="148" t="s">
        <v>1008</v>
      </c>
      <c r="D1417" s="148" t="s">
        <v>494</v>
      </c>
      <c r="E1417" s="148" t="s">
        <v>1009</v>
      </c>
      <c r="F1417" s="148" t="s">
        <v>1010</v>
      </c>
      <c r="G1417" s="148" t="s">
        <v>129</v>
      </c>
      <c r="H1417" s="148">
        <v>105</v>
      </c>
      <c r="I1417" s="148">
        <v>0</v>
      </c>
      <c r="J1417" s="148">
        <v>0</v>
      </c>
      <c r="K1417" s="148" t="str">
        <f t="shared" si="22"/>
        <v>INSTRUMENTRTNTN_SHR</v>
      </c>
    </row>
    <row r="1418" spans="1:11" hidden="1">
      <c r="A1418" s="148" t="s">
        <v>4075</v>
      </c>
      <c r="B1418" s="148" t="s">
        <v>4076</v>
      </c>
      <c r="C1418" s="148" t="s">
        <v>1008</v>
      </c>
      <c r="D1418" s="148" t="s">
        <v>494</v>
      </c>
      <c r="E1418" s="148" t="s">
        <v>1009</v>
      </c>
      <c r="F1418" s="148" t="s">
        <v>1010</v>
      </c>
      <c r="G1418" s="148" t="s">
        <v>129</v>
      </c>
      <c r="H1418" s="148">
        <v>378734</v>
      </c>
      <c r="I1418" s="148">
        <v>0</v>
      </c>
      <c r="J1418" s="148">
        <v>0</v>
      </c>
      <c r="K1418" s="148" t="str">
        <f t="shared" si="22"/>
        <v>INSTRUMENTRTNTN_SHR</v>
      </c>
    </row>
    <row r="1419" spans="1:11" hidden="1">
      <c r="A1419" s="148" t="s">
        <v>4077</v>
      </c>
      <c r="B1419" s="148" t="s">
        <v>596</v>
      </c>
      <c r="C1419" s="148" t="s">
        <v>1008</v>
      </c>
      <c r="D1419" s="148" t="s">
        <v>421</v>
      </c>
      <c r="E1419" s="148" t="s">
        <v>1009</v>
      </c>
      <c r="F1419" s="148" t="s">
        <v>1010</v>
      </c>
      <c r="G1419" s="148" t="s">
        <v>1011</v>
      </c>
      <c r="H1419" s="148">
        <v>2138963</v>
      </c>
      <c r="I1419" s="148">
        <v>106981</v>
      </c>
      <c r="J1419" s="148">
        <v>5.0015000000000001</v>
      </c>
      <c r="K1419" s="148" t="str">
        <f t="shared" si="22"/>
        <v>INSTRUMENTRWA_MTHD</v>
      </c>
    </row>
    <row r="1420" spans="1:11" hidden="1">
      <c r="A1420" s="148" t="s">
        <v>4078</v>
      </c>
      <c r="B1420" s="148" t="s">
        <v>4079</v>
      </c>
      <c r="C1420" s="148" t="s">
        <v>1008</v>
      </c>
      <c r="D1420" s="148" t="s">
        <v>133</v>
      </c>
      <c r="E1420" s="148" t="s">
        <v>1009</v>
      </c>
      <c r="F1420" s="148" t="s">
        <v>1010</v>
      </c>
      <c r="G1420" s="148" t="s">
        <v>1011</v>
      </c>
      <c r="H1420" s="148">
        <v>13</v>
      </c>
      <c r="I1420" s="148">
        <v>13</v>
      </c>
      <c r="J1420" s="148">
        <v>100</v>
      </c>
      <c r="K1420" s="148" t="str">
        <f t="shared" si="22"/>
        <v>INSTRUMENTACCMLTD_IMPRMNT_INSTRMNT</v>
      </c>
    </row>
    <row r="1421" spans="1:11" hidden="1">
      <c r="A1421" s="148" t="s">
        <v>4080</v>
      </c>
      <c r="B1421" s="148" t="s">
        <v>4081</v>
      </c>
      <c r="C1421" s="148" t="s">
        <v>1008</v>
      </c>
      <c r="D1421" s="148" t="s">
        <v>133</v>
      </c>
      <c r="E1421" s="148" t="s">
        <v>1009</v>
      </c>
      <c r="F1421" s="148" t="s">
        <v>1010</v>
      </c>
      <c r="G1421" s="148" t="s">
        <v>129</v>
      </c>
      <c r="H1421" s="148">
        <v>267616</v>
      </c>
      <c r="I1421" s="148">
        <v>0</v>
      </c>
      <c r="J1421" s="148">
        <v>0</v>
      </c>
      <c r="K1421" s="148" t="str">
        <f t="shared" si="22"/>
        <v>INSTRUMENTACCMLTD_IMPRMNT_INSTRMNT</v>
      </c>
    </row>
    <row r="1422" spans="1:11" hidden="1">
      <c r="A1422" s="148" t="s">
        <v>4082</v>
      </c>
      <c r="B1422" s="148" t="s">
        <v>4083</v>
      </c>
      <c r="C1422" s="148" t="s">
        <v>1008</v>
      </c>
      <c r="D1422" s="148" t="s">
        <v>133</v>
      </c>
      <c r="E1422" s="148" t="s">
        <v>1009</v>
      </c>
      <c r="F1422" s="148" t="s">
        <v>1010</v>
      </c>
      <c r="G1422" s="148" t="s">
        <v>129</v>
      </c>
      <c r="H1422" s="148">
        <v>13</v>
      </c>
      <c r="I1422" s="148">
        <v>0</v>
      </c>
      <c r="J1422" s="148">
        <v>0</v>
      </c>
      <c r="K1422" s="148" t="str">
        <f t="shared" si="22"/>
        <v>INSTRUMENTACCMLTD_IMPRMNT_INSTRMNT</v>
      </c>
    </row>
    <row r="1423" spans="1:11" hidden="1">
      <c r="A1423" s="148" t="s">
        <v>4084</v>
      </c>
      <c r="B1423" s="148" t="s">
        <v>4085</v>
      </c>
      <c r="C1423" s="148" t="s">
        <v>1008</v>
      </c>
      <c r="D1423" s="148" t="s">
        <v>133</v>
      </c>
      <c r="E1423" s="148" t="s">
        <v>1009</v>
      </c>
      <c r="F1423" s="148" t="s">
        <v>1010</v>
      </c>
      <c r="G1423" s="148" t="s">
        <v>129</v>
      </c>
      <c r="H1423" s="148">
        <v>0</v>
      </c>
      <c r="I1423" s="148">
        <v>0</v>
      </c>
      <c r="J1423" s="148">
        <v>0</v>
      </c>
      <c r="K1423" s="148" t="str">
        <f t="shared" si="22"/>
        <v>INSTRUMENTACCMLTD_IMPRMNT_INSTRMNT</v>
      </c>
    </row>
    <row r="1424" spans="1:11" hidden="1">
      <c r="A1424" s="148" t="s">
        <v>1121</v>
      </c>
      <c r="B1424" s="148" t="s">
        <v>1122</v>
      </c>
      <c r="C1424" s="148" t="s">
        <v>1008</v>
      </c>
      <c r="D1424" s="148" t="s">
        <v>134</v>
      </c>
      <c r="E1424" s="148" t="s">
        <v>1009</v>
      </c>
      <c r="F1424" s="148" t="s">
        <v>1010</v>
      </c>
      <c r="G1424" s="148" t="s">
        <v>1011</v>
      </c>
      <c r="H1424" s="148">
        <v>13</v>
      </c>
      <c r="I1424" s="148">
        <v>11</v>
      </c>
      <c r="J1424" s="148">
        <v>84.615399999999994</v>
      </c>
      <c r="K1424" s="148" t="str">
        <f t="shared" si="22"/>
        <v>INSTRUMENTACCMLTD_IMPRMNT_INSTRMNT_PRVS</v>
      </c>
    </row>
    <row r="1425" spans="1:11" hidden="1">
      <c r="A1425" s="148" t="s">
        <v>4086</v>
      </c>
      <c r="B1425" s="148" t="s">
        <v>4087</v>
      </c>
      <c r="C1425" s="148" t="s">
        <v>1008</v>
      </c>
      <c r="D1425" s="148" t="s">
        <v>134</v>
      </c>
      <c r="E1425" s="148" t="s">
        <v>1009</v>
      </c>
      <c r="F1425" s="148" t="s">
        <v>1010</v>
      </c>
      <c r="G1425" s="148" t="s">
        <v>129</v>
      </c>
      <c r="H1425" s="148">
        <v>381343</v>
      </c>
      <c r="I1425" s="148">
        <v>0</v>
      </c>
      <c r="J1425" s="148">
        <v>0</v>
      </c>
      <c r="K1425" s="148" t="str">
        <f t="shared" si="22"/>
        <v>INSTRUMENTACCMLTD_IMPRMNT_INSTRMNT_PRVS</v>
      </c>
    </row>
    <row r="1426" spans="1:11" hidden="1">
      <c r="A1426" s="148" t="s">
        <v>4088</v>
      </c>
      <c r="B1426" s="148" t="s">
        <v>4089</v>
      </c>
      <c r="C1426" s="148" t="s">
        <v>1008</v>
      </c>
      <c r="D1426" s="148" t="s">
        <v>160</v>
      </c>
      <c r="E1426" s="148" t="s">
        <v>1009</v>
      </c>
      <c r="F1426" s="148" t="s">
        <v>1010</v>
      </c>
      <c r="G1426" s="148" t="s">
        <v>1011</v>
      </c>
      <c r="H1426" s="148">
        <v>156104</v>
      </c>
      <c r="I1426" s="148">
        <v>58</v>
      </c>
      <c r="J1426" s="148">
        <v>3.7199999999999997E-2</v>
      </c>
      <c r="K1426" s="148" t="str">
        <f t="shared" si="22"/>
        <v>INSTRUMENTARRRS_INSTRMNT</v>
      </c>
    </row>
    <row r="1427" spans="1:11" hidden="1">
      <c r="A1427" s="148" t="s">
        <v>4090</v>
      </c>
      <c r="B1427" s="148" t="s">
        <v>4091</v>
      </c>
      <c r="C1427" s="148" t="s">
        <v>1008</v>
      </c>
      <c r="D1427" s="148" t="s">
        <v>160</v>
      </c>
      <c r="E1427" s="148" t="s">
        <v>1009</v>
      </c>
      <c r="F1427" s="148" t="s">
        <v>1010</v>
      </c>
      <c r="G1427" s="148" t="s">
        <v>129</v>
      </c>
      <c r="H1427" s="148">
        <v>156104</v>
      </c>
      <c r="I1427" s="148">
        <v>0</v>
      </c>
      <c r="J1427" s="148">
        <v>0</v>
      </c>
      <c r="K1427" s="148" t="str">
        <f t="shared" si="22"/>
        <v>INSTRUMENTARRRS_INSTRMNT</v>
      </c>
    </row>
    <row r="1428" spans="1:11" hidden="1">
      <c r="A1428" s="148" t="s">
        <v>4092</v>
      </c>
      <c r="B1428" s="148" t="s">
        <v>4093</v>
      </c>
      <c r="C1428" s="148" t="s">
        <v>1008</v>
      </c>
      <c r="D1428" s="148" t="s">
        <v>160</v>
      </c>
      <c r="E1428" s="148" t="s">
        <v>1009</v>
      </c>
      <c r="F1428" s="148" t="s">
        <v>1010</v>
      </c>
      <c r="G1428" s="148" t="s">
        <v>1011</v>
      </c>
      <c r="H1428" s="148">
        <v>90762</v>
      </c>
      <c r="I1428" s="148">
        <v>7894</v>
      </c>
      <c r="J1428" s="148">
        <v>8.6974999999999998</v>
      </c>
      <c r="K1428" s="148" t="str">
        <f t="shared" si="22"/>
        <v>INSTRUMENTARRRS_INSTRMNT</v>
      </c>
    </row>
    <row r="1429" spans="1:11" hidden="1">
      <c r="A1429" s="148" t="s">
        <v>4094</v>
      </c>
      <c r="B1429" s="148" t="s">
        <v>4095</v>
      </c>
      <c r="C1429" s="148" t="s">
        <v>1008</v>
      </c>
      <c r="D1429" s="148" t="s">
        <v>160</v>
      </c>
      <c r="E1429" s="148" t="s">
        <v>1009</v>
      </c>
      <c r="F1429" s="148" t="s">
        <v>1010</v>
      </c>
      <c r="G1429" s="148" t="s">
        <v>1011</v>
      </c>
      <c r="H1429" s="148">
        <v>152681</v>
      </c>
      <c r="I1429" s="148">
        <v>5869</v>
      </c>
      <c r="J1429" s="148">
        <v>3.8439999999999999</v>
      </c>
      <c r="K1429" s="148" t="str">
        <f t="shared" si="22"/>
        <v>INSTRUMENTARRRS_INSTRMNT</v>
      </c>
    </row>
    <row r="1430" spans="1:11" hidden="1">
      <c r="A1430" s="148" t="s">
        <v>4096</v>
      </c>
      <c r="B1430" s="148" t="s">
        <v>4097</v>
      </c>
      <c r="C1430" s="148" t="s">
        <v>1008</v>
      </c>
      <c r="D1430" s="148" t="s">
        <v>160</v>
      </c>
      <c r="E1430" s="148" t="s">
        <v>1009</v>
      </c>
      <c r="F1430" s="148" t="s">
        <v>1010</v>
      </c>
      <c r="G1430" s="148" t="s">
        <v>129</v>
      </c>
      <c r="H1430" s="148">
        <v>0</v>
      </c>
      <c r="I1430" s="148">
        <v>0</v>
      </c>
      <c r="J1430" s="148">
        <v>0</v>
      </c>
      <c r="K1430" s="148" t="str">
        <f t="shared" si="22"/>
        <v>INSTRUMENTARRRS_INSTRMNT</v>
      </c>
    </row>
    <row r="1431" spans="1:11" hidden="1">
      <c r="A1431" s="148" t="s">
        <v>4098</v>
      </c>
      <c r="B1431" s="148" t="s">
        <v>4099</v>
      </c>
      <c r="C1431" s="148" t="s">
        <v>1008</v>
      </c>
      <c r="D1431" s="148" t="s">
        <v>161</v>
      </c>
      <c r="E1431" s="148" t="s">
        <v>1009</v>
      </c>
      <c r="F1431" s="148" t="s">
        <v>1010</v>
      </c>
      <c r="G1431" s="148" t="s">
        <v>129</v>
      </c>
      <c r="H1431" s="148">
        <v>156104</v>
      </c>
      <c r="I1431" s="148">
        <v>0</v>
      </c>
      <c r="J1431" s="148">
        <v>0</v>
      </c>
      <c r="K1431" s="148" t="str">
        <f t="shared" si="22"/>
        <v>INSTRUMENTARRRS_INSTRMNT_12M</v>
      </c>
    </row>
    <row r="1432" spans="1:11" hidden="1">
      <c r="A1432" s="148" t="s">
        <v>4100</v>
      </c>
      <c r="B1432" s="148" t="s">
        <v>4101</v>
      </c>
      <c r="C1432" s="148" t="s">
        <v>1008</v>
      </c>
      <c r="D1432" s="148" t="s">
        <v>161</v>
      </c>
      <c r="E1432" s="148" t="s">
        <v>1009</v>
      </c>
      <c r="F1432" s="148" t="s">
        <v>1010</v>
      </c>
      <c r="G1432" s="148" t="s">
        <v>1011</v>
      </c>
      <c r="H1432" s="148">
        <v>215142</v>
      </c>
      <c r="I1432" s="148">
        <v>5533</v>
      </c>
      <c r="J1432" s="148">
        <v>2.5718000000000001</v>
      </c>
      <c r="K1432" s="148" t="str">
        <f t="shared" si="22"/>
        <v>INSTRUMENTARRRS_INSTRMNT_12M</v>
      </c>
    </row>
    <row r="1433" spans="1:11" hidden="1">
      <c r="A1433" s="148" t="s">
        <v>4102</v>
      </c>
      <c r="B1433" s="148" t="s">
        <v>4103</v>
      </c>
      <c r="C1433" s="148" t="s">
        <v>1008</v>
      </c>
      <c r="D1433" s="148" t="s">
        <v>161</v>
      </c>
      <c r="E1433" s="148" t="s">
        <v>1009</v>
      </c>
      <c r="F1433" s="148" t="s">
        <v>1010</v>
      </c>
      <c r="G1433" s="148" t="s">
        <v>129</v>
      </c>
      <c r="H1433" s="148">
        <v>0</v>
      </c>
      <c r="I1433" s="148">
        <v>0</v>
      </c>
      <c r="J1433" s="148">
        <v>0</v>
      </c>
      <c r="K1433" s="148" t="str">
        <f t="shared" si="22"/>
        <v>INSTRUMENTARRRS_INSTRMNT_12M</v>
      </c>
    </row>
    <row r="1434" spans="1:11" hidden="1">
      <c r="A1434" s="148" t="s">
        <v>4104</v>
      </c>
      <c r="B1434" s="148" t="s">
        <v>4105</v>
      </c>
      <c r="C1434" s="148" t="s">
        <v>1008</v>
      </c>
      <c r="D1434" s="148" t="s">
        <v>218</v>
      </c>
      <c r="E1434" s="148" t="s">
        <v>1009</v>
      </c>
      <c r="F1434" s="148" t="s">
        <v>1010</v>
      </c>
      <c r="G1434" s="148" t="s">
        <v>1011</v>
      </c>
      <c r="H1434" s="148">
        <v>150235</v>
      </c>
      <c r="I1434" s="148">
        <v>8641</v>
      </c>
      <c r="J1434" s="148">
        <v>5.7516999999999996</v>
      </c>
      <c r="K1434" s="148" t="str">
        <f t="shared" si="22"/>
        <v>INSTRUMENTDPD</v>
      </c>
    </row>
    <row r="1435" spans="1:11" hidden="1">
      <c r="A1435" s="148" t="s">
        <v>4106</v>
      </c>
      <c r="B1435" s="148" t="s">
        <v>4107</v>
      </c>
      <c r="C1435" s="148" t="s">
        <v>1037</v>
      </c>
      <c r="D1435" s="148" t="s">
        <v>218</v>
      </c>
      <c r="E1435" s="148" t="s">
        <v>1009</v>
      </c>
      <c r="F1435" s="148" t="s">
        <v>1010</v>
      </c>
      <c r="G1435" s="148" t="s">
        <v>1011</v>
      </c>
      <c r="H1435" s="148">
        <v>110</v>
      </c>
      <c r="I1435" s="148">
        <v>28</v>
      </c>
      <c r="J1435" s="148">
        <v>25.454499999999999</v>
      </c>
      <c r="K1435" s="148" t="str">
        <f t="shared" si="22"/>
        <v>INSTRUMENTDPD</v>
      </c>
    </row>
    <row r="1436" spans="1:11" hidden="1">
      <c r="A1436" s="148" t="s">
        <v>4108</v>
      </c>
      <c r="B1436" s="148" t="s">
        <v>4109</v>
      </c>
      <c r="C1436" s="148" t="s">
        <v>1008</v>
      </c>
      <c r="D1436" s="148" t="s">
        <v>219</v>
      </c>
      <c r="E1436" s="148" t="s">
        <v>1009</v>
      </c>
      <c r="F1436" s="148" t="s">
        <v>1010</v>
      </c>
      <c r="G1436" s="148" t="s">
        <v>1011</v>
      </c>
      <c r="H1436" s="148">
        <v>1985790</v>
      </c>
      <c r="I1436" s="148">
        <v>25273</v>
      </c>
      <c r="J1436" s="148">
        <v>1.2726999999999999</v>
      </c>
      <c r="K1436" s="148" t="str">
        <f t="shared" si="22"/>
        <v>INSTRUMENTDPD_12M</v>
      </c>
    </row>
    <row r="1437" spans="1:11" hidden="1">
      <c r="A1437" s="148" t="s">
        <v>4110</v>
      </c>
      <c r="B1437" s="148" t="s">
        <v>4111</v>
      </c>
      <c r="C1437" s="148" t="s">
        <v>1008</v>
      </c>
      <c r="D1437" s="148" t="s">
        <v>220</v>
      </c>
      <c r="E1437" s="148" t="s">
        <v>1009</v>
      </c>
      <c r="F1437" s="148" t="s">
        <v>1010</v>
      </c>
      <c r="G1437" s="148" t="s">
        <v>1011</v>
      </c>
      <c r="H1437" s="148">
        <v>2125827</v>
      </c>
      <c r="I1437" s="148">
        <v>2117366</v>
      </c>
      <c r="J1437" s="148">
        <v>99.602000000000004</v>
      </c>
      <c r="K1437" s="148" t="str">
        <f t="shared" si="22"/>
        <v>INSTRUMENTDPD_12M_FRBRNC_STTS</v>
      </c>
    </row>
    <row r="1438" spans="1:11" hidden="1">
      <c r="A1438" s="148" t="s">
        <v>4112</v>
      </c>
      <c r="B1438" s="148" t="s">
        <v>4113</v>
      </c>
      <c r="C1438" s="148" t="s">
        <v>1008</v>
      </c>
      <c r="D1438" s="148" t="s">
        <v>220</v>
      </c>
      <c r="E1438" s="148" t="s">
        <v>1009</v>
      </c>
      <c r="F1438" s="148" t="s">
        <v>1010</v>
      </c>
      <c r="G1438" s="148" t="s">
        <v>129</v>
      </c>
      <c r="H1438" s="148">
        <v>2130065</v>
      </c>
      <c r="I1438" s="148">
        <v>0</v>
      </c>
      <c r="J1438" s="148">
        <v>0</v>
      </c>
      <c r="K1438" s="148" t="str">
        <f t="shared" si="22"/>
        <v>INSTRUMENTDPD_12M_FRBRNC_STTS</v>
      </c>
    </row>
    <row r="1439" spans="1:11" hidden="1">
      <c r="A1439" s="148" t="s">
        <v>1006</v>
      </c>
      <c r="B1439" s="148" t="s">
        <v>1007</v>
      </c>
      <c r="C1439" s="148" t="s">
        <v>1008</v>
      </c>
      <c r="D1439" s="148" t="s">
        <v>48</v>
      </c>
      <c r="E1439" s="148" t="s">
        <v>1009</v>
      </c>
      <c r="F1439" s="148" t="s">
        <v>1010</v>
      </c>
      <c r="G1439" s="148" t="s">
        <v>129</v>
      </c>
      <c r="H1439" s="148">
        <v>113948</v>
      </c>
      <c r="I1439" s="148">
        <v>0</v>
      </c>
      <c r="J1439" s="148">
        <v>0</v>
      </c>
      <c r="K1439" s="148" t="str">
        <f t="shared" si="22"/>
        <v>INSTRUMENTDPD_12M_PRFRMNG_STTS</v>
      </c>
    </row>
    <row r="1440" spans="1:11" hidden="1">
      <c r="A1440" s="148" t="s">
        <v>4114</v>
      </c>
      <c r="B1440" s="148" t="s">
        <v>4115</v>
      </c>
      <c r="C1440" s="148" t="s">
        <v>1008</v>
      </c>
      <c r="D1440" s="148" t="s">
        <v>48</v>
      </c>
      <c r="E1440" s="148" t="s">
        <v>1009</v>
      </c>
      <c r="F1440" s="148" t="s">
        <v>1010</v>
      </c>
      <c r="G1440" s="148" t="s">
        <v>129</v>
      </c>
      <c r="H1440" s="148">
        <v>2023404</v>
      </c>
      <c r="I1440" s="148">
        <v>0</v>
      </c>
      <c r="J1440" s="148">
        <v>0</v>
      </c>
      <c r="K1440" s="148" t="str">
        <f t="shared" si="22"/>
        <v>INSTRUMENTDPD_12M_PRFRMNG_STTS</v>
      </c>
    </row>
    <row r="1441" spans="1:11" hidden="1">
      <c r="A1441" s="148" t="s">
        <v>4116</v>
      </c>
      <c r="B1441" s="148" t="s">
        <v>4117</v>
      </c>
      <c r="C1441" s="148" t="s">
        <v>1008</v>
      </c>
      <c r="D1441" s="148" t="s">
        <v>48</v>
      </c>
      <c r="E1441" s="148" t="s">
        <v>1009</v>
      </c>
      <c r="F1441" s="148" t="s">
        <v>1010</v>
      </c>
      <c r="G1441" s="148" t="s">
        <v>129</v>
      </c>
      <c r="H1441" s="148">
        <v>115428</v>
      </c>
      <c r="I1441" s="148">
        <v>0</v>
      </c>
      <c r="J1441" s="148">
        <v>0</v>
      </c>
      <c r="K1441" s="148" t="str">
        <f t="shared" si="22"/>
        <v>INSTRUMENTDPD_12M_PRFRMNG_STTS</v>
      </c>
    </row>
    <row r="1442" spans="1:11" hidden="1">
      <c r="A1442" s="148" t="s">
        <v>4118</v>
      </c>
      <c r="B1442" s="148" t="s">
        <v>4119</v>
      </c>
      <c r="C1442" s="148" t="s">
        <v>1008</v>
      </c>
      <c r="D1442" s="148" t="s">
        <v>48</v>
      </c>
      <c r="E1442" s="148" t="s">
        <v>1009</v>
      </c>
      <c r="F1442" s="148" t="s">
        <v>1010</v>
      </c>
      <c r="G1442" s="148" t="s">
        <v>129</v>
      </c>
      <c r="H1442" s="148">
        <v>115428</v>
      </c>
      <c r="I1442" s="148">
        <v>0</v>
      </c>
      <c r="J1442" s="148">
        <v>0</v>
      </c>
      <c r="K1442" s="148" t="str">
        <f t="shared" si="22"/>
        <v>INSTRUMENTDPD_12M_PRFRMNG_STTS</v>
      </c>
    </row>
    <row r="1443" spans="1:11" hidden="1">
      <c r="A1443" s="148" t="s">
        <v>4120</v>
      </c>
      <c r="B1443" s="148" t="s">
        <v>4121</v>
      </c>
      <c r="C1443" s="148" t="s">
        <v>1008</v>
      </c>
      <c r="D1443" s="148" t="s">
        <v>223</v>
      </c>
      <c r="E1443" s="148" t="s">
        <v>1009</v>
      </c>
      <c r="F1443" s="148" t="s">
        <v>1010</v>
      </c>
      <c r="G1443" s="148" t="s">
        <v>1011</v>
      </c>
      <c r="H1443" s="148">
        <v>2125827</v>
      </c>
      <c r="I1443" s="148">
        <v>2117493</v>
      </c>
      <c r="J1443" s="148">
        <v>99.608000000000004</v>
      </c>
      <c r="K1443" s="148" t="str">
        <f t="shared" si="22"/>
        <v>INSTRUMENTDPD_24M_FRBRNC_STTS</v>
      </c>
    </row>
    <row r="1444" spans="1:11" hidden="1">
      <c r="A1444" s="148" t="s">
        <v>4122</v>
      </c>
      <c r="B1444" s="148" t="s">
        <v>4123</v>
      </c>
      <c r="C1444" s="148" t="s">
        <v>1008</v>
      </c>
      <c r="D1444" s="148" t="s">
        <v>223</v>
      </c>
      <c r="E1444" s="148" t="s">
        <v>1009</v>
      </c>
      <c r="F1444" s="148" t="s">
        <v>1010</v>
      </c>
      <c r="G1444" s="148" t="s">
        <v>129</v>
      </c>
      <c r="H1444" s="148">
        <v>2130065</v>
      </c>
      <c r="I1444" s="148">
        <v>0</v>
      </c>
      <c r="J1444" s="148">
        <v>0</v>
      </c>
      <c r="K1444" s="148" t="str">
        <f t="shared" si="22"/>
        <v>INSTRUMENTDPD_24M_FRBRNC_STTS</v>
      </c>
    </row>
    <row r="1445" spans="1:11" hidden="1">
      <c r="A1445" s="148" t="s">
        <v>4124</v>
      </c>
      <c r="B1445" s="148" t="s">
        <v>4125</v>
      </c>
      <c r="C1445" s="148" t="s">
        <v>1008</v>
      </c>
      <c r="D1445" s="148" t="s">
        <v>223</v>
      </c>
      <c r="E1445" s="148" t="s">
        <v>1009</v>
      </c>
      <c r="F1445" s="148" t="s">
        <v>1010</v>
      </c>
      <c r="G1445" s="148" t="s">
        <v>1011</v>
      </c>
      <c r="H1445" s="148">
        <v>8767</v>
      </c>
      <c r="I1445" s="148">
        <v>433</v>
      </c>
      <c r="J1445" s="148">
        <v>4.9390000000000001</v>
      </c>
      <c r="K1445" s="148" t="str">
        <f t="shared" si="22"/>
        <v>INSTRUMENTDPD_24M_FRBRNC_STTS</v>
      </c>
    </row>
    <row r="1446" spans="1:11" hidden="1">
      <c r="A1446" s="148" t="s">
        <v>4126</v>
      </c>
      <c r="B1446" s="148" t="s">
        <v>4127</v>
      </c>
      <c r="C1446" s="148" t="s">
        <v>1008</v>
      </c>
      <c r="D1446" s="148" t="s">
        <v>49</v>
      </c>
      <c r="E1446" s="148" t="s">
        <v>1009</v>
      </c>
      <c r="F1446" s="148" t="s">
        <v>1010</v>
      </c>
      <c r="G1446" s="148" t="s">
        <v>129</v>
      </c>
      <c r="H1446" s="148">
        <v>115428</v>
      </c>
      <c r="I1446" s="148">
        <v>0</v>
      </c>
      <c r="J1446" s="148">
        <v>0</v>
      </c>
      <c r="K1446" s="148" t="str">
        <f t="shared" si="22"/>
        <v>INSTRUMENTDPD_24M_PRFRMNG_STTS</v>
      </c>
    </row>
    <row r="1447" spans="1:11" hidden="1">
      <c r="A1447" s="148" t="s">
        <v>4128</v>
      </c>
      <c r="B1447" s="148" t="s">
        <v>4129</v>
      </c>
      <c r="C1447" s="148" t="s">
        <v>1008</v>
      </c>
      <c r="D1447" s="148" t="s">
        <v>49</v>
      </c>
      <c r="E1447" s="148" t="s">
        <v>1009</v>
      </c>
      <c r="F1447" s="148" t="s">
        <v>1010</v>
      </c>
      <c r="G1447" s="148" t="s">
        <v>129</v>
      </c>
      <c r="H1447" s="148">
        <v>2023404</v>
      </c>
      <c r="I1447" s="148">
        <v>0</v>
      </c>
      <c r="J1447" s="148">
        <v>0</v>
      </c>
      <c r="K1447" s="148" t="str">
        <f t="shared" si="22"/>
        <v>INSTRUMENTDPD_24M_PRFRMNG_STTS</v>
      </c>
    </row>
    <row r="1448" spans="1:11" hidden="1">
      <c r="A1448" s="148" t="s">
        <v>4130</v>
      </c>
      <c r="B1448" s="148" t="s">
        <v>4131</v>
      </c>
      <c r="C1448" s="148" t="s">
        <v>1008</v>
      </c>
      <c r="D1448" s="148" t="s">
        <v>225</v>
      </c>
      <c r="E1448" s="148" t="s">
        <v>1009</v>
      </c>
      <c r="F1448" s="148" t="s">
        <v>1010</v>
      </c>
      <c r="G1448" s="148" t="s">
        <v>1011</v>
      </c>
      <c r="H1448" s="148">
        <v>2125827</v>
      </c>
      <c r="I1448" s="148">
        <v>2117493</v>
      </c>
      <c r="J1448" s="148">
        <v>99.608000000000004</v>
      </c>
      <c r="K1448" s="148" t="str">
        <f t="shared" si="22"/>
        <v>INSTRUMENTDPD_FRBRNC_STTS</v>
      </c>
    </row>
    <row r="1449" spans="1:11" hidden="1">
      <c r="A1449" s="148" t="s">
        <v>4132</v>
      </c>
      <c r="B1449" s="148" t="s">
        <v>4133</v>
      </c>
      <c r="C1449" s="148" t="s">
        <v>1008</v>
      </c>
      <c r="D1449" s="148" t="s">
        <v>51</v>
      </c>
      <c r="E1449" s="148" t="s">
        <v>1009</v>
      </c>
      <c r="F1449" s="148" t="s">
        <v>1010</v>
      </c>
      <c r="G1449" s="148" t="s">
        <v>129</v>
      </c>
      <c r="H1449" s="148">
        <v>725600</v>
      </c>
      <c r="I1449" s="148">
        <v>0</v>
      </c>
      <c r="J1449" s="148">
        <v>0</v>
      </c>
      <c r="K1449" s="148" t="str">
        <f t="shared" si="22"/>
        <v>INSTRUMENTDT_IMPRMNT_STTS</v>
      </c>
    </row>
    <row r="1450" spans="1:11" hidden="1">
      <c r="A1450" s="148" t="s">
        <v>4134</v>
      </c>
      <c r="B1450" s="148" t="s">
        <v>4135</v>
      </c>
      <c r="C1450" s="148" t="s">
        <v>1008</v>
      </c>
      <c r="D1450" s="148" t="s">
        <v>51</v>
      </c>
      <c r="E1450" s="148" t="s">
        <v>1009</v>
      </c>
      <c r="F1450" s="148" t="s">
        <v>1010</v>
      </c>
      <c r="G1450" s="148" t="s">
        <v>129</v>
      </c>
      <c r="H1450" s="148">
        <v>2138963</v>
      </c>
      <c r="I1450" s="148">
        <v>0</v>
      </c>
      <c r="J1450" s="148">
        <v>0</v>
      </c>
      <c r="K1450" s="148" t="str">
        <f t="shared" si="22"/>
        <v>INSTRUMENTDT_IMPRMNT_STTS</v>
      </c>
    </row>
    <row r="1451" spans="1:11" hidden="1">
      <c r="A1451" s="148" t="s">
        <v>4136</v>
      </c>
      <c r="B1451" s="148" t="s">
        <v>4137</v>
      </c>
      <c r="C1451" s="148" t="s">
        <v>1008</v>
      </c>
      <c r="D1451" s="148" t="s">
        <v>52</v>
      </c>
      <c r="E1451" s="148" t="s">
        <v>1009</v>
      </c>
      <c r="F1451" s="148" t="s">
        <v>1010</v>
      </c>
      <c r="G1451" s="148" t="s">
        <v>129</v>
      </c>
      <c r="H1451" s="148">
        <v>2138963</v>
      </c>
      <c r="I1451" s="148">
        <v>0</v>
      </c>
      <c r="J1451" s="148">
        <v>0</v>
      </c>
      <c r="K1451" s="148" t="str">
        <f t="shared" si="22"/>
        <v>INSTRUMENTDT_IMPRMNT_STTS_PRVS</v>
      </c>
    </row>
    <row r="1452" spans="1:11" hidden="1">
      <c r="A1452" s="148" t="s">
        <v>4138</v>
      </c>
      <c r="B1452" s="148" t="s">
        <v>4139</v>
      </c>
      <c r="C1452" s="148" t="s">
        <v>1008</v>
      </c>
      <c r="D1452" s="148" t="s">
        <v>52</v>
      </c>
      <c r="E1452" s="148" t="s">
        <v>1009</v>
      </c>
      <c r="F1452" s="148" t="s">
        <v>1010</v>
      </c>
      <c r="G1452" s="148" t="s">
        <v>129</v>
      </c>
      <c r="H1452" s="148">
        <v>725600</v>
      </c>
      <c r="I1452" s="148">
        <v>0</v>
      </c>
      <c r="J1452" s="148">
        <v>0</v>
      </c>
      <c r="K1452" s="148" t="str">
        <f t="shared" si="22"/>
        <v>INSTRUMENTDT_IMPRMNT_STTS_PRVS</v>
      </c>
    </row>
    <row r="1453" spans="1:11" hidden="1">
      <c r="A1453" s="148" t="s">
        <v>4140</v>
      </c>
      <c r="B1453" s="148" t="s">
        <v>4141</v>
      </c>
      <c r="C1453" s="148" t="s">
        <v>1008</v>
      </c>
      <c r="D1453" s="148" t="s">
        <v>52</v>
      </c>
      <c r="E1453" s="148" t="s">
        <v>1009</v>
      </c>
      <c r="F1453" s="148" t="s">
        <v>1010</v>
      </c>
      <c r="G1453" s="148" t="s">
        <v>129</v>
      </c>
      <c r="H1453" s="148">
        <v>0</v>
      </c>
      <c r="I1453" s="148">
        <v>0</v>
      </c>
      <c r="J1453" s="148">
        <v>0</v>
      </c>
      <c r="K1453" s="148" t="str">
        <f t="shared" si="22"/>
        <v>INSTRUMENTDT_IMPRMNT_STTS_PRVS</v>
      </c>
    </row>
    <row r="1454" spans="1:11" hidden="1">
      <c r="A1454" s="148" t="s">
        <v>4142</v>
      </c>
      <c r="B1454" s="148" t="s">
        <v>4143</v>
      </c>
      <c r="C1454" s="148" t="s">
        <v>1008</v>
      </c>
      <c r="D1454" s="148" t="s">
        <v>282</v>
      </c>
      <c r="E1454" s="148" t="s">
        <v>1009</v>
      </c>
      <c r="F1454" s="148" t="s">
        <v>1010</v>
      </c>
      <c r="G1454" s="148" t="s">
        <v>1011</v>
      </c>
      <c r="H1454" s="148">
        <v>152681</v>
      </c>
      <c r="I1454" s="148">
        <v>5869</v>
      </c>
      <c r="J1454" s="148">
        <v>3.8439999999999999</v>
      </c>
      <c r="K1454" s="148" t="str">
        <f t="shared" si="22"/>
        <v>INSTRUMENTDT_PST_D</v>
      </c>
    </row>
    <row r="1455" spans="1:11" hidden="1">
      <c r="A1455" s="148" t="s">
        <v>4144</v>
      </c>
      <c r="B1455" s="148" t="s">
        <v>4145</v>
      </c>
      <c r="C1455" s="148" t="s">
        <v>1008</v>
      </c>
      <c r="D1455" s="148" t="s">
        <v>282</v>
      </c>
      <c r="E1455" s="148" t="s">
        <v>1009</v>
      </c>
      <c r="F1455" s="148" t="s">
        <v>1010</v>
      </c>
      <c r="G1455" s="148" t="s">
        <v>1011</v>
      </c>
      <c r="H1455" s="148">
        <v>90762</v>
      </c>
      <c r="I1455" s="148">
        <v>7894</v>
      </c>
      <c r="J1455" s="148">
        <v>8.6974999999999998</v>
      </c>
      <c r="K1455" s="148" t="str">
        <f t="shared" si="22"/>
        <v>INSTRUMENTDT_PST_D</v>
      </c>
    </row>
    <row r="1456" spans="1:11" hidden="1">
      <c r="A1456" s="148" t="s">
        <v>4146</v>
      </c>
      <c r="B1456" s="148" t="s">
        <v>4147</v>
      </c>
      <c r="C1456" s="148" t="s">
        <v>1008</v>
      </c>
      <c r="D1456" s="148" t="s">
        <v>282</v>
      </c>
      <c r="E1456" s="148" t="s">
        <v>1009</v>
      </c>
      <c r="F1456" s="148" t="s">
        <v>1010</v>
      </c>
      <c r="G1456" s="148" t="s">
        <v>1011</v>
      </c>
      <c r="H1456" s="148">
        <v>1895028</v>
      </c>
      <c r="I1456" s="148">
        <v>63930</v>
      </c>
      <c r="J1456" s="148">
        <v>3.3736000000000002</v>
      </c>
      <c r="K1456" s="148" t="str">
        <f t="shared" si="22"/>
        <v>INSTRUMENTDT_PST_D</v>
      </c>
    </row>
    <row r="1457" spans="1:11" hidden="1">
      <c r="A1457" s="148" t="s">
        <v>4148</v>
      </c>
      <c r="B1457" s="148" t="s">
        <v>4149</v>
      </c>
      <c r="C1457" s="148" t="s">
        <v>1008</v>
      </c>
      <c r="D1457" s="148" t="s">
        <v>282</v>
      </c>
      <c r="E1457" s="148" t="s">
        <v>1009</v>
      </c>
      <c r="F1457" s="148" t="s">
        <v>1010</v>
      </c>
      <c r="G1457" s="148" t="s">
        <v>1011</v>
      </c>
      <c r="H1457" s="148">
        <v>156104</v>
      </c>
      <c r="I1457" s="148">
        <v>5</v>
      </c>
      <c r="J1457" s="148">
        <v>3.2000000000000002E-3</v>
      </c>
      <c r="K1457" s="148" t="str">
        <f t="shared" si="22"/>
        <v>INSTRUMENTDT_PST_D</v>
      </c>
    </row>
    <row r="1458" spans="1:11" hidden="1">
      <c r="A1458" s="148" t="s">
        <v>4150</v>
      </c>
      <c r="B1458" s="148" t="s">
        <v>4151</v>
      </c>
      <c r="C1458" s="148" t="s">
        <v>1008</v>
      </c>
      <c r="D1458" s="148" t="s">
        <v>282</v>
      </c>
      <c r="E1458" s="148" t="s">
        <v>1009</v>
      </c>
      <c r="F1458" s="148" t="s">
        <v>1010</v>
      </c>
      <c r="G1458" s="148" t="s">
        <v>129</v>
      </c>
      <c r="H1458" s="148">
        <v>156104</v>
      </c>
      <c r="I1458" s="148">
        <v>0</v>
      </c>
      <c r="J1458" s="148">
        <v>0</v>
      </c>
      <c r="K1458" s="148" t="str">
        <f t="shared" si="22"/>
        <v>INSTRUMENTDT_PST_D</v>
      </c>
    </row>
    <row r="1459" spans="1:11" hidden="1">
      <c r="A1459" s="148" t="s">
        <v>4152</v>
      </c>
      <c r="B1459" s="148" t="s">
        <v>4153</v>
      </c>
      <c r="C1459" s="148" t="s">
        <v>1037</v>
      </c>
      <c r="D1459" s="148" t="s">
        <v>282</v>
      </c>
      <c r="E1459" s="148" t="s">
        <v>1009</v>
      </c>
      <c r="F1459" s="148" t="s">
        <v>1010</v>
      </c>
      <c r="G1459" s="148" t="s">
        <v>1011</v>
      </c>
      <c r="H1459" s="148">
        <v>110</v>
      </c>
      <c r="I1459" s="148">
        <v>18</v>
      </c>
      <c r="J1459" s="148">
        <v>16.363600000000002</v>
      </c>
      <c r="K1459" s="148" t="str">
        <f t="shared" si="22"/>
        <v>INSTRUMENTDT_PST_D</v>
      </c>
    </row>
    <row r="1460" spans="1:11" hidden="1">
      <c r="A1460" s="148" t="s">
        <v>4154</v>
      </c>
      <c r="B1460" s="148" t="s">
        <v>4155</v>
      </c>
      <c r="C1460" s="148" t="s">
        <v>1008</v>
      </c>
      <c r="D1460" s="148" t="s">
        <v>359</v>
      </c>
      <c r="E1460" s="148" t="s">
        <v>1009</v>
      </c>
      <c r="F1460" s="148" t="s">
        <v>1010</v>
      </c>
      <c r="G1460" s="148" t="s">
        <v>129</v>
      </c>
      <c r="H1460" s="148">
        <v>1676411</v>
      </c>
      <c r="I1460" s="148">
        <v>0</v>
      </c>
      <c r="J1460" s="148">
        <v>0</v>
      </c>
      <c r="K1460" s="148" t="str">
        <f t="shared" si="22"/>
        <v>INSTRUMENTIMPRMNT_ASSSSMNT_MTHD</v>
      </c>
    </row>
    <row r="1461" spans="1:11" hidden="1">
      <c r="A1461" s="148" t="s">
        <v>4156</v>
      </c>
      <c r="B1461" s="148" t="s">
        <v>4157</v>
      </c>
      <c r="C1461" s="148" t="s">
        <v>1008</v>
      </c>
      <c r="D1461" s="148" t="s">
        <v>360</v>
      </c>
      <c r="E1461" s="148" t="s">
        <v>1009</v>
      </c>
      <c r="F1461" s="148" t="s">
        <v>1010</v>
      </c>
      <c r="G1461" s="148" t="s">
        <v>1011</v>
      </c>
      <c r="H1461" s="148">
        <v>397912</v>
      </c>
      <c r="I1461" s="148">
        <v>320</v>
      </c>
      <c r="J1461" s="148">
        <v>8.0399999999999999E-2</v>
      </c>
      <c r="K1461" s="148" t="str">
        <f t="shared" si="22"/>
        <v>INSTRUMENTIMPRMNT_CLCLTN_MTHD</v>
      </c>
    </row>
    <row r="1462" spans="1:11" hidden="1">
      <c r="A1462" s="148" t="s">
        <v>4158</v>
      </c>
      <c r="B1462" s="148" t="s">
        <v>4159</v>
      </c>
      <c r="C1462" s="148" t="s">
        <v>1008</v>
      </c>
      <c r="D1462" s="148" t="s">
        <v>360</v>
      </c>
      <c r="E1462" s="148" t="s">
        <v>1009</v>
      </c>
      <c r="F1462" s="148" t="s">
        <v>1010</v>
      </c>
      <c r="G1462" s="148" t="s">
        <v>1011</v>
      </c>
      <c r="H1462" s="148">
        <v>398355</v>
      </c>
      <c r="I1462" s="148">
        <v>320</v>
      </c>
      <c r="J1462" s="148">
        <v>8.0299999999999996E-2</v>
      </c>
      <c r="K1462" s="148" t="str">
        <f t="shared" si="22"/>
        <v>INSTRUMENTIMPRMNT_CLCLTN_MTHD</v>
      </c>
    </row>
    <row r="1463" spans="1:11" hidden="1">
      <c r="A1463" s="148" t="s">
        <v>4160</v>
      </c>
      <c r="B1463" s="148" t="s">
        <v>4161</v>
      </c>
      <c r="C1463" s="148" t="s">
        <v>1008</v>
      </c>
      <c r="D1463" s="148" t="s">
        <v>418</v>
      </c>
      <c r="E1463" s="148" t="s">
        <v>1009</v>
      </c>
      <c r="F1463" s="148" t="s">
        <v>1010</v>
      </c>
      <c r="G1463" s="148" t="s">
        <v>129</v>
      </c>
      <c r="H1463" s="148">
        <v>2111521</v>
      </c>
      <c r="I1463" s="148">
        <v>0</v>
      </c>
      <c r="J1463" s="148">
        <v>0</v>
      </c>
      <c r="K1463" s="148" t="str">
        <f t="shared" si="22"/>
        <v>INSTRUMENTNMBR_FRBRNC_MSRS</v>
      </c>
    </row>
    <row r="1464" spans="1:11" hidden="1">
      <c r="A1464" s="148" t="s">
        <v>4162</v>
      </c>
      <c r="B1464" s="148" t="s">
        <v>4163</v>
      </c>
      <c r="C1464" s="148" t="s">
        <v>1008</v>
      </c>
      <c r="D1464" s="148" t="s">
        <v>418</v>
      </c>
      <c r="E1464" s="148" t="s">
        <v>1009</v>
      </c>
      <c r="F1464" s="148" t="s">
        <v>1010</v>
      </c>
      <c r="G1464" s="148" t="s">
        <v>1011</v>
      </c>
      <c r="H1464" s="148">
        <v>8304</v>
      </c>
      <c r="I1464" s="148">
        <v>8304</v>
      </c>
      <c r="J1464" s="148">
        <v>100</v>
      </c>
      <c r="K1464" s="148" t="str">
        <f t="shared" si="22"/>
        <v>INSTRUMENTNMBR_FRBRNC_MSRS</v>
      </c>
    </row>
    <row r="1465" spans="1:11" hidden="1">
      <c r="A1465" s="148" t="s">
        <v>4164</v>
      </c>
      <c r="B1465" s="148" t="s">
        <v>4165</v>
      </c>
      <c r="C1465" s="148" t="s">
        <v>1008</v>
      </c>
      <c r="D1465" s="148" t="s">
        <v>403</v>
      </c>
      <c r="E1465" s="148" t="s">
        <v>1009</v>
      </c>
      <c r="F1465" s="148" t="s">
        <v>1010</v>
      </c>
      <c r="G1465" s="148" t="s">
        <v>129</v>
      </c>
      <c r="H1465" s="148">
        <v>358908</v>
      </c>
      <c r="I1465" s="148">
        <v>0</v>
      </c>
      <c r="J1465" s="148">
        <v>0</v>
      </c>
      <c r="K1465" s="148" t="str">
        <f t="shared" si="22"/>
        <v>INSTRUMENTLTV</v>
      </c>
    </row>
    <row r="1466" spans="1:11" hidden="1">
      <c r="A1466" s="148" t="s">
        <v>4166</v>
      </c>
      <c r="B1466" s="148" t="s">
        <v>4167</v>
      </c>
      <c r="C1466" s="148" t="s">
        <v>1008</v>
      </c>
      <c r="D1466" s="148" t="s">
        <v>403</v>
      </c>
      <c r="E1466" s="148" t="s">
        <v>1009</v>
      </c>
      <c r="F1466" s="148" t="s">
        <v>1010</v>
      </c>
      <c r="G1466" s="148" t="s">
        <v>1011</v>
      </c>
      <c r="H1466" s="148">
        <v>4682</v>
      </c>
      <c r="I1466" s="148">
        <v>11</v>
      </c>
      <c r="J1466" s="148">
        <v>0.2349</v>
      </c>
      <c r="K1466" s="148" t="str">
        <f t="shared" si="22"/>
        <v>INSTRUMENTLTV</v>
      </c>
    </row>
    <row r="1467" spans="1:11" hidden="1">
      <c r="A1467" s="148" t="s">
        <v>4168</v>
      </c>
      <c r="B1467" s="148" t="s">
        <v>4169</v>
      </c>
      <c r="C1467" s="148" t="s">
        <v>1037</v>
      </c>
      <c r="D1467" s="148" t="s">
        <v>403</v>
      </c>
      <c r="E1467" s="148" t="s">
        <v>1009</v>
      </c>
      <c r="F1467" s="148" t="s">
        <v>1010</v>
      </c>
      <c r="G1467" s="148" t="s">
        <v>129</v>
      </c>
      <c r="H1467" s="148">
        <v>363570</v>
      </c>
      <c r="I1467" s="148">
        <v>0</v>
      </c>
      <c r="J1467" s="148">
        <v>0</v>
      </c>
      <c r="K1467" s="148" t="str">
        <f t="shared" si="22"/>
        <v>INSTRUMENTLTV</v>
      </c>
    </row>
    <row r="1468" spans="1:11" hidden="1">
      <c r="A1468" s="148" t="s">
        <v>4170</v>
      </c>
      <c r="B1468" s="148" t="s">
        <v>4171</v>
      </c>
      <c r="C1468" s="148" t="s">
        <v>1037</v>
      </c>
      <c r="D1468" s="148" t="s">
        <v>404</v>
      </c>
      <c r="E1468" s="148" t="s">
        <v>1009</v>
      </c>
      <c r="F1468" s="148" t="s">
        <v>1010</v>
      </c>
      <c r="G1468" s="148" t="s">
        <v>129</v>
      </c>
      <c r="H1468" s="148">
        <v>363570</v>
      </c>
      <c r="I1468" s="148">
        <v>0</v>
      </c>
      <c r="J1468" s="148">
        <v>0</v>
      </c>
      <c r="K1468" s="148" t="str">
        <f t="shared" si="22"/>
        <v>INSTRUMENTLTV_INCPTN</v>
      </c>
    </row>
    <row r="1469" spans="1:11" hidden="1">
      <c r="A1469" s="148" t="s">
        <v>4172</v>
      </c>
      <c r="B1469" s="148" t="s">
        <v>4173</v>
      </c>
      <c r="C1469" s="148" t="s">
        <v>1037</v>
      </c>
      <c r="D1469" s="148" t="s">
        <v>405</v>
      </c>
      <c r="E1469" s="148" t="s">
        <v>1009</v>
      </c>
      <c r="F1469" s="148" t="s">
        <v>1010</v>
      </c>
      <c r="G1469" s="148" t="s">
        <v>1011</v>
      </c>
      <c r="H1469" s="148">
        <v>5576</v>
      </c>
      <c r="I1469" s="148">
        <v>2373</v>
      </c>
      <c r="J1469" s="148">
        <v>42.557400000000001</v>
      </c>
      <c r="K1469" s="148" t="str">
        <f t="shared" si="22"/>
        <v>INSTRUMENTLTV_NPE</v>
      </c>
    </row>
    <row r="1470" spans="1:11" hidden="1">
      <c r="A1470" s="148" t="s">
        <v>4174</v>
      </c>
      <c r="B1470" s="148" t="s">
        <v>4175</v>
      </c>
      <c r="C1470" s="148" t="s">
        <v>1008</v>
      </c>
      <c r="D1470" s="148" t="s">
        <v>435</v>
      </c>
      <c r="E1470" s="148" t="s">
        <v>1009</v>
      </c>
      <c r="F1470" s="148" t="s">
        <v>1010</v>
      </c>
      <c r="G1470" s="148" t="s">
        <v>1011</v>
      </c>
      <c r="H1470" s="148">
        <v>379168</v>
      </c>
      <c r="I1470" s="148">
        <v>38652</v>
      </c>
      <c r="J1470" s="148">
        <v>10.193899999999999</v>
      </c>
      <c r="K1470" s="148" t="str">
        <f t="shared" si="22"/>
        <v>INSTRUMENTPD_CRR_INCPTN</v>
      </c>
    </row>
    <row r="1471" spans="1:11" hidden="1">
      <c r="A1471" s="148" t="s">
        <v>4176</v>
      </c>
      <c r="B1471" s="148" t="s">
        <v>4177</v>
      </c>
      <c r="C1471" s="148" t="s">
        <v>1019</v>
      </c>
      <c r="D1471" s="148" t="s">
        <v>437</v>
      </c>
      <c r="E1471" s="148" t="s">
        <v>1009</v>
      </c>
      <c r="F1471" s="148" t="s">
        <v>1010</v>
      </c>
      <c r="G1471" s="148" t="s">
        <v>1011</v>
      </c>
      <c r="H1471" s="148">
        <v>1841909</v>
      </c>
      <c r="I1471" s="148">
        <v>82449</v>
      </c>
      <c r="J1471" s="148">
        <v>4.4763000000000002</v>
      </c>
      <c r="K1471" s="148" t="str">
        <f t="shared" si="22"/>
        <v>INSTRUMENTPD_CRR_RD</v>
      </c>
    </row>
    <row r="1472" spans="1:11" hidden="1">
      <c r="A1472" s="148" t="s">
        <v>4178</v>
      </c>
      <c r="B1472" s="148" t="s">
        <v>4179</v>
      </c>
      <c r="C1472" s="148" t="s">
        <v>1008</v>
      </c>
      <c r="D1472" s="148" t="s">
        <v>437</v>
      </c>
      <c r="E1472" s="148" t="s">
        <v>1009</v>
      </c>
      <c r="F1472" s="148" t="s">
        <v>1010</v>
      </c>
      <c r="G1472" s="148" t="s">
        <v>1011</v>
      </c>
      <c r="H1472" s="148">
        <v>130343</v>
      </c>
      <c r="I1472" s="148">
        <v>115347</v>
      </c>
      <c r="J1472" s="148">
        <v>88.495000000000005</v>
      </c>
      <c r="K1472" s="148" t="str">
        <f t="shared" si="22"/>
        <v>INSTRUMENTPD_CRR_RD</v>
      </c>
    </row>
    <row r="1473" spans="1:11" hidden="1">
      <c r="A1473" s="148" t="s">
        <v>4180</v>
      </c>
      <c r="B1473" s="148" t="s">
        <v>4181</v>
      </c>
      <c r="C1473" s="148" t="s">
        <v>1008</v>
      </c>
      <c r="D1473" s="148" t="s">
        <v>438</v>
      </c>
      <c r="E1473" s="148" t="s">
        <v>1009</v>
      </c>
      <c r="F1473" s="148" t="s">
        <v>1010</v>
      </c>
      <c r="G1473" s="148" t="s">
        <v>129</v>
      </c>
      <c r="H1473" s="148">
        <v>381343</v>
      </c>
      <c r="I1473" s="148">
        <v>0</v>
      </c>
      <c r="J1473" s="148">
        <v>0</v>
      </c>
      <c r="K1473" s="148" t="str">
        <f t="shared" si="22"/>
        <v>INSTRUMENTPD_CRR_RD_T1</v>
      </c>
    </row>
    <row r="1474" spans="1:11" hidden="1">
      <c r="A1474" s="148" t="s">
        <v>4182</v>
      </c>
      <c r="B1474" s="148" t="s">
        <v>4183</v>
      </c>
      <c r="C1474" s="148" t="s">
        <v>1008</v>
      </c>
      <c r="D1474" s="148" t="s">
        <v>438</v>
      </c>
      <c r="E1474" s="148" t="s">
        <v>1009</v>
      </c>
      <c r="F1474" s="148" t="s">
        <v>1010</v>
      </c>
      <c r="G1474" s="148" t="s">
        <v>129</v>
      </c>
      <c r="H1474" s="148">
        <v>379168</v>
      </c>
      <c r="I1474" s="148">
        <v>0</v>
      </c>
      <c r="J1474" s="148">
        <v>0</v>
      </c>
      <c r="K1474" s="148" t="str">
        <f t="shared" si="22"/>
        <v>INSTRUMENTPD_CRR_RD_T1</v>
      </c>
    </row>
    <row r="1475" spans="1:11" hidden="1">
      <c r="A1475" s="148" t="s">
        <v>4184</v>
      </c>
      <c r="B1475" s="148" t="s">
        <v>4185</v>
      </c>
      <c r="C1475" s="148" t="s">
        <v>1008</v>
      </c>
      <c r="D1475" s="148" t="s">
        <v>440</v>
      </c>
      <c r="E1475" s="148" t="s">
        <v>1009</v>
      </c>
      <c r="F1475" s="148" t="s">
        <v>1010</v>
      </c>
      <c r="G1475" s="148" t="s">
        <v>1011</v>
      </c>
      <c r="H1475" s="148">
        <v>2008626</v>
      </c>
      <c r="I1475" s="148">
        <v>315</v>
      </c>
      <c r="J1475" s="148">
        <v>1.5699999999999999E-2</v>
      </c>
      <c r="K1475" s="148" t="str">
        <f t="shared" ref="K1475:K1538" si="23">_xlfn.CONCAT(_xlfn.IFS(ISNUMBER(SEARCH("EN",A1475)),"ENTITY",ISNUMBER(SEARCH("IN",A1475)),"INSTRUMENT",ISNUMBER(SEARCH("PR",A1475)),"PROTECTION",ISNUMBER(SEARCH("IP",A1475)),"INSTR_PROTECTION",ISNUMBER(SEARCH("IE",A1475)),"INSTR_ENTITY",ISNUMBER(SEARCH("AC",A1475)),"INSTR_ACTIVITY"),D1475)</f>
        <v>INSTRUMENTPD_IFRS9_12M_RD</v>
      </c>
    </row>
    <row r="1476" spans="1:11" hidden="1">
      <c r="A1476" s="148" t="s">
        <v>4186</v>
      </c>
      <c r="B1476" s="148" t="s">
        <v>4187</v>
      </c>
      <c r="C1476" s="148" t="s">
        <v>1019</v>
      </c>
      <c r="D1476" s="148" t="s">
        <v>440</v>
      </c>
      <c r="E1476" s="148" t="s">
        <v>1009</v>
      </c>
      <c r="F1476" s="148" t="s">
        <v>1010</v>
      </c>
      <c r="G1476" s="148" t="s">
        <v>1011</v>
      </c>
      <c r="H1476" s="148">
        <v>2138060</v>
      </c>
      <c r="I1476" s="148">
        <v>185</v>
      </c>
      <c r="J1476" s="148">
        <v>8.6999999999999994E-3</v>
      </c>
      <c r="K1476" s="148" t="str">
        <f t="shared" si="23"/>
        <v>INSTRUMENTPD_IFRS9_12M_RD</v>
      </c>
    </row>
    <row r="1477" spans="1:11" hidden="1">
      <c r="A1477" s="148" t="s">
        <v>4188</v>
      </c>
      <c r="B1477" s="148" t="s">
        <v>4189</v>
      </c>
      <c r="C1477" s="148" t="s">
        <v>1008</v>
      </c>
      <c r="D1477" s="148" t="s">
        <v>442</v>
      </c>
      <c r="E1477" s="148" t="s">
        <v>1009</v>
      </c>
      <c r="F1477" s="148" t="s">
        <v>1010</v>
      </c>
      <c r="G1477" s="148" t="s">
        <v>1011</v>
      </c>
      <c r="H1477" s="148">
        <v>381343</v>
      </c>
      <c r="I1477" s="148">
        <v>7</v>
      </c>
      <c r="J1477" s="148">
        <v>1.8E-3</v>
      </c>
      <c r="K1477" s="148" t="str">
        <f t="shared" si="23"/>
        <v>INSTRUMENTPD_IFRS9_12M_RD_T1</v>
      </c>
    </row>
    <row r="1478" spans="1:11" hidden="1">
      <c r="A1478" s="148" t="s">
        <v>4190</v>
      </c>
      <c r="B1478" s="148" t="s">
        <v>4191</v>
      </c>
      <c r="C1478" s="148" t="s">
        <v>1008</v>
      </c>
      <c r="D1478" s="148" t="s">
        <v>445</v>
      </c>
      <c r="E1478" s="148" t="s">
        <v>1009</v>
      </c>
      <c r="F1478" s="148" t="s">
        <v>1010</v>
      </c>
      <c r="G1478" s="148" t="s">
        <v>129</v>
      </c>
      <c r="H1478" s="148">
        <v>462088</v>
      </c>
      <c r="I1478" s="148">
        <v>0</v>
      </c>
      <c r="J1478" s="148">
        <v>0</v>
      </c>
      <c r="K1478" s="148" t="str">
        <f t="shared" si="23"/>
        <v>INSTRUMENTPD_IFRS9_RMNNG_LFTM_RD</v>
      </c>
    </row>
    <row r="1479" spans="1:11" hidden="1">
      <c r="A1479" s="148" t="s">
        <v>4192</v>
      </c>
      <c r="B1479" s="148" t="s">
        <v>4193</v>
      </c>
      <c r="C1479" s="148" t="s">
        <v>1008</v>
      </c>
      <c r="D1479" s="148" t="s">
        <v>4194</v>
      </c>
      <c r="E1479" s="148" t="s">
        <v>1009</v>
      </c>
      <c r="F1479" s="148" t="s">
        <v>1010</v>
      </c>
      <c r="G1479" s="148" t="s">
        <v>129</v>
      </c>
      <c r="H1479" s="148">
        <v>2008604</v>
      </c>
      <c r="I1479" s="148">
        <v>0</v>
      </c>
      <c r="J1479" s="148">
        <v>0</v>
      </c>
      <c r="K1479" s="148" t="str">
        <f t="shared" si="23"/>
        <v>INSTRUMENTIN_RTNG_MTHD</v>
      </c>
    </row>
    <row r="1480" spans="1:11" hidden="1">
      <c r="A1480" s="148" t="s">
        <v>4195</v>
      </c>
      <c r="B1480" s="148" t="s">
        <v>4196</v>
      </c>
      <c r="C1480" s="148" t="s">
        <v>1008</v>
      </c>
      <c r="D1480" s="148" t="s">
        <v>4194</v>
      </c>
      <c r="E1480" s="148" t="s">
        <v>1009</v>
      </c>
      <c r="F1480" s="148" t="s">
        <v>1010</v>
      </c>
      <c r="G1480" s="148" t="s">
        <v>129</v>
      </c>
      <c r="H1480" s="148">
        <v>130343</v>
      </c>
      <c r="I1480" s="148">
        <v>0</v>
      </c>
      <c r="J1480" s="148">
        <v>0</v>
      </c>
      <c r="K1480" s="148" t="str">
        <f t="shared" si="23"/>
        <v>INSTRUMENTIN_RTNG_MTHD</v>
      </c>
    </row>
    <row r="1481" spans="1:11" hidden="1">
      <c r="A1481" s="148" t="s">
        <v>4197</v>
      </c>
      <c r="B1481" s="148" t="s">
        <v>4198</v>
      </c>
      <c r="C1481" s="148" t="s">
        <v>1008</v>
      </c>
      <c r="D1481" s="148" t="s">
        <v>492</v>
      </c>
      <c r="E1481" s="148" t="s">
        <v>1009</v>
      </c>
      <c r="F1481" s="148" t="s">
        <v>1010</v>
      </c>
      <c r="G1481" s="148" t="s">
        <v>1011</v>
      </c>
      <c r="H1481" s="148">
        <v>1878954</v>
      </c>
      <c r="I1481" s="148">
        <v>116897</v>
      </c>
      <c r="J1481" s="148">
        <v>6.2214</v>
      </c>
      <c r="K1481" s="148" t="str">
        <f t="shared" si="23"/>
        <v>INSTRUMENTRTNG_MTHD</v>
      </c>
    </row>
    <row r="1482" spans="1:11" hidden="1">
      <c r="A1482" s="148" t="s">
        <v>4199</v>
      </c>
      <c r="B1482" s="148" t="s">
        <v>4200</v>
      </c>
      <c r="C1482" s="148" t="s">
        <v>1008</v>
      </c>
      <c r="D1482" s="148" t="s">
        <v>270</v>
      </c>
      <c r="E1482" s="148" t="s">
        <v>1009</v>
      </c>
      <c r="F1482" s="148" t="s">
        <v>1010</v>
      </c>
      <c r="G1482" s="148" t="s">
        <v>129</v>
      </c>
      <c r="H1482" s="148">
        <v>2008626</v>
      </c>
      <c r="I1482" s="148">
        <v>0</v>
      </c>
      <c r="J1482" s="148">
        <v>0</v>
      </c>
      <c r="K1482" s="148" t="str">
        <f t="shared" si="23"/>
        <v>INSTRUMENTSICR_ASSSSMNT_MTHD</v>
      </c>
    </row>
    <row r="1483" spans="1:11" hidden="1">
      <c r="A1483" s="148" t="s">
        <v>4201</v>
      </c>
      <c r="B1483" s="148" t="s">
        <v>4202</v>
      </c>
      <c r="C1483" s="148" t="s">
        <v>1008</v>
      </c>
      <c r="D1483" s="148" t="s">
        <v>270</v>
      </c>
      <c r="E1483" s="148" t="s">
        <v>1009</v>
      </c>
      <c r="F1483" s="148" t="s">
        <v>1010</v>
      </c>
      <c r="G1483" s="148" t="s">
        <v>129</v>
      </c>
      <c r="H1483" s="148">
        <v>130327</v>
      </c>
      <c r="I1483" s="148">
        <v>0</v>
      </c>
      <c r="J1483" s="148">
        <v>0</v>
      </c>
      <c r="K1483" s="148" t="str">
        <f t="shared" si="23"/>
        <v>INSTRUMENTSICR_ASSSSMNT_MTHD</v>
      </c>
    </row>
    <row r="1484" spans="1:11" hidden="1">
      <c r="A1484" s="148" t="s">
        <v>4203</v>
      </c>
      <c r="B1484" s="148" t="s">
        <v>4204</v>
      </c>
      <c r="C1484" s="148" t="s">
        <v>1008</v>
      </c>
      <c r="D1484" s="148" t="s">
        <v>300</v>
      </c>
      <c r="E1484" s="148" t="s">
        <v>1009</v>
      </c>
      <c r="F1484" s="148" t="s">
        <v>1010</v>
      </c>
      <c r="G1484" s="148" t="s">
        <v>1011</v>
      </c>
      <c r="H1484" s="148">
        <v>2104560</v>
      </c>
      <c r="I1484" s="148">
        <v>2</v>
      </c>
      <c r="J1484" s="148">
        <v>1E-4</v>
      </c>
      <c r="K1484" s="148" t="str">
        <f t="shared" si="23"/>
        <v>INSTRUMENTEIR</v>
      </c>
    </row>
    <row r="1485" spans="1:11" hidden="1">
      <c r="A1485" s="148" t="s">
        <v>4205</v>
      </c>
      <c r="B1485" s="148" t="s">
        <v>4206</v>
      </c>
      <c r="C1485" s="148" t="s">
        <v>1008</v>
      </c>
      <c r="D1485" s="148" t="s">
        <v>300</v>
      </c>
      <c r="E1485" s="148" t="s">
        <v>1009</v>
      </c>
      <c r="F1485" s="148" t="s">
        <v>1010</v>
      </c>
      <c r="G1485" s="148" t="s">
        <v>1011</v>
      </c>
      <c r="H1485" s="148">
        <v>1795497</v>
      </c>
      <c r="I1485" s="148">
        <v>3340</v>
      </c>
      <c r="J1485" s="148">
        <v>0.186</v>
      </c>
      <c r="K1485" s="148" t="str">
        <f t="shared" si="23"/>
        <v>INSTRUMENTEIR</v>
      </c>
    </row>
    <row r="1486" spans="1:11" hidden="1">
      <c r="A1486" s="148" t="s">
        <v>4207</v>
      </c>
      <c r="B1486" s="148" t="s">
        <v>4208</v>
      </c>
      <c r="C1486" s="148" t="s">
        <v>1008</v>
      </c>
      <c r="D1486" s="148" t="s">
        <v>300</v>
      </c>
      <c r="E1486" s="148" t="s">
        <v>1009</v>
      </c>
      <c r="F1486" s="148" t="s">
        <v>1010</v>
      </c>
      <c r="G1486" s="148" t="s">
        <v>1011</v>
      </c>
      <c r="H1486" s="148">
        <v>2138822</v>
      </c>
      <c r="I1486" s="148">
        <v>186</v>
      </c>
      <c r="J1486" s="148">
        <v>8.6999999999999994E-3</v>
      </c>
      <c r="K1486" s="148" t="str">
        <f t="shared" si="23"/>
        <v>INSTRUMENTEIR</v>
      </c>
    </row>
    <row r="1487" spans="1:11" hidden="1">
      <c r="A1487" s="148" t="s">
        <v>4209</v>
      </c>
      <c r="B1487" s="148" t="s">
        <v>4210</v>
      </c>
      <c r="C1487" s="148" t="s">
        <v>1008</v>
      </c>
      <c r="D1487" s="148" t="s">
        <v>300</v>
      </c>
      <c r="E1487" s="148" t="s">
        <v>1009</v>
      </c>
      <c r="F1487" s="148" t="s">
        <v>1010</v>
      </c>
      <c r="G1487" s="148" t="s">
        <v>129</v>
      </c>
      <c r="H1487" s="148">
        <v>0</v>
      </c>
      <c r="I1487" s="148">
        <v>0</v>
      </c>
      <c r="J1487" s="148">
        <v>0</v>
      </c>
      <c r="K1487" s="148" t="str">
        <f t="shared" si="23"/>
        <v>INSTRUMENTEIR</v>
      </c>
    </row>
    <row r="1488" spans="1:11" hidden="1">
      <c r="A1488" s="148" t="s">
        <v>4211</v>
      </c>
      <c r="B1488" s="148" t="s">
        <v>4212</v>
      </c>
      <c r="C1488" s="148" t="s">
        <v>1008</v>
      </c>
      <c r="D1488" s="148" t="s">
        <v>301</v>
      </c>
      <c r="E1488" s="148" t="s">
        <v>1009</v>
      </c>
      <c r="F1488" s="148" t="s">
        <v>1010</v>
      </c>
      <c r="G1488" s="148" t="s">
        <v>1011</v>
      </c>
      <c r="H1488" s="148">
        <v>2138822</v>
      </c>
      <c r="I1488" s="148">
        <v>186</v>
      </c>
      <c r="J1488" s="148">
        <v>8.6999999999999994E-3</v>
      </c>
      <c r="K1488" s="148" t="str">
        <f t="shared" si="23"/>
        <v>INSTRUMENTEIR_INCPTN</v>
      </c>
    </row>
    <row r="1489" spans="1:11" hidden="1">
      <c r="A1489" s="148" t="s">
        <v>4213</v>
      </c>
      <c r="B1489" s="148" t="s">
        <v>4214</v>
      </c>
      <c r="C1489" s="148" t="s">
        <v>1008</v>
      </c>
      <c r="D1489" s="148" t="s">
        <v>301</v>
      </c>
      <c r="E1489" s="148" t="s">
        <v>1009</v>
      </c>
      <c r="F1489" s="148" t="s">
        <v>1010</v>
      </c>
      <c r="G1489" s="148" t="s">
        <v>129</v>
      </c>
      <c r="H1489" s="148">
        <v>0</v>
      </c>
      <c r="I1489" s="148">
        <v>0</v>
      </c>
      <c r="J1489" s="148">
        <v>0</v>
      </c>
      <c r="K1489" s="148" t="str">
        <f t="shared" si="23"/>
        <v>INSTRUMENTEIR_INCPTN</v>
      </c>
    </row>
    <row r="1490" spans="1:11" hidden="1">
      <c r="A1490" s="148" t="s">
        <v>4215</v>
      </c>
      <c r="B1490" s="148" t="s">
        <v>4216</v>
      </c>
      <c r="C1490" s="148" t="s">
        <v>1008</v>
      </c>
      <c r="D1490" s="148" t="s">
        <v>379</v>
      </c>
      <c r="E1490" s="148" t="s">
        <v>1009</v>
      </c>
      <c r="F1490" s="148" t="s">
        <v>1010</v>
      </c>
      <c r="G1490" s="148" t="s">
        <v>1011</v>
      </c>
      <c r="H1490" s="148">
        <v>704433</v>
      </c>
      <c r="I1490" s="148">
        <v>283491</v>
      </c>
      <c r="J1490" s="148">
        <v>40.243899999999996</v>
      </c>
      <c r="K1490" s="148" t="str">
        <f t="shared" si="23"/>
        <v>INSTRUMENTINTRST_RT_RST_FRQNCY</v>
      </c>
    </row>
    <row r="1491" spans="1:11" hidden="1">
      <c r="A1491" s="148" t="s">
        <v>4217</v>
      </c>
      <c r="B1491" s="148" t="s">
        <v>4218</v>
      </c>
      <c r="C1491" s="148" t="s">
        <v>1008</v>
      </c>
      <c r="D1491" s="148" t="s">
        <v>379</v>
      </c>
      <c r="E1491" s="148" t="s">
        <v>1009</v>
      </c>
      <c r="F1491" s="148" t="s">
        <v>1010</v>
      </c>
      <c r="G1491" s="148" t="s">
        <v>129</v>
      </c>
      <c r="H1491" s="148">
        <v>0</v>
      </c>
      <c r="I1491" s="148">
        <v>0</v>
      </c>
      <c r="J1491" s="148">
        <v>0</v>
      </c>
      <c r="K1491" s="148" t="str">
        <f t="shared" si="23"/>
        <v>INSTRUMENTINTRST_RT_RST_FRQNCY</v>
      </c>
    </row>
    <row r="1492" spans="1:11" hidden="1">
      <c r="A1492" s="148" t="s">
        <v>4219</v>
      </c>
      <c r="B1492" s="148" t="s">
        <v>4220</v>
      </c>
      <c r="C1492" s="148" t="s">
        <v>1008</v>
      </c>
      <c r="D1492" s="148" t="s">
        <v>477</v>
      </c>
      <c r="E1492" s="148" t="s">
        <v>1009</v>
      </c>
      <c r="F1492" s="148" t="s">
        <v>1010</v>
      </c>
      <c r="G1492" s="148" t="s">
        <v>129</v>
      </c>
      <c r="H1492" s="148">
        <v>152454</v>
      </c>
      <c r="I1492" s="148">
        <v>0</v>
      </c>
      <c r="J1492" s="148">
        <v>0</v>
      </c>
      <c r="K1492" s="148" t="str">
        <f t="shared" si="23"/>
        <v>INSTRUMENTRCVD_AMRTSTN_12M</v>
      </c>
    </row>
    <row r="1493" spans="1:11" hidden="1">
      <c r="A1493" s="148" t="s">
        <v>4221</v>
      </c>
      <c r="B1493" s="148" t="s">
        <v>4222</v>
      </c>
      <c r="C1493" s="148" t="s">
        <v>1008</v>
      </c>
      <c r="D1493" s="148" t="s">
        <v>477</v>
      </c>
      <c r="E1493" s="148" t="s">
        <v>1009</v>
      </c>
      <c r="F1493" s="148" t="s">
        <v>1010</v>
      </c>
      <c r="G1493" s="148" t="s">
        <v>1011</v>
      </c>
      <c r="H1493" s="148">
        <v>734775</v>
      </c>
      <c r="I1493" s="148">
        <v>2</v>
      </c>
      <c r="J1493" s="148">
        <v>2.9999999999999997E-4</v>
      </c>
      <c r="K1493" s="148" t="str">
        <f t="shared" si="23"/>
        <v>INSTRUMENTRCVD_AMRTSTN_12M</v>
      </c>
    </row>
    <row r="1494" spans="1:11" hidden="1">
      <c r="A1494" s="148" t="s">
        <v>4223</v>
      </c>
      <c r="B1494" s="148" t="s">
        <v>4224</v>
      </c>
      <c r="C1494" s="148" t="s">
        <v>1008</v>
      </c>
      <c r="D1494" s="148" t="s">
        <v>254</v>
      </c>
      <c r="E1494" s="148" t="s">
        <v>1009</v>
      </c>
      <c r="F1494" s="148" t="s">
        <v>1010</v>
      </c>
      <c r="G1494" s="148" t="s">
        <v>129</v>
      </c>
      <c r="H1494" s="148">
        <v>152454</v>
      </c>
      <c r="I1494" s="148">
        <v>0</v>
      </c>
      <c r="J1494" s="148">
        <v>0</v>
      </c>
      <c r="K1494" s="148" t="str">
        <f t="shared" si="23"/>
        <v>INSTRUMENTRCVD_INTRST_12M</v>
      </c>
    </row>
    <row r="1495" spans="1:11" hidden="1">
      <c r="A1495" s="148" t="s">
        <v>4225</v>
      </c>
      <c r="B1495" s="148" t="s">
        <v>4226</v>
      </c>
      <c r="C1495" s="148" t="s">
        <v>1008</v>
      </c>
      <c r="D1495" s="148" t="s">
        <v>254</v>
      </c>
      <c r="E1495" s="148" t="s">
        <v>1009</v>
      </c>
      <c r="F1495" s="148" t="s">
        <v>1010</v>
      </c>
      <c r="G1495" s="148" t="s">
        <v>129</v>
      </c>
      <c r="H1495" s="148">
        <v>734776</v>
      </c>
      <c r="I1495" s="148">
        <v>0</v>
      </c>
      <c r="J1495" s="148">
        <v>0</v>
      </c>
      <c r="K1495" s="148" t="str">
        <f t="shared" si="23"/>
        <v>INSTRUMENTRCVD_INTRST_12M</v>
      </c>
    </row>
    <row r="1496" spans="1:11" hidden="1">
      <c r="A1496" s="148" t="s">
        <v>4227</v>
      </c>
      <c r="B1496" s="148" t="s">
        <v>4228</v>
      </c>
      <c r="C1496" s="148" t="s">
        <v>1008</v>
      </c>
      <c r="D1496" s="148" t="s">
        <v>511</v>
      </c>
      <c r="E1496" s="148" t="s">
        <v>1009</v>
      </c>
      <c r="F1496" s="148" t="s">
        <v>1010</v>
      </c>
      <c r="G1496" s="148" t="s">
        <v>129</v>
      </c>
      <c r="H1496" s="148">
        <v>79</v>
      </c>
      <c r="I1496" s="148">
        <v>0</v>
      </c>
      <c r="J1496" s="148">
        <v>0</v>
      </c>
      <c r="K1496" s="148" t="str">
        <f t="shared" si="23"/>
        <v>INSTRUMENTSYNDCT_RL</v>
      </c>
    </row>
    <row r="1497" spans="1:11" hidden="1">
      <c r="A1497" s="148" t="s">
        <v>4229</v>
      </c>
      <c r="B1497" s="148" t="s">
        <v>4230</v>
      </c>
      <c r="C1497" s="148" t="s">
        <v>1008</v>
      </c>
      <c r="D1497" s="148" t="s">
        <v>511</v>
      </c>
      <c r="E1497" s="148" t="s">
        <v>1009</v>
      </c>
      <c r="F1497" s="148" t="s">
        <v>1010</v>
      </c>
      <c r="G1497" s="148" t="s">
        <v>129</v>
      </c>
      <c r="H1497" s="148">
        <v>100</v>
      </c>
      <c r="I1497" s="148">
        <v>0</v>
      </c>
      <c r="J1497" s="148">
        <v>0</v>
      </c>
      <c r="K1497" s="148" t="str">
        <f t="shared" si="23"/>
        <v>INSTRUMENTSYNDCT_RL</v>
      </c>
    </row>
    <row r="1498" spans="1:11" hidden="1">
      <c r="A1498" s="148" t="s">
        <v>4231</v>
      </c>
      <c r="B1498" s="148" t="s">
        <v>4232</v>
      </c>
      <c r="C1498" s="148" t="s">
        <v>1008</v>
      </c>
      <c r="D1498" s="148" t="s">
        <v>511</v>
      </c>
      <c r="E1498" s="148" t="s">
        <v>1009</v>
      </c>
      <c r="F1498" s="148" t="s">
        <v>1010</v>
      </c>
      <c r="G1498" s="148" t="s">
        <v>129</v>
      </c>
      <c r="H1498" s="148">
        <v>378734</v>
      </c>
      <c r="I1498" s="148">
        <v>0</v>
      </c>
      <c r="J1498" s="148">
        <v>0</v>
      </c>
      <c r="K1498" s="148" t="str">
        <f t="shared" si="23"/>
        <v>INSTRUMENTSYNDCT_RL</v>
      </c>
    </row>
    <row r="1499" spans="1:11" hidden="1">
      <c r="A1499" s="148" t="s">
        <v>4233</v>
      </c>
      <c r="B1499" s="148" t="s">
        <v>4234</v>
      </c>
      <c r="C1499" s="148" t="s">
        <v>1008</v>
      </c>
      <c r="D1499" s="148" t="s">
        <v>512</v>
      </c>
      <c r="E1499" s="148" t="s">
        <v>1009</v>
      </c>
      <c r="F1499" s="148" t="s">
        <v>1010</v>
      </c>
      <c r="G1499" s="148" t="s">
        <v>129</v>
      </c>
      <c r="H1499" s="148">
        <v>100</v>
      </c>
      <c r="I1499" s="148">
        <v>0</v>
      </c>
      <c r="J1499" s="148">
        <v>0</v>
      </c>
      <c r="K1499" s="148" t="str">
        <f t="shared" si="23"/>
        <v>INSTRUMENTSYNDCTD_AGNT</v>
      </c>
    </row>
    <row r="1500" spans="1:11" hidden="1">
      <c r="A1500" s="148" t="s">
        <v>4235</v>
      </c>
      <c r="B1500" s="148" t="s">
        <v>4236</v>
      </c>
      <c r="C1500" s="148" t="s">
        <v>1008</v>
      </c>
      <c r="D1500" s="148" t="s">
        <v>512</v>
      </c>
      <c r="E1500" s="148" t="s">
        <v>1009</v>
      </c>
      <c r="F1500" s="148" t="s">
        <v>1010</v>
      </c>
      <c r="G1500" s="148" t="s">
        <v>129</v>
      </c>
      <c r="H1500" s="148">
        <v>398119</v>
      </c>
      <c r="I1500" s="148">
        <v>0</v>
      </c>
      <c r="J1500" s="148">
        <v>0</v>
      </c>
      <c r="K1500" s="148" t="str">
        <f t="shared" si="23"/>
        <v>INSTRUMENTSYNDCTD_AGNT</v>
      </c>
    </row>
    <row r="1501" spans="1:11" hidden="1">
      <c r="A1501" s="148" t="s">
        <v>4237</v>
      </c>
      <c r="B1501" s="148" t="s">
        <v>4238</v>
      </c>
      <c r="C1501" s="148" t="s">
        <v>1008</v>
      </c>
      <c r="D1501" s="148" t="s">
        <v>513</v>
      </c>
      <c r="E1501" s="148" t="s">
        <v>1009</v>
      </c>
      <c r="F1501" s="148" t="s">
        <v>1010</v>
      </c>
      <c r="G1501" s="148" t="s">
        <v>129</v>
      </c>
      <c r="H1501" s="148">
        <v>105</v>
      </c>
      <c r="I1501" s="148">
        <v>0</v>
      </c>
      <c r="J1501" s="148">
        <v>0</v>
      </c>
      <c r="K1501" s="148" t="str">
        <f t="shared" si="23"/>
        <v>INSTRUMENTSYNDCTD_CNTRCT_ID</v>
      </c>
    </row>
    <row r="1502" spans="1:11" hidden="1">
      <c r="A1502" s="148" t="s">
        <v>4239</v>
      </c>
      <c r="B1502" s="148" t="s">
        <v>4240</v>
      </c>
      <c r="C1502" s="148" t="s">
        <v>1008</v>
      </c>
      <c r="D1502" s="148" t="s">
        <v>513</v>
      </c>
      <c r="E1502" s="148" t="s">
        <v>1009</v>
      </c>
      <c r="F1502" s="148" t="s">
        <v>1010</v>
      </c>
      <c r="G1502" s="148" t="s">
        <v>129</v>
      </c>
      <c r="H1502" s="148">
        <v>378734</v>
      </c>
      <c r="I1502" s="148">
        <v>0</v>
      </c>
      <c r="J1502" s="148">
        <v>0</v>
      </c>
      <c r="K1502" s="148" t="str">
        <f t="shared" si="23"/>
        <v>INSTRUMENTSYNDCTD_CNTRCT_ID</v>
      </c>
    </row>
    <row r="1503" spans="1:11" hidden="1">
      <c r="A1503" s="148" t="s">
        <v>4241</v>
      </c>
      <c r="B1503" s="148" t="s">
        <v>4242</v>
      </c>
      <c r="C1503" s="148" t="s">
        <v>1008</v>
      </c>
      <c r="D1503" s="148" t="s">
        <v>514</v>
      </c>
      <c r="E1503" s="148" t="s">
        <v>1009</v>
      </c>
      <c r="F1503" s="148" t="s">
        <v>1010</v>
      </c>
      <c r="G1503" s="148" t="s">
        <v>129</v>
      </c>
      <c r="H1503" s="148">
        <v>100</v>
      </c>
      <c r="I1503" s="148">
        <v>0</v>
      </c>
      <c r="J1503" s="148">
        <v>0</v>
      </c>
      <c r="K1503" s="148" t="str">
        <f t="shared" si="23"/>
        <v>INSTRUMENTSYNDCTD_LNDRS</v>
      </c>
    </row>
    <row r="1504" spans="1:11" hidden="1">
      <c r="A1504" s="148" t="s">
        <v>4243</v>
      </c>
      <c r="B1504" s="148" t="s">
        <v>4244</v>
      </c>
      <c r="C1504" s="148" t="s">
        <v>1008</v>
      </c>
      <c r="D1504" s="148" t="s">
        <v>514</v>
      </c>
      <c r="E1504" s="148" t="s">
        <v>1009</v>
      </c>
      <c r="F1504" s="148" t="s">
        <v>1010</v>
      </c>
      <c r="G1504" s="148" t="s">
        <v>129</v>
      </c>
      <c r="H1504" s="148">
        <v>398119</v>
      </c>
      <c r="I1504" s="148">
        <v>0</v>
      </c>
      <c r="J1504" s="148">
        <v>0</v>
      </c>
      <c r="K1504" s="148" t="str">
        <f t="shared" si="23"/>
        <v>INSTRUMENTSYNDCTD_LNDRS</v>
      </c>
    </row>
    <row r="1505" spans="1:11" hidden="1">
      <c r="A1505" s="148" t="s">
        <v>4245</v>
      </c>
      <c r="B1505" s="148" t="s">
        <v>4246</v>
      </c>
      <c r="C1505" s="148" t="s">
        <v>1008</v>
      </c>
      <c r="D1505" s="148" t="s">
        <v>515</v>
      </c>
      <c r="E1505" s="148" t="s">
        <v>1009</v>
      </c>
      <c r="F1505" s="148" t="s">
        <v>1010</v>
      </c>
      <c r="G1505" s="148" t="s">
        <v>129</v>
      </c>
      <c r="H1505" s="148">
        <v>100</v>
      </c>
      <c r="I1505" s="148">
        <v>0</v>
      </c>
      <c r="J1505" s="148">
        <v>0</v>
      </c>
      <c r="K1505" s="148" t="str">
        <f t="shared" si="23"/>
        <v>INSTRUMENTSYNDCTD_SHR</v>
      </c>
    </row>
    <row r="1506" spans="1:11" hidden="1">
      <c r="A1506" s="148" t="s">
        <v>4247</v>
      </c>
      <c r="B1506" s="148" t="s">
        <v>4248</v>
      </c>
      <c r="C1506" s="148" t="s">
        <v>1008</v>
      </c>
      <c r="D1506" s="148" t="s">
        <v>515</v>
      </c>
      <c r="E1506" s="148" t="s">
        <v>1009</v>
      </c>
      <c r="F1506" s="148" t="s">
        <v>1010</v>
      </c>
      <c r="G1506" s="148" t="s">
        <v>129</v>
      </c>
      <c r="H1506" s="148">
        <v>398119</v>
      </c>
      <c r="I1506" s="148">
        <v>0</v>
      </c>
      <c r="J1506" s="148">
        <v>0</v>
      </c>
      <c r="K1506" s="148" t="str">
        <f t="shared" si="23"/>
        <v>INSTRUMENTSYNDCTD_SHR</v>
      </c>
    </row>
    <row r="1507" spans="1:11" hidden="1">
      <c r="A1507" s="148" t="s">
        <v>4249</v>
      </c>
      <c r="B1507" s="148" t="s">
        <v>4250</v>
      </c>
      <c r="C1507" s="148" t="s">
        <v>1008</v>
      </c>
      <c r="D1507" s="148" t="s">
        <v>516</v>
      </c>
      <c r="E1507" s="148" t="s">
        <v>1009</v>
      </c>
      <c r="F1507" s="148" t="s">
        <v>1010</v>
      </c>
      <c r="G1507" s="148" t="s">
        <v>129</v>
      </c>
      <c r="H1507" s="148">
        <v>79</v>
      </c>
      <c r="I1507" s="148">
        <v>0</v>
      </c>
      <c r="J1507" s="148">
        <v>0</v>
      </c>
      <c r="K1507" s="148" t="str">
        <f t="shared" si="23"/>
        <v>INSTRUMENTSYNDCTN_TYP</v>
      </c>
    </row>
    <row r="1508" spans="1:11" hidden="1">
      <c r="A1508" s="148" t="s">
        <v>4251</v>
      </c>
      <c r="B1508" s="148" t="s">
        <v>4252</v>
      </c>
      <c r="C1508" s="148" t="s">
        <v>1008</v>
      </c>
      <c r="D1508" s="148" t="s">
        <v>516</v>
      </c>
      <c r="E1508" s="148" t="s">
        <v>1009</v>
      </c>
      <c r="F1508" s="148" t="s">
        <v>1010</v>
      </c>
      <c r="G1508" s="148" t="s">
        <v>129</v>
      </c>
      <c r="H1508" s="148">
        <v>100</v>
      </c>
      <c r="I1508" s="148">
        <v>0</v>
      </c>
      <c r="J1508" s="148">
        <v>0</v>
      </c>
      <c r="K1508" s="148" t="str">
        <f t="shared" si="23"/>
        <v>INSTRUMENTSYNDCTN_TYP</v>
      </c>
    </row>
    <row r="1509" spans="1:11" hidden="1">
      <c r="A1509" s="148" t="s">
        <v>4253</v>
      </c>
      <c r="B1509" s="148" t="s">
        <v>4254</v>
      </c>
      <c r="C1509" s="148" t="s">
        <v>1008</v>
      </c>
      <c r="D1509" s="148" t="s">
        <v>516</v>
      </c>
      <c r="E1509" s="148" t="s">
        <v>1009</v>
      </c>
      <c r="F1509" s="148" t="s">
        <v>1010</v>
      </c>
      <c r="G1509" s="148" t="s">
        <v>129</v>
      </c>
      <c r="H1509" s="148">
        <v>398119</v>
      </c>
      <c r="I1509" s="148">
        <v>0</v>
      </c>
      <c r="J1509" s="148">
        <v>0</v>
      </c>
      <c r="K1509" s="148" t="str">
        <f t="shared" si="23"/>
        <v>INSTRUMENTSYNDCTN_TYP</v>
      </c>
    </row>
    <row r="1510" spans="1:11" hidden="1">
      <c r="A1510" s="148" t="s">
        <v>4255</v>
      </c>
      <c r="B1510" s="148" t="s">
        <v>4256</v>
      </c>
      <c r="C1510" s="148" t="s">
        <v>127</v>
      </c>
      <c r="D1510" s="148" t="s">
        <v>286</v>
      </c>
      <c r="E1510" s="148" t="s">
        <v>1009</v>
      </c>
      <c r="F1510" s="148" t="s">
        <v>1010</v>
      </c>
      <c r="G1510" s="148" t="s">
        <v>129</v>
      </c>
      <c r="H1510" s="148">
        <v>64</v>
      </c>
      <c r="I1510" s="148">
        <v>0</v>
      </c>
      <c r="J1510" s="148">
        <v>0</v>
      </c>
      <c r="K1510" s="148" t="str">
        <f t="shared" si="23"/>
        <v>INSTRUMENTDT_VLTN</v>
      </c>
    </row>
    <row r="1511" spans="1:11" hidden="1">
      <c r="A1511" s="148" t="s">
        <v>4257</v>
      </c>
      <c r="B1511" s="148" t="s">
        <v>4258</v>
      </c>
      <c r="C1511" s="148" t="s">
        <v>127</v>
      </c>
      <c r="D1511" s="148" t="s">
        <v>286</v>
      </c>
      <c r="E1511" s="148" t="s">
        <v>1009</v>
      </c>
      <c r="F1511" s="148" t="s">
        <v>1010</v>
      </c>
      <c r="G1511" s="148" t="s">
        <v>129</v>
      </c>
      <c r="H1511" s="148">
        <v>64</v>
      </c>
      <c r="I1511" s="148">
        <v>0</v>
      </c>
      <c r="J1511" s="148">
        <v>0</v>
      </c>
      <c r="K1511" s="148" t="str">
        <f t="shared" si="23"/>
        <v>INSTRUMENTDT_VLTN</v>
      </c>
    </row>
    <row r="1512" spans="1:11" hidden="1">
      <c r="A1512" s="148" t="s">
        <v>4259</v>
      </c>
      <c r="B1512" s="148" t="s">
        <v>4260</v>
      </c>
      <c r="C1512" s="148" t="s">
        <v>1008</v>
      </c>
      <c r="D1512" s="148" t="s">
        <v>343</v>
      </c>
      <c r="E1512" s="148" t="s">
        <v>1009</v>
      </c>
      <c r="F1512" s="148" t="s">
        <v>1010</v>
      </c>
      <c r="G1512" s="148" t="s">
        <v>129</v>
      </c>
      <c r="H1512" s="148">
        <v>480</v>
      </c>
      <c r="I1512" s="148">
        <v>0</v>
      </c>
      <c r="J1512" s="148">
        <v>0</v>
      </c>
      <c r="K1512" s="148" t="str">
        <f t="shared" si="23"/>
        <v>INSTRUMENTGRNTR_ID_TYP</v>
      </c>
    </row>
    <row r="1513" spans="1:11" hidden="1">
      <c r="A1513" s="148" t="s">
        <v>4261</v>
      </c>
      <c r="B1513" s="148" t="s">
        <v>4262</v>
      </c>
      <c r="C1513" s="148" t="s">
        <v>1008</v>
      </c>
      <c r="D1513" s="148" t="s">
        <v>455</v>
      </c>
      <c r="E1513" s="148" t="s">
        <v>1009</v>
      </c>
      <c r="F1513" s="148" t="s">
        <v>1010</v>
      </c>
      <c r="G1513" s="148" t="s">
        <v>129</v>
      </c>
      <c r="H1513" s="148">
        <v>0</v>
      </c>
      <c r="I1513" s="148">
        <v>0</v>
      </c>
      <c r="J1513" s="148">
        <v>0</v>
      </c>
      <c r="K1513" s="148" t="str">
        <f t="shared" si="23"/>
        <v>INSTRUMENTPRMRY_ASST_CLSSF</v>
      </c>
    </row>
    <row r="1514" spans="1:11" hidden="1">
      <c r="A1514" s="148" t="s">
        <v>4263</v>
      </c>
      <c r="B1514" s="148" t="s">
        <v>4264</v>
      </c>
      <c r="C1514" s="148" t="s">
        <v>1008</v>
      </c>
      <c r="D1514" s="148" t="s">
        <v>507</v>
      </c>
      <c r="E1514" s="148" t="s">
        <v>1009</v>
      </c>
      <c r="F1514" s="148" t="s">
        <v>1010</v>
      </c>
      <c r="G1514" s="148" t="s">
        <v>129</v>
      </c>
      <c r="H1514" s="148">
        <v>1153180</v>
      </c>
      <c r="I1514" s="148">
        <v>0</v>
      </c>
      <c r="J1514" s="148">
        <v>0</v>
      </c>
      <c r="K1514" s="148" t="str">
        <f t="shared" si="23"/>
        <v>INSTRUMENTSPRD</v>
      </c>
    </row>
    <row r="1515" spans="1:11" hidden="1">
      <c r="A1515" s="148" t="s">
        <v>4265</v>
      </c>
      <c r="B1515" s="148" t="s">
        <v>4266</v>
      </c>
      <c r="C1515" s="148" t="s">
        <v>1008</v>
      </c>
      <c r="D1515" s="148" t="s">
        <v>507</v>
      </c>
      <c r="E1515" s="148" t="s">
        <v>1009</v>
      </c>
      <c r="F1515" s="148" t="s">
        <v>1010</v>
      </c>
      <c r="G1515" s="148" t="s">
        <v>1011</v>
      </c>
      <c r="H1515" s="148">
        <v>704433</v>
      </c>
      <c r="I1515" s="148">
        <v>704028</v>
      </c>
      <c r="J1515" s="148">
        <v>99.942499999999995</v>
      </c>
      <c r="K1515" s="148" t="str">
        <f t="shared" si="23"/>
        <v>INSTRUMENTSPRD</v>
      </c>
    </row>
    <row r="1516" spans="1:11" hidden="1">
      <c r="A1516" s="148" t="s">
        <v>4267</v>
      </c>
      <c r="B1516" s="148" t="s">
        <v>4268</v>
      </c>
      <c r="C1516" s="148" t="s">
        <v>1019</v>
      </c>
      <c r="D1516" s="148" t="s">
        <v>407</v>
      </c>
      <c r="E1516" s="148" t="s">
        <v>1009</v>
      </c>
      <c r="F1516" s="148" t="s">
        <v>1010</v>
      </c>
      <c r="G1516" s="148" t="s">
        <v>1011</v>
      </c>
      <c r="H1516" s="148">
        <v>1</v>
      </c>
      <c r="I1516" s="148">
        <v>1</v>
      </c>
      <c r="J1516" s="148">
        <v>100</v>
      </c>
      <c r="K1516" s="148" t="str">
        <f t="shared" si="23"/>
        <v>INSTRUMENTLVRG_FNNC_FLG</v>
      </c>
    </row>
    <row r="1517" spans="1:11" hidden="1">
      <c r="A1517" s="148" t="s">
        <v>4269</v>
      </c>
      <c r="B1517" s="148" t="s">
        <v>4270</v>
      </c>
      <c r="C1517" s="148" t="s">
        <v>1037</v>
      </c>
      <c r="D1517" s="148" t="s">
        <v>407</v>
      </c>
      <c r="E1517" s="148" t="s">
        <v>1009</v>
      </c>
      <c r="F1517" s="148" t="s">
        <v>1010</v>
      </c>
      <c r="G1517" s="148" t="s">
        <v>1011</v>
      </c>
      <c r="H1517" s="148">
        <v>27353</v>
      </c>
      <c r="I1517" s="148">
        <v>4</v>
      </c>
      <c r="J1517" s="148">
        <v>1.46E-2</v>
      </c>
      <c r="K1517" s="148" t="str">
        <f t="shared" si="23"/>
        <v>INSTRUMENTLVRG_FNNC_FLG</v>
      </c>
    </row>
    <row r="1518" spans="1:11" hidden="1">
      <c r="A1518" s="148" t="s">
        <v>4271</v>
      </c>
      <c r="B1518" s="148" t="s">
        <v>4272</v>
      </c>
      <c r="C1518" s="148" t="s">
        <v>1008</v>
      </c>
      <c r="D1518" s="148" t="s">
        <v>407</v>
      </c>
      <c r="E1518" s="148" t="s">
        <v>1009</v>
      </c>
      <c r="F1518" s="148" t="s">
        <v>1010</v>
      </c>
      <c r="G1518" s="148" t="s">
        <v>1011</v>
      </c>
      <c r="H1518" s="148">
        <v>267410</v>
      </c>
      <c r="I1518" s="148">
        <v>12</v>
      </c>
      <c r="J1518" s="148">
        <v>4.4999999999999997E-3</v>
      </c>
      <c r="K1518" s="148" t="str">
        <f t="shared" si="23"/>
        <v>INSTRUMENTLVRG_FNNC_FLG</v>
      </c>
    </row>
    <row r="1519" spans="1:11" hidden="1">
      <c r="A1519" s="148" t="s">
        <v>4273</v>
      </c>
      <c r="B1519" s="148" t="s">
        <v>4274</v>
      </c>
      <c r="C1519" s="148" t="s">
        <v>1037</v>
      </c>
      <c r="D1519" s="148" t="s">
        <v>407</v>
      </c>
      <c r="E1519" s="148" t="s">
        <v>1009</v>
      </c>
      <c r="F1519" s="148" t="s">
        <v>1010</v>
      </c>
      <c r="G1519" s="148" t="s">
        <v>129</v>
      </c>
      <c r="H1519" s="148">
        <v>128</v>
      </c>
      <c r="I1519" s="148">
        <v>0</v>
      </c>
      <c r="J1519" s="148">
        <v>0</v>
      </c>
      <c r="K1519" s="148" t="str">
        <f t="shared" si="23"/>
        <v>INSTRUMENTLVRG_FNNC_FLG</v>
      </c>
    </row>
    <row r="1520" spans="1:11" hidden="1">
      <c r="A1520" s="148" t="s">
        <v>4275</v>
      </c>
      <c r="B1520" s="148" t="s">
        <v>4276</v>
      </c>
      <c r="C1520" s="148" t="s">
        <v>1255</v>
      </c>
      <c r="D1520" s="148" t="s">
        <v>407</v>
      </c>
      <c r="E1520" s="148" t="s">
        <v>1009</v>
      </c>
      <c r="F1520" s="148" t="s">
        <v>1010</v>
      </c>
      <c r="G1520" s="148" t="s">
        <v>1011</v>
      </c>
      <c r="H1520" s="148">
        <v>83627</v>
      </c>
      <c r="I1520" s="148">
        <v>14</v>
      </c>
      <c r="J1520" s="148">
        <v>1.67E-2</v>
      </c>
      <c r="K1520" s="148" t="str">
        <f t="shared" si="23"/>
        <v>INSTRUMENTLVRG_FNNC_FLG</v>
      </c>
    </row>
    <row r="1521" spans="1:11" hidden="1">
      <c r="A1521" s="148" t="s">
        <v>4277</v>
      </c>
      <c r="B1521" s="148" t="s">
        <v>4278</v>
      </c>
      <c r="C1521" s="148" t="s">
        <v>1008</v>
      </c>
      <c r="D1521" s="148" t="s">
        <v>407</v>
      </c>
      <c r="E1521" s="148" t="s">
        <v>1009</v>
      </c>
      <c r="F1521" s="148" t="s">
        <v>1010</v>
      </c>
      <c r="G1521" s="148" t="s">
        <v>129</v>
      </c>
      <c r="H1521" s="148">
        <v>31770</v>
      </c>
      <c r="I1521" s="148">
        <v>0</v>
      </c>
      <c r="J1521" s="148">
        <v>0</v>
      </c>
      <c r="K1521" s="148" t="str">
        <f t="shared" si="23"/>
        <v>INSTRUMENTLVRG_FNNC_FLG</v>
      </c>
    </row>
    <row r="1522" spans="1:11" hidden="1">
      <c r="A1522" s="148" t="s">
        <v>4279</v>
      </c>
      <c r="B1522" s="148" t="s">
        <v>4280</v>
      </c>
      <c r="C1522" s="148" t="s">
        <v>1019</v>
      </c>
      <c r="D1522" s="148" t="s">
        <v>407</v>
      </c>
      <c r="E1522" s="148" t="s">
        <v>1009</v>
      </c>
      <c r="F1522" s="148" t="s">
        <v>1010</v>
      </c>
      <c r="G1522" s="148" t="s">
        <v>1011</v>
      </c>
      <c r="H1522" s="148">
        <v>231</v>
      </c>
      <c r="I1522" s="148">
        <v>227</v>
      </c>
      <c r="J1522" s="148">
        <v>98.2684</v>
      </c>
      <c r="K1522" s="148" t="str">
        <f t="shared" si="23"/>
        <v>INSTRUMENTLVRG_FNNC_FLG</v>
      </c>
    </row>
    <row r="1523" spans="1:11" hidden="1">
      <c r="A1523" s="148" t="s">
        <v>4281</v>
      </c>
      <c r="B1523" s="148" t="s">
        <v>4282</v>
      </c>
      <c r="C1523" s="148" t="s">
        <v>1008</v>
      </c>
      <c r="D1523" s="148" t="s">
        <v>198</v>
      </c>
      <c r="E1523" s="148" t="s">
        <v>1009</v>
      </c>
      <c r="F1523" s="148" t="s">
        <v>1010</v>
      </c>
      <c r="G1523" s="148" t="s">
        <v>129</v>
      </c>
      <c r="H1523" s="148">
        <v>152693</v>
      </c>
      <c r="I1523" s="148">
        <v>0</v>
      </c>
      <c r="J1523" s="148">
        <v>0</v>
      </c>
      <c r="K1523" s="148" t="str">
        <f t="shared" si="23"/>
        <v>INSTRUMENTCRRLTN_CFFCNT</v>
      </c>
    </row>
    <row r="1524" spans="1:11" hidden="1">
      <c r="A1524" s="148" t="s">
        <v>4283</v>
      </c>
      <c r="B1524" s="148" t="s">
        <v>4284</v>
      </c>
      <c r="C1524" s="148" t="s">
        <v>1008</v>
      </c>
      <c r="D1524" s="148" t="s">
        <v>198</v>
      </c>
      <c r="E1524" s="148" t="s">
        <v>1009</v>
      </c>
      <c r="F1524" s="148" t="s">
        <v>1010</v>
      </c>
      <c r="G1524" s="148" t="s">
        <v>1011</v>
      </c>
      <c r="H1524" s="148">
        <v>247821</v>
      </c>
      <c r="I1524" s="148">
        <v>247821</v>
      </c>
      <c r="J1524" s="148">
        <v>100</v>
      </c>
      <c r="K1524" s="148" t="str">
        <f t="shared" si="23"/>
        <v>INSTRUMENTCRRLTN_CFFCNT</v>
      </c>
    </row>
    <row r="1525" spans="1:11" hidden="1">
      <c r="A1525" s="148" t="s">
        <v>4285</v>
      </c>
      <c r="B1525" s="148" t="s">
        <v>4286</v>
      </c>
      <c r="C1525" s="148" t="s">
        <v>127</v>
      </c>
      <c r="D1525" s="148" t="s">
        <v>198</v>
      </c>
      <c r="E1525" s="148" t="s">
        <v>1009</v>
      </c>
      <c r="F1525" s="148" t="s">
        <v>1010</v>
      </c>
      <c r="G1525" s="148" t="s">
        <v>1011</v>
      </c>
      <c r="H1525" s="148">
        <v>23657</v>
      </c>
      <c r="I1525" s="148">
        <v>15</v>
      </c>
      <c r="J1525" s="148">
        <v>6.3399999999999998E-2</v>
      </c>
      <c r="K1525" s="148" t="str">
        <f t="shared" si="23"/>
        <v>INSTRUMENTCRRLTN_CFFCNT</v>
      </c>
    </row>
    <row r="1526" spans="1:11" hidden="1">
      <c r="A1526" s="148" t="s">
        <v>4287</v>
      </c>
      <c r="B1526" s="148" t="s">
        <v>4288</v>
      </c>
      <c r="C1526" s="148" t="s">
        <v>1008</v>
      </c>
      <c r="D1526" s="148" t="s">
        <v>381</v>
      </c>
      <c r="E1526" s="148" t="s">
        <v>1009</v>
      </c>
      <c r="F1526" s="148" t="s">
        <v>1010</v>
      </c>
      <c r="G1526" s="148" t="s">
        <v>129</v>
      </c>
      <c r="H1526" s="148">
        <v>486</v>
      </c>
      <c r="I1526" s="148">
        <v>0</v>
      </c>
      <c r="J1526" s="148">
        <v>0</v>
      </c>
      <c r="K1526" s="148" t="str">
        <f t="shared" si="23"/>
        <v>INSTRUMENTISIN_SCRTSTN</v>
      </c>
    </row>
    <row r="1527" spans="1:11" hidden="1">
      <c r="A1527" s="148" t="s">
        <v>4289</v>
      </c>
      <c r="B1527" s="148" t="s">
        <v>4290</v>
      </c>
      <c r="C1527" s="148" t="s">
        <v>127</v>
      </c>
      <c r="D1527" s="148" t="s">
        <v>381</v>
      </c>
      <c r="E1527" s="148" t="s">
        <v>1009</v>
      </c>
      <c r="F1527" s="148" t="s">
        <v>1010</v>
      </c>
      <c r="G1527" s="148" t="s">
        <v>129</v>
      </c>
      <c r="H1527" s="148">
        <v>0</v>
      </c>
      <c r="I1527" s="148">
        <v>0</v>
      </c>
      <c r="J1527" s="148">
        <v>0</v>
      </c>
      <c r="K1527" s="148" t="str">
        <f t="shared" si="23"/>
        <v>INSTRUMENTISIN_SCRTSTN</v>
      </c>
    </row>
    <row r="1528" spans="1:11" hidden="1">
      <c r="A1528" s="148" t="s">
        <v>4291</v>
      </c>
      <c r="B1528" s="148" t="s">
        <v>4292</v>
      </c>
      <c r="C1528" s="148" t="s">
        <v>1008</v>
      </c>
      <c r="D1528" s="148" t="s">
        <v>2139</v>
      </c>
      <c r="E1528" s="148" t="s">
        <v>1009</v>
      </c>
      <c r="F1528" s="148" t="s">
        <v>1010</v>
      </c>
      <c r="G1528" s="148" t="s">
        <v>129</v>
      </c>
      <c r="H1528" s="148">
        <v>0</v>
      </c>
      <c r="I1528" s="148">
        <v>0</v>
      </c>
      <c r="J1528" s="148">
        <v>0</v>
      </c>
      <c r="K1528" s="148" t="str">
        <f t="shared" si="23"/>
        <v>INSTRUMENTGRSS_INTRST_INCM</v>
      </c>
    </row>
    <row r="1529" spans="1:11" hidden="1">
      <c r="A1529" s="148" t="s">
        <v>4293</v>
      </c>
      <c r="B1529" s="148" t="s">
        <v>4294</v>
      </c>
      <c r="C1529" s="148" t="s">
        <v>1008</v>
      </c>
      <c r="D1529" s="148" t="s">
        <v>2139</v>
      </c>
      <c r="E1529" s="148" t="s">
        <v>1009</v>
      </c>
      <c r="F1529" s="148" t="s">
        <v>1010</v>
      </c>
      <c r="G1529" s="148" t="s">
        <v>129</v>
      </c>
      <c r="H1529" s="148">
        <v>0</v>
      </c>
      <c r="I1529" s="148">
        <v>0</v>
      </c>
      <c r="J1529" s="148">
        <v>0</v>
      </c>
      <c r="K1529" s="148" t="str">
        <f t="shared" si="23"/>
        <v>INSTRUMENTGRSS_INTRST_INCM</v>
      </c>
    </row>
    <row r="1530" spans="1:11" hidden="1">
      <c r="A1530" s="148" t="s">
        <v>4295</v>
      </c>
      <c r="B1530" s="148" t="s">
        <v>4296</v>
      </c>
      <c r="C1530" s="148" t="s">
        <v>1008</v>
      </c>
      <c r="D1530" s="148" t="s">
        <v>2139</v>
      </c>
      <c r="E1530" s="148" t="s">
        <v>1009</v>
      </c>
      <c r="F1530" s="148" t="s">
        <v>1010</v>
      </c>
      <c r="G1530" s="148" t="s">
        <v>1011</v>
      </c>
      <c r="H1530" s="148">
        <v>267616</v>
      </c>
      <c r="I1530" s="148">
        <v>41924</v>
      </c>
      <c r="J1530" s="148">
        <v>15.665699999999999</v>
      </c>
      <c r="K1530" s="148" t="str">
        <f t="shared" si="23"/>
        <v>INSTRUMENTGRSS_INTRST_INCM</v>
      </c>
    </row>
    <row r="1531" spans="1:11" hidden="1">
      <c r="A1531" s="148" t="s">
        <v>4297</v>
      </c>
      <c r="B1531" s="148" t="s">
        <v>4298</v>
      </c>
      <c r="C1531" s="148" t="s">
        <v>1008</v>
      </c>
      <c r="D1531" s="148" t="s">
        <v>2142</v>
      </c>
      <c r="E1531" s="148" t="s">
        <v>1009</v>
      </c>
      <c r="F1531" s="148" t="s">
        <v>1010</v>
      </c>
      <c r="G1531" s="148" t="s">
        <v>129</v>
      </c>
      <c r="H1531" s="148">
        <v>0</v>
      </c>
      <c r="I1531" s="148">
        <v>0</v>
      </c>
      <c r="J1531" s="148">
        <v>0</v>
      </c>
      <c r="K1531" s="148" t="str">
        <f t="shared" si="23"/>
        <v>INSTRUMENTGRSS_CMMSSN_INCM</v>
      </c>
    </row>
    <row r="1532" spans="1:11" hidden="1">
      <c r="A1532" s="148" t="s">
        <v>4299</v>
      </c>
      <c r="B1532" s="148" t="s">
        <v>4300</v>
      </c>
      <c r="C1532" s="148" t="s">
        <v>1008</v>
      </c>
      <c r="D1532" s="148" t="s">
        <v>2142</v>
      </c>
      <c r="E1532" s="148" t="s">
        <v>1009</v>
      </c>
      <c r="F1532" s="148" t="s">
        <v>1010</v>
      </c>
      <c r="G1532" s="148" t="s">
        <v>129</v>
      </c>
      <c r="H1532" s="148">
        <v>0</v>
      </c>
      <c r="I1532" s="148">
        <v>0</v>
      </c>
      <c r="J1532" s="148">
        <v>0</v>
      </c>
      <c r="K1532" s="148" t="str">
        <f t="shared" si="23"/>
        <v>INSTRUMENTGRSS_CMMSSN_INCM</v>
      </c>
    </row>
    <row r="1533" spans="1:11" hidden="1">
      <c r="A1533" s="148" t="s">
        <v>4301</v>
      </c>
      <c r="B1533" s="148" t="s">
        <v>4302</v>
      </c>
      <c r="C1533" s="148" t="s">
        <v>1008</v>
      </c>
      <c r="D1533" s="148" t="s">
        <v>2142</v>
      </c>
      <c r="E1533" s="148" t="s">
        <v>1009</v>
      </c>
      <c r="F1533" s="148" t="s">
        <v>1010</v>
      </c>
      <c r="G1533" s="148" t="s">
        <v>129</v>
      </c>
      <c r="H1533" s="148">
        <v>267616</v>
      </c>
      <c r="I1533" s="148">
        <v>0</v>
      </c>
      <c r="J1533" s="148">
        <v>0</v>
      </c>
      <c r="K1533" s="148" t="str">
        <f t="shared" si="23"/>
        <v>INSTRUMENTGRSS_CMMSSN_INCM</v>
      </c>
    </row>
    <row r="1534" spans="1:11" hidden="1">
      <c r="A1534" s="148" t="s">
        <v>4303</v>
      </c>
      <c r="B1534" s="148" t="s">
        <v>4304</v>
      </c>
      <c r="C1534" s="148" t="s">
        <v>1008</v>
      </c>
      <c r="D1534" s="148" t="s">
        <v>2142</v>
      </c>
      <c r="E1534" s="148" t="s">
        <v>1009</v>
      </c>
      <c r="F1534" s="148" t="s">
        <v>1010</v>
      </c>
      <c r="G1534" s="148" t="s">
        <v>129</v>
      </c>
      <c r="H1534" s="148">
        <v>0</v>
      </c>
      <c r="I1534" s="148">
        <v>0</v>
      </c>
      <c r="J1534" s="148">
        <v>0</v>
      </c>
      <c r="K1534" s="148" t="str">
        <f t="shared" si="23"/>
        <v>INSTRUMENTGRSS_CMMSSN_INCM</v>
      </c>
    </row>
    <row r="1535" spans="1:11" hidden="1">
      <c r="A1535" s="148" t="s">
        <v>4305</v>
      </c>
      <c r="B1535" s="148" t="s">
        <v>4306</v>
      </c>
      <c r="C1535" s="148" t="s">
        <v>1008</v>
      </c>
      <c r="D1535" s="148" t="s">
        <v>2142</v>
      </c>
      <c r="E1535" s="148" t="s">
        <v>1009</v>
      </c>
      <c r="F1535" s="148" t="s">
        <v>1010</v>
      </c>
      <c r="G1535" s="148" t="s">
        <v>129</v>
      </c>
      <c r="H1535" s="148">
        <v>0</v>
      </c>
      <c r="I1535" s="148">
        <v>0</v>
      </c>
      <c r="J1535" s="148">
        <v>0</v>
      </c>
      <c r="K1535" s="148" t="str">
        <f t="shared" si="23"/>
        <v>INSTRUMENTGRSS_CMMSSN_INCM</v>
      </c>
    </row>
    <row r="1536" spans="1:11" hidden="1">
      <c r="A1536" s="148" t="s">
        <v>4307</v>
      </c>
      <c r="B1536" s="148" t="s">
        <v>4308</v>
      </c>
      <c r="C1536" s="148" t="s">
        <v>1008</v>
      </c>
      <c r="D1536" s="148" t="s">
        <v>2145</v>
      </c>
      <c r="E1536" s="148" t="s">
        <v>1009</v>
      </c>
      <c r="F1536" s="148" t="s">
        <v>1010</v>
      </c>
      <c r="G1536" s="148" t="s">
        <v>1011</v>
      </c>
      <c r="H1536" s="148">
        <v>2136761</v>
      </c>
      <c r="I1536" s="148">
        <v>57507</v>
      </c>
      <c r="J1536" s="148">
        <v>2.6913</v>
      </c>
      <c r="K1536" s="148" t="str">
        <f t="shared" si="23"/>
        <v>INSTRUMENTINTRNL_TRNSFR_RT</v>
      </c>
    </row>
    <row r="1537" spans="1:11" hidden="1">
      <c r="A1537" s="148" t="s">
        <v>4309</v>
      </c>
      <c r="B1537" s="148" t="s">
        <v>4310</v>
      </c>
      <c r="C1537" s="148" t="s">
        <v>1008</v>
      </c>
      <c r="D1537" s="148" t="s">
        <v>1305</v>
      </c>
      <c r="E1537" s="148" t="s">
        <v>1009</v>
      </c>
      <c r="F1537" s="148" t="s">
        <v>1010</v>
      </c>
      <c r="G1537" s="148" t="s">
        <v>1011</v>
      </c>
      <c r="H1537" s="148">
        <v>21619</v>
      </c>
      <c r="I1537" s="148">
        <v>2210</v>
      </c>
      <c r="J1537" s="148">
        <v>10.2225</v>
      </c>
      <c r="K1537" s="148" t="str">
        <f t="shared" si="23"/>
        <v>INSTRUMENTMNGMNT_PRDCT</v>
      </c>
    </row>
    <row r="1538" spans="1:11" hidden="1">
      <c r="A1538" s="148" t="s">
        <v>4311</v>
      </c>
      <c r="B1538" s="148" t="s">
        <v>4312</v>
      </c>
      <c r="C1538" s="148" t="s">
        <v>1008</v>
      </c>
      <c r="D1538" s="148" t="s">
        <v>1305</v>
      </c>
      <c r="E1538" s="148" t="s">
        <v>1009</v>
      </c>
      <c r="F1538" s="148" t="s">
        <v>1010</v>
      </c>
      <c r="G1538" s="148" t="s">
        <v>1011</v>
      </c>
      <c r="H1538" s="148">
        <v>246002</v>
      </c>
      <c r="I1538" s="148">
        <v>244087</v>
      </c>
      <c r="J1538" s="148">
        <v>99.221599999999995</v>
      </c>
      <c r="K1538" s="148" t="str">
        <f t="shared" si="23"/>
        <v>INSTRUMENTMNGMNT_PRDCT</v>
      </c>
    </row>
    <row r="1539" spans="1:11" hidden="1">
      <c r="A1539" s="148" t="s">
        <v>4313</v>
      </c>
      <c r="B1539" s="148" t="s">
        <v>4314</v>
      </c>
      <c r="C1539" s="148" t="s">
        <v>1008</v>
      </c>
      <c r="D1539" s="148" t="s">
        <v>1305</v>
      </c>
      <c r="E1539" s="148" t="s">
        <v>1009</v>
      </c>
      <c r="F1539" s="148" t="s">
        <v>1010</v>
      </c>
      <c r="G1539" s="148" t="s">
        <v>1011</v>
      </c>
      <c r="H1539" s="148">
        <v>1871340</v>
      </c>
      <c r="I1539" s="148">
        <v>276</v>
      </c>
      <c r="J1539" s="148">
        <v>1.47E-2</v>
      </c>
      <c r="K1539" s="148" t="str">
        <f t="shared" ref="K1539:K1602" si="24">_xlfn.CONCAT(_xlfn.IFS(ISNUMBER(SEARCH("EN",A1539)),"ENTITY",ISNUMBER(SEARCH("IN",A1539)),"INSTRUMENT",ISNUMBER(SEARCH("PR",A1539)),"PROTECTION",ISNUMBER(SEARCH("IP",A1539)),"INSTR_PROTECTION",ISNUMBER(SEARCH("IE",A1539)),"INSTR_ENTITY",ISNUMBER(SEARCH("AC",A1539)),"INSTR_ACTIVITY"),D1539)</f>
        <v>INSTRUMENTMNGMNT_PRDCT</v>
      </c>
    </row>
    <row r="1540" spans="1:11" hidden="1">
      <c r="A1540" s="148" t="s">
        <v>4315</v>
      </c>
      <c r="B1540" s="148" t="s">
        <v>4316</v>
      </c>
      <c r="C1540" s="148" t="s">
        <v>1008</v>
      </c>
      <c r="D1540" s="148" t="s">
        <v>2155</v>
      </c>
      <c r="E1540" s="148" t="s">
        <v>1009</v>
      </c>
      <c r="F1540" s="148" t="s">
        <v>1010</v>
      </c>
      <c r="G1540" s="148" t="s">
        <v>129</v>
      </c>
      <c r="H1540" s="148">
        <v>0</v>
      </c>
      <c r="I1540" s="148">
        <v>0</v>
      </c>
      <c r="J1540" s="148">
        <v>0</v>
      </c>
      <c r="K1540" s="148" t="str">
        <f t="shared" si="24"/>
        <v>INSTRUMENTGRSS_CMMSSN_EXPNS</v>
      </c>
    </row>
    <row r="1541" spans="1:11" hidden="1">
      <c r="A1541" s="148" t="s">
        <v>4317</v>
      </c>
      <c r="B1541" s="148" t="s">
        <v>4318</v>
      </c>
      <c r="C1541" s="148" t="s">
        <v>1008</v>
      </c>
      <c r="D1541" s="148" t="s">
        <v>2155</v>
      </c>
      <c r="E1541" s="148" t="s">
        <v>1009</v>
      </c>
      <c r="F1541" s="148" t="s">
        <v>1010</v>
      </c>
      <c r="G1541" s="148" t="s">
        <v>129</v>
      </c>
      <c r="H1541" s="148">
        <v>0</v>
      </c>
      <c r="I1541" s="148">
        <v>0</v>
      </c>
      <c r="J1541" s="148">
        <v>0</v>
      </c>
      <c r="K1541" s="148" t="str">
        <f t="shared" si="24"/>
        <v>INSTRUMENTGRSS_CMMSSN_EXPNS</v>
      </c>
    </row>
    <row r="1542" spans="1:11" hidden="1">
      <c r="A1542" s="148" t="s">
        <v>4319</v>
      </c>
      <c r="B1542" s="148" t="s">
        <v>4320</v>
      </c>
      <c r="C1542" s="148" t="s">
        <v>1008</v>
      </c>
      <c r="D1542" s="148" t="s">
        <v>2155</v>
      </c>
      <c r="E1542" s="148" t="s">
        <v>1009</v>
      </c>
      <c r="F1542" s="148" t="s">
        <v>1010</v>
      </c>
      <c r="G1542" s="148" t="s">
        <v>129</v>
      </c>
      <c r="H1542" s="148">
        <v>267616</v>
      </c>
      <c r="I1542" s="148">
        <v>0</v>
      </c>
      <c r="J1542" s="148">
        <v>0</v>
      </c>
      <c r="K1542" s="148" t="str">
        <f t="shared" si="24"/>
        <v>INSTRUMENTGRSS_CMMSSN_EXPNS</v>
      </c>
    </row>
    <row r="1543" spans="1:11" hidden="1">
      <c r="A1543" s="148" t="s">
        <v>4321</v>
      </c>
      <c r="B1543" s="148" t="s">
        <v>4322</v>
      </c>
      <c r="C1543" s="148" t="s">
        <v>1008</v>
      </c>
      <c r="D1543" s="148" t="s">
        <v>2158</v>
      </c>
      <c r="E1543" s="148" t="s">
        <v>1009</v>
      </c>
      <c r="F1543" s="148" t="s">
        <v>1010</v>
      </c>
      <c r="G1543" s="148" t="s">
        <v>129</v>
      </c>
      <c r="H1543" s="148">
        <v>0</v>
      </c>
      <c r="I1543" s="148">
        <v>0</v>
      </c>
      <c r="J1543" s="148">
        <v>0</v>
      </c>
      <c r="K1543" s="148" t="str">
        <f t="shared" si="24"/>
        <v>INSTRUMENTGNS_FNNCL_TRNSCTN_EXCHNG_DFFRNCS</v>
      </c>
    </row>
    <row r="1544" spans="1:11" hidden="1">
      <c r="A1544" s="148" t="s">
        <v>4323</v>
      </c>
      <c r="B1544" s="148" t="s">
        <v>4324</v>
      </c>
      <c r="C1544" s="148" t="s">
        <v>1008</v>
      </c>
      <c r="D1544" s="148" t="s">
        <v>2158</v>
      </c>
      <c r="E1544" s="148" t="s">
        <v>1009</v>
      </c>
      <c r="F1544" s="148" t="s">
        <v>1010</v>
      </c>
      <c r="G1544" s="148" t="s">
        <v>129</v>
      </c>
      <c r="H1544" s="148">
        <v>0</v>
      </c>
      <c r="I1544" s="148">
        <v>0</v>
      </c>
      <c r="J1544" s="148">
        <v>0</v>
      </c>
      <c r="K1544" s="148" t="str">
        <f t="shared" si="24"/>
        <v>INSTRUMENTGNS_FNNCL_TRNSCTN_EXCHNG_DFFRNCS</v>
      </c>
    </row>
    <row r="1545" spans="1:11" hidden="1">
      <c r="A1545" s="148" t="s">
        <v>4325</v>
      </c>
      <c r="B1545" s="148" t="s">
        <v>4326</v>
      </c>
      <c r="C1545" s="148" t="s">
        <v>1008</v>
      </c>
      <c r="D1545" s="148" t="s">
        <v>2158</v>
      </c>
      <c r="E1545" s="148" t="s">
        <v>1009</v>
      </c>
      <c r="F1545" s="148" t="s">
        <v>1010</v>
      </c>
      <c r="G1545" s="148" t="s">
        <v>129</v>
      </c>
      <c r="H1545" s="148">
        <v>267616</v>
      </c>
      <c r="I1545" s="148">
        <v>0</v>
      </c>
      <c r="J1545" s="148">
        <v>0</v>
      </c>
      <c r="K1545" s="148" t="str">
        <f t="shared" si="24"/>
        <v>INSTRUMENTGNS_FNNCL_TRNSCTN_EXCHNG_DFFRNCS</v>
      </c>
    </row>
    <row r="1546" spans="1:11" hidden="1">
      <c r="A1546" s="148" t="s">
        <v>4327</v>
      </c>
      <c r="B1546" s="148" t="s">
        <v>4328</v>
      </c>
      <c r="C1546" s="148" t="s">
        <v>1008</v>
      </c>
      <c r="D1546" s="148" t="s">
        <v>2163</v>
      </c>
      <c r="E1546" s="148" t="s">
        <v>1009</v>
      </c>
      <c r="F1546" s="148" t="s">
        <v>1010</v>
      </c>
      <c r="G1546" s="148" t="s">
        <v>129</v>
      </c>
      <c r="H1546" s="148">
        <v>2138963</v>
      </c>
      <c r="I1546" s="148">
        <v>0</v>
      </c>
      <c r="J1546" s="148">
        <v>0</v>
      </c>
      <c r="K1546" s="148" t="str">
        <f t="shared" si="24"/>
        <v>INSTRUMENTINTRBSNSS_ADJ_COD</v>
      </c>
    </row>
    <row r="1547" spans="1:11" hidden="1">
      <c r="A1547" s="148" t="s">
        <v>4329</v>
      </c>
      <c r="B1547" s="148" t="s">
        <v>4330</v>
      </c>
      <c r="C1547" s="148" t="s">
        <v>1008</v>
      </c>
      <c r="D1547" s="148" t="s">
        <v>2163</v>
      </c>
      <c r="E1547" s="148" t="s">
        <v>1009</v>
      </c>
      <c r="F1547" s="148" t="s">
        <v>1010</v>
      </c>
      <c r="G1547" s="148" t="s">
        <v>129</v>
      </c>
      <c r="H1547" s="148">
        <v>0</v>
      </c>
      <c r="I1547" s="148">
        <v>0</v>
      </c>
      <c r="J1547" s="148">
        <v>0</v>
      </c>
      <c r="K1547" s="148" t="str">
        <f t="shared" si="24"/>
        <v>INSTRUMENTINTRBSNSS_ADJ_COD</v>
      </c>
    </row>
    <row r="1548" spans="1:11" hidden="1">
      <c r="A1548" s="148" t="s">
        <v>4331</v>
      </c>
      <c r="B1548" s="148" t="s">
        <v>4332</v>
      </c>
      <c r="C1548" s="148" t="s">
        <v>1008</v>
      </c>
      <c r="D1548" s="148" t="s">
        <v>2166</v>
      </c>
      <c r="E1548" s="148" t="s">
        <v>1009</v>
      </c>
      <c r="F1548" s="148" t="s">
        <v>1010</v>
      </c>
      <c r="G1548" s="148" t="s">
        <v>129</v>
      </c>
      <c r="H1548" s="148">
        <v>2138963</v>
      </c>
      <c r="I1548" s="148">
        <v>0</v>
      </c>
      <c r="J1548" s="148">
        <v>0</v>
      </c>
      <c r="K1548" s="148" t="str">
        <f t="shared" si="24"/>
        <v>INSTRUMENTCOD_SOC_DSTNTN</v>
      </c>
    </row>
    <row r="1549" spans="1:11" hidden="1">
      <c r="A1549" s="148" t="s">
        <v>4333</v>
      </c>
      <c r="B1549" s="148" t="s">
        <v>4334</v>
      </c>
      <c r="C1549" s="148" t="s">
        <v>1008</v>
      </c>
      <c r="D1549" s="148" t="s">
        <v>2166</v>
      </c>
      <c r="E1549" s="148" t="s">
        <v>1009</v>
      </c>
      <c r="F1549" s="148" t="s">
        <v>1010</v>
      </c>
      <c r="G1549" s="148" t="s">
        <v>129</v>
      </c>
      <c r="H1549" s="148">
        <v>0</v>
      </c>
      <c r="I1549" s="148">
        <v>0</v>
      </c>
      <c r="J1549" s="148">
        <v>0</v>
      </c>
      <c r="K1549" s="148" t="str">
        <f t="shared" si="24"/>
        <v>INSTRUMENTCOD_SOC_DSTNTN</v>
      </c>
    </row>
    <row r="1550" spans="1:11" hidden="1">
      <c r="A1550" s="148" t="s">
        <v>4335</v>
      </c>
      <c r="B1550" s="148" t="s">
        <v>4336</v>
      </c>
      <c r="C1550" s="148" t="s">
        <v>1008</v>
      </c>
      <c r="D1550" s="148" t="s">
        <v>2169</v>
      </c>
      <c r="E1550" s="148" t="s">
        <v>1009</v>
      </c>
      <c r="F1550" s="148" t="s">
        <v>1010</v>
      </c>
      <c r="G1550" s="148" t="s">
        <v>129</v>
      </c>
      <c r="H1550" s="148">
        <v>2138963</v>
      </c>
      <c r="I1550" s="148">
        <v>0</v>
      </c>
      <c r="J1550" s="148">
        <v>0</v>
      </c>
      <c r="K1550" s="148" t="str">
        <f t="shared" si="24"/>
        <v>INSTRUMENTBSNSS_AREA_DSTNTN</v>
      </c>
    </row>
    <row r="1551" spans="1:11" hidden="1">
      <c r="A1551" s="148" t="s">
        <v>4337</v>
      </c>
      <c r="B1551" s="148" t="s">
        <v>4338</v>
      </c>
      <c r="C1551" s="148" t="s">
        <v>1008</v>
      </c>
      <c r="D1551" s="148" t="s">
        <v>2169</v>
      </c>
      <c r="E1551" s="148" t="s">
        <v>1009</v>
      </c>
      <c r="F1551" s="148" t="s">
        <v>1010</v>
      </c>
      <c r="G1551" s="148" t="s">
        <v>129</v>
      </c>
      <c r="H1551" s="148">
        <v>0</v>
      </c>
      <c r="I1551" s="148">
        <v>0</v>
      </c>
      <c r="J1551" s="148">
        <v>0</v>
      </c>
      <c r="K1551" s="148" t="str">
        <f t="shared" si="24"/>
        <v>INSTRUMENTBSNSS_AREA_DSTNTN</v>
      </c>
    </row>
    <row r="1552" spans="1:11" hidden="1">
      <c r="A1552" s="148" t="s">
        <v>4339</v>
      </c>
      <c r="B1552" s="148" t="s">
        <v>4340</v>
      </c>
      <c r="C1552" s="148" t="s">
        <v>1008</v>
      </c>
      <c r="D1552" s="148" t="s">
        <v>2169</v>
      </c>
      <c r="E1552" s="148" t="s">
        <v>1009</v>
      </c>
      <c r="F1552" s="148" t="s">
        <v>1010</v>
      </c>
      <c r="G1552" s="148" t="s">
        <v>129</v>
      </c>
      <c r="H1552" s="148">
        <v>0</v>
      </c>
      <c r="I1552" s="148">
        <v>0</v>
      </c>
      <c r="J1552" s="148">
        <v>0</v>
      </c>
      <c r="K1552" s="148" t="str">
        <f t="shared" si="24"/>
        <v>INSTRUMENTBSNSS_AREA_DSTNTN</v>
      </c>
    </row>
    <row r="1553" spans="1:11" hidden="1">
      <c r="A1553" s="148" t="s">
        <v>4341</v>
      </c>
      <c r="B1553" s="148" t="s">
        <v>4342</v>
      </c>
      <c r="C1553" s="148" t="s">
        <v>1008</v>
      </c>
      <c r="D1553" s="148" t="s">
        <v>2172</v>
      </c>
      <c r="E1553" s="148" t="s">
        <v>1009</v>
      </c>
      <c r="F1553" s="148" t="s">
        <v>1010</v>
      </c>
      <c r="G1553" s="148" t="s">
        <v>129</v>
      </c>
      <c r="H1553" s="148">
        <v>19685</v>
      </c>
      <c r="I1553" s="148">
        <v>0</v>
      </c>
      <c r="J1553" s="148">
        <v>0</v>
      </c>
      <c r="K1553" s="148" t="str">
        <f t="shared" si="24"/>
        <v>INSTRUMENTAVRG_BLNC_OFF_BLNC</v>
      </c>
    </row>
    <row r="1554" spans="1:11" hidden="1">
      <c r="A1554" s="148" t="s">
        <v>4343</v>
      </c>
      <c r="B1554" s="148" t="s">
        <v>4344</v>
      </c>
      <c r="C1554" s="148" t="s">
        <v>1008</v>
      </c>
      <c r="D1554" s="148" t="s">
        <v>2175</v>
      </c>
      <c r="E1554" s="148" t="s">
        <v>1009</v>
      </c>
      <c r="F1554" s="148" t="s">
        <v>1010</v>
      </c>
      <c r="G1554" s="148" t="s">
        <v>1011</v>
      </c>
      <c r="H1554" s="148">
        <v>19685</v>
      </c>
      <c r="I1554" s="148">
        <v>19685</v>
      </c>
      <c r="J1554" s="148">
        <v>100</v>
      </c>
      <c r="K1554" s="148" t="str">
        <f t="shared" si="24"/>
        <v>INSTRUMENTINTRNL_TRNSFR_RT_OFF_BLNC</v>
      </c>
    </row>
    <row r="1555" spans="1:11" hidden="1">
      <c r="A1555" s="148" t="s">
        <v>4345</v>
      </c>
      <c r="B1555" s="148" t="s">
        <v>4346</v>
      </c>
      <c r="C1555" s="148" t="s">
        <v>1008</v>
      </c>
      <c r="D1555" s="148" t="s">
        <v>2175</v>
      </c>
      <c r="E1555" s="148" t="s">
        <v>1009</v>
      </c>
      <c r="F1555" s="148" t="s">
        <v>1010</v>
      </c>
      <c r="G1555" s="148" t="s">
        <v>129</v>
      </c>
      <c r="H1555" s="148">
        <v>0</v>
      </c>
      <c r="I1555" s="148">
        <v>0</v>
      </c>
      <c r="J1555" s="148">
        <v>0</v>
      </c>
      <c r="K1555" s="148" t="str">
        <f t="shared" si="24"/>
        <v>INSTRUMENTINTRNL_TRNSFR_RT_OFF_BLNC</v>
      </c>
    </row>
    <row r="1556" spans="1:11" hidden="1">
      <c r="A1556" s="148" t="s">
        <v>4347</v>
      </c>
      <c r="B1556" s="148" t="s">
        <v>4348</v>
      </c>
      <c r="C1556" s="148" t="s">
        <v>1008</v>
      </c>
      <c r="D1556" s="148" t="s">
        <v>2178</v>
      </c>
      <c r="E1556" s="148" t="s">
        <v>1009</v>
      </c>
      <c r="F1556" s="148" t="s">
        <v>1010</v>
      </c>
      <c r="G1556" s="148" t="s">
        <v>129</v>
      </c>
      <c r="H1556" s="148">
        <v>19685</v>
      </c>
      <c r="I1556" s="148">
        <v>0</v>
      </c>
      <c r="J1556" s="148">
        <v>0</v>
      </c>
      <c r="K1556" s="148" t="str">
        <f t="shared" si="24"/>
        <v>INSTRUMENTGRSS_CMMSSN_INCM_OFF_BLNC</v>
      </c>
    </row>
    <row r="1557" spans="1:11" hidden="1">
      <c r="A1557" s="148" t="s">
        <v>4349</v>
      </c>
      <c r="B1557" s="148" t="s">
        <v>4350</v>
      </c>
      <c r="C1557" s="148" t="s">
        <v>1008</v>
      </c>
      <c r="D1557" s="148" t="s">
        <v>2178</v>
      </c>
      <c r="E1557" s="148" t="s">
        <v>1009</v>
      </c>
      <c r="F1557" s="148" t="s">
        <v>1010</v>
      </c>
      <c r="G1557" s="148" t="s">
        <v>129</v>
      </c>
      <c r="H1557" s="148">
        <v>0</v>
      </c>
      <c r="I1557" s="148">
        <v>0</v>
      </c>
      <c r="J1557" s="148">
        <v>0</v>
      </c>
      <c r="K1557" s="148" t="str">
        <f t="shared" si="24"/>
        <v>INSTRUMENTGRSS_CMMSSN_INCM_OFF_BLNC</v>
      </c>
    </row>
    <row r="1558" spans="1:11" hidden="1">
      <c r="A1558" s="148" t="s">
        <v>4351</v>
      </c>
      <c r="B1558" s="148" t="s">
        <v>4352</v>
      </c>
      <c r="C1558" s="148" t="s">
        <v>1008</v>
      </c>
      <c r="D1558" s="148" t="s">
        <v>2178</v>
      </c>
      <c r="E1558" s="148" t="s">
        <v>1009</v>
      </c>
      <c r="F1558" s="148" t="s">
        <v>1010</v>
      </c>
      <c r="G1558" s="148" t="s">
        <v>129</v>
      </c>
      <c r="H1558" s="148">
        <v>0</v>
      </c>
      <c r="I1558" s="148">
        <v>0</v>
      </c>
      <c r="J1558" s="148">
        <v>0</v>
      </c>
      <c r="K1558" s="148" t="str">
        <f t="shared" si="24"/>
        <v>INSTRUMENTGRSS_CMMSSN_INCM_OFF_BLNC</v>
      </c>
    </row>
    <row r="1559" spans="1:11" hidden="1">
      <c r="A1559" s="148" t="s">
        <v>4353</v>
      </c>
      <c r="B1559" s="148" t="s">
        <v>4354</v>
      </c>
      <c r="C1559" s="148" t="s">
        <v>1008</v>
      </c>
      <c r="D1559" s="148" t="s">
        <v>2181</v>
      </c>
      <c r="E1559" s="148" t="s">
        <v>1009</v>
      </c>
      <c r="F1559" s="148" t="s">
        <v>1010</v>
      </c>
      <c r="G1559" s="148" t="s">
        <v>129</v>
      </c>
      <c r="H1559" s="148">
        <v>19685</v>
      </c>
      <c r="I1559" s="148">
        <v>0</v>
      </c>
      <c r="J1559" s="148">
        <v>0</v>
      </c>
      <c r="K1559" s="148" t="str">
        <f t="shared" si="24"/>
        <v>INSTRUMENTGRSS_CMMSSN_EXPNS_OFF_BLNC</v>
      </c>
    </row>
    <row r="1560" spans="1:11" hidden="1">
      <c r="A1560" s="148" t="s">
        <v>4355</v>
      </c>
      <c r="B1560" s="148" t="s">
        <v>4356</v>
      </c>
      <c r="C1560" s="148" t="s">
        <v>1008</v>
      </c>
      <c r="D1560" s="148" t="s">
        <v>2181</v>
      </c>
      <c r="E1560" s="148" t="s">
        <v>1009</v>
      </c>
      <c r="F1560" s="148" t="s">
        <v>1010</v>
      </c>
      <c r="G1560" s="148" t="s">
        <v>129</v>
      </c>
      <c r="H1560" s="148">
        <v>0</v>
      </c>
      <c r="I1560" s="148">
        <v>0</v>
      </c>
      <c r="J1560" s="148">
        <v>0</v>
      </c>
      <c r="K1560" s="148" t="str">
        <f t="shared" si="24"/>
        <v>INSTRUMENTGRSS_CMMSSN_EXPNS_OFF_BLNC</v>
      </c>
    </row>
    <row r="1561" spans="1:11" hidden="1">
      <c r="A1561" s="148" t="s">
        <v>4357</v>
      </c>
      <c r="B1561" s="148" t="s">
        <v>4358</v>
      </c>
      <c r="C1561" s="148" t="s">
        <v>1008</v>
      </c>
      <c r="D1561" s="148" t="s">
        <v>2181</v>
      </c>
      <c r="E1561" s="148" t="s">
        <v>1009</v>
      </c>
      <c r="F1561" s="148" t="s">
        <v>1010</v>
      </c>
      <c r="G1561" s="148" t="s">
        <v>129</v>
      </c>
      <c r="H1561" s="148">
        <v>0</v>
      </c>
      <c r="I1561" s="148">
        <v>0</v>
      </c>
      <c r="J1561" s="148">
        <v>0</v>
      </c>
      <c r="K1561" s="148" t="str">
        <f t="shared" si="24"/>
        <v>INSTRUMENTGRSS_CMMSSN_EXPNS_OFF_BLNC</v>
      </c>
    </row>
    <row r="1562" spans="1:11" hidden="1">
      <c r="A1562" s="148" t="s">
        <v>4359</v>
      </c>
      <c r="B1562" s="148" t="s">
        <v>4360</v>
      </c>
      <c r="C1562" s="148" t="s">
        <v>1008</v>
      </c>
      <c r="D1562" s="148" t="s">
        <v>2187</v>
      </c>
      <c r="E1562" s="148" t="s">
        <v>1009</v>
      </c>
      <c r="F1562" s="148" t="s">
        <v>1010</v>
      </c>
      <c r="G1562" s="148" t="s">
        <v>129</v>
      </c>
      <c r="H1562" s="148">
        <v>0</v>
      </c>
      <c r="I1562" s="148">
        <v>0</v>
      </c>
      <c r="J1562" s="148">
        <v>0</v>
      </c>
      <c r="K1562" s="148" t="str">
        <f t="shared" si="24"/>
        <v>INSTRUMENTGRSS_INTRST_EXPNS</v>
      </c>
    </row>
    <row r="1563" spans="1:11" hidden="1">
      <c r="A1563" s="148" t="s">
        <v>4361</v>
      </c>
      <c r="B1563" s="148" t="s">
        <v>4362</v>
      </c>
      <c r="C1563" s="148" t="s">
        <v>1008</v>
      </c>
      <c r="D1563" s="148" t="s">
        <v>2187</v>
      </c>
      <c r="E1563" s="148" t="s">
        <v>1009</v>
      </c>
      <c r="F1563" s="148" t="s">
        <v>1010</v>
      </c>
      <c r="G1563" s="148" t="s">
        <v>129</v>
      </c>
      <c r="H1563" s="148">
        <v>0</v>
      </c>
      <c r="I1563" s="148">
        <v>0</v>
      </c>
      <c r="J1563" s="148">
        <v>0</v>
      </c>
      <c r="K1563" s="148" t="str">
        <f t="shared" si="24"/>
        <v>INSTRUMENTGRSS_INTRST_EXPNS</v>
      </c>
    </row>
    <row r="1564" spans="1:11" hidden="1">
      <c r="A1564" s="148" t="s">
        <v>4363</v>
      </c>
      <c r="B1564" s="148" t="s">
        <v>4364</v>
      </c>
      <c r="C1564" s="148" t="s">
        <v>1008</v>
      </c>
      <c r="D1564" s="148" t="s">
        <v>2190</v>
      </c>
      <c r="E1564" s="148" t="s">
        <v>1009</v>
      </c>
      <c r="F1564" s="148" t="s">
        <v>1010</v>
      </c>
      <c r="G1564" s="148" t="s">
        <v>129</v>
      </c>
      <c r="H1564" s="148">
        <v>19685</v>
      </c>
      <c r="I1564" s="148">
        <v>0</v>
      </c>
      <c r="J1564" s="148">
        <v>0</v>
      </c>
      <c r="K1564" s="148" t="str">
        <f t="shared" si="24"/>
        <v>INSTRUMENTNT_LN_LSS_PRVSN_OFF_BLNC</v>
      </c>
    </row>
    <row r="1565" spans="1:11" hidden="1">
      <c r="A1565" s="148" t="s">
        <v>4365</v>
      </c>
      <c r="B1565" s="148" t="s">
        <v>4366</v>
      </c>
      <c r="C1565" s="148" t="s">
        <v>1008</v>
      </c>
      <c r="D1565" s="148" t="s">
        <v>2193</v>
      </c>
      <c r="E1565" s="148" t="s">
        <v>1009</v>
      </c>
      <c r="F1565" s="148" t="s">
        <v>1010</v>
      </c>
      <c r="G1565" s="148" t="s">
        <v>129</v>
      </c>
      <c r="H1565" s="148">
        <v>267616</v>
      </c>
      <c r="I1565" s="148">
        <v>0</v>
      </c>
      <c r="J1565" s="148">
        <v>0</v>
      </c>
      <c r="K1565" s="148" t="str">
        <f t="shared" si="24"/>
        <v>INSTRUMENTGRSS_INTRST_INCM_CCRR</v>
      </c>
    </row>
    <row r="1566" spans="1:11" hidden="1">
      <c r="A1566" s="148" t="s">
        <v>4367</v>
      </c>
      <c r="B1566" s="148" t="s">
        <v>4368</v>
      </c>
      <c r="C1566" s="148" t="s">
        <v>1008</v>
      </c>
      <c r="D1566" s="148" t="s">
        <v>2196</v>
      </c>
      <c r="E1566" s="148" t="s">
        <v>1009</v>
      </c>
      <c r="F1566" s="148" t="s">
        <v>1010</v>
      </c>
      <c r="G1566" s="148" t="s">
        <v>129</v>
      </c>
      <c r="H1566" s="148">
        <v>267616</v>
      </c>
      <c r="I1566" s="148">
        <v>0</v>
      </c>
      <c r="J1566" s="148">
        <v>0</v>
      </c>
      <c r="K1566" s="148" t="str">
        <f t="shared" si="24"/>
        <v>INSTRUMENTGRSS_INTRST_EXPNS_CCRR</v>
      </c>
    </row>
    <row r="1567" spans="1:11" hidden="1">
      <c r="A1567" s="148" t="s">
        <v>4369</v>
      </c>
      <c r="B1567" s="148" t="s">
        <v>4370</v>
      </c>
      <c r="C1567" s="148" t="s">
        <v>1008</v>
      </c>
      <c r="D1567" s="148" t="s">
        <v>2199</v>
      </c>
      <c r="E1567" s="148" t="s">
        <v>1009</v>
      </c>
      <c r="F1567" s="148" t="s">
        <v>1010</v>
      </c>
      <c r="G1567" s="148" t="s">
        <v>129</v>
      </c>
      <c r="H1567" s="148">
        <v>267616</v>
      </c>
      <c r="I1567" s="148">
        <v>0</v>
      </c>
      <c r="J1567" s="148">
        <v>0</v>
      </c>
      <c r="K1567" s="148" t="str">
        <f t="shared" si="24"/>
        <v>INSTRUMENTGRSS_CMMSSN_INCM_CCRR</v>
      </c>
    </row>
    <row r="1568" spans="1:11" hidden="1">
      <c r="A1568" s="148" t="s">
        <v>4371</v>
      </c>
      <c r="B1568" s="148" t="s">
        <v>4372</v>
      </c>
      <c r="C1568" s="148" t="s">
        <v>1008</v>
      </c>
      <c r="D1568" s="148" t="s">
        <v>2202</v>
      </c>
      <c r="E1568" s="148" t="s">
        <v>1009</v>
      </c>
      <c r="F1568" s="148" t="s">
        <v>1010</v>
      </c>
      <c r="G1568" s="148" t="s">
        <v>129</v>
      </c>
      <c r="H1568" s="148">
        <v>267616</v>
      </c>
      <c r="I1568" s="148">
        <v>0</v>
      </c>
      <c r="J1568" s="148">
        <v>0</v>
      </c>
      <c r="K1568" s="148" t="str">
        <f t="shared" si="24"/>
        <v>INSTRUMENTGRSS_CMMSSN_EXPNS_CCRR</v>
      </c>
    </row>
    <row r="1569" spans="1:11" hidden="1">
      <c r="A1569" s="148" t="s">
        <v>4373</v>
      </c>
      <c r="B1569" s="148" t="s">
        <v>4374</v>
      </c>
      <c r="C1569" s="148" t="s">
        <v>1008</v>
      </c>
      <c r="D1569" s="148" t="s">
        <v>2205</v>
      </c>
      <c r="E1569" s="148" t="s">
        <v>1009</v>
      </c>
      <c r="F1569" s="148" t="s">
        <v>1010</v>
      </c>
      <c r="G1569" s="148" t="s">
        <v>129</v>
      </c>
      <c r="H1569" s="148">
        <v>267616</v>
      </c>
      <c r="I1569" s="148">
        <v>0</v>
      </c>
      <c r="J1569" s="148">
        <v>0</v>
      </c>
      <c r="K1569" s="148" t="str">
        <f t="shared" si="24"/>
        <v>INSTRUMENTGNS_FNNCL_TRNSCTN_EXCHNG_CCRR</v>
      </c>
    </row>
    <row r="1570" spans="1:11" hidden="1">
      <c r="A1570" s="148" t="s">
        <v>4375</v>
      </c>
      <c r="B1570" s="148" t="s">
        <v>1069</v>
      </c>
      <c r="C1570" s="148" t="s">
        <v>1008</v>
      </c>
      <c r="D1570" s="148" t="s">
        <v>2220</v>
      </c>
      <c r="E1570" s="148" t="s">
        <v>1009</v>
      </c>
      <c r="F1570" s="148" t="s">
        <v>1010</v>
      </c>
      <c r="G1570" s="148" t="s">
        <v>129</v>
      </c>
      <c r="H1570" s="148">
        <v>3949</v>
      </c>
      <c r="I1570" s="148">
        <v>0</v>
      </c>
      <c r="J1570" s="148">
        <v>0</v>
      </c>
      <c r="K1570" s="148" t="str">
        <f t="shared" si="24"/>
        <v>INSTRUMENTLNS_CLLTRLZD_CLSSFCTN</v>
      </c>
    </row>
    <row r="1571" spans="1:11" hidden="1">
      <c r="A1571" s="148" t="s">
        <v>4376</v>
      </c>
      <c r="B1571" s="148" t="s">
        <v>1091</v>
      </c>
      <c r="C1571" s="148" t="s">
        <v>1008</v>
      </c>
      <c r="D1571" s="148" t="s">
        <v>2220</v>
      </c>
      <c r="E1571" s="148" t="s">
        <v>1009</v>
      </c>
      <c r="F1571" s="148" t="s">
        <v>1010</v>
      </c>
      <c r="G1571" s="148" t="s">
        <v>129</v>
      </c>
      <c r="H1571" s="148">
        <v>350921</v>
      </c>
      <c r="I1571" s="148">
        <v>0</v>
      </c>
      <c r="J1571" s="148">
        <v>0</v>
      </c>
      <c r="K1571" s="148" t="str">
        <f t="shared" si="24"/>
        <v>INSTRUMENTLNS_CLLTRLZD_CLSSFCTN</v>
      </c>
    </row>
    <row r="1572" spans="1:11" hidden="1">
      <c r="A1572" s="148" t="s">
        <v>4377</v>
      </c>
      <c r="B1572" s="148" t="s">
        <v>4378</v>
      </c>
      <c r="C1572" s="148" t="s">
        <v>1037</v>
      </c>
      <c r="D1572" s="148" t="s">
        <v>2220</v>
      </c>
      <c r="E1572" s="148" t="s">
        <v>1009</v>
      </c>
      <c r="F1572" s="148" t="s">
        <v>1010</v>
      </c>
      <c r="G1572" s="148" t="s">
        <v>129</v>
      </c>
      <c r="H1572" s="148">
        <v>211201</v>
      </c>
      <c r="I1572" s="148">
        <v>0</v>
      </c>
      <c r="J1572" s="148">
        <v>0</v>
      </c>
      <c r="K1572" s="148" t="str">
        <f t="shared" si="24"/>
        <v>INSTRUMENTLNS_CLLTRLZD_CLSSFCTN</v>
      </c>
    </row>
    <row r="1573" spans="1:11" hidden="1">
      <c r="A1573" s="148" t="s">
        <v>4379</v>
      </c>
      <c r="B1573" s="148" t="s">
        <v>4380</v>
      </c>
      <c r="C1573" s="148" t="s">
        <v>1037</v>
      </c>
      <c r="D1573" s="148" t="s">
        <v>2220</v>
      </c>
      <c r="E1573" s="148" t="s">
        <v>1009</v>
      </c>
      <c r="F1573" s="148" t="s">
        <v>1010</v>
      </c>
      <c r="G1573" s="148" t="s">
        <v>129</v>
      </c>
      <c r="H1573" s="148">
        <v>1542</v>
      </c>
      <c r="I1573" s="148">
        <v>0</v>
      </c>
      <c r="J1573" s="148">
        <v>0</v>
      </c>
      <c r="K1573" s="148" t="str">
        <f t="shared" si="24"/>
        <v>INSTRUMENTLNS_CLLTRLZD_CLSSFCTN</v>
      </c>
    </row>
    <row r="1574" spans="1:11" hidden="1">
      <c r="A1574" s="148" t="s">
        <v>4381</v>
      </c>
      <c r="B1574" s="148" t="s">
        <v>4382</v>
      </c>
      <c r="C1574" s="148" t="s">
        <v>1037</v>
      </c>
      <c r="D1574" s="148" t="s">
        <v>2220</v>
      </c>
      <c r="E1574" s="148" t="s">
        <v>1009</v>
      </c>
      <c r="F1574" s="148" t="s">
        <v>1010</v>
      </c>
      <c r="G1574" s="148" t="s">
        <v>129</v>
      </c>
      <c r="H1574" s="148">
        <v>105998</v>
      </c>
      <c r="I1574" s="148">
        <v>0</v>
      </c>
      <c r="J1574" s="148">
        <v>0</v>
      </c>
      <c r="K1574" s="148" t="str">
        <f t="shared" si="24"/>
        <v>INSTRUMENTLNS_CLLTRLZD_CLSSFCTN</v>
      </c>
    </row>
    <row r="1575" spans="1:11" hidden="1">
      <c r="A1575" s="148" t="s">
        <v>4383</v>
      </c>
      <c r="B1575" s="148" t="s">
        <v>4384</v>
      </c>
      <c r="C1575" s="148" t="s">
        <v>1037</v>
      </c>
      <c r="D1575" s="148" t="s">
        <v>2220</v>
      </c>
      <c r="E1575" s="148" t="s">
        <v>1009</v>
      </c>
      <c r="F1575" s="148" t="s">
        <v>1010</v>
      </c>
      <c r="G1575" s="148" t="s">
        <v>129</v>
      </c>
      <c r="H1575" s="148">
        <v>49965</v>
      </c>
      <c r="I1575" s="148">
        <v>0</v>
      </c>
      <c r="J1575" s="148">
        <v>0</v>
      </c>
      <c r="K1575" s="148" t="str">
        <f t="shared" si="24"/>
        <v>INSTRUMENTLNS_CLLTRLZD_CLSSFCTN</v>
      </c>
    </row>
    <row r="1576" spans="1:11" hidden="1">
      <c r="A1576" s="148" t="s">
        <v>4385</v>
      </c>
      <c r="B1576" s="148" t="s">
        <v>4386</v>
      </c>
      <c r="C1576" s="148" t="s">
        <v>1037</v>
      </c>
      <c r="D1576" s="148" t="s">
        <v>2220</v>
      </c>
      <c r="E1576" s="148" t="s">
        <v>1009</v>
      </c>
      <c r="F1576" s="148" t="s">
        <v>1010</v>
      </c>
      <c r="G1576" s="148" t="s">
        <v>129</v>
      </c>
      <c r="H1576" s="148">
        <v>453882</v>
      </c>
      <c r="I1576" s="148">
        <v>0</v>
      </c>
      <c r="J1576" s="148">
        <v>0</v>
      </c>
      <c r="K1576" s="148" t="str">
        <f t="shared" si="24"/>
        <v>INSTRUMENTLNS_CLLTRLZD_CLSSFCTN</v>
      </c>
    </row>
    <row r="1577" spans="1:11" hidden="1">
      <c r="A1577" s="148" t="s">
        <v>4387</v>
      </c>
      <c r="B1577" s="148" t="s">
        <v>4388</v>
      </c>
      <c r="C1577" s="148" t="s">
        <v>1019</v>
      </c>
      <c r="D1577" s="148" t="s">
        <v>2223</v>
      </c>
      <c r="E1577" s="148" t="s">
        <v>1009</v>
      </c>
      <c r="F1577" s="148" t="s">
        <v>1010</v>
      </c>
      <c r="G1577" s="148" t="s">
        <v>129</v>
      </c>
      <c r="H1577" s="148">
        <v>0</v>
      </c>
      <c r="I1577" s="148">
        <v>0</v>
      </c>
      <c r="J1577" s="148">
        <v>0</v>
      </c>
      <c r="K1577" s="148" t="str">
        <f t="shared" si="24"/>
        <v>INSTRUMENTMTHD_USD_INSTRMNT_SCP_1</v>
      </c>
    </row>
    <row r="1578" spans="1:11" hidden="1">
      <c r="A1578" s="148" t="s">
        <v>4389</v>
      </c>
      <c r="B1578" s="148" t="s">
        <v>4390</v>
      </c>
      <c r="C1578" s="148" t="s">
        <v>1037</v>
      </c>
      <c r="D1578" s="148" t="s">
        <v>2223</v>
      </c>
      <c r="E1578" s="148" t="s">
        <v>1009</v>
      </c>
      <c r="F1578" s="148" t="s">
        <v>1010</v>
      </c>
      <c r="G1578" s="148" t="s">
        <v>129</v>
      </c>
      <c r="H1578" s="148">
        <v>0</v>
      </c>
      <c r="I1578" s="148">
        <v>0</v>
      </c>
      <c r="J1578" s="148">
        <v>0</v>
      </c>
      <c r="K1578" s="148" t="str">
        <f t="shared" si="24"/>
        <v>INSTRUMENTMTHD_USD_INSTRMNT_SCP_1</v>
      </c>
    </row>
    <row r="1579" spans="1:11" hidden="1">
      <c r="A1579" s="148" t="s">
        <v>4391</v>
      </c>
      <c r="B1579" s="148" t="s">
        <v>4392</v>
      </c>
      <c r="C1579" s="148" t="s">
        <v>1019</v>
      </c>
      <c r="D1579" s="148" t="s">
        <v>2226</v>
      </c>
      <c r="E1579" s="148" t="s">
        <v>1009</v>
      </c>
      <c r="F1579" s="148" t="s">
        <v>1010</v>
      </c>
      <c r="G1579" s="148" t="s">
        <v>129</v>
      </c>
      <c r="H1579" s="148">
        <v>0</v>
      </c>
      <c r="I1579" s="148">
        <v>0</v>
      </c>
      <c r="J1579" s="148">
        <v>0</v>
      </c>
      <c r="K1579" s="148" t="str">
        <f t="shared" si="24"/>
        <v>INSTRUMENTMTHD_USD_INSTRMNT_SCP_2</v>
      </c>
    </row>
    <row r="1580" spans="1:11" hidden="1">
      <c r="A1580" s="148" t="s">
        <v>4393</v>
      </c>
      <c r="B1580" s="148" t="s">
        <v>4394</v>
      </c>
      <c r="C1580" s="148" t="s">
        <v>1037</v>
      </c>
      <c r="D1580" s="148" t="s">
        <v>2226</v>
      </c>
      <c r="E1580" s="148" t="s">
        <v>1009</v>
      </c>
      <c r="F1580" s="148" t="s">
        <v>1010</v>
      </c>
      <c r="G1580" s="148" t="s">
        <v>129</v>
      </c>
      <c r="H1580" s="148">
        <v>0</v>
      </c>
      <c r="I1580" s="148">
        <v>0</v>
      </c>
      <c r="J1580" s="148">
        <v>0</v>
      </c>
      <c r="K1580" s="148" t="str">
        <f t="shared" si="24"/>
        <v>INSTRUMENTMTHD_USD_INSTRMNT_SCP_2</v>
      </c>
    </row>
    <row r="1581" spans="1:11" hidden="1">
      <c r="A1581" s="148" t="s">
        <v>4395</v>
      </c>
      <c r="B1581" s="148" t="s">
        <v>4396</v>
      </c>
      <c r="C1581" s="148" t="s">
        <v>1019</v>
      </c>
      <c r="D1581" s="148" t="s">
        <v>2229</v>
      </c>
      <c r="E1581" s="148" t="s">
        <v>1009</v>
      </c>
      <c r="F1581" s="148" t="s">
        <v>1010</v>
      </c>
      <c r="G1581" s="148" t="s">
        <v>129</v>
      </c>
      <c r="H1581" s="148">
        <v>0</v>
      </c>
      <c r="I1581" s="148">
        <v>0</v>
      </c>
      <c r="J1581" s="148">
        <v>0</v>
      </c>
      <c r="K1581" s="148" t="str">
        <f t="shared" si="24"/>
        <v>INSTRUMENTMTHD_USD_INSTRMNT_SCP_3</v>
      </c>
    </row>
    <row r="1582" spans="1:11" hidden="1">
      <c r="A1582" s="148" t="s">
        <v>4397</v>
      </c>
      <c r="B1582" s="148" t="s">
        <v>4398</v>
      </c>
      <c r="C1582" s="148" t="s">
        <v>1037</v>
      </c>
      <c r="D1582" s="148" t="s">
        <v>2229</v>
      </c>
      <c r="E1582" s="148" t="s">
        <v>1009</v>
      </c>
      <c r="F1582" s="148" t="s">
        <v>1010</v>
      </c>
      <c r="G1582" s="148" t="s">
        <v>129</v>
      </c>
      <c r="H1582" s="148">
        <v>0</v>
      </c>
      <c r="I1582" s="148">
        <v>0</v>
      </c>
      <c r="J1582" s="148">
        <v>0</v>
      </c>
      <c r="K1582" s="148" t="str">
        <f t="shared" si="24"/>
        <v>INSTRUMENTMTHD_USD_INSTRMNT_SCP_3</v>
      </c>
    </row>
    <row r="1583" spans="1:11" hidden="1">
      <c r="A1583" s="148" t="s">
        <v>4399</v>
      </c>
      <c r="B1583" s="148" t="s">
        <v>4400</v>
      </c>
      <c r="C1583" s="148" t="s">
        <v>1008</v>
      </c>
      <c r="D1583" s="148" t="s">
        <v>310</v>
      </c>
      <c r="E1583" s="148" t="s">
        <v>1009</v>
      </c>
      <c r="F1583" s="148" t="s">
        <v>1010</v>
      </c>
      <c r="G1583" s="148" t="s">
        <v>129</v>
      </c>
      <c r="H1583" s="148">
        <v>1878954</v>
      </c>
      <c r="I1583" s="148">
        <v>0</v>
      </c>
      <c r="J1583" s="148">
        <v>0</v>
      </c>
      <c r="K1583" s="148" t="str">
        <f t="shared" si="24"/>
        <v>INSTRUMENTEXPCTD_LSS_CRR</v>
      </c>
    </row>
    <row r="1584" spans="1:11" hidden="1">
      <c r="A1584" s="148" t="s">
        <v>4401</v>
      </c>
      <c r="B1584" s="148" t="s">
        <v>4402</v>
      </c>
      <c r="C1584" s="148" t="s">
        <v>1008</v>
      </c>
      <c r="D1584" s="148" t="s">
        <v>310</v>
      </c>
      <c r="E1584" s="148" t="s">
        <v>1009</v>
      </c>
      <c r="F1584" s="148" t="s">
        <v>1010</v>
      </c>
      <c r="G1584" s="148" t="s">
        <v>129</v>
      </c>
      <c r="H1584" s="148">
        <v>152693</v>
      </c>
      <c r="I1584" s="148">
        <v>0</v>
      </c>
      <c r="J1584" s="148">
        <v>0</v>
      </c>
      <c r="K1584" s="148" t="str">
        <f t="shared" si="24"/>
        <v>INSTRUMENTEXPCTD_LSS_CRR</v>
      </c>
    </row>
    <row r="1585" spans="1:11" hidden="1">
      <c r="A1585" s="148" t="s">
        <v>4403</v>
      </c>
      <c r="B1585" s="148" t="s">
        <v>4404</v>
      </c>
      <c r="C1585" s="148" t="s">
        <v>1008</v>
      </c>
      <c r="D1585" s="148" t="s">
        <v>400</v>
      </c>
      <c r="E1585" s="148" t="s">
        <v>1009</v>
      </c>
      <c r="F1585" s="148" t="s">
        <v>1010</v>
      </c>
      <c r="G1585" s="148" t="s">
        <v>129</v>
      </c>
      <c r="H1585" s="148">
        <v>0</v>
      </c>
      <c r="I1585" s="148">
        <v>0</v>
      </c>
      <c r="J1585" s="148">
        <v>0</v>
      </c>
      <c r="K1585" s="148" t="str">
        <f t="shared" si="24"/>
        <v>INSTRUMENTLSTI</v>
      </c>
    </row>
    <row r="1586" spans="1:11" hidden="1">
      <c r="A1586" s="148" t="s">
        <v>4405</v>
      </c>
      <c r="B1586" s="148" t="s">
        <v>4406</v>
      </c>
      <c r="C1586" s="148" t="s">
        <v>1008</v>
      </c>
      <c r="D1586" s="148" t="s">
        <v>226</v>
      </c>
      <c r="E1586" s="148" t="s">
        <v>1009</v>
      </c>
      <c r="F1586" s="148" t="s">
        <v>1010</v>
      </c>
      <c r="G1586" s="148" t="s">
        <v>129</v>
      </c>
      <c r="H1586" s="148">
        <v>0</v>
      </c>
      <c r="I1586" s="148">
        <v>0</v>
      </c>
      <c r="J1586" s="148">
        <v>0</v>
      </c>
      <c r="K1586" s="148" t="str">
        <f t="shared" si="24"/>
        <v>INSTRUMENTDSTI</v>
      </c>
    </row>
    <row r="1587" spans="1:11" hidden="1">
      <c r="A1587" s="148" t="s">
        <v>4407</v>
      </c>
      <c r="B1587" s="148" t="s">
        <v>4408</v>
      </c>
      <c r="C1587" s="148" t="s">
        <v>1008</v>
      </c>
      <c r="D1587" s="148" t="s">
        <v>402</v>
      </c>
      <c r="E1587" s="148" t="s">
        <v>1009</v>
      </c>
      <c r="F1587" s="148" t="s">
        <v>1010</v>
      </c>
      <c r="G1587" s="148" t="s">
        <v>129</v>
      </c>
      <c r="H1587" s="148">
        <v>0</v>
      </c>
      <c r="I1587" s="148">
        <v>0</v>
      </c>
      <c r="J1587" s="148">
        <v>0</v>
      </c>
      <c r="K1587" s="148" t="str">
        <f t="shared" si="24"/>
        <v>INSTRUMENTLTI_INSTRMNT</v>
      </c>
    </row>
    <row r="1588" spans="1:11" hidden="1">
      <c r="A1588" s="148" t="s">
        <v>4409</v>
      </c>
      <c r="B1588" s="148" t="s">
        <v>4410</v>
      </c>
      <c r="C1588" s="148" t="s">
        <v>1008</v>
      </c>
      <c r="D1588" s="148" t="s">
        <v>555</v>
      </c>
      <c r="E1588" s="148" t="s">
        <v>1009</v>
      </c>
      <c r="F1588" s="148" t="s">
        <v>1010</v>
      </c>
      <c r="G1588" s="148" t="s">
        <v>129</v>
      </c>
      <c r="H1588" s="148">
        <v>1153180</v>
      </c>
      <c r="I1588" s="148">
        <v>0</v>
      </c>
      <c r="J1588" s="148">
        <v>0</v>
      </c>
      <c r="K1588" s="148" t="str">
        <f t="shared" si="24"/>
        <v>INSTRUMENTINTRST_RT_CP</v>
      </c>
    </row>
    <row r="1589" spans="1:11" hidden="1">
      <c r="A1589" s="148" t="s">
        <v>4411</v>
      </c>
      <c r="B1589" s="148" t="s">
        <v>4412</v>
      </c>
      <c r="C1589" s="148" t="s">
        <v>1008</v>
      </c>
      <c r="D1589" s="148" t="s">
        <v>555</v>
      </c>
      <c r="E1589" s="148" t="s">
        <v>1009</v>
      </c>
      <c r="F1589" s="148" t="s">
        <v>1010</v>
      </c>
      <c r="G1589" s="148" t="s">
        <v>129</v>
      </c>
      <c r="H1589" s="148">
        <v>0</v>
      </c>
      <c r="I1589" s="148">
        <v>0</v>
      </c>
      <c r="J1589" s="148">
        <v>0</v>
      </c>
      <c r="K1589" s="148" t="str">
        <f t="shared" si="24"/>
        <v>INSTRUMENTINTRST_RT_CP</v>
      </c>
    </row>
    <row r="1590" spans="1:11" hidden="1">
      <c r="A1590" s="148" t="s">
        <v>4413</v>
      </c>
      <c r="B1590" s="148" t="s">
        <v>4414</v>
      </c>
      <c r="C1590" s="148" t="s">
        <v>1008</v>
      </c>
      <c r="D1590" s="148" t="s">
        <v>556</v>
      </c>
      <c r="E1590" s="148" t="s">
        <v>1009</v>
      </c>
      <c r="F1590" s="148" t="s">
        <v>1010</v>
      </c>
      <c r="G1590" s="148" t="s">
        <v>129</v>
      </c>
      <c r="H1590" s="148">
        <v>1153180</v>
      </c>
      <c r="I1590" s="148">
        <v>0</v>
      </c>
      <c r="J1590" s="148">
        <v>0</v>
      </c>
      <c r="K1590" s="148" t="str">
        <f t="shared" si="24"/>
        <v>INSTRUMENTINTRST_RT_FLR</v>
      </c>
    </row>
    <row r="1591" spans="1:11" hidden="1">
      <c r="A1591" s="148" t="s">
        <v>4415</v>
      </c>
      <c r="B1591" s="148" t="s">
        <v>4416</v>
      </c>
      <c r="C1591" s="148" t="s">
        <v>1008</v>
      </c>
      <c r="D1591" s="148" t="s">
        <v>556</v>
      </c>
      <c r="E1591" s="148" t="s">
        <v>1009</v>
      </c>
      <c r="F1591" s="148" t="s">
        <v>1010</v>
      </c>
      <c r="G1591" s="148" t="s">
        <v>129</v>
      </c>
      <c r="H1591" s="148">
        <v>0</v>
      </c>
      <c r="I1591" s="148">
        <v>0</v>
      </c>
      <c r="J1591" s="148">
        <v>0</v>
      </c>
      <c r="K1591" s="148" t="str">
        <f t="shared" si="24"/>
        <v>INSTRUMENTINTRST_RT_FLR</v>
      </c>
    </row>
    <row r="1592" spans="1:11" hidden="1">
      <c r="A1592" s="148" t="s">
        <v>4417</v>
      </c>
      <c r="B1592" s="148" t="s">
        <v>4418</v>
      </c>
      <c r="C1592" s="148" t="s">
        <v>1008</v>
      </c>
      <c r="D1592" s="148" t="s">
        <v>485</v>
      </c>
      <c r="E1592" s="148" t="s">
        <v>1009</v>
      </c>
      <c r="F1592" s="148" t="s">
        <v>1010</v>
      </c>
      <c r="G1592" s="148" t="s">
        <v>129</v>
      </c>
      <c r="H1592" s="148">
        <v>1153180</v>
      </c>
      <c r="I1592" s="148">
        <v>0</v>
      </c>
      <c r="J1592" s="148">
        <v>0</v>
      </c>
      <c r="K1592" s="148" t="str">
        <f t="shared" si="24"/>
        <v>INSTRUMENTRFRNC_RT</v>
      </c>
    </row>
    <row r="1593" spans="1:11" hidden="1">
      <c r="A1593" s="148" t="s">
        <v>4419</v>
      </c>
      <c r="B1593" s="148" t="s">
        <v>4420</v>
      </c>
      <c r="C1593" s="148" t="s">
        <v>1008</v>
      </c>
      <c r="D1593" s="148" t="s">
        <v>485</v>
      </c>
      <c r="E1593" s="148" t="s">
        <v>1009</v>
      </c>
      <c r="F1593" s="148" t="s">
        <v>1010</v>
      </c>
      <c r="G1593" s="148" t="s">
        <v>129</v>
      </c>
      <c r="H1593" s="148">
        <v>704433</v>
      </c>
      <c r="I1593" s="148">
        <v>0</v>
      </c>
      <c r="J1593" s="148">
        <v>0</v>
      </c>
      <c r="K1593" s="148" t="str">
        <f t="shared" si="24"/>
        <v>INSTRUMENTRFRNC_RT</v>
      </c>
    </row>
    <row r="1594" spans="1:11" hidden="1">
      <c r="A1594" s="148" t="s">
        <v>4421</v>
      </c>
      <c r="B1594" s="148" t="s">
        <v>4422</v>
      </c>
      <c r="C1594" s="148" t="s">
        <v>1008</v>
      </c>
      <c r="D1594" s="148" t="s">
        <v>558</v>
      </c>
      <c r="E1594" s="148" t="s">
        <v>1009</v>
      </c>
      <c r="F1594" s="148" t="s">
        <v>1010</v>
      </c>
      <c r="G1594" s="148" t="s">
        <v>129</v>
      </c>
      <c r="H1594" s="148">
        <v>0</v>
      </c>
      <c r="I1594" s="148">
        <v>0</v>
      </c>
      <c r="J1594" s="148">
        <v>0</v>
      </c>
      <c r="K1594" s="148" t="str">
        <f t="shared" si="24"/>
        <v>INSTRUMENTDT_STTLMNT</v>
      </c>
    </row>
    <row r="1595" spans="1:11" hidden="1">
      <c r="A1595" s="148" t="s">
        <v>4423</v>
      </c>
      <c r="B1595" s="148" t="s">
        <v>4424</v>
      </c>
      <c r="C1595" s="148" t="s">
        <v>1008</v>
      </c>
      <c r="D1595" s="148" t="s">
        <v>558</v>
      </c>
      <c r="E1595" s="148" t="s">
        <v>1009</v>
      </c>
      <c r="F1595" s="148" t="s">
        <v>1010</v>
      </c>
      <c r="G1595" s="148" t="s">
        <v>129</v>
      </c>
      <c r="H1595" s="148">
        <v>0</v>
      </c>
      <c r="I1595" s="148">
        <v>0</v>
      </c>
      <c r="J1595" s="148">
        <v>0</v>
      </c>
      <c r="K1595" s="148" t="str">
        <f t="shared" si="24"/>
        <v>INSTRUMENTDT_STTLMNT</v>
      </c>
    </row>
    <row r="1596" spans="1:11" hidden="1">
      <c r="A1596" s="148" t="s">
        <v>4425</v>
      </c>
      <c r="B1596" s="148" t="s">
        <v>4426</v>
      </c>
      <c r="C1596" s="148" t="s">
        <v>1008</v>
      </c>
      <c r="D1596" s="148" t="s">
        <v>558</v>
      </c>
      <c r="E1596" s="148" t="s">
        <v>1009</v>
      </c>
      <c r="F1596" s="148" t="s">
        <v>1010</v>
      </c>
      <c r="G1596" s="148" t="s">
        <v>129</v>
      </c>
      <c r="H1596" s="148">
        <v>0</v>
      </c>
      <c r="I1596" s="148">
        <v>0</v>
      </c>
      <c r="J1596" s="148">
        <v>0</v>
      </c>
      <c r="K1596" s="148" t="str">
        <f t="shared" si="24"/>
        <v>INSTRUMENTDT_STTLMNT</v>
      </c>
    </row>
    <row r="1597" spans="1:11" hidden="1">
      <c r="A1597" s="148" t="s">
        <v>4427</v>
      </c>
      <c r="B1597" s="148" t="s">
        <v>4428</v>
      </c>
      <c r="C1597" s="148" t="s">
        <v>1008</v>
      </c>
      <c r="D1597" s="148" t="s">
        <v>558</v>
      </c>
      <c r="E1597" s="148" t="s">
        <v>1009</v>
      </c>
      <c r="F1597" s="148" t="s">
        <v>1010</v>
      </c>
      <c r="G1597" s="148" t="s">
        <v>129</v>
      </c>
      <c r="H1597" s="148">
        <v>0</v>
      </c>
      <c r="I1597" s="148">
        <v>0</v>
      </c>
      <c r="J1597" s="148">
        <v>0</v>
      </c>
      <c r="K1597" s="148" t="str">
        <f t="shared" si="24"/>
        <v>INSTRUMENTDT_STTLMNT</v>
      </c>
    </row>
    <row r="1598" spans="1:11" hidden="1">
      <c r="A1598" s="148" t="s">
        <v>4429</v>
      </c>
      <c r="B1598" s="148" t="s">
        <v>4430</v>
      </c>
      <c r="C1598" s="148" t="s">
        <v>1008</v>
      </c>
      <c r="D1598" s="148" t="s">
        <v>559</v>
      </c>
      <c r="E1598" s="148" t="s">
        <v>1009</v>
      </c>
      <c r="F1598" s="148" t="s">
        <v>1010</v>
      </c>
      <c r="G1598" s="148" t="s">
        <v>129</v>
      </c>
      <c r="H1598" s="148">
        <v>0</v>
      </c>
      <c r="I1598" s="148">
        <v>0</v>
      </c>
      <c r="J1598" s="148">
        <v>0</v>
      </c>
      <c r="K1598" s="148" t="str">
        <f t="shared" si="24"/>
        <v>INSTRUMENTTRNSFRRD_AMNT</v>
      </c>
    </row>
    <row r="1599" spans="1:11" hidden="1">
      <c r="A1599" s="148" t="s">
        <v>4431</v>
      </c>
      <c r="B1599" s="148" t="s">
        <v>4432</v>
      </c>
      <c r="C1599" s="148" t="s">
        <v>1008</v>
      </c>
      <c r="D1599" s="148" t="s">
        <v>561</v>
      </c>
      <c r="E1599" s="148" t="s">
        <v>1009</v>
      </c>
      <c r="F1599" s="148" t="s">
        <v>1010</v>
      </c>
      <c r="G1599" s="148" t="s">
        <v>129</v>
      </c>
      <c r="H1599" s="148">
        <v>905713</v>
      </c>
      <c r="I1599" s="148">
        <v>0</v>
      </c>
      <c r="J1599" s="148">
        <v>0</v>
      </c>
      <c r="K1599" s="148" t="str">
        <f t="shared" si="24"/>
        <v>INSTRUMENTTYP_OFF_BLNC_PRDCT</v>
      </c>
    </row>
    <row r="1600" spans="1:11" hidden="1">
      <c r="A1600" s="148" t="s">
        <v>4433</v>
      </c>
      <c r="B1600" s="148" t="s">
        <v>4434</v>
      </c>
      <c r="C1600" s="148" t="s">
        <v>1008</v>
      </c>
      <c r="D1600" s="148" t="s">
        <v>561</v>
      </c>
      <c r="E1600" s="148" t="s">
        <v>1009</v>
      </c>
      <c r="F1600" s="148" t="s">
        <v>1010</v>
      </c>
      <c r="G1600" s="148" t="s">
        <v>1011</v>
      </c>
      <c r="H1600" s="148">
        <v>245997</v>
      </c>
      <c r="I1600" s="148">
        <v>245997</v>
      </c>
      <c r="J1600" s="148">
        <v>100</v>
      </c>
      <c r="K1600" s="148" t="str">
        <f t="shared" si="24"/>
        <v>INSTRUMENTTYP_OFF_BLNC_PRDCT</v>
      </c>
    </row>
    <row r="1601" spans="1:11" hidden="1">
      <c r="A1601" s="148" t="s">
        <v>4435</v>
      </c>
      <c r="B1601" s="148" t="s">
        <v>4436</v>
      </c>
      <c r="C1601" s="148" t="s">
        <v>1008</v>
      </c>
      <c r="D1601" s="148" t="s">
        <v>561</v>
      </c>
      <c r="E1601" s="148" t="s">
        <v>1009</v>
      </c>
      <c r="F1601" s="148" t="s">
        <v>1010</v>
      </c>
      <c r="G1601" s="148" t="s">
        <v>1011</v>
      </c>
      <c r="H1601" s="148">
        <v>17728</v>
      </c>
      <c r="I1601" s="148">
        <v>17728</v>
      </c>
      <c r="J1601" s="148">
        <v>100</v>
      </c>
      <c r="K1601" s="148" t="str">
        <f t="shared" si="24"/>
        <v>INSTRUMENTTYP_OFF_BLNC_PRDCT</v>
      </c>
    </row>
    <row r="1602" spans="1:11" hidden="1">
      <c r="A1602" s="148" t="s">
        <v>4437</v>
      </c>
      <c r="B1602" s="148" t="s">
        <v>4438</v>
      </c>
      <c r="C1602" s="148" t="s">
        <v>1008</v>
      </c>
      <c r="D1602" s="148" t="s">
        <v>561</v>
      </c>
      <c r="E1602" s="148" t="s">
        <v>1009</v>
      </c>
      <c r="F1602" s="148" t="s">
        <v>1010</v>
      </c>
      <c r="G1602" s="148" t="s">
        <v>1011</v>
      </c>
      <c r="H1602" s="148">
        <v>3891</v>
      </c>
      <c r="I1602" s="148">
        <v>3891</v>
      </c>
      <c r="J1602" s="148">
        <v>100</v>
      </c>
      <c r="K1602" s="148" t="str">
        <f t="shared" si="24"/>
        <v>INSTRUMENTTYP_OFF_BLNC_PRDCT</v>
      </c>
    </row>
    <row r="1603" spans="1:11" hidden="1">
      <c r="A1603" s="148" t="s">
        <v>4439</v>
      </c>
      <c r="B1603" s="148" t="s">
        <v>4440</v>
      </c>
      <c r="C1603" s="148" t="s">
        <v>1008</v>
      </c>
      <c r="D1603" s="148" t="s">
        <v>562</v>
      </c>
      <c r="E1603" s="148" t="s">
        <v>1009</v>
      </c>
      <c r="F1603" s="148" t="s">
        <v>1010</v>
      </c>
      <c r="G1603" s="148" t="s">
        <v>129</v>
      </c>
      <c r="H1603" s="148">
        <v>0</v>
      </c>
      <c r="I1603" s="148">
        <v>0</v>
      </c>
      <c r="J1603" s="148">
        <v>0</v>
      </c>
      <c r="K1603" s="148" t="str">
        <f t="shared" ref="K1603:K1666" si="25">_xlfn.CONCAT(_xlfn.IFS(ISNUMBER(SEARCH("EN",A1603)),"ENTITY",ISNUMBER(SEARCH("IN",A1603)),"INSTRUMENT",ISNUMBER(SEARCH("PR",A1603)),"PROTECTION",ISNUMBER(SEARCH("IP",A1603)),"INSTR_PROTECTION",ISNUMBER(SEARCH("IE",A1603)),"INSTR_ENTITY",ISNUMBER(SEARCH("AC",A1603)),"INSTR_ACTIVITY"),D1603)</f>
        <v>INSTRUMENTBLNC_SHT_RCGNTN</v>
      </c>
    </row>
    <row r="1604" spans="1:11" hidden="1">
      <c r="A1604" s="148" t="s">
        <v>4441</v>
      </c>
      <c r="B1604" s="148" t="s">
        <v>4442</v>
      </c>
      <c r="C1604" s="148" t="s">
        <v>1019</v>
      </c>
      <c r="D1604" s="148" t="s">
        <v>1130</v>
      </c>
      <c r="E1604" s="148" t="s">
        <v>1009</v>
      </c>
      <c r="F1604" s="148" t="s">
        <v>1010</v>
      </c>
      <c r="G1604" s="148" t="s">
        <v>129</v>
      </c>
      <c r="H1604" s="148">
        <v>2493</v>
      </c>
      <c r="I1604" s="148">
        <v>0</v>
      </c>
      <c r="J1604" s="148">
        <v>0</v>
      </c>
      <c r="K1604" s="148" t="str">
        <f t="shared" si="25"/>
        <v>INSTRUMENTEXCLDD_LF</v>
      </c>
    </row>
    <row r="1605" spans="1:11" hidden="1">
      <c r="A1605" s="148" t="s">
        <v>4443</v>
      </c>
      <c r="B1605" s="148" t="s">
        <v>4444</v>
      </c>
      <c r="C1605" s="148" t="s">
        <v>1008</v>
      </c>
      <c r="D1605" s="148" t="s">
        <v>1130</v>
      </c>
      <c r="E1605" s="148" t="s">
        <v>1009</v>
      </c>
      <c r="F1605" s="148" t="s">
        <v>1010</v>
      </c>
      <c r="G1605" s="148" t="s">
        <v>129</v>
      </c>
      <c r="H1605" s="148">
        <v>103592</v>
      </c>
      <c r="I1605" s="148">
        <v>0</v>
      </c>
      <c r="J1605" s="148">
        <v>0</v>
      </c>
      <c r="K1605" s="148" t="str">
        <f t="shared" si="25"/>
        <v>INSTRUMENTEXCLDD_LF</v>
      </c>
    </row>
    <row r="1606" spans="1:11" hidden="1">
      <c r="A1606" s="148" t="s">
        <v>4445</v>
      </c>
      <c r="B1606" s="148" t="s">
        <v>4446</v>
      </c>
      <c r="C1606" s="148" t="s">
        <v>1019</v>
      </c>
      <c r="D1606" s="148" t="s">
        <v>1130</v>
      </c>
      <c r="E1606" s="148" t="s">
        <v>1009</v>
      </c>
      <c r="F1606" s="148" t="s">
        <v>1010</v>
      </c>
      <c r="G1606" s="148" t="s">
        <v>129</v>
      </c>
      <c r="H1606" s="148">
        <v>96768</v>
      </c>
      <c r="I1606" s="148">
        <v>0</v>
      </c>
      <c r="J1606" s="148">
        <v>0</v>
      </c>
      <c r="K1606" s="148" t="str">
        <f t="shared" si="25"/>
        <v>INSTRUMENTEXCLDD_LF</v>
      </c>
    </row>
    <row r="1607" spans="1:11" hidden="1">
      <c r="A1607" s="148" t="s">
        <v>4447</v>
      </c>
      <c r="B1607" s="148" t="s">
        <v>4448</v>
      </c>
      <c r="C1607" s="148" t="s">
        <v>1008</v>
      </c>
      <c r="D1607" s="148" t="s">
        <v>1130</v>
      </c>
      <c r="E1607" s="148" t="s">
        <v>1009</v>
      </c>
      <c r="F1607" s="148" t="s">
        <v>1010</v>
      </c>
      <c r="G1607" s="148" t="s">
        <v>129</v>
      </c>
      <c r="H1607" s="148">
        <v>50</v>
      </c>
      <c r="I1607" s="148">
        <v>0</v>
      </c>
      <c r="J1607" s="148">
        <v>0</v>
      </c>
      <c r="K1607" s="148" t="str">
        <f t="shared" si="25"/>
        <v>INSTRUMENTEXCLDD_LF</v>
      </c>
    </row>
    <row r="1608" spans="1:11" hidden="1">
      <c r="A1608" s="148" t="s">
        <v>4449</v>
      </c>
      <c r="B1608" s="148" t="s">
        <v>4450</v>
      </c>
      <c r="C1608" s="148" t="s">
        <v>1008</v>
      </c>
      <c r="D1608" s="148" t="s">
        <v>1130</v>
      </c>
      <c r="E1608" s="148" t="s">
        <v>1009</v>
      </c>
      <c r="F1608" s="148" t="s">
        <v>1010</v>
      </c>
      <c r="G1608" s="148" t="s">
        <v>129</v>
      </c>
      <c r="H1608" s="148">
        <v>565</v>
      </c>
      <c r="I1608" s="148">
        <v>0</v>
      </c>
      <c r="J1608" s="148">
        <v>0</v>
      </c>
      <c r="K1608" s="148" t="str">
        <f t="shared" si="25"/>
        <v>INSTRUMENTEXCLDD_LF</v>
      </c>
    </row>
    <row r="1609" spans="1:11" hidden="1">
      <c r="A1609" s="148" t="s">
        <v>4451</v>
      </c>
      <c r="B1609" s="148" t="s">
        <v>4452</v>
      </c>
      <c r="C1609" s="148" t="s">
        <v>1008</v>
      </c>
      <c r="D1609" s="148" t="s">
        <v>1130</v>
      </c>
      <c r="E1609" s="148" t="s">
        <v>1009</v>
      </c>
      <c r="F1609" s="148" t="s">
        <v>1010</v>
      </c>
      <c r="G1609" s="148" t="s">
        <v>129</v>
      </c>
      <c r="H1609" s="148">
        <v>371002</v>
      </c>
      <c r="I1609" s="148">
        <v>0</v>
      </c>
      <c r="J1609" s="148">
        <v>0</v>
      </c>
      <c r="K1609" s="148" t="str">
        <f t="shared" si="25"/>
        <v>INSTRUMENTEXCLDD_LF</v>
      </c>
    </row>
    <row r="1610" spans="1:11" hidden="1">
      <c r="A1610" s="148" t="s">
        <v>4453</v>
      </c>
      <c r="B1610" s="148" t="s">
        <v>4454</v>
      </c>
      <c r="C1610" s="148" t="s">
        <v>1255</v>
      </c>
      <c r="D1610" s="148" t="s">
        <v>1130</v>
      </c>
      <c r="E1610" s="148" t="s">
        <v>1009</v>
      </c>
      <c r="F1610" s="148" t="s">
        <v>1010</v>
      </c>
      <c r="G1610" s="148" t="s">
        <v>1011</v>
      </c>
      <c r="H1610" s="148">
        <v>64918</v>
      </c>
      <c r="I1610" s="148">
        <v>19126</v>
      </c>
      <c r="J1610" s="148">
        <v>29.4618</v>
      </c>
      <c r="K1610" s="148" t="str">
        <f t="shared" si="25"/>
        <v>INSTRUMENTEXCLDD_LF</v>
      </c>
    </row>
    <row r="1611" spans="1:11" hidden="1">
      <c r="A1611" s="148" t="s">
        <v>4455</v>
      </c>
      <c r="B1611" s="148" t="s">
        <v>4456</v>
      </c>
      <c r="C1611" s="148" t="s">
        <v>1255</v>
      </c>
      <c r="D1611" s="148" t="s">
        <v>1130</v>
      </c>
      <c r="E1611" s="148" t="s">
        <v>1009</v>
      </c>
      <c r="F1611" s="148" t="s">
        <v>1010</v>
      </c>
      <c r="G1611" s="148" t="s">
        <v>129</v>
      </c>
      <c r="H1611" s="148">
        <v>378839</v>
      </c>
      <c r="I1611" s="148">
        <v>0</v>
      </c>
      <c r="J1611" s="148">
        <v>0</v>
      </c>
      <c r="K1611" s="148" t="str">
        <f t="shared" si="25"/>
        <v>INSTRUMENTEXCLDD_LF</v>
      </c>
    </row>
    <row r="1612" spans="1:11" hidden="1">
      <c r="A1612" s="148" t="s">
        <v>4457</v>
      </c>
      <c r="B1612" s="148" t="s">
        <v>4458</v>
      </c>
      <c r="C1612" s="148" t="s">
        <v>1008</v>
      </c>
      <c r="D1612" s="148" t="s">
        <v>1182</v>
      </c>
      <c r="E1612" s="148" t="s">
        <v>1009</v>
      </c>
      <c r="F1612" s="148" t="s">
        <v>1010</v>
      </c>
      <c r="G1612" s="148" t="s">
        <v>1011</v>
      </c>
      <c r="H1612" s="148">
        <v>378839</v>
      </c>
      <c r="I1612" s="148">
        <v>7</v>
      </c>
      <c r="J1612" s="148">
        <v>1.8E-3</v>
      </c>
      <c r="K1612" s="148" t="str">
        <f t="shared" si="25"/>
        <v>INSTRUMENTRWA_PRMTGTN</v>
      </c>
    </row>
    <row r="1613" spans="1:11" hidden="1">
      <c r="A1613" s="148" t="s">
        <v>4459</v>
      </c>
      <c r="B1613" s="148" t="s">
        <v>4460</v>
      </c>
      <c r="C1613" s="148" t="s">
        <v>1008</v>
      </c>
      <c r="D1613" s="148" t="s">
        <v>1182</v>
      </c>
      <c r="E1613" s="148" t="s">
        <v>1009</v>
      </c>
      <c r="F1613" s="148" t="s">
        <v>1010</v>
      </c>
      <c r="G1613" s="148" t="s">
        <v>1011</v>
      </c>
      <c r="H1613" s="148">
        <v>378839</v>
      </c>
      <c r="I1613" s="148">
        <v>108</v>
      </c>
      <c r="J1613" s="148">
        <v>2.8500000000000001E-2</v>
      </c>
      <c r="K1613" s="148" t="str">
        <f t="shared" si="25"/>
        <v>INSTRUMENTRWA_PRMTGTN</v>
      </c>
    </row>
    <row r="1614" spans="1:11" hidden="1">
      <c r="A1614" s="148" t="s">
        <v>4461</v>
      </c>
      <c r="B1614" s="148" t="s">
        <v>4462</v>
      </c>
      <c r="C1614" s="148" t="s">
        <v>1008</v>
      </c>
      <c r="D1614" s="148" t="s">
        <v>1176</v>
      </c>
      <c r="E1614" s="148" t="s">
        <v>1009</v>
      </c>
      <c r="F1614" s="148" t="s">
        <v>1010</v>
      </c>
      <c r="G1614" s="148" t="s">
        <v>1011</v>
      </c>
      <c r="H1614" s="148">
        <v>105</v>
      </c>
      <c r="I1614" s="148">
        <v>92</v>
      </c>
      <c r="J1614" s="148">
        <v>87.619</v>
      </c>
      <c r="K1614" s="148" t="str">
        <f t="shared" si="25"/>
        <v>INSTRUMENTTYP_DL</v>
      </c>
    </row>
    <row r="1615" spans="1:11" hidden="1">
      <c r="A1615" s="148" t="s">
        <v>4463</v>
      </c>
      <c r="B1615" s="148" t="s">
        <v>4464</v>
      </c>
      <c r="C1615" s="148" t="s">
        <v>1008</v>
      </c>
      <c r="D1615" s="148" t="s">
        <v>1176</v>
      </c>
      <c r="E1615" s="148" t="s">
        <v>1009</v>
      </c>
      <c r="F1615" s="148" t="s">
        <v>1010</v>
      </c>
      <c r="G1615" s="148" t="s">
        <v>1011</v>
      </c>
      <c r="H1615" s="148">
        <v>19744</v>
      </c>
      <c r="I1615" s="148">
        <v>19492</v>
      </c>
      <c r="J1615" s="148">
        <v>98.723699999999994</v>
      </c>
      <c r="K1615" s="148" t="str">
        <f t="shared" si="25"/>
        <v>INSTRUMENTTYP_DL</v>
      </c>
    </row>
    <row r="1616" spans="1:11" hidden="1">
      <c r="A1616" s="148" t="s">
        <v>4465</v>
      </c>
      <c r="B1616" s="148" t="s">
        <v>4466</v>
      </c>
      <c r="C1616" s="148" t="s">
        <v>1008</v>
      </c>
      <c r="D1616" s="148" t="s">
        <v>1176</v>
      </c>
      <c r="E1616" s="148" t="s">
        <v>1009</v>
      </c>
      <c r="F1616" s="148" t="s">
        <v>1010</v>
      </c>
      <c r="G1616" s="148" t="s">
        <v>129</v>
      </c>
      <c r="H1616" s="148">
        <v>378734</v>
      </c>
      <c r="I1616" s="148">
        <v>0</v>
      </c>
      <c r="J1616" s="148">
        <v>0</v>
      </c>
      <c r="K1616" s="148" t="str">
        <f t="shared" si="25"/>
        <v>INSTRUMENTTYP_DL</v>
      </c>
    </row>
    <row r="1617" spans="1:11" hidden="1">
      <c r="A1617" s="148" t="s">
        <v>4467</v>
      </c>
      <c r="B1617" s="148" t="s">
        <v>4468</v>
      </c>
      <c r="C1617" s="148" t="s">
        <v>127</v>
      </c>
      <c r="D1617" s="148" t="s">
        <v>565</v>
      </c>
      <c r="E1617" s="148" t="s">
        <v>1009</v>
      </c>
      <c r="F1617" s="148" t="s">
        <v>1010</v>
      </c>
      <c r="G1617" s="148" t="s">
        <v>129</v>
      </c>
      <c r="H1617" s="148">
        <v>47433</v>
      </c>
      <c r="I1617" s="148">
        <v>0</v>
      </c>
      <c r="J1617" s="148">
        <v>0</v>
      </c>
      <c r="K1617" s="148" t="str">
        <f t="shared" si="25"/>
        <v>INSTRUMENTPRTNR</v>
      </c>
    </row>
    <row r="1618" spans="1:11" hidden="1">
      <c r="A1618" s="148" t="s">
        <v>4469</v>
      </c>
      <c r="B1618" s="148" t="s">
        <v>4470</v>
      </c>
      <c r="C1618" s="148" t="s">
        <v>127</v>
      </c>
      <c r="D1618" s="148" t="s">
        <v>566</v>
      </c>
      <c r="E1618" s="148" t="s">
        <v>1009</v>
      </c>
      <c r="F1618" s="148" t="s">
        <v>1010</v>
      </c>
      <c r="G1618" s="148" t="s">
        <v>129</v>
      </c>
      <c r="H1618" s="148">
        <v>47433</v>
      </c>
      <c r="I1618" s="148">
        <v>0</v>
      </c>
      <c r="J1618" s="148">
        <v>0</v>
      </c>
      <c r="K1618" s="148" t="str">
        <f t="shared" si="25"/>
        <v>INSTRUMENTINCNTVS</v>
      </c>
    </row>
    <row r="1619" spans="1:11" hidden="1">
      <c r="A1619" s="148" t="s">
        <v>4471</v>
      </c>
      <c r="B1619" s="148" t="s">
        <v>4472</v>
      </c>
      <c r="C1619" s="148" t="s">
        <v>127</v>
      </c>
      <c r="D1619" s="148" t="s">
        <v>567</v>
      </c>
      <c r="E1619" s="148" t="s">
        <v>1009</v>
      </c>
      <c r="F1619" s="148" t="s">
        <v>1010</v>
      </c>
      <c r="G1619" s="148" t="s">
        <v>129</v>
      </c>
      <c r="H1619" s="148">
        <v>47433</v>
      </c>
      <c r="I1619" s="148">
        <v>0</v>
      </c>
      <c r="J1619" s="148">
        <v>0</v>
      </c>
      <c r="K1619" s="148" t="str">
        <f t="shared" si="25"/>
        <v>INSTRUMENTOTHR_OPRTNG_INCM</v>
      </c>
    </row>
    <row r="1620" spans="1:11" hidden="1">
      <c r="A1620" s="148" t="s">
        <v>4473</v>
      </c>
      <c r="B1620" s="148" t="s">
        <v>4474</v>
      </c>
      <c r="C1620" s="148" t="s">
        <v>127</v>
      </c>
      <c r="D1620" s="148" t="s">
        <v>568</v>
      </c>
      <c r="E1620" s="148" t="s">
        <v>10</v>
      </c>
      <c r="F1620" s="148" t="s">
        <v>1010</v>
      </c>
      <c r="G1620" s="148" t="s">
        <v>129</v>
      </c>
      <c r="H1620" s="148">
        <v>47433</v>
      </c>
      <c r="I1620" s="148">
        <v>0</v>
      </c>
      <c r="J1620" s="148">
        <v>0</v>
      </c>
      <c r="K1620" s="148" t="str">
        <f t="shared" si="25"/>
        <v>INSTRUMENTRFRRL_FS</v>
      </c>
    </row>
    <row r="1621" spans="1:11" hidden="1">
      <c r="A1621" s="148" t="s">
        <v>4475</v>
      </c>
      <c r="B1621" s="148" t="s">
        <v>4476</v>
      </c>
      <c r="C1621" s="148" t="s">
        <v>127</v>
      </c>
      <c r="D1621" s="148" t="s">
        <v>4477</v>
      </c>
      <c r="E1621" s="148" t="s">
        <v>10</v>
      </c>
      <c r="F1621" s="148" t="s">
        <v>1010</v>
      </c>
      <c r="G1621" s="148" t="s">
        <v>129</v>
      </c>
      <c r="H1621" s="148">
        <v>47433</v>
      </c>
      <c r="I1621" s="148">
        <v>0</v>
      </c>
      <c r="J1621" s="148">
        <v>0</v>
      </c>
      <c r="K1621" s="148" t="str">
        <f t="shared" si="25"/>
        <v>INSTRUMENTINSRNC_CMMSSNS</v>
      </c>
    </row>
    <row r="1622" spans="1:11" hidden="1">
      <c r="A1622" s="148" t="s">
        <v>4478</v>
      </c>
      <c r="B1622" s="148" t="s">
        <v>4479</v>
      </c>
      <c r="C1622" s="148" t="s">
        <v>127</v>
      </c>
      <c r="D1622" s="148" t="s">
        <v>570</v>
      </c>
      <c r="E1622" s="148" t="s">
        <v>10</v>
      </c>
      <c r="F1622" s="148" t="s">
        <v>1010</v>
      </c>
      <c r="G1622" s="148" t="s">
        <v>129</v>
      </c>
      <c r="H1622" s="148">
        <v>47433</v>
      </c>
      <c r="I1622" s="148">
        <v>0</v>
      </c>
      <c r="J1622" s="148">
        <v>0</v>
      </c>
      <c r="K1622" s="148" t="str">
        <f t="shared" si="25"/>
        <v>INSTRUMENTOTHR_INCM_AND_CHRGS</v>
      </c>
    </row>
    <row r="1623" spans="1:11" hidden="1">
      <c r="A1623" s="148" t="s">
        <v>4480</v>
      </c>
      <c r="B1623" s="148" t="s">
        <v>4481</v>
      </c>
      <c r="C1623" s="148" t="s">
        <v>127</v>
      </c>
      <c r="D1623" s="148" t="s">
        <v>571</v>
      </c>
      <c r="E1623" s="148" t="s">
        <v>10</v>
      </c>
      <c r="F1623" s="148" t="s">
        <v>1010</v>
      </c>
      <c r="G1623" s="148" t="s">
        <v>129</v>
      </c>
      <c r="H1623" s="148">
        <v>47433</v>
      </c>
      <c r="I1623" s="148">
        <v>0</v>
      </c>
      <c r="J1623" s="148">
        <v>0</v>
      </c>
      <c r="K1623" s="148" t="str">
        <f t="shared" si="25"/>
        <v>INSTRUMENTTX_ON_PRFT</v>
      </c>
    </row>
    <row r="1624" spans="1:11" hidden="1">
      <c r="A1624" s="148" t="s">
        <v>4482</v>
      </c>
      <c r="B1624" s="148" t="s">
        <v>4483</v>
      </c>
      <c r="C1624" s="148" t="s">
        <v>1008</v>
      </c>
      <c r="D1624" s="148" t="s">
        <v>1132</v>
      </c>
      <c r="E1624" s="148" t="s">
        <v>1009</v>
      </c>
      <c r="F1624" s="148" t="s">
        <v>1010</v>
      </c>
      <c r="G1624" s="148" t="s">
        <v>129</v>
      </c>
      <c r="H1624" s="148">
        <v>0</v>
      </c>
      <c r="I1624" s="148">
        <v>0</v>
      </c>
      <c r="J1624" s="148">
        <v>0</v>
      </c>
      <c r="K1624" s="148" t="str">
        <f t="shared" si="25"/>
        <v>INSTRUMENTPD_EC_INCPTN</v>
      </c>
    </row>
    <row r="1625" spans="1:11" hidden="1">
      <c r="A1625" s="148" t="s">
        <v>4484</v>
      </c>
      <c r="B1625" s="148" t="s">
        <v>4485</v>
      </c>
      <c r="C1625" s="148" t="s">
        <v>1008</v>
      </c>
      <c r="D1625" s="148" t="s">
        <v>1131</v>
      </c>
      <c r="E1625" s="148" t="s">
        <v>1009</v>
      </c>
      <c r="F1625" s="148" t="s">
        <v>1010</v>
      </c>
      <c r="G1625" s="148" t="s">
        <v>1011</v>
      </c>
      <c r="H1625" s="148">
        <v>130343</v>
      </c>
      <c r="I1625" s="148">
        <v>4</v>
      </c>
      <c r="J1625" s="148">
        <v>3.0999999999999999E-3</v>
      </c>
      <c r="K1625" s="148" t="str">
        <f t="shared" si="25"/>
        <v>INSTRUMENTPD_EC_RD</v>
      </c>
    </row>
    <row r="1626" spans="1:11" hidden="1">
      <c r="A1626" s="148" t="s">
        <v>4486</v>
      </c>
      <c r="B1626" s="148" t="s">
        <v>4487</v>
      </c>
      <c r="C1626" s="148" t="s">
        <v>1008</v>
      </c>
      <c r="D1626" s="148" t="s">
        <v>1179</v>
      </c>
      <c r="E1626" s="148" t="s">
        <v>1009</v>
      </c>
      <c r="F1626" s="148" t="s">
        <v>1010</v>
      </c>
      <c r="G1626" s="148" t="s">
        <v>129</v>
      </c>
      <c r="H1626" s="148">
        <v>378538</v>
      </c>
      <c r="I1626" s="148">
        <v>0</v>
      </c>
      <c r="J1626" s="148">
        <v>0</v>
      </c>
      <c r="K1626" s="148" t="str">
        <f t="shared" si="25"/>
        <v>INSTRUMENTTTL_LVRG_RT_INCPTN_HLT</v>
      </c>
    </row>
    <row r="1627" spans="1:11" hidden="1">
      <c r="A1627" s="148" t="s">
        <v>4488</v>
      </c>
      <c r="B1627" s="148" t="s">
        <v>4489</v>
      </c>
      <c r="C1627" s="148" t="s">
        <v>1008</v>
      </c>
      <c r="D1627" s="148" t="s">
        <v>1179</v>
      </c>
      <c r="E1627" s="148" t="s">
        <v>1009</v>
      </c>
      <c r="F1627" s="148" t="s">
        <v>1010</v>
      </c>
      <c r="G1627" s="148" t="s">
        <v>129</v>
      </c>
      <c r="H1627" s="148">
        <v>301</v>
      </c>
      <c r="I1627" s="148">
        <v>0</v>
      </c>
      <c r="J1627" s="148">
        <v>0</v>
      </c>
      <c r="K1627" s="148" t="str">
        <f t="shared" si="25"/>
        <v>INSTRUMENTTTL_LVRG_RT_INCPTN_HLT</v>
      </c>
    </row>
    <row r="1628" spans="1:11" hidden="1">
      <c r="A1628" s="148" t="s">
        <v>4490</v>
      </c>
      <c r="B1628" s="148" t="s">
        <v>4491</v>
      </c>
      <c r="C1628" s="148" t="s">
        <v>1008</v>
      </c>
      <c r="D1628" s="148" t="s">
        <v>1179</v>
      </c>
      <c r="E1628" s="148" t="s">
        <v>1009</v>
      </c>
      <c r="F1628" s="148" t="s">
        <v>1010</v>
      </c>
      <c r="G1628" s="148" t="s">
        <v>129</v>
      </c>
      <c r="H1628" s="148">
        <v>301</v>
      </c>
      <c r="I1628" s="148">
        <v>0</v>
      </c>
      <c r="J1628" s="148">
        <v>0</v>
      </c>
      <c r="K1628" s="148" t="str">
        <f t="shared" si="25"/>
        <v>INSTRUMENTTTL_LVRG_RT_INCPTN_HLT</v>
      </c>
    </row>
    <row r="1629" spans="1:11" hidden="1">
      <c r="A1629" s="148" t="s">
        <v>4492</v>
      </c>
      <c r="B1629" s="148" t="s">
        <v>4493</v>
      </c>
      <c r="C1629" s="148" t="s">
        <v>1008</v>
      </c>
      <c r="D1629" s="148" t="s">
        <v>1191</v>
      </c>
      <c r="E1629" s="148" t="s">
        <v>1009</v>
      </c>
      <c r="F1629" s="148" t="s">
        <v>1010</v>
      </c>
      <c r="G1629" s="148" t="s">
        <v>1011</v>
      </c>
      <c r="H1629" s="148">
        <v>36260</v>
      </c>
      <c r="I1629" s="148">
        <v>36260</v>
      </c>
      <c r="J1629" s="148">
        <v>100</v>
      </c>
      <c r="K1629" s="148" t="str">
        <f t="shared" si="25"/>
        <v>INSTRUMENTDT_MDFCTN</v>
      </c>
    </row>
    <row r="1630" spans="1:11" hidden="1">
      <c r="A1630" s="148" t="s">
        <v>4494</v>
      </c>
      <c r="B1630" s="148" t="s">
        <v>4495</v>
      </c>
      <c r="C1630" s="148" t="s">
        <v>1008</v>
      </c>
      <c r="D1630" s="148" t="s">
        <v>1191</v>
      </c>
      <c r="E1630" s="148" t="s">
        <v>1009</v>
      </c>
      <c r="F1630" s="148" t="s">
        <v>1010</v>
      </c>
      <c r="G1630" s="148" t="s">
        <v>1011</v>
      </c>
      <c r="H1630" s="148">
        <v>3769</v>
      </c>
      <c r="I1630" s="148">
        <v>2</v>
      </c>
      <c r="J1630" s="148">
        <v>5.3100000000000001E-2</v>
      </c>
      <c r="K1630" s="148" t="str">
        <f t="shared" si="25"/>
        <v>INSTRUMENTDT_MDFCTN</v>
      </c>
    </row>
    <row r="1631" spans="1:11" hidden="1">
      <c r="A1631" s="148" t="s">
        <v>4496</v>
      </c>
      <c r="B1631" s="148" t="s">
        <v>4497</v>
      </c>
      <c r="C1631" s="148" t="s">
        <v>1008</v>
      </c>
      <c r="D1631" s="148" t="s">
        <v>1191</v>
      </c>
      <c r="E1631" s="148" t="s">
        <v>1009</v>
      </c>
      <c r="F1631" s="148" t="s">
        <v>1010</v>
      </c>
      <c r="G1631" s="148" t="s">
        <v>129</v>
      </c>
      <c r="H1631" s="148">
        <v>3769</v>
      </c>
      <c r="I1631" s="148">
        <v>0</v>
      </c>
      <c r="J1631" s="148">
        <v>0</v>
      </c>
      <c r="K1631" s="148" t="str">
        <f t="shared" si="25"/>
        <v>INSTRUMENTDT_MDFCTN</v>
      </c>
    </row>
    <row r="1632" spans="1:11" hidden="1">
      <c r="A1632" s="148" t="s">
        <v>4498</v>
      </c>
      <c r="B1632" s="148" t="s">
        <v>4499</v>
      </c>
      <c r="C1632" s="148" t="s">
        <v>1037</v>
      </c>
      <c r="D1632" s="148" t="s">
        <v>1186</v>
      </c>
      <c r="E1632" s="148" t="s">
        <v>10</v>
      </c>
      <c r="F1632" s="148" t="s">
        <v>4500</v>
      </c>
      <c r="G1632" s="148" t="s">
        <v>129</v>
      </c>
      <c r="H1632" s="148">
        <v>32536</v>
      </c>
      <c r="I1632" s="148">
        <v>0</v>
      </c>
      <c r="J1632" s="148">
        <v>0</v>
      </c>
      <c r="K1632" s="148" t="str">
        <f t="shared" si="25"/>
        <v>INSTR_PROTECTIONGRP_SPPRT</v>
      </c>
    </row>
    <row r="1633" spans="1:11" hidden="1">
      <c r="A1633" s="148" t="s">
        <v>4501</v>
      </c>
      <c r="B1633" s="148" t="s">
        <v>4502</v>
      </c>
      <c r="C1633" s="148" t="s">
        <v>1037</v>
      </c>
      <c r="D1633" s="148" t="s">
        <v>269</v>
      </c>
      <c r="E1633" s="148" t="s">
        <v>1009</v>
      </c>
      <c r="F1633" s="148" t="s">
        <v>4503</v>
      </c>
      <c r="G1633" s="148" t="s">
        <v>129</v>
      </c>
      <c r="H1633" s="148">
        <v>277350</v>
      </c>
      <c r="I1633" s="148">
        <v>0</v>
      </c>
      <c r="J1633" s="148">
        <v>0</v>
      </c>
      <c r="K1633" s="148" t="str">
        <f t="shared" si="25"/>
        <v>PROTECTIONDT_MTRTY_PRTCTN</v>
      </c>
    </row>
    <row r="1634" spans="1:11" hidden="1">
      <c r="A1634" s="148" t="s">
        <v>4504</v>
      </c>
      <c r="B1634" s="148" t="s">
        <v>4505</v>
      </c>
      <c r="C1634" s="148" t="s">
        <v>4506</v>
      </c>
      <c r="D1634" s="148" t="s">
        <v>269</v>
      </c>
      <c r="E1634" s="148" t="s">
        <v>1009</v>
      </c>
      <c r="F1634" s="148" t="s">
        <v>4503</v>
      </c>
      <c r="G1634" s="148" t="s">
        <v>129</v>
      </c>
      <c r="H1634" s="148">
        <v>161924</v>
      </c>
      <c r="I1634" s="148">
        <v>0</v>
      </c>
      <c r="J1634" s="148">
        <v>0</v>
      </c>
      <c r="K1634" s="148" t="str">
        <f t="shared" si="25"/>
        <v>PROTECTIONDT_MTRTY_PRTCTN</v>
      </c>
    </row>
    <row r="1635" spans="1:11" hidden="1">
      <c r="A1635" s="148" t="s">
        <v>4507</v>
      </c>
      <c r="B1635" s="148" t="s">
        <v>4508</v>
      </c>
      <c r="C1635" s="148" t="s">
        <v>4506</v>
      </c>
      <c r="D1635" s="148" t="s">
        <v>275</v>
      </c>
      <c r="E1635" s="148" t="s">
        <v>1009</v>
      </c>
      <c r="F1635" s="148" t="s">
        <v>4503</v>
      </c>
      <c r="G1635" s="148" t="s">
        <v>129</v>
      </c>
      <c r="H1635" s="148">
        <v>272377</v>
      </c>
      <c r="I1635" s="148">
        <v>0</v>
      </c>
      <c r="J1635" s="148">
        <v>0</v>
      </c>
      <c r="K1635" s="148" t="str">
        <f t="shared" si="25"/>
        <v>PROTECTIONNTNL_ID</v>
      </c>
    </row>
    <row r="1636" spans="1:11" hidden="1">
      <c r="A1636" s="148" t="s">
        <v>4509</v>
      </c>
      <c r="B1636" s="148" t="s">
        <v>769</v>
      </c>
      <c r="C1636" s="148" t="s">
        <v>4506</v>
      </c>
      <c r="D1636" s="148" t="s">
        <v>275</v>
      </c>
      <c r="E1636" s="148" t="s">
        <v>1009</v>
      </c>
      <c r="F1636" s="148" t="s">
        <v>4503</v>
      </c>
      <c r="G1636" s="148" t="s">
        <v>129</v>
      </c>
      <c r="H1636" s="148">
        <v>192749</v>
      </c>
      <c r="I1636" s="148">
        <v>0</v>
      </c>
      <c r="J1636" s="148">
        <v>0</v>
      </c>
      <c r="K1636" s="148" t="str">
        <f t="shared" si="25"/>
        <v>PROTECTIONNTNL_ID</v>
      </c>
    </row>
    <row r="1637" spans="1:11" hidden="1">
      <c r="A1637" s="148" t="s">
        <v>4510</v>
      </c>
      <c r="B1637" s="148" t="s">
        <v>4511</v>
      </c>
      <c r="C1637" s="148" t="s">
        <v>4506</v>
      </c>
      <c r="D1637" s="148" t="s">
        <v>486</v>
      </c>
      <c r="E1637" s="148" t="s">
        <v>1009</v>
      </c>
      <c r="F1637" s="148" t="s">
        <v>4503</v>
      </c>
      <c r="G1637" s="148" t="s">
        <v>129</v>
      </c>
      <c r="H1637" s="148">
        <v>272377</v>
      </c>
      <c r="I1637" s="148">
        <v>0</v>
      </c>
      <c r="J1637" s="148">
        <v>0</v>
      </c>
      <c r="K1637" s="148" t="str">
        <f t="shared" si="25"/>
        <v>PROTECTIONRL_ESTT_ADDRSS</v>
      </c>
    </row>
    <row r="1638" spans="1:11" hidden="1">
      <c r="A1638" s="148" t="s">
        <v>4512</v>
      </c>
      <c r="B1638" s="148" t="s">
        <v>4513</v>
      </c>
      <c r="C1638" s="148" t="s">
        <v>4506</v>
      </c>
      <c r="D1638" s="148" t="s">
        <v>486</v>
      </c>
      <c r="E1638" s="148" t="s">
        <v>1009</v>
      </c>
      <c r="F1638" s="148" t="s">
        <v>4503</v>
      </c>
      <c r="G1638" s="148" t="s">
        <v>129</v>
      </c>
      <c r="H1638" s="148">
        <v>192749</v>
      </c>
      <c r="I1638" s="148">
        <v>0</v>
      </c>
      <c r="J1638" s="148">
        <v>0</v>
      </c>
      <c r="K1638" s="148" t="str">
        <f t="shared" si="25"/>
        <v>PROTECTIONRL_ESTT_ADDRSS</v>
      </c>
    </row>
    <row r="1639" spans="1:11" hidden="1">
      <c r="A1639" s="148" t="s">
        <v>4514</v>
      </c>
      <c r="B1639" s="148" t="s">
        <v>4515</v>
      </c>
      <c r="C1639" s="148" t="s">
        <v>4506</v>
      </c>
      <c r="D1639" s="148" t="s">
        <v>175</v>
      </c>
      <c r="E1639" s="148" t="s">
        <v>1009</v>
      </c>
      <c r="F1639" s="148" t="s">
        <v>4503</v>
      </c>
      <c r="G1639" s="148" t="s">
        <v>129</v>
      </c>
      <c r="H1639" s="148">
        <v>272377</v>
      </c>
      <c r="I1639" s="148">
        <v>0</v>
      </c>
      <c r="J1639" s="148">
        <v>0</v>
      </c>
      <c r="K1639" s="148" t="str">
        <f t="shared" si="25"/>
        <v>PROTECTIONRL_ESTT_CLLTRL_LCTN</v>
      </c>
    </row>
    <row r="1640" spans="1:11" hidden="1">
      <c r="A1640" s="148" t="s">
        <v>4516</v>
      </c>
      <c r="B1640" s="148" t="s">
        <v>4517</v>
      </c>
      <c r="C1640" s="148" t="s">
        <v>4506</v>
      </c>
      <c r="D1640" s="148" t="s">
        <v>175</v>
      </c>
      <c r="E1640" s="148" t="s">
        <v>1009</v>
      </c>
      <c r="F1640" s="148" t="s">
        <v>4503</v>
      </c>
      <c r="G1640" s="148" t="s">
        <v>129</v>
      </c>
      <c r="H1640" s="148">
        <v>192749</v>
      </c>
      <c r="I1640" s="148">
        <v>0</v>
      </c>
      <c r="J1640" s="148">
        <v>0</v>
      </c>
      <c r="K1640" s="148" t="str">
        <f t="shared" si="25"/>
        <v>PROTECTIONRL_ESTT_CLLTRL_LCTN</v>
      </c>
    </row>
    <row r="1641" spans="1:11" hidden="1">
      <c r="A1641" s="148" t="s">
        <v>4518</v>
      </c>
      <c r="B1641" s="148" t="s">
        <v>4519</v>
      </c>
      <c r="C1641" s="148" t="s">
        <v>4506</v>
      </c>
      <c r="D1641" s="148" t="s">
        <v>488</v>
      </c>
      <c r="E1641" s="148" t="s">
        <v>1009</v>
      </c>
      <c r="F1641" s="148" t="s">
        <v>4503</v>
      </c>
      <c r="G1641" s="148" t="s">
        <v>129</v>
      </c>
      <c r="H1641" s="148">
        <v>272377</v>
      </c>
      <c r="I1641" s="148">
        <v>0</v>
      </c>
      <c r="J1641" s="148">
        <v>0</v>
      </c>
      <c r="K1641" s="148" t="str">
        <f t="shared" si="25"/>
        <v>PROTECTIONRL_ESTT_CLLTRL_LCTN_INT</v>
      </c>
    </row>
    <row r="1642" spans="1:11" hidden="1">
      <c r="A1642" s="148" t="s">
        <v>4520</v>
      </c>
      <c r="B1642" s="148" t="s">
        <v>4521</v>
      </c>
      <c r="C1642" s="148" t="s">
        <v>4506</v>
      </c>
      <c r="D1642" s="148" t="s">
        <v>488</v>
      </c>
      <c r="E1642" s="148" t="s">
        <v>1009</v>
      </c>
      <c r="F1642" s="148" t="s">
        <v>4503</v>
      </c>
      <c r="G1642" s="148" t="s">
        <v>129</v>
      </c>
      <c r="H1642" s="148">
        <v>192749</v>
      </c>
      <c r="I1642" s="148">
        <v>0</v>
      </c>
      <c r="J1642" s="148">
        <v>0</v>
      </c>
      <c r="K1642" s="148" t="str">
        <f t="shared" si="25"/>
        <v>PROTECTIONRL_ESTT_CLLTRL_LCTN_INT</v>
      </c>
    </row>
    <row r="1643" spans="1:11" hidden="1">
      <c r="A1643" s="148" t="s">
        <v>4522</v>
      </c>
      <c r="B1643" s="148" t="s">
        <v>4523</v>
      </c>
      <c r="C1643" s="148" t="s">
        <v>4506</v>
      </c>
      <c r="D1643" s="148" t="s">
        <v>489</v>
      </c>
      <c r="E1643" s="148" t="s">
        <v>1009</v>
      </c>
      <c r="F1643" s="148" t="s">
        <v>4503</v>
      </c>
      <c r="G1643" s="148" t="s">
        <v>129</v>
      </c>
      <c r="H1643" s="148">
        <v>272377</v>
      </c>
      <c r="I1643" s="148">
        <v>0</v>
      </c>
      <c r="J1643" s="148">
        <v>0</v>
      </c>
      <c r="K1643" s="148" t="str">
        <f t="shared" si="25"/>
        <v>PROTECTIONRL_ESTT_CTY</v>
      </c>
    </row>
    <row r="1644" spans="1:11" hidden="1">
      <c r="A1644" s="148" t="s">
        <v>4524</v>
      </c>
      <c r="B1644" s="148" t="s">
        <v>4525</v>
      </c>
      <c r="C1644" s="148" t="s">
        <v>4506</v>
      </c>
      <c r="D1644" s="148" t="s">
        <v>489</v>
      </c>
      <c r="E1644" s="148" t="s">
        <v>1009</v>
      </c>
      <c r="F1644" s="148" t="s">
        <v>4503</v>
      </c>
      <c r="G1644" s="148" t="s">
        <v>129</v>
      </c>
      <c r="H1644" s="148">
        <v>192749</v>
      </c>
      <c r="I1644" s="148">
        <v>0</v>
      </c>
      <c r="J1644" s="148">
        <v>0</v>
      </c>
      <c r="K1644" s="148" t="str">
        <f t="shared" si="25"/>
        <v>PROTECTIONRL_ESTT_CTY</v>
      </c>
    </row>
    <row r="1645" spans="1:11" hidden="1">
      <c r="A1645" s="148" t="s">
        <v>4526</v>
      </c>
      <c r="B1645" s="148" t="s">
        <v>4527</v>
      </c>
      <c r="C1645" s="148" t="s">
        <v>4506</v>
      </c>
      <c r="D1645" s="148" t="s">
        <v>490</v>
      </c>
      <c r="E1645" s="148" t="s">
        <v>1009</v>
      </c>
      <c r="F1645" s="148" t="s">
        <v>4503</v>
      </c>
      <c r="G1645" s="148" t="s">
        <v>129</v>
      </c>
      <c r="H1645" s="148">
        <v>272377</v>
      </c>
      <c r="I1645" s="148">
        <v>0</v>
      </c>
      <c r="J1645" s="148">
        <v>0</v>
      </c>
      <c r="K1645" s="148" t="str">
        <f t="shared" si="25"/>
        <v>PROTECTIONRL_ESTT_PST_CD</v>
      </c>
    </row>
    <row r="1646" spans="1:11" hidden="1">
      <c r="A1646" s="148" t="s">
        <v>4528</v>
      </c>
      <c r="B1646" s="148" t="s">
        <v>4529</v>
      </c>
      <c r="C1646" s="148" t="s">
        <v>4506</v>
      </c>
      <c r="D1646" s="148" t="s">
        <v>490</v>
      </c>
      <c r="E1646" s="148" t="s">
        <v>1009</v>
      </c>
      <c r="F1646" s="148" t="s">
        <v>4503</v>
      </c>
      <c r="G1646" s="148" t="s">
        <v>129</v>
      </c>
      <c r="H1646" s="148">
        <v>192749</v>
      </c>
      <c r="I1646" s="148">
        <v>0</v>
      </c>
      <c r="J1646" s="148">
        <v>0</v>
      </c>
      <c r="K1646" s="148" t="str">
        <f t="shared" si="25"/>
        <v>PROTECTIONRL_ESTT_PST_CD</v>
      </c>
    </row>
    <row r="1647" spans="1:11" hidden="1">
      <c r="A1647" s="148" t="s">
        <v>4530</v>
      </c>
      <c r="B1647" s="148" t="s">
        <v>4531</v>
      </c>
      <c r="C1647" s="148" t="s">
        <v>4506</v>
      </c>
      <c r="D1647" s="148" t="s">
        <v>490</v>
      </c>
      <c r="E1647" s="148" t="s">
        <v>1009</v>
      </c>
      <c r="F1647" s="148" t="s">
        <v>4503</v>
      </c>
      <c r="G1647" s="148" t="s">
        <v>129</v>
      </c>
      <c r="H1647" s="148">
        <v>0</v>
      </c>
      <c r="I1647" s="148">
        <v>0</v>
      </c>
      <c r="J1647" s="148">
        <v>0</v>
      </c>
      <c r="K1647" s="148" t="str">
        <f t="shared" si="25"/>
        <v>PROTECTIONRL_ESTT_PST_CD</v>
      </c>
    </row>
    <row r="1648" spans="1:11" hidden="1">
      <c r="A1648" s="148" t="s">
        <v>4532</v>
      </c>
      <c r="B1648" s="148" t="s">
        <v>4533</v>
      </c>
      <c r="C1648" s="148" t="s">
        <v>4506</v>
      </c>
      <c r="D1648" s="148" t="s">
        <v>490</v>
      </c>
      <c r="E1648" s="148" t="s">
        <v>1009</v>
      </c>
      <c r="F1648" s="148" t="s">
        <v>4503</v>
      </c>
      <c r="G1648" s="148" t="s">
        <v>129</v>
      </c>
      <c r="H1648" s="148">
        <v>0</v>
      </c>
      <c r="I1648" s="148">
        <v>0</v>
      </c>
      <c r="J1648" s="148">
        <v>0</v>
      </c>
      <c r="K1648" s="148" t="str">
        <f t="shared" si="25"/>
        <v>PROTECTIONRL_ESTT_PST_CD</v>
      </c>
    </row>
    <row r="1649" spans="1:11" hidden="1">
      <c r="A1649" s="148" t="s">
        <v>4534</v>
      </c>
      <c r="B1649" s="148" t="s">
        <v>4535</v>
      </c>
      <c r="C1649" s="148" t="s">
        <v>4506</v>
      </c>
      <c r="D1649" s="148" t="s">
        <v>490</v>
      </c>
      <c r="E1649" s="148" t="s">
        <v>1009</v>
      </c>
      <c r="F1649" s="148" t="s">
        <v>4503</v>
      </c>
      <c r="G1649" s="148" t="s">
        <v>129</v>
      </c>
      <c r="H1649" s="148">
        <v>0</v>
      </c>
      <c r="I1649" s="148">
        <v>0</v>
      </c>
      <c r="J1649" s="148">
        <v>0</v>
      </c>
      <c r="K1649" s="148" t="str">
        <f t="shared" si="25"/>
        <v>PROTECTIONRL_ESTT_PST_CD</v>
      </c>
    </row>
    <row r="1650" spans="1:11" hidden="1">
      <c r="A1650" s="148" t="s">
        <v>4536</v>
      </c>
      <c r="B1650" s="148" t="s">
        <v>4537</v>
      </c>
      <c r="C1650" s="148" t="s">
        <v>4506</v>
      </c>
      <c r="D1650" s="148" t="s">
        <v>490</v>
      </c>
      <c r="E1650" s="148" t="s">
        <v>1009</v>
      </c>
      <c r="F1650" s="148" t="s">
        <v>4503</v>
      </c>
      <c r="G1650" s="148" t="s">
        <v>129</v>
      </c>
      <c r="H1650" s="148">
        <v>0</v>
      </c>
      <c r="I1650" s="148">
        <v>0</v>
      </c>
      <c r="J1650" s="148">
        <v>0</v>
      </c>
      <c r="K1650" s="148" t="str">
        <f t="shared" si="25"/>
        <v>PROTECTIONRL_ESTT_PST_CD</v>
      </c>
    </row>
    <row r="1651" spans="1:11" hidden="1">
      <c r="A1651" s="148" t="s">
        <v>4538</v>
      </c>
      <c r="B1651" s="148" t="s">
        <v>4539</v>
      </c>
      <c r="C1651" s="148" t="s">
        <v>1037</v>
      </c>
      <c r="D1651" s="148" t="s">
        <v>490</v>
      </c>
      <c r="E1651" s="148" t="s">
        <v>1009</v>
      </c>
      <c r="F1651" s="148" t="s">
        <v>4503</v>
      </c>
      <c r="G1651" s="148" t="s">
        <v>129</v>
      </c>
      <c r="H1651" s="148">
        <v>0</v>
      </c>
      <c r="I1651" s="148">
        <v>0</v>
      </c>
      <c r="J1651" s="148">
        <v>0</v>
      </c>
      <c r="K1651" s="148" t="str">
        <f t="shared" si="25"/>
        <v>PROTECTIONRL_ESTT_PST_CD</v>
      </c>
    </row>
    <row r="1652" spans="1:11" hidden="1">
      <c r="A1652" s="148" t="s">
        <v>4540</v>
      </c>
      <c r="B1652" s="148" t="s">
        <v>4541</v>
      </c>
      <c r="C1652" s="148" t="s">
        <v>4506</v>
      </c>
      <c r="D1652" s="148" t="s">
        <v>490</v>
      </c>
      <c r="E1652" s="148" t="s">
        <v>1009</v>
      </c>
      <c r="F1652" s="148" t="s">
        <v>4503</v>
      </c>
      <c r="G1652" s="148" t="s">
        <v>129</v>
      </c>
      <c r="H1652" s="148">
        <v>0</v>
      </c>
      <c r="I1652" s="148">
        <v>0</v>
      </c>
      <c r="J1652" s="148">
        <v>0</v>
      </c>
      <c r="K1652" s="148" t="str">
        <f t="shared" si="25"/>
        <v>PROTECTIONRL_ESTT_PST_CD</v>
      </c>
    </row>
    <row r="1653" spans="1:11" hidden="1">
      <c r="A1653" s="148" t="s">
        <v>4542</v>
      </c>
      <c r="B1653" s="148" t="s">
        <v>4543</v>
      </c>
      <c r="C1653" s="148" t="s">
        <v>4506</v>
      </c>
      <c r="D1653" s="148" t="s">
        <v>490</v>
      </c>
      <c r="E1653" s="148" t="s">
        <v>1009</v>
      </c>
      <c r="F1653" s="148" t="s">
        <v>4503</v>
      </c>
      <c r="G1653" s="148" t="s">
        <v>129</v>
      </c>
      <c r="H1653" s="148">
        <v>0</v>
      </c>
      <c r="I1653" s="148">
        <v>0</v>
      </c>
      <c r="J1653" s="148">
        <v>0</v>
      </c>
      <c r="K1653" s="148" t="str">
        <f t="shared" si="25"/>
        <v>PROTECTIONRL_ESTT_PST_CD</v>
      </c>
    </row>
    <row r="1654" spans="1:11" hidden="1">
      <c r="A1654" s="148" t="s">
        <v>4544</v>
      </c>
      <c r="B1654" s="148" t="s">
        <v>4545</v>
      </c>
      <c r="C1654" s="148" t="s">
        <v>4506</v>
      </c>
      <c r="D1654" s="148" t="s">
        <v>490</v>
      </c>
      <c r="E1654" s="148" t="s">
        <v>1009</v>
      </c>
      <c r="F1654" s="148" t="s">
        <v>4503</v>
      </c>
      <c r="G1654" s="148" t="s">
        <v>129</v>
      </c>
      <c r="H1654" s="148">
        <v>0</v>
      </c>
      <c r="I1654" s="148">
        <v>0</v>
      </c>
      <c r="J1654" s="148">
        <v>0</v>
      </c>
      <c r="K1654" s="148" t="str">
        <f t="shared" si="25"/>
        <v>PROTECTIONRL_ESTT_PST_CD</v>
      </c>
    </row>
    <row r="1655" spans="1:11" hidden="1">
      <c r="A1655" s="148" t="s">
        <v>4546</v>
      </c>
      <c r="B1655" s="148" t="s">
        <v>4547</v>
      </c>
      <c r="C1655" s="148" t="s">
        <v>4506</v>
      </c>
      <c r="D1655" s="148" t="s">
        <v>490</v>
      </c>
      <c r="E1655" s="148" t="s">
        <v>1009</v>
      </c>
      <c r="F1655" s="148" t="s">
        <v>4503</v>
      </c>
      <c r="G1655" s="148" t="s">
        <v>129</v>
      </c>
      <c r="H1655" s="148">
        <v>0</v>
      </c>
      <c r="I1655" s="148">
        <v>0</v>
      </c>
      <c r="J1655" s="148">
        <v>0</v>
      </c>
      <c r="K1655" s="148" t="str">
        <f t="shared" si="25"/>
        <v>PROTECTIONRL_ESTT_PST_CD</v>
      </c>
    </row>
    <row r="1656" spans="1:11" hidden="1">
      <c r="A1656" s="148" t="s">
        <v>4548</v>
      </c>
      <c r="B1656" s="148" t="s">
        <v>4549</v>
      </c>
      <c r="C1656" s="148" t="s">
        <v>4506</v>
      </c>
      <c r="D1656" s="148" t="s">
        <v>490</v>
      </c>
      <c r="E1656" s="148" t="s">
        <v>1009</v>
      </c>
      <c r="F1656" s="148" t="s">
        <v>4503</v>
      </c>
      <c r="G1656" s="148" t="s">
        <v>129</v>
      </c>
      <c r="H1656" s="148">
        <v>272377</v>
      </c>
      <c r="I1656" s="148">
        <v>0</v>
      </c>
      <c r="J1656" s="148">
        <v>0</v>
      </c>
      <c r="K1656" s="148" t="str">
        <f t="shared" si="25"/>
        <v>PROTECTIONRL_ESTT_PST_CD</v>
      </c>
    </row>
    <row r="1657" spans="1:11" hidden="1">
      <c r="A1657" s="148" t="s">
        <v>4550</v>
      </c>
      <c r="B1657" s="148" t="s">
        <v>4551</v>
      </c>
      <c r="C1657" s="148" t="s">
        <v>4506</v>
      </c>
      <c r="D1657" s="148" t="s">
        <v>490</v>
      </c>
      <c r="E1657" s="148" t="s">
        <v>1009</v>
      </c>
      <c r="F1657" s="148" t="s">
        <v>4503</v>
      </c>
      <c r="G1657" s="148" t="s">
        <v>129</v>
      </c>
      <c r="H1657" s="148">
        <v>0</v>
      </c>
      <c r="I1657" s="148">
        <v>0</v>
      </c>
      <c r="J1657" s="148">
        <v>0</v>
      </c>
      <c r="K1657" s="148" t="str">
        <f t="shared" si="25"/>
        <v>PROTECTIONRL_ESTT_PST_CD</v>
      </c>
    </row>
    <row r="1658" spans="1:11" hidden="1">
      <c r="A1658" s="148" t="s">
        <v>4552</v>
      </c>
      <c r="B1658" s="148" t="s">
        <v>4553</v>
      </c>
      <c r="C1658" s="148" t="s">
        <v>4506</v>
      </c>
      <c r="D1658" s="148" t="s">
        <v>490</v>
      </c>
      <c r="E1658" s="148" t="s">
        <v>1009</v>
      </c>
      <c r="F1658" s="148" t="s">
        <v>4503</v>
      </c>
      <c r="G1658" s="148" t="s">
        <v>129</v>
      </c>
      <c r="H1658" s="148">
        <v>0</v>
      </c>
      <c r="I1658" s="148">
        <v>0</v>
      </c>
      <c r="J1658" s="148">
        <v>0</v>
      </c>
      <c r="K1658" s="148" t="str">
        <f t="shared" si="25"/>
        <v>PROTECTIONRL_ESTT_PST_CD</v>
      </c>
    </row>
    <row r="1659" spans="1:11" hidden="1">
      <c r="A1659" s="148" t="s">
        <v>4554</v>
      </c>
      <c r="B1659" s="148" t="s">
        <v>4555</v>
      </c>
      <c r="C1659" s="148" t="s">
        <v>4506</v>
      </c>
      <c r="D1659" s="148" t="s">
        <v>490</v>
      </c>
      <c r="E1659" s="148" t="s">
        <v>1009</v>
      </c>
      <c r="F1659" s="148" t="s">
        <v>4503</v>
      </c>
      <c r="G1659" s="148" t="s">
        <v>129</v>
      </c>
      <c r="H1659" s="148">
        <v>272377</v>
      </c>
      <c r="I1659" s="148">
        <v>0</v>
      </c>
      <c r="J1659" s="148">
        <v>0</v>
      </c>
      <c r="K1659" s="148" t="str">
        <f t="shared" si="25"/>
        <v>PROTECTIONRL_ESTT_PST_CD</v>
      </c>
    </row>
    <row r="1660" spans="1:11" hidden="1">
      <c r="A1660" s="148" t="s">
        <v>4556</v>
      </c>
      <c r="B1660" s="148" t="s">
        <v>4557</v>
      </c>
      <c r="C1660" s="148" t="s">
        <v>4506</v>
      </c>
      <c r="D1660" s="148" t="s">
        <v>460</v>
      </c>
      <c r="E1660" s="148" t="s">
        <v>1009</v>
      </c>
      <c r="F1660" s="148" t="s">
        <v>4503</v>
      </c>
      <c r="G1660" s="148" t="s">
        <v>129</v>
      </c>
      <c r="H1660" s="148">
        <v>161924</v>
      </c>
      <c r="I1660" s="148">
        <v>0</v>
      </c>
      <c r="J1660" s="148">
        <v>0</v>
      </c>
      <c r="K1660" s="148" t="str">
        <f t="shared" si="25"/>
        <v>PROTECTIONPRTCTN_CLLD</v>
      </c>
    </row>
    <row r="1661" spans="1:11" hidden="1">
      <c r="A1661" s="148" t="s">
        <v>4558</v>
      </c>
      <c r="B1661" s="148" t="s">
        <v>656</v>
      </c>
      <c r="C1661" s="148" t="s">
        <v>4506</v>
      </c>
      <c r="D1661" s="148" t="s">
        <v>228</v>
      </c>
      <c r="E1661" s="148" t="s">
        <v>1009</v>
      </c>
      <c r="F1661" s="148" t="s">
        <v>4503</v>
      </c>
      <c r="G1661" s="148" t="s">
        <v>129</v>
      </c>
      <c r="H1661" s="148">
        <v>439600</v>
      </c>
      <c r="I1661" s="148">
        <v>0</v>
      </c>
      <c r="J1661" s="148">
        <v>0</v>
      </c>
      <c r="K1661" s="148" t="str">
        <f t="shared" si="25"/>
        <v>PROTECTIONTYP_PRTCTN</v>
      </c>
    </row>
    <row r="1662" spans="1:11" hidden="1">
      <c r="A1662" s="148" t="s">
        <v>4559</v>
      </c>
      <c r="B1662" s="148" t="s">
        <v>658</v>
      </c>
      <c r="C1662" s="148" t="s">
        <v>4506</v>
      </c>
      <c r="D1662" s="148" t="s">
        <v>228</v>
      </c>
      <c r="E1662" s="148" t="s">
        <v>1009</v>
      </c>
      <c r="F1662" s="148" t="s">
        <v>4503</v>
      </c>
      <c r="G1662" s="148" t="s">
        <v>129</v>
      </c>
      <c r="H1662" s="148">
        <v>0</v>
      </c>
      <c r="I1662" s="148">
        <v>0</v>
      </c>
      <c r="J1662" s="148">
        <v>0</v>
      </c>
      <c r="K1662" s="148" t="str">
        <f t="shared" si="25"/>
        <v>PROTECTIONTYP_PRTCTN</v>
      </c>
    </row>
    <row r="1663" spans="1:11" hidden="1">
      <c r="A1663" s="148" t="s">
        <v>4560</v>
      </c>
      <c r="B1663" s="148" t="s">
        <v>4561</v>
      </c>
      <c r="C1663" s="148" t="s">
        <v>4506</v>
      </c>
      <c r="D1663" s="148" t="s">
        <v>228</v>
      </c>
      <c r="E1663" s="148" t="s">
        <v>1009</v>
      </c>
      <c r="F1663" s="148" t="s">
        <v>4503</v>
      </c>
      <c r="G1663" s="148" t="s">
        <v>129</v>
      </c>
      <c r="H1663" s="148">
        <v>5264</v>
      </c>
      <c r="I1663" s="148">
        <v>0</v>
      </c>
      <c r="J1663" s="148">
        <v>0</v>
      </c>
      <c r="K1663" s="148" t="str">
        <f t="shared" si="25"/>
        <v>PROTECTIONTYP_PRTCTN</v>
      </c>
    </row>
    <row r="1664" spans="1:11" hidden="1">
      <c r="A1664" s="148" t="s">
        <v>4562</v>
      </c>
      <c r="B1664" s="148" t="s">
        <v>667</v>
      </c>
      <c r="C1664" s="148" t="s">
        <v>4506</v>
      </c>
      <c r="D1664" s="148" t="s">
        <v>228</v>
      </c>
      <c r="E1664" s="148" t="s">
        <v>1009</v>
      </c>
      <c r="F1664" s="148" t="s">
        <v>4503</v>
      </c>
      <c r="G1664" s="148" t="s">
        <v>129</v>
      </c>
      <c r="H1664" s="148">
        <v>7367</v>
      </c>
      <c r="I1664" s="148">
        <v>0</v>
      </c>
      <c r="J1664" s="148">
        <v>0</v>
      </c>
      <c r="K1664" s="148" t="str">
        <f t="shared" si="25"/>
        <v>PROTECTIONTYP_PRTCTN</v>
      </c>
    </row>
    <row r="1665" spans="1:11" hidden="1">
      <c r="A1665" s="148" t="s">
        <v>4563</v>
      </c>
      <c r="B1665" s="148" t="s">
        <v>697</v>
      </c>
      <c r="C1665" s="148" t="s">
        <v>4506</v>
      </c>
      <c r="D1665" s="148" t="s">
        <v>228</v>
      </c>
      <c r="E1665" s="148" t="s">
        <v>1009</v>
      </c>
      <c r="F1665" s="148" t="s">
        <v>4503</v>
      </c>
      <c r="G1665" s="148" t="s">
        <v>129</v>
      </c>
      <c r="H1665" s="148">
        <v>1265</v>
      </c>
      <c r="I1665" s="148">
        <v>0</v>
      </c>
      <c r="J1665" s="148">
        <v>0</v>
      </c>
      <c r="K1665" s="148" t="str">
        <f t="shared" si="25"/>
        <v>PROTECTIONTYP_PRTCTN</v>
      </c>
    </row>
    <row r="1666" spans="1:11" hidden="1">
      <c r="A1666" s="148" t="s">
        <v>4564</v>
      </c>
      <c r="B1666" s="148" t="s">
        <v>699</v>
      </c>
      <c r="C1666" s="148" t="s">
        <v>4506</v>
      </c>
      <c r="D1666" s="148" t="s">
        <v>228</v>
      </c>
      <c r="E1666" s="148" t="s">
        <v>1009</v>
      </c>
      <c r="F1666" s="148" t="s">
        <v>4503</v>
      </c>
      <c r="G1666" s="148" t="s">
        <v>129</v>
      </c>
      <c r="H1666" s="148">
        <v>0</v>
      </c>
      <c r="I1666" s="148">
        <v>0</v>
      </c>
      <c r="J1666" s="148">
        <v>0</v>
      </c>
      <c r="K1666" s="148" t="str">
        <f t="shared" si="25"/>
        <v>PROTECTIONTYP_PRTCTN</v>
      </c>
    </row>
    <row r="1667" spans="1:11" hidden="1">
      <c r="A1667" s="148" t="s">
        <v>4565</v>
      </c>
      <c r="B1667" s="148" t="s">
        <v>702</v>
      </c>
      <c r="C1667" s="148" t="s">
        <v>4506</v>
      </c>
      <c r="D1667" s="148" t="s">
        <v>228</v>
      </c>
      <c r="E1667" s="148" t="s">
        <v>1009</v>
      </c>
      <c r="F1667" s="148" t="s">
        <v>4503</v>
      </c>
      <c r="G1667" s="148" t="s">
        <v>129</v>
      </c>
      <c r="H1667" s="148">
        <v>65088</v>
      </c>
      <c r="I1667" s="148">
        <v>0</v>
      </c>
      <c r="J1667" s="148">
        <v>0</v>
      </c>
      <c r="K1667" s="148" t="str">
        <f t="shared" ref="K1667:K1730" si="26">_xlfn.CONCAT(_xlfn.IFS(ISNUMBER(SEARCH("EN",A1667)),"ENTITY",ISNUMBER(SEARCH("IN",A1667)),"INSTRUMENT",ISNUMBER(SEARCH("PR",A1667)),"PROTECTION",ISNUMBER(SEARCH("IP",A1667)),"INSTR_PROTECTION",ISNUMBER(SEARCH("IE",A1667)),"INSTR_ENTITY",ISNUMBER(SEARCH("AC",A1667)),"INSTR_ACTIVITY"),D1667)</f>
        <v>PROTECTIONTYP_PRTCTN</v>
      </c>
    </row>
    <row r="1668" spans="1:11" hidden="1">
      <c r="A1668" s="148" t="s">
        <v>4566</v>
      </c>
      <c r="B1668" s="148" t="s">
        <v>704</v>
      </c>
      <c r="C1668" s="148" t="s">
        <v>4506</v>
      </c>
      <c r="D1668" s="148" t="s">
        <v>228</v>
      </c>
      <c r="E1668" s="148" t="s">
        <v>1009</v>
      </c>
      <c r="F1668" s="148" t="s">
        <v>4503</v>
      </c>
      <c r="G1668" s="148" t="s">
        <v>129</v>
      </c>
      <c r="H1668" s="148">
        <v>24202</v>
      </c>
      <c r="I1668" s="148">
        <v>0</v>
      </c>
      <c r="J1668" s="148">
        <v>0</v>
      </c>
      <c r="K1668" s="148" t="str">
        <f t="shared" si="26"/>
        <v>PROTECTIONTYP_PRTCTN</v>
      </c>
    </row>
    <row r="1669" spans="1:11" hidden="1">
      <c r="A1669" s="148" t="s">
        <v>4567</v>
      </c>
      <c r="B1669" s="148" t="s">
        <v>706</v>
      </c>
      <c r="C1669" s="148" t="s">
        <v>4506</v>
      </c>
      <c r="D1669" s="148" t="s">
        <v>228</v>
      </c>
      <c r="E1669" s="148" t="s">
        <v>1009</v>
      </c>
      <c r="F1669" s="148" t="s">
        <v>4503</v>
      </c>
      <c r="G1669" s="148" t="s">
        <v>129</v>
      </c>
      <c r="H1669" s="148">
        <v>0</v>
      </c>
      <c r="I1669" s="148">
        <v>0</v>
      </c>
      <c r="J1669" s="148">
        <v>0</v>
      </c>
      <c r="K1669" s="148" t="str">
        <f t="shared" si="26"/>
        <v>PROTECTIONTYP_PRTCTN</v>
      </c>
    </row>
    <row r="1670" spans="1:11" hidden="1">
      <c r="A1670" s="148" t="s">
        <v>4568</v>
      </c>
      <c r="B1670" s="148" t="s">
        <v>708</v>
      </c>
      <c r="C1670" s="148" t="s">
        <v>4506</v>
      </c>
      <c r="D1670" s="148" t="s">
        <v>228</v>
      </c>
      <c r="E1670" s="148" t="s">
        <v>1009</v>
      </c>
      <c r="F1670" s="148" t="s">
        <v>4503</v>
      </c>
      <c r="G1670" s="148" t="s">
        <v>129</v>
      </c>
      <c r="H1670" s="148">
        <v>263039</v>
      </c>
      <c r="I1670" s="148">
        <v>0</v>
      </c>
      <c r="J1670" s="148">
        <v>0</v>
      </c>
      <c r="K1670" s="148" t="str">
        <f t="shared" si="26"/>
        <v>PROTECTIONTYP_PRTCTN</v>
      </c>
    </row>
    <row r="1671" spans="1:11" hidden="1">
      <c r="A1671" s="148" t="s">
        <v>4569</v>
      </c>
      <c r="B1671" s="148" t="s">
        <v>710</v>
      </c>
      <c r="C1671" s="148" t="s">
        <v>4506</v>
      </c>
      <c r="D1671" s="148" t="s">
        <v>228</v>
      </c>
      <c r="E1671" s="148" t="s">
        <v>1009</v>
      </c>
      <c r="F1671" s="148" t="s">
        <v>4503</v>
      </c>
      <c r="G1671" s="148" t="s">
        <v>129</v>
      </c>
      <c r="H1671" s="148">
        <v>259178</v>
      </c>
      <c r="I1671" s="148">
        <v>0</v>
      </c>
      <c r="J1671" s="148">
        <v>0</v>
      </c>
      <c r="K1671" s="148" t="str">
        <f t="shared" si="26"/>
        <v>PROTECTIONTYP_PRTCTN</v>
      </c>
    </row>
    <row r="1672" spans="1:11" hidden="1">
      <c r="A1672" s="148" t="s">
        <v>4570</v>
      </c>
      <c r="B1672" s="148" t="s">
        <v>836</v>
      </c>
      <c r="C1672" s="148" t="s">
        <v>4506</v>
      </c>
      <c r="D1672" s="148" t="s">
        <v>228</v>
      </c>
      <c r="E1672" s="148" t="s">
        <v>1009</v>
      </c>
      <c r="F1672" s="148" t="s">
        <v>4503</v>
      </c>
      <c r="G1672" s="148" t="s">
        <v>129</v>
      </c>
      <c r="H1672" s="148">
        <v>272234</v>
      </c>
      <c r="I1672" s="148">
        <v>0</v>
      </c>
      <c r="J1672" s="148">
        <v>0</v>
      </c>
      <c r="K1672" s="148" t="str">
        <f t="shared" si="26"/>
        <v>PROTECTIONTYP_PRTCTN</v>
      </c>
    </row>
    <row r="1673" spans="1:11" hidden="1">
      <c r="A1673" s="148" t="s">
        <v>4571</v>
      </c>
      <c r="B1673" s="148" t="s">
        <v>714</v>
      </c>
      <c r="C1673" s="148" t="s">
        <v>4506</v>
      </c>
      <c r="D1673" s="148" t="s">
        <v>228</v>
      </c>
      <c r="E1673" s="148" t="s">
        <v>1009</v>
      </c>
      <c r="F1673" s="148" t="s">
        <v>4503</v>
      </c>
      <c r="G1673" s="148" t="s">
        <v>129</v>
      </c>
      <c r="H1673" s="148">
        <v>0</v>
      </c>
      <c r="I1673" s="148">
        <v>0</v>
      </c>
      <c r="J1673" s="148">
        <v>0</v>
      </c>
      <c r="K1673" s="148" t="str">
        <f t="shared" si="26"/>
        <v>PROTECTIONTYP_PRTCTN</v>
      </c>
    </row>
    <row r="1674" spans="1:11" hidden="1">
      <c r="A1674" s="148" t="s">
        <v>4572</v>
      </c>
      <c r="B1674" s="148" t="s">
        <v>716</v>
      </c>
      <c r="C1674" s="148" t="s">
        <v>4506</v>
      </c>
      <c r="D1674" s="148" t="s">
        <v>228</v>
      </c>
      <c r="E1674" s="148" t="s">
        <v>1009</v>
      </c>
      <c r="F1674" s="148" t="s">
        <v>4503</v>
      </c>
      <c r="G1674" s="148" t="s">
        <v>129</v>
      </c>
      <c r="H1674" s="148">
        <v>0</v>
      </c>
      <c r="I1674" s="148">
        <v>0</v>
      </c>
      <c r="J1674" s="148">
        <v>0</v>
      </c>
      <c r="K1674" s="148" t="str">
        <f t="shared" si="26"/>
        <v>PROTECTIONTYP_PRTCTN</v>
      </c>
    </row>
    <row r="1675" spans="1:11" hidden="1">
      <c r="A1675" s="148" t="s">
        <v>4573</v>
      </c>
      <c r="B1675" s="148" t="s">
        <v>4574</v>
      </c>
      <c r="C1675" s="148" t="s">
        <v>4506</v>
      </c>
      <c r="D1675" s="148" t="s">
        <v>228</v>
      </c>
      <c r="E1675" s="148" t="s">
        <v>1009</v>
      </c>
      <c r="F1675" s="148" t="s">
        <v>4503</v>
      </c>
      <c r="G1675" s="148" t="s">
        <v>129</v>
      </c>
      <c r="H1675" s="148">
        <v>0</v>
      </c>
      <c r="I1675" s="148">
        <v>0</v>
      </c>
      <c r="J1675" s="148">
        <v>0</v>
      </c>
      <c r="K1675" s="148" t="str">
        <f t="shared" si="26"/>
        <v>PROTECTIONTYP_PRTCTN</v>
      </c>
    </row>
    <row r="1676" spans="1:11" hidden="1">
      <c r="A1676" s="148" t="s">
        <v>4575</v>
      </c>
      <c r="B1676" s="148" t="s">
        <v>718</v>
      </c>
      <c r="C1676" s="148" t="s">
        <v>1037</v>
      </c>
      <c r="D1676" s="148" t="s">
        <v>228</v>
      </c>
      <c r="E1676" s="148" t="s">
        <v>1009</v>
      </c>
      <c r="F1676" s="148" t="s">
        <v>4503</v>
      </c>
      <c r="G1676" s="148" t="s">
        <v>129</v>
      </c>
      <c r="H1676" s="148">
        <v>0</v>
      </c>
      <c r="I1676" s="148">
        <v>0</v>
      </c>
      <c r="J1676" s="148">
        <v>0</v>
      </c>
      <c r="K1676" s="148" t="str">
        <f t="shared" si="26"/>
        <v>PROTECTIONTYP_PRTCTN</v>
      </c>
    </row>
    <row r="1677" spans="1:11" hidden="1">
      <c r="A1677" s="148" t="s">
        <v>4576</v>
      </c>
      <c r="B1677" s="148" t="s">
        <v>720</v>
      </c>
      <c r="C1677" s="148" t="s">
        <v>1037</v>
      </c>
      <c r="D1677" s="148" t="s">
        <v>228</v>
      </c>
      <c r="E1677" s="148" t="s">
        <v>1009</v>
      </c>
      <c r="F1677" s="148" t="s">
        <v>4503</v>
      </c>
      <c r="G1677" s="148" t="s">
        <v>129</v>
      </c>
      <c r="H1677" s="148">
        <v>0</v>
      </c>
      <c r="I1677" s="148">
        <v>0</v>
      </c>
      <c r="J1677" s="148">
        <v>0</v>
      </c>
      <c r="K1677" s="148" t="str">
        <f t="shared" si="26"/>
        <v>PROTECTIONTYP_PRTCTN</v>
      </c>
    </row>
    <row r="1678" spans="1:11" hidden="1">
      <c r="A1678" s="148" t="s">
        <v>4577</v>
      </c>
      <c r="B1678" s="148" t="s">
        <v>721</v>
      </c>
      <c r="C1678" s="148" t="s">
        <v>1037</v>
      </c>
      <c r="D1678" s="148" t="s">
        <v>228</v>
      </c>
      <c r="E1678" s="148" t="s">
        <v>1009</v>
      </c>
      <c r="F1678" s="148" t="s">
        <v>4503</v>
      </c>
      <c r="G1678" s="148" t="s">
        <v>129</v>
      </c>
      <c r="H1678" s="148">
        <v>0</v>
      </c>
      <c r="I1678" s="148">
        <v>0</v>
      </c>
      <c r="J1678" s="148">
        <v>0</v>
      </c>
      <c r="K1678" s="148" t="str">
        <f t="shared" si="26"/>
        <v>PROTECTIONTYP_PRTCTN</v>
      </c>
    </row>
    <row r="1679" spans="1:11" hidden="1">
      <c r="A1679" s="148" t="s">
        <v>4578</v>
      </c>
      <c r="B1679" s="148" t="s">
        <v>1070</v>
      </c>
      <c r="C1679" s="148" t="s">
        <v>1037</v>
      </c>
      <c r="D1679" s="148" t="s">
        <v>228</v>
      </c>
      <c r="E1679" s="148" t="s">
        <v>1009</v>
      </c>
      <c r="F1679" s="148" t="s">
        <v>4503</v>
      </c>
      <c r="G1679" s="148" t="s">
        <v>1011</v>
      </c>
      <c r="H1679" s="148">
        <v>3949</v>
      </c>
      <c r="I1679" s="148">
        <v>1</v>
      </c>
      <c r="J1679" s="148">
        <v>2.53E-2</v>
      </c>
      <c r="K1679" s="148" t="str">
        <f t="shared" si="26"/>
        <v>PROTECTIONTYP_PRTCTN</v>
      </c>
    </row>
    <row r="1680" spans="1:11" hidden="1">
      <c r="A1680" s="148" t="s">
        <v>4579</v>
      </c>
      <c r="B1680" s="148" t="s">
        <v>1092</v>
      </c>
      <c r="C1680" s="148" t="s">
        <v>1037</v>
      </c>
      <c r="D1680" s="148" t="s">
        <v>228</v>
      </c>
      <c r="E1680" s="148" t="s">
        <v>1009</v>
      </c>
      <c r="F1680" s="148" t="s">
        <v>4503</v>
      </c>
      <c r="G1680" s="148" t="s">
        <v>129</v>
      </c>
      <c r="H1680" s="148">
        <v>350921</v>
      </c>
      <c r="I1680" s="148">
        <v>0</v>
      </c>
      <c r="J1680" s="148">
        <v>0</v>
      </c>
      <c r="K1680" s="148" t="str">
        <f t="shared" si="26"/>
        <v>PROTECTIONTYP_PRTCTN</v>
      </c>
    </row>
    <row r="1681" spans="1:11" hidden="1">
      <c r="A1681" s="148" t="s">
        <v>4580</v>
      </c>
      <c r="B1681" s="148" t="s">
        <v>4581</v>
      </c>
      <c r="C1681" s="148" t="s">
        <v>4506</v>
      </c>
      <c r="D1681" s="148" t="s">
        <v>537</v>
      </c>
      <c r="E1681" s="148" t="s">
        <v>1009</v>
      </c>
      <c r="F1681" s="148" t="s">
        <v>4503</v>
      </c>
      <c r="G1681" s="148" t="s">
        <v>129</v>
      </c>
      <c r="H1681" s="148">
        <v>49</v>
      </c>
      <c r="I1681" s="148">
        <v>0</v>
      </c>
      <c r="J1681" s="148">
        <v>0</v>
      </c>
      <c r="K1681" s="148" t="str">
        <f t="shared" si="26"/>
        <v>PROTECTIONTYP_PRTCTN_VL</v>
      </c>
    </row>
    <row r="1682" spans="1:11" hidden="1">
      <c r="A1682" s="148" t="s">
        <v>4582</v>
      </c>
      <c r="B1682" s="148" t="s">
        <v>4583</v>
      </c>
      <c r="C1682" s="148" t="s">
        <v>4506</v>
      </c>
      <c r="D1682" s="148" t="s">
        <v>537</v>
      </c>
      <c r="E1682" s="148" t="s">
        <v>1009</v>
      </c>
      <c r="F1682" s="148" t="s">
        <v>4503</v>
      </c>
      <c r="G1682" s="148" t="s">
        <v>129</v>
      </c>
      <c r="H1682" s="148">
        <v>537</v>
      </c>
      <c r="I1682" s="148">
        <v>0</v>
      </c>
      <c r="J1682" s="148">
        <v>0</v>
      </c>
      <c r="K1682" s="148" t="str">
        <f t="shared" si="26"/>
        <v>PROTECTIONTYP_PRTCTN_VL</v>
      </c>
    </row>
    <row r="1683" spans="1:11" hidden="1">
      <c r="A1683" s="148" t="s">
        <v>4584</v>
      </c>
      <c r="B1683" s="148" t="s">
        <v>4585</v>
      </c>
      <c r="C1683" s="148" t="s">
        <v>4506</v>
      </c>
      <c r="D1683" s="148" t="s">
        <v>537</v>
      </c>
      <c r="E1683" s="148" t="s">
        <v>1009</v>
      </c>
      <c r="F1683" s="148" t="s">
        <v>4503</v>
      </c>
      <c r="G1683" s="148" t="s">
        <v>129</v>
      </c>
      <c r="H1683" s="148">
        <v>1265</v>
      </c>
      <c r="I1683" s="148">
        <v>0</v>
      </c>
      <c r="J1683" s="148">
        <v>0</v>
      </c>
      <c r="K1683" s="148" t="str">
        <f t="shared" si="26"/>
        <v>PROTECTIONTYP_PRTCTN_VL</v>
      </c>
    </row>
    <row r="1684" spans="1:11" hidden="1">
      <c r="A1684" s="148" t="s">
        <v>4586</v>
      </c>
      <c r="B1684" s="148" t="s">
        <v>4587</v>
      </c>
      <c r="C1684" s="148" t="s">
        <v>4506</v>
      </c>
      <c r="D1684" s="148" t="s">
        <v>537</v>
      </c>
      <c r="E1684" s="148" t="s">
        <v>1009</v>
      </c>
      <c r="F1684" s="148" t="s">
        <v>4503</v>
      </c>
      <c r="G1684" s="148" t="s">
        <v>129</v>
      </c>
      <c r="H1684" s="148">
        <v>7192</v>
      </c>
      <c r="I1684" s="148">
        <v>0</v>
      </c>
      <c r="J1684" s="148">
        <v>0</v>
      </c>
      <c r="K1684" s="148" t="str">
        <f t="shared" si="26"/>
        <v>PROTECTIONTYP_PRTCTN_VL</v>
      </c>
    </row>
    <row r="1685" spans="1:11" hidden="1">
      <c r="A1685" s="148" t="s">
        <v>4588</v>
      </c>
      <c r="B1685" s="148" t="s">
        <v>4589</v>
      </c>
      <c r="C1685" s="148" t="s">
        <v>4506</v>
      </c>
      <c r="D1685" s="148" t="s">
        <v>537</v>
      </c>
      <c r="E1685" s="148" t="s">
        <v>1009</v>
      </c>
      <c r="F1685" s="148" t="s">
        <v>4503</v>
      </c>
      <c r="G1685" s="148" t="s">
        <v>129</v>
      </c>
      <c r="H1685" s="148">
        <v>64723</v>
      </c>
      <c r="I1685" s="148">
        <v>0</v>
      </c>
      <c r="J1685" s="148">
        <v>0</v>
      </c>
      <c r="K1685" s="148" t="str">
        <f t="shared" si="26"/>
        <v>PROTECTIONTYP_PRTCTN_VL</v>
      </c>
    </row>
    <row r="1686" spans="1:11" hidden="1">
      <c r="A1686" s="148" t="s">
        <v>4590</v>
      </c>
      <c r="B1686" s="148" t="s">
        <v>4591</v>
      </c>
      <c r="C1686" s="148" t="s">
        <v>4506</v>
      </c>
      <c r="D1686" s="148" t="s">
        <v>157</v>
      </c>
      <c r="E1686" s="148" t="s">
        <v>1009</v>
      </c>
      <c r="F1686" s="148" t="s">
        <v>4503</v>
      </c>
      <c r="G1686" s="148" t="s">
        <v>129</v>
      </c>
      <c r="H1686" s="148">
        <v>302625</v>
      </c>
      <c r="I1686" s="148">
        <v>0</v>
      </c>
      <c r="J1686" s="148">
        <v>0</v>
      </c>
      <c r="K1686" s="148" t="str">
        <f t="shared" si="26"/>
        <v>PROTECTIONAPPRSL_CRRNCY</v>
      </c>
    </row>
    <row r="1687" spans="1:11" hidden="1">
      <c r="A1687" s="148" t="s">
        <v>4592</v>
      </c>
      <c r="B1687" s="148" t="s">
        <v>4593</v>
      </c>
      <c r="C1687" s="148" t="s">
        <v>4506</v>
      </c>
      <c r="D1687" s="148" t="s">
        <v>157</v>
      </c>
      <c r="E1687" s="148" t="s">
        <v>1009</v>
      </c>
      <c r="F1687" s="148" t="s">
        <v>4503</v>
      </c>
      <c r="G1687" s="148" t="s">
        <v>129</v>
      </c>
      <c r="H1687" s="148">
        <v>161924</v>
      </c>
      <c r="I1687" s="148">
        <v>0</v>
      </c>
      <c r="J1687" s="148">
        <v>0</v>
      </c>
      <c r="K1687" s="148" t="str">
        <f t="shared" si="26"/>
        <v>PROTECTIONAPPRSL_CRRNCY</v>
      </c>
    </row>
    <row r="1688" spans="1:11" hidden="1">
      <c r="A1688" s="148" t="s">
        <v>4594</v>
      </c>
      <c r="B1688" s="148" t="s">
        <v>4595</v>
      </c>
      <c r="C1688" s="148" t="s">
        <v>4506</v>
      </c>
      <c r="D1688" s="148" t="s">
        <v>159</v>
      </c>
      <c r="E1688" s="148" t="s">
        <v>1009</v>
      </c>
      <c r="F1688" s="148" t="s">
        <v>4503</v>
      </c>
      <c r="G1688" s="148" t="s">
        <v>129</v>
      </c>
      <c r="H1688" s="148">
        <v>161924</v>
      </c>
      <c r="I1688" s="148">
        <v>0</v>
      </c>
      <c r="J1688" s="148">
        <v>0</v>
      </c>
      <c r="K1688" s="148" t="str">
        <f t="shared" si="26"/>
        <v>PROTECTIONAPPRSR</v>
      </c>
    </row>
    <row r="1689" spans="1:11" hidden="1">
      <c r="A1689" s="148" t="s">
        <v>4596</v>
      </c>
      <c r="B1689" s="148" t="s">
        <v>892</v>
      </c>
      <c r="C1689" s="148" t="s">
        <v>4506</v>
      </c>
      <c r="D1689" s="148" t="s">
        <v>267</v>
      </c>
      <c r="E1689" s="148" t="s">
        <v>1009</v>
      </c>
      <c r="F1689" s="148" t="s">
        <v>4503</v>
      </c>
      <c r="G1689" s="148" t="s">
        <v>129</v>
      </c>
      <c r="H1689" s="148">
        <v>24202</v>
      </c>
      <c r="I1689" s="148">
        <v>0</v>
      </c>
      <c r="J1689" s="148">
        <v>0</v>
      </c>
      <c r="K1689" s="148" t="str">
        <f t="shared" si="26"/>
        <v>PROTECTIONDT_LST_FLL_APPRSL</v>
      </c>
    </row>
    <row r="1690" spans="1:11" hidden="1">
      <c r="A1690" s="148" t="s">
        <v>4597</v>
      </c>
      <c r="B1690" s="148" t="s">
        <v>635</v>
      </c>
      <c r="C1690" s="148" t="s">
        <v>4506</v>
      </c>
      <c r="D1690" s="148" t="s">
        <v>267</v>
      </c>
      <c r="E1690" s="148" t="s">
        <v>1009</v>
      </c>
      <c r="F1690" s="148" t="s">
        <v>4503</v>
      </c>
      <c r="G1690" s="148" t="s">
        <v>129</v>
      </c>
      <c r="H1690" s="148">
        <v>259178</v>
      </c>
      <c r="I1690" s="148">
        <v>0</v>
      </c>
      <c r="J1690" s="148">
        <v>0</v>
      </c>
      <c r="K1690" s="148" t="str">
        <f t="shared" si="26"/>
        <v>PROTECTIONDT_LST_FLL_APPRSL</v>
      </c>
    </row>
    <row r="1691" spans="1:11" hidden="1">
      <c r="A1691" s="148" t="s">
        <v>4598</v>
      </c>
      <c r="B1691" s="148" t="s">
        <v>800</v>
      </c>
      <c r="C1691" s="148" t="s">
        <v>4506</v>
      </c>
      <c r="D1691" s="148" t="s">
        <v>43</v>
      </c>
      <c r="E1691" s="148" t="s">
        <v>1009</v>
      </c>
      <c r="F1691" s="148" t="s">
        <v>4503</v>
      </c>
      <c r="G1691" s="148" t="s">
        <v>1011</v>
      </c>
      <c r="H1691" s="148">
        <v>277414</v>
      </c>
      <c r="I1691" s="148">
        <v>2</v>
      </c>
      <c r="J1691" s="148">
        <v>6.9999999999999999E-4</v>
      </c>
      <c r="K1691" s="148" t="str">
        <f t="shared" si="26"/>
        <v>PROTECTIONDT_ORGNL_PRTCTN_VL</v>
      </c>
    </row>
    <row r="1692" spans="1:11" hidden="1">
      <c r="A1692" s="148" t="s">
        <v>4599</v>
      </c>
      <c r="B1692" s="148" t="s">
        <v>803</v>
      </c>
      <c r="C1692" s="148" t="s">
        <v>4506</v>
      </c>
      <c r="D1692" s="148" t="s">
        <v>43</v>
      </c>
      <c r="E1692" s="148" t="s">
        <v>1009</v>
      </c>
      <c r="F1692" s="148" t="s">
        <v>4503</v>
      </c>
      <c r="G1692" s="148" t="s">
        <v>1011</v>
      </c>
      <c r="H1692" s="148">
        <v>302790</v>
      </c>
      <c r="I1692" s="148">
        <v>3</v>
      </c>
      <c r="J1692" s="148">
        <v>1E-3</v>
      </c>
      <c r="K1692" s="148" t="str">
        <f t="shared" si="26"/>
        <v>PROTECTIONDT_ORGNL_PRTCTN_VL</v>
      </c>
    </row>
    <row r="1693" spans="1:11" hidden="1">
      <c r="A1693" s="148" t="s">
        <v>4600</v>
      </c>
      <c r="B1693" s="148" t="s">
        <v>4601</v>
      </c>
      <c r="C1693" s="148" t="s">
        <v>4506</v>
      </c>
      <c r="D1693" s="148" t="s">
        <v>43</v>
      </c>
      <c r="E1693" s="148" t="s">
        <v>1009</v>
      </c>
      <c r="F1693" s="148" t="s">
        <v>4503</v>
      </c>
      <c r="G1693" s="148" t="s">
        <v>129</v>
      </c>
      <c r="H1693" s="148">
        <v>161924</v>
      </c>
      <c r="I1693" s="148">
        <v>0</v>
      </c>
      <c r="J1693" s="148">
        <v>0</v>
      </c>
      <c r="K1693" s="148" t="str">
        <f t="shared" si="26"/>
        <v>PROTECTIONDT_ORGNL_PRTCTN_VL</v>
      </c>
    </row>
    <row r="1694" spans="1:11" hidden="1">
      <c r="A1694" s="148" t="s">
        <v>4602</v>
      </c>
      <c r="B1694" s="148" t="s">
        <v>4603</v>
      </c>
      <c r="C1694" s="148" t="s">
        <v>4506</v>
      </c>
      <c r="D1694" s="148" t="s">
        <v>235</v>
      </c>
      <c r="E1694" s="148" t="s">
        <v>1009</v>
      </c>
      <c r="F1694" s="148" t="s">
        <v>4503</v>
      </c>
      <c r="G1694" s="148" t="s">
        <v>1011</v>
      </c>
      <c r="H1694" s="148">
        <v>1265</v>
      </c>
      <c r="I1694" s="148">
        <v>1258</v>
      </c>
      <c r="J1694" s="148">
        <v>99.446600000000004</v>
      </c>
      <c r="K1694" s="148" t="str">
        <f t="shared" si="26"/>
        <v>PROTECTIONDT_PRTCTN_VL</v>
      </c>
    </row>
    <row r="1695" spans="1:11" hidden="1">
      <c r="A1695" s="148" t="s">
        <v>4604</v>
      </c>
      <c r="B1695" s="148" t="s">
        <v>731</v>
      </c>
      <c r="C1695" s="148" t="s">
        <v>4506</v>
      </c>
      <c r="D1695" s="148" t="s">
        <v>235</v>
      </c>
      <c r="E1695" s="148" t="s">
        <v>1009</v>
      </c>
      <c r="F1695" s="148" t="s">
        <v>4503</v>
      </c>
      <c r="G1695" s="148" t="s">
        <v>1011</v>
      </c>
      <c r="H1695" s="148">
        <v>277414</v>
      </c>
      <c r="I1695" s="148">
        <v>10</v>
      </c>
      <c r="J1695" s="148">
        <v>3.5999999999999999E-3</v>
      </c>
      <c r="K1695" s="148" t="str">
        <f t="shared" si="26"/>
        <v>PROTECTIONDT_PRTCTN_VL</v>
      </c>
    </row>
    <row r="1696" spans="1:11" hidden="1">
      <c r="A1696" s="148" t="s">
        <v>4605</v>
      </c>
      <c r="B1696" s="148" t="s">
        <v>733</v>
      </c>
      <c r="C1696" s="148" t="s">
        <v>4506</v>
      </c>
      <c r="D1696" s="148" t="s">
        <v>235</v>
      </c>
      <c r="E1696" s="148" t="s">
        <v>1009</v>
      </c>
      <c r="F1696" s="148" t="s">
        <v>4503</v>
      </c>
      <c r="G1696" s="148" t="s">
        <v>129</v>
      </c>
      <c r="H1696" s="148">
        <v>259178</v>
      </c>
      <c r="I1696" s="148">
        <v>0</v>
      </c>
      <c r="J1696" s="148">
        <v>0</v>
      </c>
      <c r="K1696" s="148" t="str">
        <f t="shared" si="26"/>
        <v>PROTECTIONDT_PRTCTN_VL</v>
      </c>
    </row>
    <row r="1697" spans="1:11" hidden="1">
      <c r="A1697" s="148" t="s">
        <v>4606</v>
      </c>
      <c r="B1697" s="148" t="s">
        <v>735</v>
      </c>
      <c r="C1697" s="148" t="s">
        <v>4506</v>
      </c>
      <c r="D1697" s="148" t="s">
        <v>235</v>
      </c>
      <c r="E1697" s="148" t="s">
        <v>1009</v>
      </c>
      <c r="F1697" s="148" t="s">
        <v>4503</v>
      </c>
      <c r="G1697" s="148" t="s">
        <v>129</v>
      </c>
      <c r="H1697" s="148">
        <v>24202</v>
      </c>
      <c r="I1697" s="148">
        <v>0</v>
      </c>
      <c r="J1697" s="148">
        <v>0</v>
      </c>
      <c r="K1697" s="148" t="str">
        <f t="shared" si="26"/>
        <v>PROTECTIONDT_PRTCTN_VL</v>
      </c>
    </row>
    <row r="1698" spans="1:11" hidden="1">
      <c r="A1698" s="148" t="s">
        <v>4607</v>
      </c>
      <c r="B1698" s="148" t="s">
        <v>4608</v>
      </c>
      <c r="C1698" s="148" t="s">
        <v>4506</v>
      </c>
      <c r="D1698" s="148" t="s">
        <v>235</v>
      </c>
      <c r="E1698" s="148" t="s">
        <v>1009</v>
      </c>
      <c r="F1698" s="148" t="s">
        <v>4503</v>
      </c>
      <c r="G1698" s="148" t="s">
        <v>129</v>
      </c>
      <c r="H1698" s="148">
        <v>161924</v>
      </c>
      <c r="I1698" s="148">
        <v>0</v>
      </c>
      <c r="J1698" s="148">
        <v>0</v>
      </c>
      <c r="K1698" s="148" t="str">
        <f t="shared" si="26"/>
        <v>PROTECTIONDT_PRTCTN_VL</v>
      </c>
    </row>
    <row r="1699" spans="1:11" hidden="1">
      <c r="A1699" s="148" t="s">
        <v>4609</v>
      </c>
      <c r="B1699" s="148" t="s">
        <v>813</v>
      </c>
      <c r="C1699" s="148" t="s">
        <v>4506</v>
      </c>
      <c r="D1699" s="148" t="s">
        <v>41</v>
      </c>
      <c r="E1699" s="148" t="s">
        <v>1009</v>
      </c>
      <c r="F1699" s="148" t="s">
        <v>4503</v>
      </c>
      <c r="G1699" s="148" t="s">
        <v>1011</v>
      </c>
      <c r="H1699" s="148">
        <v>302790</v>
      </c>
      <c r="I1699" s="148">
        <v>122</v>
      </c>
      <c r="J1699" s="148">
        <v>4.0300000000000002E-2</v>
      </c>
      <c r="K1699" s="148" t="str">
        <f t="shared" si="26"/>
        <v>PROTECTIONORGNL_PRTCTN_VL</v>
      </c>
    </row>
    <row r="1700" spans="1:11" hidden="1">
      <c r="A1700" s="148" t="s">
        <v>4610</v>
      </c>
      <c r="B1700" s="148" t="s">
        <v>815</v>
      </c>
      <c r="C1700" s="148" t="s">
        <v>4506</v>
      </c>
      <c r="D1700" s="148" t="s">
        <v>41</v>
      </c>
      <c r="E1700" s="148" t="s">
        <v>1009</v>
      </c>
      <c r="F1700" s="148" t="s">
        <v>4503</v>
      </c>
      <c r="G1700" s="148" t="s">
        <v>129</v>
      </c>
      <c r="H1700" s="148">
        <v>162336</v>
      </c>
      <c r="I1700" s="148">
        <v>0</v>
      </c>
      <c r="J1700" s="148">
        <v>0</v>
      </c>
      <c r="K1700" s="148" t="str">
        <f t="shared" si="26"/>
        <v>PROTECTIONORGNL_PRTCTN_VL</v>
      </c>
    </row>
    <row r="1701" spans="1:11" hidden="1">
      <c r="A1701" s="148" t="s">
        <v>4611</v>
      </c>
      <c r="B1701" s="148" t="s">
        <v>4612</v>
      </c>
      <c r="C1701" s="148" t="s">
        <v>4506</v>
      </c>
      <c r="D1701" s="148" t="s">
        <v>41</v>
      </c>
      <c r="E1701" s="148" t="s">
        <v>1009</v>
      </c>
      <c r="F1701" s="148" t="s">
        <v>4503</v>
      </c>
      <c r="G1701" s="148" t="s">
        <v>129</v>
      </c>
      <c r="H1701" s="148">
        <v>161924</v>
      </c>
      <c r="I1701" s="148">
        <v>0</v>
      </c>
      <c r="J1701" s="148">
        <v>0</v>
      </c>
      <c r="K1701" s="148" t="str">
        <f t="shared" si="26"/>
        <v>PROTECTIONORGNL_PRTCTN_VL</v>
      </c>
    </row>
    <row r="1702" spans="1:11" hidden="1">
      <c r="A1702" s="148" t="s">
        <v>4613</v>
      </c>
      <c r="B1702" s="148" t="s">
        <v>742</v>
      </c>
      <c r="C1702" s="148" t="s">
        <v>1037</v>
      </c>
      <c r="D1702" s="148" t="s">
        <v>78</v>
      </c>
      <c r="E1702" s="148" t="s">
        <v>1009</v>
      </c>
      <c r="F1702" s="148" t="s">
        <v>4503</v>
      </c>
      <c r="G1702" s="148" t="s">
        <v>1011</v>
      </c>
      <c r="H1702" s="148">
        <v>419214</v>
      </c>
      <c r="I1702" s="148">
        <v>32</v>
      </c>
      <c r="J1702" s="148">
        <v>7.6E-3</v>
      </c>
      <c r="K1702" s="148" t="str">
        <f t="shared" si="26"/>
        <v>PROTECTIONPRTCTN_VL</v>
      </c>
    </row>
    <row r="1703" spans="1:11" hidden="1">
      <c r="A1703" s="148" t="s">
        <v>4614</v>
      </c>
      <c r="B1703" s="148" t="s">
        <v>744</v>
      </c>
      <c r="C1703" s="148" t="s">
        <v>4506</v>
      </c>
      <c r="D1703" s="148" t="s">
        <v>78</v>
      </c>
      <c r="E1703" s="148" t="s">
        <v>1009</v>
      </c>
      <c r="F1703" s="148" t="s">
        <v>4503</v>
      </c>
      <c r="G1703" s="148" t="s">
        <v>1011</v>
      </c>
      <c r="H1703" s="148">
        <v>277414</v>
      </c>
      <c r="I1703" s="148">
        <v>165</v>
      </c>
      <c r="J1703" s="148">
        <v>5.9499999999999997E-2</v>
      </c>
      <c r="K1703" s="148" t="str">
        <f t="shared" si="26"/>
        <v>PROTECTIONPRTCTN_VL</v>
      </c>
    </row>
    <row r="1704" spans="1:11" hidden="1">
      <c r="A1704" s="148" t="s">
        <v>4615</v>
      </c>
      <c r="B1704" s="148" t="s">
        <v>747</v>
      </c>
      <c r="C1704" s="148" t="s">
        <v>1037</v>
      </c>
      <c r="D1704" s="148" t="s">
        <v>78</v>
      </c>
      <c r="E1704" s="148" t="s">
        <v>1009</v>
      </c>
      <c r="F1704" s="148" t="s">
        <v>4503</v>
      </c>
      <c r="G1704" s="148" t="s">
        <v>1011</v>
      </c>
      <c r="H1704" s="148">
        <v>465126</v>
      </c>
      <c r="I1704" s="148">
        <v>40</v>
      </c>
      <c r="J1704" s="148">
        <v>8.6E-3</v>
      </c>
      <c r="K1704" s="148" t="str">
        <f t="shared" si="26"/>
        <v>PROTECTIONPRTCTN_VL</v>
      </c>
    </row>
    <row r="1705" spans="1:11" hidden="1">
      <c r="A1705" s="148" t="s">
        <v>4616</v>
      </c>
      <c r="B1705" s="148" t="s">
        <v>4617</v>
      </c>
      <c r="C1705" s="148" t="s">
        <v>4506</v>
      </c>
      <c r="D1705" s="148" t="s">
        <v>78</v>
      </c>
      <c r="E1705" s="148" t="s">
        <v>1009</v>
      </c>
      <c r="F1705" s="148" t="s">
        <v>4503</v>
      </c>
      <c r="G1705" s="148" t="s">
        <v>129</v>
      </c>
      <c r="H1705" s="148">
        <v>161924</v>
      </c>
      <c r="I1705" s="148">
        <v>0</v>
      </c>
      <c r="J1705" s="148">
        <v>0</v>
      </c>
      <c r="K1705" s="148" t="str">
        <f t="shared" si="26"/>
        <v>PROTECTIONPRTCTN_VL</v>
      </c>
    </row>
    <row r="1706" spans="1:11" hidden="1">
      <c r="A1706" s="148" t="s">
        <v>4618</v>
      </c>
      <c r="B1706" s="148" t="s">
        <v>4619</v>
      </c>
      <c r="C1706" s="148" t="s">
        <v>1037</v>
      </c>
      <c r="D1706" s="148" t="s">
        <v>534</v>
      </c>
      <c r="E1706" s="148" t="s">
        <v>1009</v>
      </c>
      <c r="F1706" s="148" t="s">
        <v>4503</v>
      </c>
      <c r="G1706" s="148" t="s">
        <v>129</v>
      </c>
      <c r="H1706" s="148">
        <v>6153</v>
      </c>
      <c r="I1706" s="148">
        <v>0</v>
      </c>
      <c r="J1706" s="148">
        <v>0</v>
      </c>
      <c r="K1706" s="148" t="str">
        <f t="shared" si="26"/>
        <v>PROTECTIONPRTCTN_VL_NPE</v>
      </c>
    </row>
    <row r="1707" spans="1:11" hidden="1">
      <c r="A1707" s="148" t="s">
        <v>4620</v>
      </c>
      <c r="B1707" s="148" t="s">
        <v>4621</v>
      </c>
      <c r="C1707" s="148" t="s">
        <v>4506</v>
      </c>
      <c r="D1707" s="148" t="s">
        <v>534</v>
      </c>
      <c r="E1707" s="148" t="s">
        <v>1009</v>
      </c>
      <c r="F1707" s="148" t="s">
        <v>4503</v>
      </c>
      <c r="G1707" s="148" t="s">
        <v>129</v>
      </c>
      <c r="H1707" s="148">
        <v>161924</v>
      </c>
      <c r="I1707" s="148">
        <v>0</v>
      </c>
      <c r="J1707" s="148">
        <v>0</v>
      </c>
      <c r="K1707" s="148" t="str">
        <f t="shared" si="26"/>
        <v>PROTECTIONPRTCTN_VL_NPE</v>
      </c>
    </row>
    <row r="1708" spans="1:11" hidden="1">
      <c r="A1708" s="148" t="s">
        <v>4622</v>
      </c>
      <c r="B1708" s="148" t="s">
        <v>4623</v>
      </c>
      <c r="C1708" s="148" t="s">
        <v>4506</v>
      </c>
      <c r="D1708" s="148" t="s">
        <v>469</v>
      </c>
      <c r="E1708" s="148" t="s">
        <v>1009</v>
      </c>
      <c r="F1708" s="148" t="s">
        <v>4503</v>
      </c>
      <c r="G1708" s="148" t="s">
        <v>129</v>
      </c>
      <c r="H1708" s="148">
        <v>302625</v>
      </c>
      <c r="I1708" s="148">
        <v>0</v>
      </c>
      <c r="J1708" s="148">
        <v>0</v>
      </c>
      <c r="K1708" s="148" t="str">
        <f t="shared" si="26"/>
        <v>PROTECTIONPRTCTN_VLTN_APPRCH</v>
      </c>
    </row>
    <row r="1709" spans="1:11" hidden="1">
      <c r="A1709" s="148" t="s">
        <v>4624</v>
      </c>
      <c r="B1709" s="148" t="s">
        <v>4625</v>
      </c>
      <c r="C1709" s="148" t="s">
        <v>4506</v>
      </c>
      <c r="D1709" s="148" t="s">
        <v>469</v>
      </c>
      <c r="E1709" s="148" t="s">
        <v>1009</v>
      </c>
      <c r="F1709" s="148" t="s">
        <v>4503</v>
      </c>
      <c r="G1709" s="148" t="s">
        <v>1011</v>
      </c>
      <c r="H1709" s="148">
        <v>161924</v>
      </c>
      <c r="I1709" s="148">
        <v>161924</v>
      </c>
      <c r="J1709" s="148">
        <v>100</v>
      </c>
      <c r="K1709" s="148" t="str">
        <f t="shared" si="26"/>
        <v>PROTECTIONPRTCTN_VLTN_APPRCH</v>
      </c>
    </row>
    <row r="1710" spans="1:11" hidden="1">
      <c r="A1710" s="148" t="s">
        <v>4626</v>
      </c>
      <c r="B1710" s="148" t="s">
        <v>674</v>
      </c>
      <c r="C1710" s="148" t="s">
        <v>4506</v>
      </c>
      <c r="D1710" s="148" t="s">
        <v>179</v>
      </c>
      <c r="E1710" s="148" t="s">
        <v>1009</v>
      </c>
      <c r="F1710" s="148" t="s">
        <v>4503</v>
      </c>
      <c r="G1710" s="148" t="s">
        <v>129</v>
      </c>
      <c r="H1710" s="148">
        <v>24202</v>
      </c>
      <c r="I1710" s="148">
        <v>0</v>
      </c>
      <c r="J1710" s="148">
        <v>0</v>
      </c>
      <c r="K1710" s="148" t="str">
        <f t="shared" si="26"/>
        <v>PROTECTIONDT_APPRSL_PRVS</v>
      </c>
    </row>
    <row r="1711" spans="1:11" hidden="1">
      <c r="A1711" s="148" t="s">
        <v>4627</v>
      </c>
      <c r="B1711" s="148" t="s">
        <v>676</v>
      </c>
      <c r="C1711" s="148" t="s">
        <v>4506</v>
      </c>
      <c r="D1711" s="148" t="s">
        <v>179</v>
      </c>
      <c r="E1711" s="148" t="s">
        <v>1009</v>
      </c>
      <c r="F1711" s="148" t="s">
        <v>4503</v>
      </c>
      <c r="G1711" s="148" t="s">
        <v>129</v>
      </c>
      <c r="H1711" s="148">
        <v>24202</v>
      </c>
      <c r="I1711" s="148">
        <v>0</v>
      </c>
      <c r="J1711" s="148">
        <v>0</v>
      </c>
      <c r="K1711" s="148" t="str">
        <f t="shared" si="26"/>
        <v>PROTECTIONDT_APPRSL_PRVS</v>
      </c>
    </row>
    <row r="1712" spans="1:11" hidden="1">
      <c r="A1712" s="148" t="s">
        <v>4628</v>
      </c>
      <c r="B1712" s="148" t="s">
        <v>679</v>
      </c>
      <c r="C1712" s="148" t="s">
        <v>4506</v>
      </c>
      <c r="D1712" s="148" t="s">
        <v>179</v>
      </c>
      <c r="E1712" s="148" t="s">
        <v>1009</v>
      </c>
      <c r="F1712" s="148" t="s">
        <v>4503</v>
      </c>
      <c r="G1712" s="148" t="s">
        <v>129</v>
      </c>
      <c r="H1712" s="148">
        <v>24202</v>
      </c>
      <c r="I1712" s="148">
        <v>0</v>
      </c>
      <c r="J1712" s="148">
        <v>0</v>
      </c>
      <c r="K1712" s="148" t="str">
        <f t="shared" si="26"/>
        <v>PROTECTIONDT_APPRSL_PRVS</v>
      </c>
    </row>
    <row r="1713" spans="1:11" hidden="1">
      <c r="A1713" s="148" t="s">
        <v>4629</v>
      </c>
      <c r="B1713" s="148" t="s">
        <v>4630</v>
      </c>
      <c r="C1713" s="148" t="s">
        <v>4506</v>
      </c>
      <c r="D1713" s="148" t="s">
        <v>179</v>
      </c>
      <c r="E1713" s="148" t="s">
        <v>1009</v>
      </c>
      <c r="F1713" s="148" t="s">
        <v>4503</v>
      </c>
      <c r="G1713" s="148" t="s">
        <v>129</v>
      </c>
      <c r="H1713" s="148">
        <v>161924</v>
      </c>
      <c r="I1713" s="148">
        <v>0</v>
      </c>
      <c r="J1713" s="148">
        <v>0</v>
      </c>
      <c r="K1713" s="148" t="str">
        <f t="shared" si="26"/>
        <v>PROTECTIONDT_APPRSL_PRVS</v>
      </c>
    </row>
    <row r="1714" spans="1:11">
      <c r="A1714" s="148" t="s">
        <v>4631</v>
      </c>
      <c r="B1714" s="148" t="s">
        <v>4632</v>
      </c>
      <c r="C1714" s="148" t="s">
        <v>4506</v>
      </c>
      <c r="D1714" s="148" t="s">
        <v>468</v>
      </c>
      <c r="E1714" s="148" t="s">
        <v>1009</v>
      </c>
      <c r="F1714" s="148" t="s">
        <v>4503</v>
      </c>
      <c r="G1714" s="148" t="s">
        <v>129</v>
      </c>
      <c r="H1714" s="148">
        <v>24202</v>
      </c>
      <c r="I1714" s="148">
        <v>0</v>
      </c>
      <c r="J1714" s="148">
        <v>0</v>
      </c>
      <c r="K1714" s="148" t="str">
        <f t="shared" si="26"/>
        <v>PROTECTIONPRTCTN_VL_PRVS</v>
      </c>
    </row>
    <row r="1715" spans="1:11">
      <c r="A1715" s="148" t="s">
        <v>4633</v>
      </c>
      <c r="B1715" s="148" t="s">
        <v>4634</v>
      </c>
      <c r="C1715" s="148" t="s">
        <v>4506</v>
      </c>
      <c r="D1715" s="148" t="s">
        <v>468</v>
      </c>
      <c r="E1715" s="148" t="s">
        <v>1009</v>
      </c>
      <c r="F1715" s="148" t="s">
        <v>4503</v>
      </c>
      <c r="G1715" s="148" t="s">
        <v>129</v>
      </c>
      <c r="H1715" s="148">
        <v>161924</v>
      </c>
      <c r="I1715" s="148">
        <v>0</v>
      </c>
      <c r="J1715" s="148">
        <v>0</v>
      </c>
      <c r="K1715" s="148" t="str">
        <f t="shared" si="26"/>
        <v>PROTECTIONPRTCTN_VL_PRVS</v>
      </c>
    </row>
    <row r="1716" spans="1:11" hidden="1">
      <c r="A1716" s="148" t="s">
        <v>4635</v>
      </c>
      <c r="B1716" s="148" t="s">
        <v>4636</v>
      </c>
      <c r="C1716" s="148" t="s">
        <v>4506</v>
      </c>
      <c r="D1716" s="148" t="s">
        <v>247</v>
      </c>
      <c r="E1716" s="148" t="s">
        <v>1009</v>
      </c>
      <c r="F1716" s="148" t="s">
        <v>4503</v>
      </c>
      <c r="G1716" s="148" t="s">
        <v>129</v>
      </c>
      <c r="H1716" s="148">
        <v>272191</v>
      </c>
      <c r="I1716" s="148">
        <v>0</v>
      </c>
      <c r="J1716" s="148">
        <v>0</v>
      </c>
      <c r="K1716" s="148" t="str">
        <f t="shared" si="26"/>
        <v>PROTECTIONCNSTRCTN_STTS</v>
      </c>
    </row>
    <row r="1717" spans="1:11" hidden="1">
      <c r="A1717" s="148" t="s">
        <v>4637</v>
      </c>
      <c r="B1717" s="148" t="s">
        <v>775</v>
      </c>
      <c r="C1717" s="148" t="s">
        <v>4506</v>
      </c>
      <c r="D1717" s="148" t="s">
        <v>247</v>
      </c>
      <c r="E1717" s="148" t="s">
        <v>1009</v>
      </c>
      <c r="F1717" s="148" t="s">
        <v>4503</v>
      </c>
      <c r="G1717" s="148" t="s">
        <v>129</v>
      </c>
      <c r="H1717" s="148">
        <v>259422</v>
      </c>
      <c r="I1717" s="148">
        <v>0</v>
      </c>
      <c r="J1717" s="148">
        <v>0</v>
      </c>
      <c r="K1717" s="148" t="str">
        <f t="shared" si="26"/>
        <v>PROTECTIONCNSTRCTN_STTS</v>
      </c>
    </row>
    <row r="1718" spans="1:11" hidden="1">
      <c r="A1718" s="148" t="s">
        <v>4638</v>
      </c>
      <c r="B1718" s="148" t="s">
        <v>777</v>
      </c>
      <c r="C1718" s="148" t="s">
        <v>4506</v>
      </c>
      <c r="D1718" s="148" t="s">
        <v>247</v>
      </c>
      <c r="E1718" s="148" t="s">
        <v>1009</v>
      </c>
      <c r="F1718" s="148" t="s">
        <v>4503</v>
      </c>
      <c r="G1718" s="148" t="s">
        <v>129</v>
      </c>
      <c r="H1718" s="148">
        <v>12510</v>
      </c>
      <c r="I1718" s="148">
        <v>0</v>
      </c>
      <c r="J1718" s="148">
        <v>0</v>
      </c>
      <c r="K1718" s="148" t="str">
        <f t="shared" si="26"/>
        <v>PROTECTIONCNSTRCTN_STTS</v>
      </c>
    </row>
    <row r="1719" spans="1:11" hidden="1">
      <c r="A1719" s="148" t="s">
        <v>4639</v>
      </c>
      <c r="B1719" s="148" t="s">
        <v>779</v>
      </c>
      <c r="C1719" s="148" t="s">
        <v>4506</v>
      </c>
      <c r="D1719" s="148" t="s">
        <v>247</v>
      </c>
      <c r="E1719" s="148" t="s">
        <v>1009</v>
      </c>
      <c r="F1719" s="148" t="s">
        <v>4503</v>
      </c>
      <c r="G1719" s="148" t="s">
        <v>129</v>
      </c>
      <c r="H1719" s="148">
        <v>198</v>
      </c>
      <c r="I1719" s="148">
        <v>0</v>
      </c>
      <c r="J1719" s="148">
        <v>0</v>
      </c>
      <c r="K1719" s="148" t="str">
        <f t="shared" si="26"/>
        <v>PROTECTIONCNSTRCTN_STTS</v>
      </c>
    </row>
    <row r="1720" spans="1:11" hidden="1">
      <c r="A1720" s="148" t="s">
        <v>4640</v>
      </c>
      <c r="B1720" s="148" t="s">
        <v>781</v>
      </c>
      <c r="C1720" s="148" t="s">
        <v>4506</v>
      </c>
      <c r="D1720" s="148" t="s">
        <v>247</v>
      </c>
      <c r="E1720" s="148" t="s">
        <v>1009</v>
      </c>
      <c r="F1720" s="148" t="s">
        <v>4503</v>
      </c>
      <c r="G1720" s="148" t="s">
        <v>129</v>
      </c>
      <c r="H1720" s="148">
        <v>166781</v>
      </c>
      <c r="I1720" s="148">
        <v>0</v>
      </c>
      <c r="J1720" s="148">
        <v>0</v>
      </c>
      <c r="K1720" s="148" t="str">
        <f t="shared" si="26"/>
        <v>PROTECTIONCNSTRCTN_STTS</v>
      </c>
    </row>
    <row r="1721" spans="1:11" hidden="1">
      <c r="A1721" s="148" t="s">
        <v>4641</v>
      </c>
      <c r="B1721" s="148" t="s">
        <v>4642</v>
      </c>
      <c r="C1721" s="148" t="s">
        <v>4506</v>
      </c>
      <c r="D1721" s="148" t="s">
        <v>247</v>
      </c>
      <c r="E1721" s="148" t="s">
        <v>1009</v>
      </c>
      <c r="F1721" s="148" t="s">
        <v>4503</v>
      </c>
      <c r="G1721" s="148" t="s">
        <v>129</v>
      </c>
      <c r="H1721" s="148">
        <v>0</v>
      </c>
      <c r="I1721" s="148">
        <v>0</v>
      </c>
      <c r="J1721" s="148">
        <v>0</v>
      </c>
      <c r="K1721" s="148" t="str">
        <f t="shared" si="26"/>
        <v>PROTECTIONCNSTRCTN_STTS</v>
      </c>
    </row>
    <row r="1722" spans="1:11" hidden="1">
      <c r="A1722" s="148" t="s">
        <v>4643</v>
      </c>
      <c r="B1722" s="148" t="s">
        <v>786</v>
      </c>
      <c r="C1722" s="148" t="s">
        <v>4506</v>
      </c>
      <c r="D1722" s="148" t="s">
        <v>247</v>
      </c>
      <c r="E1722" s="148" t="s">
        <v>1009</v>
      </c>
      <c r="F1722" s="148" t="s">
        <v>4503</v>
      </c>
      <c r="G1722" s="148" t="s">
        <v>129</v>
      </c>
      <c r="H1722" s="148">
        <v>69</v>
      </c>
      <c r="I1722" s="148">
        <v>0</v>
      </c>
      <c r="J1722" s="148">
        <v>0</v>
      </c>
      <c r="K1722" s="148" t="str">
        <f t="shared" si="26"/>
        <v>PROTECTIONCNSTRCTN_STTS</v>
      </c>
    </row>
    <row r="1723" spans="1:11" hidden="1">
      <c r="A1723" s="148" t="s">
        <v>4644</v>
      </c>
      <c r="B1723" s="148" t="s">
        <v>788</v>
      </c>
      <c r="C1723" s="148" t="s">
        <v>4506</v>
      </c>
      <c r="D1723" s="148" t="s">
        <v>247</v>
      </c>
      <c r="E1723" s="148" t="s">
        <v>1009</v>
      </c>
      <c r="F1723" s="148" t="s">
        <v>4503</v>
      </c>
      <c r="G1723" s="148" t="s">
        <v>129</v>
      </c>
      <c r="H1723" s="148">
        <v>0</v>
      </c>
      <c r="I1723" s="148">
        <v>0</v>
      </c>
      <c r="J1723" s="148">
        <v>0</v>
      </c>
      <c r="K1723" s="148" t="str">
        <f t="shared" si="26"/>
        <v>PROTECTIONCNSTRCTN_STTS</v>
      </c>
    </row>
    <row r="1724" spans="1:11" hidden="1">
      <c r="A1724" s="148" t="s">
        <v>4645</v>
      </c>
      <c r="B1724" s="148" t="s">
        <v>4646</v>
      </c>
      <c r="C1724" s="148" t="s">
        <v>4506</v>
      </c>
      <c r="D1724" s="148" t="s">
        <v>67</v>
      </c>
      <c r="E1724" s="148" t="s">
        <v>1009</v>
      </c>
      <c r="F1724" s="148" t="s">
        <v>4503</v>
      </c>
      <c r="G1724" s="148" t="s">
        <v>129</v>
      </c>
      <c r="H1724" s="148">
        <v>272130</v>
      </c>
      <c r="I1724" s="148">
        <v>0</v>
      </c>
      <c r="J1724" s="148">
        <v>0</v>
      </c>
      <c r="K1724" s="148" t="str">
        <f t="shared" si="26"/>
        <v>PROTECTIONDT_CNSTRCTN_STTS</v>
      </c>
    </row>
    <row r="1725" spans="1:11" hidden="1">
      <c r="A1725" s="148" t="s">
        <v>4647</v>
      </c>
      <c r="B1725" s="148" t="s">
        <v>4648</v>
      </c>
      <c r="C1725" s="148" t="s">
        <v>4506</v>
      </c>
      <c r="D1725" s="148" t="s">
        <v>67</v>
      </c>
      <c r="E1725" s="148" t="s">
        <v>1009</v>
      </c>
      <c r="F1725" s="148" t="s">
        <v>4503</v>
      </c>
      <c r="G1725" s="148" t="s">
        <v>129</v>
      </c>
      <c r="H1725" s="148">
        <v>166781</v>
      </c>
      <c r="I1725" s="148">
        <v>0</v>
      </c>
      <c r="J1725" s="148">
        <v>0</v>
      </c>
      <c r="K1725" s="148" t="str">
        <f t="shared" si="26"/>
        <v>PROTECTIONDT_CNSTRCTN_STTS</v>
      </c>
    </row>
    <row r="1726" spans="1:11" hidden="1">
      <c r="A1726" s="148" t="s">
        <v>4649</v>
      </c>
      <c r="B1726" s="148" t="s">
        <v>4650</v>
      </c>
      <c r="C1726" s="148" t="s">
        <v>4506</v>
      </c>
      <c r="D1726" s="148" t="s">
        <v>67</v>
      </c>
      <c r="E1726" s="148" t="s">
        <v>1009</v>
      </c>
      <c r="F1726" s="148" t="s">
        <v>4503</v>
      </c>
      <c r="G1726" s="148" t="s">
        <v>1011</v>
      </c>
      <c r="H1726" s="148">
        <v>272191</v>
      </c>
      <c r="I1726" s="148">
        <v>10</v>
      </c>
      <c r="J1726" s="148">
        <v>3.7000000000000002E-3</v>
      </c>
      <c r="K1726" s="148" t="str">
        <f t="shared" si="26"/>
        <v>PROTECTIONDT_CNSTRCTN_STTS</v>
      </c>
    </row>
    <row r="1727" spans="1:11" hidden="1">
      <c r="A1727" s="148" t="s">
        <v>4651</v>
      </c>
      <c r="B1727" s="148" t="s">
        <v>4652</v>
      </c>
      <c r="C1727" s="148" t="s">
        <v>4506</v>
      </c>
      <c r="D1727" s="148" t="s">
        <v>256</v>
      </c>
      <c r="E1727" s="148" t="s">
        <v>1009</v>
      </c>
      <c r="F1727" s="148" t="s">
        <v>4503</v>
      </c>
      <c r="G1727" s="148" t="s">
        <v>129</v>
      </c>
      <c r="H1727" s="148">
        <v>4731</v>
      </c>
      <c r="I1727" s="148">
        <v>0</v>
      </c>
      <c r="J1727" s="148">
        <v>0</v>
      </c>
      <c r="K1727" s="148" t="str">
        <f t="shared" si="26"/>
        <v>PROTECTIONDT_FRST_USG</v>
      </c>
    </row>
    <row r="1728" spans="1:11" hidden="1">
      <c r="A1728" s="148" t="s">
        <v>4653</v>
      </c>
      <c r="B1728" s="148" t="s">
        <v>792</v>
      </c>
      <c r="C1728" s="148" t="s">
        <v>4506</v>
      </c>
      <c r="D1728" s="148" t="s">
        <v>264</v>
      </c>
      <c r="E1728" s="148" t="s">
        <v>1009</v>
      </c>
      <c r="F1728" s="148" t="s">
        <v>4503</v>
      </c>
      <c r="G1728" s="148" t="s">
        <v>129</v>
      </c>
      <c r="H1728" s="148">
        <v>272377</v>
      </c>
      <c r="I1728" s="148">
        <v>0</v>
      </c>
      <c r="J1728" s="148">
        <v>0</v>
      </c>
      <c r="K1728" s="148" t="str">
        <f t="shared" si="26"/>
        <v>PROTECTIONDVLPMNT_STTS</v>
      </c>
    </row>
    <row r="1729" spans="1:11" hidden="1">
      <c r="A1729" s="148" t="s">
        <v>4654</v>
      </c>
      <c r="B1729" s="148" t="s">
        <v>4655</v>
      </c>
      <c r="C1729" s="148" t="s">
        <v>4506</v>
      </c>
      <c r="D1729" s="148" t="s">
        <v>264</v>
      </c>
      <c r="E1729" s="148" t="s">
        <v>1009</v>
      </c>
      <c r="F1729" s="148" t="s">
        <v>4503</v>
      </c>
      <c r="G1729" s="148" t="s">
        <v>129</v>
      </c>
      <c r="H1729" s="148">
        <v>192749</v>
      </c>
      <c r="I1729" s="148">
        <v>0</v>
      </c>
      <c r="J1729" s="148">
        <v>0</v>
      </c>
      <c r="K1729" s="148" t="str">
        <f t="shared" si="26"/>
        <v>PROTECTIONDVLPMNT_STTS</v>
      </c>
    </row>
    <row r="1730" spans="1:11" hidden="1">
      <c r="A1730" s="148" t="s">
        <v>4656</v>
      </c>
      <c r="B1730" s="148" t="s">
        <v>4657</v>
      </c>
      <c r="C1730" s="148" t="s">
        <v>4506</v>
      </c>
      <c r="D1730" s="148" t="s">
        <v>412</v>
      </c>
      <c r="E1730" s="148" t="s">
        <v>1009</v>
      </c>
      <c r="F1730" s="148" t="s">
        <v>4503</v>
      </c>
      <c r="G1730" s="148" t="s">
        <v>1011</v>
      </c>
      <c r="H1730" s="148">
        <v>2450</v>
      </c>
      <c r="I1730" s="148">
        <v>329</v>
      </c>
      <c r="J1730" s="148">
        <v>13.428599999999999</v>
      </c>
      <c r="K1730" s="148" t="str">
        <f t="shared" si="26"/>
        <v>PROTECTIONMN_PRPS</v>
      </c>
    </row>
    <row r="1731" spans="1:11" hidden="1">
      <c r="A1731" s="148" t="s">
        <v>4658</v>
      </c>
      <c r="B1731" s="148" t="s">
        <v>4659</v>
      </c>
      <c r="C1731" s="148" t="s">
        <v>4506</v>
      </c>
      <c r="D1731" s="148" t="s">
        <v>412</v>
      </c>
      <c r="E1731" s="148" t="s">
        <v>1009</v>
      </c>
      <c r="F1731" s="148" t="s">
        <v>4503</v>
      </c>
      <c r="G1731" s="148" t="s">
        <v>129</v>
      </c>
      <c r="H1731" s="148">
        <v>436</v>
      </c>
      <c r="I1731" s="148">
        <v>0</v>
      </c>
      <c r="J1731" s="148">
        <v>0</v>
      </c>
      <c r="K1731" s="148" t="str">
        <f t="shared" ref="K1731:K1794" si="27">_xlfn.CONCAT(_xlfn.IFS(ISNUMBER(SEARCH("EN",A1731)),"ENTITY",ISNUMBER(SEARCH("IN",A1731)),"INSTRUMENT",ISNUMBER(SEARCH("PR",A1731)),"PROTECTION",ISNUMBER(SEARCH("IP",A1731)),"INSTR_PROTECTION",ISNUMBER(SEARCH("IE",A1731)),"INSTR_ENTITY",ISNUMBER(SEARCH("AC",A1731)),"INSTR_ACTIVITY"),D1731)</f>
        <v>PROTECTIONMN_PRPS</v>
      </c>
    </row>
    <row r="1732" spans="1:11" hidden="1">
      <c r="A1732" s="148" t="s">
        <v>4660</v>
      </c>
      <c r="B1732" s="148" t="s">
        <v>4661</v>
      </c>
      <c r="C1732" s="148" t="s">
        <v>4506</v>
      </c>
      <c r="D1732" s="148" t="s">
        <v>412</v>
      </c>
      <c r="E1732" s="148" t="s">
        <v>1009</v>
      </c>
      <c r="F1732" s="148" t="s">
        <v>4503</v>
      </c>
      <c r="G1732" s="148" t="s">
        <v>129</v>
      </c>
      <c r="H1732" s="148">
        <v>4295</v>
      </c>
      <c r="I1732" s="148">
        <v>0</v>
      </c>
      <c r="J1732" s="148">
        <v>0</v>
      </c>
      <c r="K1732" s="148" t="str">
        <f t="shared" si="27"/>
        <v>PROTECTIONMN_PRPS</v>
      </c>
    </row>
    <row r="1733" spans="1:11" hidden="1">
      <c r="A1733" s="148" t="s">
        <v>4662</v>
      </c>
      <c r="B1733" s="148" t="s">
        <v>4663</v>
      </c>
      <c r="C1733" s="148" t="s">
        <v>4506</v>
      </c>
      <c r="D1733" s="148" t="s">
        <v>412</v>
      </c>
      <c r="E1733" s="148" t="s">
        <v>1009</v>
      </c>
      <c r="F1733" s="148" t="s">
        <v>4503</v>
      </c>
      <c r="G1733" s="148" t="s">
        <v>129</v>
      </c>
      <c r="H1733" s="148">
        <v>88436</v>
      </c>
      <c r="I1733" s="148">
        <v>0</v>
      </c>
      <c r="J1733" s="148">
        <v>0</v>
      </c>
      <c r="K1733" s="148" t="str">
        <f t="shared" si="27"/>
        <v>PROTECTIONMN_PRPS</v>
      </c>
    </row>
    <row r="1734" spans="1:11" hidden="1">
      <c r="A1734" s="148" t="s">
        <v>4664</v>
      </c>
      <c r="B1734" s="148" t="s">
        <v>4665</v>
      </c>
      <c r="C1734" s="148" t="s">
        <v>4506</v>
      </c>
      <c r="D1734" s="148" t="s">
        <v>453</v>
      </c>
      <c r="E1734" s="148" t="s">
        <v>1009</v>
      </c>
      <c r="F1734" s="148" t="s">
        <v>4503</v>
      </c>
      <c r="G1734" s="148" t="s">
        <v>1011</v>
      </c>
      <c r="H1734" s="148">
        <v>88436</v>
      </c>
      <c r="I1734" s="148">
        <v>22089</v>
      </c>
      <c r="J1734" s="148">
        <v>24.977399999999999</v>
      </c>
      <c r="K1734" s="148" t="str">
        <f t="shared" si="27"/>
        <v>PROTECTIONPRM_LCTN</v>
      </c>
    </row>
    <row r="1735" spans="1:11" hidden="1">
      <c r="A1735" s="148" t="s">
        <v>4666</v>
      </c>
      <c r="B1735" s="148" t="s">
        <v>4667</v>
      </c>
      <c r="C1735" s="148" t="s">
        <v>4506</v>
      </c>
      <c r="D1735" s="148" t="s">
        <v>453</v>
      </c>
      <c r="E1735" s="148" t="s">
        <v>1009</v>
      </c>
      <c r="F1735" s="148" t="s">
        <v>4503</v>
      </c>
      <c r="G1735" s="148" t="s">
        <v>129</v>
      </c>
      <c r="H1735" s="148">
        <v>7181</v>
      </c>
      <c r="I1735" s="148">
        <v>0</v>
      </c>
      <c r="J1735" s="148">
        <v>0</v>
      </c>
      <c r="K1735" s="148" t="str">
        <f t="shared" si="27"/>
        <v>PROTECTIONPRM_LCTN</v>
      </c>
    </row>
    <row r="1736" spans="1:11" hidden="1">
      <c r="A1736" s="148" t="s">
        <v>4668</v>
      </c>
      <c r="B1736" s="148" t="s">
        <v>4669</v>
      </c>
      <c r="C1736" s="148" t="s">
        <v>4506</v>
      </c>
      <c r="D1736" s="148" t="s">
        <v>194</v>
      </c>
      <c r="E1736" s="148" t="s">
        <v>1009</v>
      </c>
      <c r="F1736" s="148" t="s">
        <v>4503</v>
      </c>
      <c r="G1736" s="148" t="s">
        <v>129</v>
      </c>
      <c r="H1736" s="148">
        <v>0</v>
      </c>
      <c r="I1736" s="148">
        <v>0</v>
      </c>
      <c r="J1736" s="148">
        <v>0</v>
      </c>
      <c r="K1736" s="148" t="str">
        <f t="shared" si="27"/>
        <v>PROTECTIONCRE_INCM_CRRNCY</v>
      </c>
    </row>
    <row r="1737" spans="1:11" hidden="1">
      <c r="A1737" s="148" t="s">
        <v>4670</v>
      </c>
      <c r="B1737" s="148" t="s">
        <v>4671</v>
      </c>
      <c r="C1737" s="148" t="s">
        <v>4506</v>
      </c>
      <c r="D1737" s="148" t="s">
        <v>194</v>
      </c>
      <c r="E1737" s="148" t="s">
        <v>1009</v>
      </c>
      <c r="F1737" s="148" t="s">
        <v>4503</v>
      </c>
      <c r="G1737" s="148" t="s">
        <v>129</v>
      </c>
      <c r="H1737" s="148">
        <v>0</v>
      </c>
      <c r="I1737" s="148">
        <v>0</v>
      </c>
      <c r="J1737" s="148">
        <v>0</v>
      </c>
      <c r="K1737" s="148" t="str">
        <f t="shared" si="27"/>
        <v>PROTECTIONCRE_INCM_CRRNCY</v>
      </c>
    </row>
    <row r="1738" spans="1:11" hidden="1">
      <c r="A1738" s="148" t="s">
        <v>4672</v>
      </c>
      <c r="B1738" s="148" t="s">
        <v>4673</v>
      </c>
      <c r="C1738" s="148" t="s">
        <v>4506</v>
      </c>
      <c r="D1738" s="148" t="s">
        <v>517</v>
      </c>
      <c r="E1738" s="148" t="s">
        <v>1009</v>
      </c>
      <c r="F1738" s="148" t="s">
        <v>4503</v>
      </c>
      <c r="G1738" s="148" t="s">
        <v>129</v>
      </c>
      <c r="H1738" s="148">
        <v>161924</v>
      </c>
      <c r="I1738" s="148">
        <v>0</v>
      </c>
      <c r="J1738" s="148">
        <v>0</v>
      </c>
      <c r="K1738" s="148" t="str">
        <f t="shared" si="27"/>
        <v>PROTECTIONTAX_ID</v>
      </c>
    </row>
    <row r="1739" spans="1:11" hidden="1">
      <c r="A1739" s="148" t="s">
        <v>4674</v>
      </c>
      <c r="B1739" s="148" t="s">
        <v>4675</v>
      </c>
      <c r="C1739" s="148" t="s">
        <v>4506</v>
      </c>
      <c r="D1739" s="148" t="s">
        <v>2388</v>
      </c>
      <c r="E1739" s="148" t="s">
        <v>1009</v>
      </c>
      <c r="F1739" s="148" t="s">
        <v>4503</v>
      </c>
      <c r="G1739" s="148" t="s">
        <v>129</v>
      </c>
      <c r="H1739" s="148">
        <v>192749</v>
      </c>
      <c r="I1739" s="148">
        <v>0</v>
      </c>
      <c r="J1739" s="148">
        <v>0</v>
      </c>
      <c r="K1739" s="148" t="str">
        <f t="shared" si="27"/>
        <v>PROTECTIONTYP_EP_SCR</v>
      </c>
    </row>
    <row r="1740" spans="1:11" hidden="1">
      <c r="A1740" s="148" t="s">
        <v>4676</v>
      </c>
      <c r="B1740" s="148" t="s">
        <v>4677</v>
      </c>
      <c r="C1740" s="148" t="s">
        <v>4506</v>
      </c>
      <c r="D1740" s="148" t="s">
        <v>2388</v>
      </c>
      <c r="E1740" s="148" t="s">
        <v>1009</v>
      </c>
      <c r="F1740" s="148" t="s">
        <v>4503</v>
      </c>
      <c r="G1740" s="148" t="s">
        <v>129</v>
      </c>
      <c r="H1740" s="148">
        <v>0</v>
      </c>
      <c r="I1740" s="148">
        <v>0</v>
      </c>
      <c r="J1740" s="148">
        <v>0</v>
      </c>
      <c r="K1740" s="148" t="str">
        <f t="shared" si="27"/>
        <v>PROTECTIONTYP_EP_SCR</v>
      </c>
    </row>
    <row r="1741" spans="1:11" hidden="1">
      <c r="A1741" s="148" t="s">
        <v>4678</v>
      </c>
      <c r="B1741" s="148" t="s">
        <v>4679</v>
      </c>
      <c r="C1741" s="148" t="s">
        <v>4506</v>
      </c>
      <c r="D1741" s="148" t="s">
        <v>2388</v>
      </c>
      <c r="E1741" s="148" t="s">
        <v>1009</v>
      </c>
      <c r="F1741" s="148" t="s">
        <v>4503</v>
      </c>
      <c r="G1741" s="148" t="s">
        <v>129</v>
      </c>
      <c r="H1741" s="148">
        <v>0</v>
      </c>
      <c r="I1741" s="148">
        <v>0</v>
      </c>
      <c r="J1741" s="148">
        <v>0</v>
      </c>
      <c r="K1741" s="148" t="str">
        <f t="shared" si="27"/>
        <v>PROTECTIONTYP_EP_SCR</v>
      </c>
    </row>
    <row r="1742" spans="1:11" hidden="1">
      <c r="A1742" s="148" t="s">
        <v>4680</v>
      </c>
      <c r="B1742" s="148" t="s">
        <v>4681</v>
      </c>
      <c r="C1742" s="148" t="s">
        <v>4506</v>
      </c>
      <c r="D1742" s="148" t="s">
        <v>2391</v>
      </c>
      <c r="E1742" s="148" t="s">
        <v>1009</v>
      </c>
      <c r="F1742" s="148" t="s">
        <v>4503</v>
      </c>
      <c r="G1742" s="148" t="s">
        <v>129</v>
      </c>
      <c r="H1742" s="148">
        <v>192749</v>
      </c>
      <c r="I1742" s="148">
        <v>0</v>
      </c>
      <c r="J1742" s="148">
        <v>0</v>
      </c>
      <c r="K1742" s="148" t="str">
        <f t="shared" si="27"/>
        <v>PROTECTIONEP_SCR</v>
      </c>
    </row>
    <row r="1743" spans="1:11" hidden="1">
      <c r="A1743" s="148" t="s">
        <v>4682</v>
      </c>
      <c r="B1743" s="148" t="s">
        <v>4683</v>
      </c>
      <c r="C1743" s="148" t="s">
        <v>4506</v>
      </c>
      <c r="D1743" s="148" t="s">
        <v>2394</v>
      </c>
      <c r="E1743" s="148" t="s">
        <v>1009</v>
      </c>
      <c r="F1743" s="148" t="s">
        <v>4503</v>
      </c>
      <c r="G1743" s="148" t="s">
        <v>129</v>
      </c>
      <c r="H1743" s="148">
        <v>192749</v>
      </c>
      <c r="I1743" s="148">
        <v>0</v>
      </c>
      <c r="J1743" s="148">
        <v>0</v>
      </c>
      <c r="K1743" s="148" t="str">
        <f t="shared" si="27"/>
        <v>PROTECTIONTYP_EPC_LBL</v>
      </c>
    </row>
    <row r="1744" spans="1:11" hidden="1">
      <c r="A1744" s="148" t="s">
        <v>4684</v>
      </c>
      <c r="B1744" s="148" t="s">
        <v>4685</v>
      </c>
      <c r="C1744" s="148" t="s">
        <v>4506</v>
      </c>
      <c r="D1744" s="148" t="s">
        <v>2394</v>
      </c>
      <c r="E1744" s="148" t="s">
        <v>1009</v>
      </c>
      <c r="F1744" s="148" t="s">
        <v>4503</v>
      </c>
      <c r="G1744" s="148" t="s">
        <v>129</v>
      </c>
      <c r="H1744" s="148">
        <v>0</v>
      </c>
      <c r="I1744" s="148">
        <v>0</v>
      </c>
      <c r="J1744" s="148">
        <v>0</v>
      </c>
      <c r="K1744" s="148" t="str">
        <f t="shared" si="27"/>
        <v>PROTECTIONTYP_EPC_LBL</v>
      </c>
    </row>
    <row r="1745" spans="1:11" hidden="1">
      <c r="A1745" s="148" t="s">
        <v>4686</v>
      </c>
      <c r="B1745" s="148" t="s">
        <v>4687</v>
      </c>
      <c r="C1745" s="148" t="s">
        <v>4506</v>
      </c>
      <c r="D1745" s="148" t="s">
        <v>2394</v>
      </c>
      <c r="E1745" s="148" t="s">
        <v>1009</v>
      </c>
      <c r="F1745" s="148" t="s">
        <v>4503</v>
      </c>
      <c r="G1745" s="148" t="s">
        <v>129</v>
      </c>
      <c r="H1745" s="148">
        <v>0</v>
      </c>
      <c r="I1745" s="148">
        <v>0</v>
      </c>
      <c r="J1745" s="148">
        <v>0</v>
      </c>
      <c r="K1745" s="148" t="str">
        <f t="shared" si="27"/>
        <v>PROTECTIONTYP_EPC_LBL</v>
      </c>
    </row>
    <row r="1746" spans="1:11" hidden="1">
      <c r="A1746" s="148" t="s">
        <v>4688</v>
      </c>
      <c r="B1746" s="148" t="s">
        <v>4689</v>
      </c>
      <c r="C1746" s="148" t="s">
        <v>4506</v>
      </c>
      <c r="D1746" s="148" t="s">
        <v>2397</v>
      </c>
      <c r="E1746" s="148" t="s">
        <v>1009</v>
      </c>
      <c r="F1746" s="148" t="s">
        <v>4503</v>
      </c>
      <c r="G1746" s="148" t="s">
        <v>129</v>
      </c>
      <c r="H1746" s="148">
        <v>192749</v>
      </c>
      <c r="I1746" s="148">
        <v>0</v>
      </c>
      <c r="J1746" s="148">
        <v>0</v>
      </c>
      <c r="K1746" s="148" t="str">
        <f t="shared" si="27"/>
        <v>PROTECTIONEPC_LBL</v>
      </c>
    </row>
    <row r="1747" spans="1:11" hidden="1">
      <c r="A1747" s="148" t="s">
        <v>4690</v>
      </c>
      <c r="B1747" s="148" t="s">
        <v>4691</v>
      </c>
      <c r="C1747" s="148" t="s">
        <v>4506</v>
      </c>
      <c r="D1747" s="148" t="s">
        <v>2400</v>
      </c>
      <c r="E1747" s="148" t="s">
        <v>1009</v>
      </c>
      <c r="F1747" s="148" t="s">
        <v>4503</v>
      </c>
      <c r="G1747" s="148" t="s">
        <v>129</v>
      </c>
      <c r="H1747" s="148">
        <v>172260</v>
      </c>
      <c r="I1747" s="148">
        <v>0</v>
      </c>
      <c r="J1747" s="148">
        <v>0</v>
      </c>
      <c r="K1747" s="148" t="str">
        <f t="shared" si="27"/>
        <v>PROTECTIONTYP_EMSSNS_LBL</v>
      </c>
    </row>
    <row r="1748" spans="1:11" hidden="1">
      <c r="A1748" s="148" t="s">
        <v>4692</v>
      </c>
      <c r="B1748" s="148" t="s">
        <v>4693</v>
      </c>
      <c r="C1748" s="148" t="s">
        <v>4506</v>
      </c>
      <c r="D1748" s="148" t="s">
        <v>2400</v>
      </c>
      <c r="E1748" s="148" t="s">
        <v>1009</v>
      </c>
      <c r="F1748" s="148" t="s">
        <v>4503</v>
      </c>
      <c r="G1748" s="148" t="s">
        <v>129</v>
      </c>
      <c r="H1748" s="148">
        <v>0</v>
      </c>
      <c r="I1748" s="148">
        <v>0</v>
      </c>
      <c r="J1748" s="148">
        <v>0</v>
      </c>
      <c r="K1748" s="148" t="str">
        <f t="shared" si="27"/>
        <v>PROTECTIONTYP_EMSSNS_LBL</v>
      </c>
    </row>
    <row r="1749" spans="1:11" hidden="1">
      <c r="A1749" s="148" t="s">
        <v>4694</v>
      </c>
      <c r="B1749" s="148" t="s">
        <v>4695</v>
      </c>
      <c r="C1749" s="148" t="s">
        <v>4506</v>
      </c>
      <c r="D1749" s="148" t="s">
        <v>2400</v>
      </c>
      <c r="E1749" s="148" t="s">
        <v>1009</v>
      </c>
      <c r="F1749" s="148" t="s">
        <v>4503</v>
      </c>
      <c r="G1749" s="148" t="s">
        <v>129</v>
      </c>
      <c r="H1749" s="148">
        <v>0</v>
      </c>
      <c r="I1749" s="148">
        <v>0</v>
      </c>
      <c r="J1749" s="148">
        <v>0</v>
      </c>
      <c r="K1749" s="148" t="str">
        <f t="shared" si="27"/>
        <v>PROTECTIONTYP_EMSSNS_LBL</v>
      </c>
    </row>
    <row r="1750" spans="1:11" hidden="1">
      <c r="A1750" s="148" t="s">
        <v>4696</v>
      </c>
      <c r="B1750" s="148" t="s">
        <v>4697</v>
      </c>
      <c r="C1750" s="148" t="s">
        <v>4506</v>
      </c>
      <c r="D1750" s="148" t="s">
        <v>2403</v>
      </c>
      <c r="E1750" s="148" t="s">
        <v>1009</v>
      </c>
      <c r="F1750" s="148" t="s">
        <v>4503</v>
      </c>
      <c r="G1750" s="148" t="s">
        <v>129</v>
      </c>
      <c r="H1750" s="148">
        <v>192749</v>
      </c>
      <c r="I1750" s="148">
        <v>0</v>
      </c>
      <c r="J1750" s="148">
        <v>0</v>
      </c>
      <c r="K1750" s="148" t="str">
        <f t="shared" si="27"/>
        <v>PROTECTIONEPC_EMSSNS_LBL</v>
      </c>
    </row>
    <row r="1751" spans="1:11" hidden="1">
      <c r="A1751" s="148" t="s">
        <v>4698</v>
      </c>
      <c r="B1751" s="148" t="s">
        <v>4699</v>
      </c>
      <c r="C1751" s="148" t="s">
        <v>4506</v>
      </c>
      <c r="D1751" s="148" t="s">
        <v>2406</v>
      </c>
      <c r="E1751" s="148" t="s">
        <v>1009</v>
      </c>
      <c r="F1751" s="148" t="s">
        <v>4503</v>
      </c>
      <c r="G1751" s="148" t="s">
        <v>129</v>
      </c>
      <c r="H1751" s="148">
        <v>444637</v>
      </c>
      <c r="I1751" s="148">
        <v>0</v>
      </c>
      <c r="J1751" s="148">
        <v>0</v>
      </c>
      <c r="K1751" s="148" t="str">
        <f t="shared" si="27"/>
        <v>PROTECTIONVHCL_EMSSNS_LBL</v>
      </c>
    </row>
    <row r="1752" spans="1:11" hidden="1">
      <c r="A1752" s="148" t="s">
        <v>4700</v>
      </c>
      <c r="B1752" s="148" t="s">
        <v>4701</v>
      </c>
      <c r="C1752" s="148" t="s">
        <v>4506</v>
      </c>
      <c r="D1752" s="148" t="s">
        <v>2409</v>
      </c>
      <c r="E1752" s="148" t="s">
        <v>1009</v>
      </c>
      <c r="F1752" s="148" t="s">
        <v>4503</v>
      </c>
      <c r="G1752" s="148" t="s">
        <v>129</v>
      </c>
      <c r="H1752" s="148">
        <v>172260</v>
      </c>
      <c r="I1752" s="148">
        <v>0</v>
      </c>
      <c r="J1752" s="148">
        <v>0</v>
      </c>
      <c r="K1752" s="148" t="str">
        <f t="shared" si="27"/>
        <v>PROTECTIONTYP_EMSSNS_SCR</v>
      </c>
    </row>
    <row r="1753" spans="1:11" hidden="1">
      <c r="A1753" s="148" t="s">
        <v>4702</v>
      </c>
      <c r="B1753" s="148" t="s">
        <v>4703</v>
      </c>
      <c r="C1753" s="148" t="s">
        <v>4506</v>
      </c>
      <c r="D1753" s="148" t="s">
        <v>2409</v>
      </c>
      <c r="E1753" s="148" t="s">
        <v>1009</v>
      </c>
      <c r="F1753" s="148" t="s">
        <v>4503</v>
      </c>
      <c r="G1753" s="148" t="s">
        <v>129</v>
      </c>
      <c r="H1753" s="148">
        <v>0</v>
      </c>
      <c r="I1753" s="148">
        <v>0</v>
      </c>
      <c r="J1753" s="148">
        <v>0</v>
      </c>
      <c r="K1753" s="148" t="str">
        <f t="shared" si="27"/>
        <v>PROTECTIONTYP_EMSSNS_SCR</v>
      </c>
    </row>
    <row r="1754" spans="1:11" hidden="1">
      <c r="A1754" s="148" t="s">
        <v>4704</v>
      </c>
      <c r="B1754" s="148" t="s">
        <v>4705</v>
      </c>
      <c r="C1754" s="148" t="s">
        <v>4506</v>
      </c>
      <c r="D1754" s="148" t="s">
        <v>2409</v>
      </c>
      <c r="E1754" s="148" t="s">
        <v>1009</v>
      </c>
      <c r="F1754" s="148" t="s">
        <v>4503</v>
      </c>
      <c r="G1754" s="148" t="s">
        <v>129</v>
      </c>
      <c r="H1754" s="148">
        <v>0</v>
      </c>
      <c r="I1754" s="148">
        <v>0</v>
      </c>
      <c r="J1754" s="148">
        <v>0</v>
      </c>
      <c r="K1754" s="148" t="str">
        <f t="shared" si="27"/>
        <v>PROTECTIONTYP_EMSSNS_SCR</v>
      </c>
    </row>
    <row r="1755" spans="1:11" hidden="1">
      <c r="A1755" s="148" t="s">
        <v>4706</v>
      </c>
      <c r="B1755" s="148" t="s">
        <v>4707</v>
      </c>
      <c r="C1755" s="148" t="s">
        <v>4506</v>
      </c>
      <c r="D1755" s="148" t="s">
        <v>2412</v>
      </c>
      <c r="E1755" s="148" t="s">
        <v>1009</v>
      </c>
      <c r="F1755" s="148" t="s">
        <v>4503</v>
      </c>
      <c r="G1755" s="148" t="s">
        <v>129</v>
      </c>
      <c r="H1755" s="148">
        <v>192749</v>
      </c>
      <c r="I1755" s="148">
        <v>0</v>
      </c>
      <c r="J1755" s="148">
        <v>0</v>
      </c>
      <c r="K1755" s="148" t="str">
        <f t="shared" si="27"/>
        <v>PROTECTIONEPC_EMSSNS_SCR</v>
      </c>
    </row>
    <row r="1756" spans="1:11" hidden="1">
      <c r="A1756" s="148" t="s">
        <v>4708</v>
      </c>
      <c r="B1756" s="148" t="s">
        <v>4709</v>
      </c>
      <c r="C1756" s="148" t="s">
        <v>4506</v>
      </c>
      <c r="D1756" s="148" t="s">
        <v>2415</v>
      </c>
      <c r="E1756" s="148" t="s">
        <v>1009</v>
      </c>
      <c r="F1756" s="148" t="s">
        <v>4503</v>
      </c>
      <c r="G1756" s="148" t="s">
        <v>129</v>
      </c>
      <c r="H1756" s="148">
        <v>444637</v>
      </c>
      <c r="I1756" s="148">
        <v>0</v>
      </c>
      <c r="J1756" s="148">
        <v>0</v>
      </c>
      <c r="K1756" s="148" t="str">
        <f t="shared" si="27"/>
        <v>PROTECTIONVHCL_EMSSNS_SCR</v>
      </c>
    </row>
    <row r="1757" spans="1:11" hidden="1">
      <c r="A1757" s="148" t="s">
        <v>4710</v>
      </c>
      <c r="B1757" s="148" t="s">
        <v>4711</v>
      </c>
      <c r="C1757" s="148" t="s">
        <v>4506</v>
      </c>
      <c r="D1757" s="148" t="s">
        <v>2418</v>
      </c>
      <c r="E1757" s="148" t="s">
        <v>1009</v>
      </c>
      <c r="F1757" s="148" t="s">
        <v>4503</v>
      </c>
      <c r="G1757" s="148" t="s">
        <v>129</v>
      </c>
      <c r="H1757" s="148">
        <v>0</v>
      </c>
      <c r="I1757" s="148">
        <v>0</v>
      </c>
      <c r="J1757" s="148">
        <v>0</v>
      </c>
      <c r="K1757" s="148" t="str">
        <f t="shared" si="27"/>
        <v>PROTECTIONEMSSNS_SCP1_PRTCTN</v>
      </c>
    </row>
    <row r="1758" spans="1:11" hidden="1">
      <c r="A1758" s="148" t="s">
        <v>4712</v>
      </c>
      <c r="B1758" s="148" t="s">
        <v>4713</v>
      </c>
      <c r="C1758" s="148" t="s">
        <v>4506</v>
      </c>
      <c r="D1758" s="148" t="s">
        <v>2418</v>
      </c>
      <c r="E1758" s="148" t="s">
        <v>1009</v>
      </c>
      <c r="F1758" s="148" t="s">
        <v>4503</v>
      </c>
      <c r="G1758" s="148" t="s">
        <v>129</v>
      </c>
      <c r="H1758" s="148">
        <v>0</v>
      </c>
      <c r="I1758" s="148">
        <v>0</v>
      </c>
      <c r="J1758" s="148">
        <v>0</v>
      </c>
      <c r="K1758" s="148" t="str">
        <f t="shared" si="27"/>
        <v>PROTECTIONEMSSNS_SCP1_PRTCTN</v>
      </c>
    </row>
    <row r="1759" spans="1:11" hidden="1">
      <c r="A1759" s="148" t="s">
        <v>4714</v>
      </c>
      <c r="B1759" s="148" t="s">
        <v>4715</v>
      </c>
      <c r="C1759" s="148" t="s">
        <v>4506</v>
      </c>
      <c r="D1759" s="148" t="s">
        <v>2418</v>
      </c>
      <c r="E1759" s="148" t="s">
        <v>1009</v>
      </c>
      <c r="F1759" s="148" t="s">
        <v>4503</v>
      </c>
      <c r="G1759" s="148" t="s">
        <v>129</v>
      </c>
      <c r="H1759" s="148">
        <v>71040</v>
      </c>
      <c r="I1759" s="148">
        <v>0</v>
      </c>
      <c r="J1759" s="148">
        <v>0</v>
      </c>
      <c r="K1759" s="148" t="str">
        <f t="shared" si="27"/>
        <v>PROTECTIONEMSSNS_SCP1_PRTCTN</v>
      </c>
    </row>
    <row r="1760" spans="1:11" hidden="1">
      <c r="A1760" s="148" t="s">
        <v>4716</v>
      </c>
      <c r="B1760" s="148" t="s">
        <v>4717</v>
      </c>
      <c r="C1760" s="148" t="s">
        <v>4506</v>
      </c>
      <c r="D1760" s="148" t="s">
        <v>2421</v>
      </c>
      <c r="E1760" s="148" t="s">
        <v>1009</v>
      </c>
      <c r="F1760" s="148" t="s">
        <v>4503</v>
      </c>
      <c r="G1760" s="148" t="s">
        <v>129</v>
      </c>
      <c r="H1760" s="148">
        <v>0</v>
      </c>
      <c r="I1760" s="148">
        <v>0</v>
      </c>
      <c r="J1760" s="148">
        <v>0</v>
      </c>
      <c r="K1760" s="148" t="str">
        <f t="shared" si="27"/>
        <v>PROTECTIONEMSSNS_SCP2_PRTCTN</v>
      </c>
    </row>
    <row r="1761" spans="1:11" hidden="1">
      <c r="A1761" s="148" t="s">
        <v>4718</v>
      </c>
      <c r="B1761" s="148" t="s">
        <v>4719</v>
      </c>
      <c r="C1761" s="148" t="s">
        <v>4506</v>
      </c>
      <c r="D1761" s="148" t="s">
        <v>2421</v>
      </c>
      <c r="E1761" s="148" t="s">
        <v>1009</v>
      </c>
      <c r="F1761" s="148" t="s">
        <v>4503</v>
      </c>
      <c r="G1761" s="148" t="s">
        <v>129</v>
      </c>
      <c r="H1761" s="148">
        <v>0</v>
      </c>
      <c r="I1761" s="148">
        <v>0</v>
      </c>
      <c r="J1761" s="148">
        <v>0</v>
      </c>
      <c r="K1761" s="148" t="str">
        <f t="shared" si="27"/>
        <v>PROTECTIONEMSSNS_SCP2_PRTCTN</v>
      </c>
    </row>
    <row r="1762" spans="1:11" hidden="1">
      <c r="A1762" s="148" t="s">
        <v>4720</v>
      </c>
      <c r="B1762" s="148" t="s">
        <v>4721</v>
      </c>
      <c r="C1762" s="148" t="s">
        <v>4506</v>
      </c>
      <c r="D1762" s="148" t="s">
        <v>2421</v>
      </c>
      <c r="E1762" s="148" t="s">
        <v>1009</v>
      </c>
      <c r="F1762" s="148" t="s">
        <v>4503</v>
      </c>
      <c r="G1762" s="148" t="s">
        <v>129</v>
      </c>
      <c r="H1762" s="148">
        <v>71040</v>
      </c>
      <c r="I1762" s="148">
        <v>0</v>
      </c>
      <c r="J1762" s="148">
        <v>0</v>
      </c>
      <c r="K1762" s="148" t="str">
        <f t="shared" si="27"/>
        <v>PROTECTIONEMSSNS_SCP2_PRTCTN</v>
      </c>
    </row>
    <row r="1763" spans="1:11" hidden="1">
      <c r="A1763" s="148" t="s">
        <v>4722</v>
      </c>
      <c r="B1763" s="148" t="s">
        <v>4723</v>
      </c>
      <c r="C1763" s="148" t="s">
        <v>4506</v>
      </c>
      <c r="D1763" s="148" t="s">
        <v>2424</v>
      </c>
      <c r="E1763" s="148" t="s">
        <v>1009</v>
      </c>
      <c r="F1763" s="148" t="s">
        <v>4503</v>
      </c>
      <c r="G1763" s="148" t="s">
        <v>129</v>
      </c>
      <c r="H1763" s="148">
        <v>0</v>
      </c>
      <c r="I1763" s="148">
        <v>0</v>
      </c>
      <c r="J1763" s="148">
        <v>0</v>
      </c>
      <c r="K1763" s="148" t="str">
        <f t="shared" si="27"/>
        <v>PROTECTIONEMSSNS_SCP3_PRTCTN</v>
      </c>
    </row>
    <row r="1764" spans="1:11" hidden="1">
      <c r="A1764" s="148" t="s">
        <v>4724</v>
      </c>
      <c r="B1764" s="148" t="s">
        <v>4725</v>
      </c>
      <c r="C1764" s="148" t="s">
        <v>4506</v>
      </c>
      <c r="D1764" s="148" t="s">
        <v>2424</v>
      </c>
      <c r="E1764" s="148" t="s">
        <v>1009</v>
      </c>
      <c r="F1764" s="148" t="s">
        <v>4503</v>
      </c>
      <c r="G1764" s="148" t="s">
        <v>129</v>
      </c>
      <c r="H1764" s="148">
        <v>0</v>
      </c>
      <c r="I1764" s="148">
        <v>0</v>
      </c>
      <c r="J1764" s="148">
        <v>0</v>
      </c>
      <c r="K1764" s="148" t="str">
        <f t="shared" si="27"/>
        <v>PROTECTIONEMSSNS_SCP3_PRTCTN</v>
      </c>
    </row>
    <row r="1765" spans="1:11" hidden="1">
      <c r="A1765" s="148" t="s">
        <v>4726</v>
      </c>
      <c r="B1765" s="148" t="s">
        <v>4727</v>
      </c>
      <c r="C1765" s="148" t="s">
        <v>4506</v>
      </c>
      <c r="D1765" s="148" t="s">
        <v>2424</v>
      </c>
      <c r="E1765" s="148" t="s">
        <v>1009</v>
      </c>
      <c r="F1765" s="148" t="s">
        <v>4503</v>
      </c>
      <c r="G1765" s="148" t="s">
        <v>129</v>
      </c>
      <c r="H1765" s="148">
        <v>71040</v>
      </c>
      <c r="I1765" s="148">
        <v>0</v>
      </c>
      <c r="J1765" s="148">
        <v>0</v>
      </c>
      <c r="K1765" s="148" t="str">
        <f t="shared" si="27"/>
        <v>PROTECTIONEMSSNS_SCP3_PRTCTN</v>
      </c>
    </row>
    <row r="1766" spans="1:11" hidden="1">
      <c r="A1766" s="148" t="s">
        <v>4728</v>
      </c>
      <c r="B1766" s="148" t="s">
        <v>4729</v>
      </c>
      <c r="C1766" s="148" t="s">
        <v>1037</v>
      </c>
      <c r="D1766" s="148" t="s">
        <v>2427</v>
      </c>
      <c r="E1766" s="148" t="s">
        <v>1009</v>
      </c>
      <c r="F1766" s="148" t="s">
        <v>4503</v>
      </c>
      <c r="G1766" s="148" t="s">
        <v>129</v>
      </c>
      <c r="H1766" s="148">
        <v>0</v>
      </c>
      <c r="I1766" s="148">
        <v>0</v>
      </c>
      <c r="J1766" s="148">
        <v>0</v>
      </c>
      <c r="K1766" s="148" t="str">
        <f t="shared" si="27"/>
        <v>PROTECTIONMTHD_USD_PRTCTN_SCP_1</v>
      </c>
    </row>
    <row r="1767" spans="1:11" hidden="1">
      <c r="A1767" s="148" t="s">
        <v>4730</v>
      </c>
      <c r="B1767" s="148" t="s">
        <v>4731</v>
      </c>
      <c r="C1767" s="148" t="s">
        <v>1037</v>
      </c>
      <c r="D1767" s="148" t="s">
        <v>2427</v>
      </c>
      <c r="E1767" s="148" t="s">
        <v>1009</v>
      </c>
      <c r="F1767" s="148" t="s">
        <v>4503</v>
      </c>
      <c r="G1767" s="148" t="s">
        <v>129</v>
      </c>
      <c r="H1767" s="148">
        <v>0</v>
      </c>
      <c r="I1767" s="148">
        <v>0</v>
      </c>
      <c r="J1767" s="148">
        <v>0</v>
      </c>
      <c r="K1767" s="148" t="str">
        <f t="shared" si="27"/>
        <v>PROTECTIONMTHD_USD_PRTCTN_SCP_1</v>
      </c>
    </row>
    <row r="1768" spans="1:11" hidden="1">
      <c r="A1768" s="148" t="s">
        <v>4732</v>
      </c>
      <c r="B1768" s="148" t="s">
        <v>4733</v>
      </c>
      <c r="C1768" s="148" t="s">
        <v>1037</v>
      </c>
      <c r="D1768" s="148" t="s">
        <v>2430</v>
      </c>
      <c r="E1768" s="148" t="s">
        <v>1009</v>
      </c>
      <c r="F1768" s="148" t="s">
        <v>4503</v>
      </c>
      <c r="G1768" s="148" t="s">
        <v>129</v>
      </c>
      <c r="H1768" s="148">
        <v>0</v>
      </c>
      <c r="I1768" s="148">
        <v>0</v>
      </c>
      <c r="J1768" s="148">
        <v>0</v>
      </c>
      <c r="K1768" s="148" t="str">
        <f t="shared" si="27"/>
        <v>PROTECTIONMTHD_USD_PRTCTN_SCP_2</v>
      </c>
    </row>
    <row r="1769" spans="1:11" hidden="1">
      <c r="A1769" s="148" t="s">
        <v>4734</v>
      </c>
      <c r="B1769" s="148" t="s">
        <v>4735</v>
      </c>
      <c r="C1769" s="148" t="s">
        <v>1037</v>
      </c>
      <c r="D1769" s="148" t="s">
        <v>2430</v>
      </c>
      <c r="E1769" s="148" t="s">
        <v>1009</v>
      </c>
      <c r="F1769" s="148" t="s">
        <v>4503</v>
      </c>
      <c r="G1769" s="148" t="s">
        <v>129</v>
      </c>
      <c r="H1769" s="148">
        <v>0</v>
      </c>
      <c r="I1769" s="148">
        <v>0</v>
      </c>
      <c r="J1769" s="148">
        <v>0</v>
      </c>
      <c r="K1769" s="148" t="str">
        <f t="shared" si="27"/>
        <v>PROTECTIONMTHD_USD_PRTCTN_SCP_2</v>
      </c>
    </row>
    <row r="1770" spans="1:11" hidden="1">
      <c r="A1770" s="148" t="s">
        <v>4736</v>
      </c>
      <c r="B1770" s="148" t="s">
        <v>4737</v>
      </c>
      <c r="C1770" s="148" t="s">
        <v>1037</v>
      </c>
      <c r="D1770" s="148" t="s">
        <v>2433</v>
      </c>
      <c r="E1770" s="148" t="s">
        <v>1009</v>
      </c>
      <c r="F1770" s="148" t="s">
        <v>4503</v>
      </c>
      <c r="G1770" s="148" t="s">
        <v>129</v>
      </c>
      <c r="H1770" s="148">
        <v>0</v>
      </c>
      <c r="I1770" s="148">
        <v>0</v>
      </c>
      <c r="J1770" s="148">
        <v>0</v>
      </c>
      <c r="K1770" s="148" t="str">
        <f t="shared" si="27"/>
        <v>PROTECTIONMTHD_USD_PRTCTN_SCP_3</v>
      </c>
    </row>
    <row r="1771" spans="1:11" hidden="1">
      <c r="A1771" s="148" t="s">
        <v>4738</v>
      </c>
      <c r="B1771" s="148" t="s">
        <v>4739</v>
      </c>
      <c r="C1771" s="148" t="s">
        <v>1037</v>
      </c>
      <c r="D1771" s="148" t="s">
        <v>2433</v>
      </c>
      <c r="E1771" s="148" t="s">
        <v>1009</v>
      </c>
      <c r="F1771" s="148" t="s">
        <v>4503</v>
      </c>
      <c r="G1771" s="148" t="s">
        <v>129</v>
      </c>
      <c r="H1771" s="148">
        <v>0</v>
      </c>
      <c r="I1771" s="148">
        <v>0</v>
      </c>
      <c r="J1771" s="148">
        <v>0</v>
      </c>
      <c r="K1771" s="148" t="str">
        <f t="shared" si="27"/>
        <v>PROTECTIONMTHD_USD_PRTCTN_SCP_3</v>
      </c>
    </row>
    <row r="1772" spans="1:11" hidden="1">
      <c r="A1772" s="148" t="s">
        <v>4740</v>
      </c>
      <c r="B1772" s="148" t="s">
        <v>4741</v>
      </c>
      <c r="C1772" s="148" t="s">
        <v>4506</v>
      </c>
      <c r="D1772" s="148" t="s">
        <v>1240</v>
      </c>
      <c r="E1772" s="148" t="s">
        <v>1009</v>
      </c>
      <c r="F1772" s="148" t="s">
        <v>4503</v>
      </c>
      <c r="G1772" s="148" t="s">
        <v>129</v>
      </c>
      <c r="H1772" s="148">
        <v>192749</v>
      </c>
      <c r="I1772" s="148">
        <v>0</v>
      </c>
      <c r="J1772" s="148">
        <v>0</v>
      </c>
      <c r="K1772" s="148" t="str">
        <f t="shared" si="27"/>
        <v>PROTECTIONFLG_ACT_PHYSCL_RSK</v>
      </c>
    </row>
    <row r="1773" spans="1:11" hidden="1">
      <c r="A1773" s="148" t="s">
        <v>4742</v>
      </c>
      <c r="B1773" s="148" t="s">
        <v>4743</v>
      </c>
      <c r="C1773" s="148" t="s">
        <v>4506</v>
      </c>
      <c r="D1773" s="148" t="s">
        <v>1243</v>
      </c>
      <c r="E1773" s="148" t="s">
        <v>1009</v>
      </c>
      <c r="F1773" s="148" t="s">
        <v>4503</v>
      </c>
      <c r="G1773" s="148" t="s">
        <v>129</v>
      </c>
      <c r="H1773" s="148">
        <v>192749</v>
      </c>
      <c r="I1773" s="148">
        <v>0</v>
      </c>
      <c r="J1773" s="148">
        <v>0</v>
      </c>
      <c r="K1773" s="148" t="str">
        <f t="shared" si="27"/>
        <v>PROTECTIONFLG_CHRNC_PHYSCL_RSK</v>
      </c>
    </row>
    <row r="1774" spans="1:11" hidden="1">
      <c r="A1774" s="148" t="s">
        <v>4744</v>
      </c>
      <c r="B1774" s="148" t="s">
        <v>4745</v>
      </c>
      <c r="C1774" s="148" t="s">
        <v>4506</v>
      </c>
      <c r="D1774" s="148" t="s">
        <v>2443</v>
      </c>
      <c r="E1774" s="148" t="s">
        <v>1009</v>
      </c>
      <c r="F1774" s="148" t="s">
        <v>4503</v>
      </c>
      <c r="G1774" s="148" t="s">
        <v>129</v>
      </c>
      <c r="H1774" s="148">
        <v>0</v>
      </c>
      <c r="I1774" s="148">
        <v>0</v>
      </c>
      <c r="J1774" s="148">
        <v>0</v>
      </c>
      <c r="K1774" s="148" t="str">
        <f t="shared" si="27"/>
        <v>PROTECTIONTYP_HZRDS_INSRD</v>
      </c>
    </row>
    <row r="1775" spans="1:11" hidden="1">
      <c r="A1775" s="148" t="s">
        <v>4746</v>
      </c>
      <c r="B1775" s="148" t="s">
        <v>4747</v>
      </c>
      <c r="C1775" s="148" t="s">
        <v>4506</v>
      </c>
      <c r="D1775" s="148" t="s">
        <v>2443</v>
      </c>
      <c r="E1775" s="148" t="s">
        <v>1009</v>
      </c>
      <c r="F1775" s="148" t="s">
        <v>4503</v>
      </c>
      <c r="G1775" s="148" t="s">
        <v>129</v>
      </c>
      <c r="H1775" s="148">
        <v>0</v>
      </c>
      <c r="I1775" s="148">
        <v>0</v>
      </c>
      <c r="J1775" s="148">
        <v>0</v>
      </c>
      <c r="K1775" s="148" t="str">
        <f t="shared" si="27"/>
        <v>PROTECTIONTYP_HZRDS_INSRD</v>
      </c>
    </row>
    <row r="1776" spans="1:11" hidden="1">
      <c r="A1776" s="148" t="s">
        <v>4748</v>
      </c>
      <c r="B1776" s="148" t="s">
        <v>4749</v>
      </c>
      <c r="C1776" s="148" t="s">
        <v>4506</v>
      </c>
      <c r="D1776" s="148" t="s">
        <v>2446</v>
      </c>
      <c r="E1776" s="148" t="s">
        <v>1009</v>
      </c>
      <c r="F1776" s="148" t="s">
        <v>4503</v>
      </c>
      <c r="G1776" s="148" t="s">
        <v>129</v>
      </c>
      <c r="H1776" s="148">
        <v>0</v>
      </c>
      <c r="I1776" s="148">
        <v>0</v>
      </c>
      <c r="J1776" s="148">
        <v>0</v>
      </c>
      <c r="K1776" s="148" t="str">
        <f t="shared" si="27"/>
        <v>PROTECTIONAMNT_CVRD_INSRNC</v>
      </c>
    </row>
    <row r="1777" spans="1:11" hidden="1">
      <c r="A1777" s="148" t="s">
        <v>4750</v>
      </c>
      <c r="B1777" s="148" t="s">
        <v>4751</v>
      </c>
      <c r="C1777" s="148" t="s">
        <v>4506</v>
      </c>
      <c r="D1777" s="148" t="s">
        <v>2446</v>
      </c>
      <c r="E1777" s="148" t="s">
        <v>1009</v>
      </c>
      <c r="F1777" s="148" t="s">
        <v>4503</v>
      </c>
      <c r="G1777" s="148" t="s">
        <v>129</v>
      </c>
      <c r="H1777" s="148">
        <v>0</v>
      </c>
      <c r="I1777" s="148">
        <v>0</v>
      </c>
      <c r="J1777" s="148">
        <v>0</v>
      </c>
      <c r="K1777" s="148" t="str">
        <f t="shared" si="27"/>
        <v>PROTECTIONAMNT_CVRD_INSRNC</v>
      </c>
    </row>
    <row r="1778" spans="1:11" hidden="1">
      <c r="A1778" s="148" t="s">
        <v>4752</v>
      </c>
      <c r="B1778" s="148" t="s">
        <v>4753</v>
      </c>
      <c r="C1778" s="148" t="s">
        <v>4506</v>
      </c>
      <c r="D1778" s="148" t="s">
        <v>2449</v>
      </c>
      <c r="E1778" s="148" t="s">
        <v>1009</v>
      </c>
      <c r="F1778" s="148" t="s">
        <v>4503</v>
      </c>
      <c r="G1778" s="148" t="s">
        <v>129</v>
      </c>
      <c r="H1778" s="148">
        <v>0</v>
      </c>
      <c r="I1778" s="148">
        <v>0</v>
      </c>
      <c r="J1778" s="148">
        <v>0</v>
      </c>
      <c r="K1778" s="148" t="str">
        <f t="shared" si="27"/>
        <v>PROTECTIONDT_MTRTY_INSRNC</v>
      </c>
    </row>
    <row r="1779" spans="1:11" hidden="1">
      <c r="A1779" s="148" t="s">
        <v>4754</v>
      </c>
      <c r="B1779" s="148" t="s">
        <v>4755</v>
      </c>
      <c r="C1779" s="148" t="s">
        <v>4506</v>
      </c>
      <c r="D1779" s="148" t="s">
        <v>2449</v>
      </c>
      <c r="E1779" s="148" t="s">
        <v>1009</v>
      </c>
      <c r="F1779" s="148" t="s">
        <v>4503</v>
      </c>
      <c r="G1779" s="148" t="s">
        <v>129</v>
      </c>
      <c r="H1779" s="148">
        <v>0</v>
      </c>
      <c r="I1779" s="148">
        <v>0</v>
      </c>
      <c r="J1779" s="148">
        <v>0</v>
      </c>
      <c r="K1779" s="148" t="str">
        <f t="shared" si="27"/>
        <v>PROTECTIONDT_MTRTY_INSRNC</v>
      </c>
    </row>
    <row r="1780" spans="1:11" hidden="1">
      <c r="A1780" s="148" t="s">
        <v>4756</v>
      </c>
      <c r="B1780" s="148" t="s">
        <v>4757</v>
      </c>
      <c r="C1780" s="148" t="s">
        <v>4506</v>
      </c>
      <c r="D1780" s="148" t="s">
        <v>1358</v>
      </c>
      <c r="E1780" s="148" t="s">
        <v>1009</v>
      </c>
      <c r="F1780" s="148" t="s">
        <v>4503</v>
      </c>
      <c r="G1780" s="148" t="s">
        <v>129</v>
      </c>
      <c r="H1780" s="148">
        <v>103604</v>
      </c>
      <c r="I1780" s="148">
        <v>0</v>
      </c>
      <c r="J1780" s="148">
        <v>0</v>
      </c>
      <c r="K1780" s="148" t="str">
        <f t="shared" si="27"/>
        <v>PROTECTIONFLG_FRST_HM</v>
      </c>
    </row>
    <row r="1781" spans="1:11" hidden="1">
      <c r="A1781" s="148" t="s">
        <v>4758</v>
      </c>
      <c r="B1781" s="148" t="s">
        <v>4759</v>
      </c>
      <c r="C1781" s="148" t="s">
        <v>4506</v>
      </c>
      <c r="D1781" s="148" t="s">
        <v>542</v>
      </c>
      <c r="E1781" s="148" t="s">
        <v>1009</v>
      </c>
      <c r="F1781" s="148" t="s">
        <v>4503</v>
      </c>
      <c r="G1781" s="148" t="s">
        <v>129</v>
      </c>
      <c r="H1781" s="148">
        <v>259422</v>
      </c>
      <c r="I1781" s="148">
        <v>0</v>
      </c>
      <c r="J1781" s="148">
        <v>0</v>
      </c>
      <c r="K1781" s="148" t="str">
        <f t="shared" si="27"/>
        <v>PROTECTIONYR_CNSTRCTN</v>
      </c>
    </row>
    <row r="1782" spans="1:11" hidden="1">
      <c r="A1782" s="148" t="s">
        <v>4760</v>
      </c>
      <c r="B1782" s="148" t="s">
        <v>4761</v>
      </c>
      <c r="C1782" s="148" t="s">
        <v>4506</v>
      </c>
      <c r="D1782" s="148" t="s">
        <v>542</v>
      </c>
      <c r="E1782" s="148" t="s">
        <v>1009</v>
      </c>
      <c r="F1782" s="148" t="s">
        <v>4503</v>
      </c>
      <c r="G1782" s="148" t="s">
        <v>129</v>
      </c>
      <c r="H1782" s="148">
        <v>69</v>
      </c>
      <c r="I1782" s="148">
        <v>0</v>
      </c>
      <c r="J1782" s="148">
        <v>0</v>
      </c>
      <c r="K1782" s="148" t="str">
        <f t="shared" si="27"/>
        <v>PROTECTIONYR_CNSTRCTN</v>
      </c>
    </row>
    <row r="1783" spans="1:11" hidden="1">
      <c r="A1783" s="148" t="s">
        <v>4762</v>
      </c>
      <c r="B1783" s="148" t="s">
        <v>4763</v>
      </c>
      <c r="C1783" s="148" t="s">
        <v>4506</v>
      </c>
      <c r="D1783" s="148" t="s">
        <v>2456</v>
      </c>
      <c r="E1783" s="148" t="s">
        <v>1009</v>
      </c>
      <c r="F1783" s="148" t="s">
        <v>4503</v>
      </c>
      <c r="G1783" s="148" t="s">
        <v>129</v>
      </c>
      <c r="H1783" s="148">
        <v>272377</v>
      </c>
      <c r="I1783" s="148">
        <v>0</v>
      </c>
      <c r="J1783" s="148">
        <v>0</v>
      </c>
      <c r="K1783" s="148" t="str">
        <f t="shared" si="27"/>
        <v>PROTECTIONBLDNG_AR</v>
      </c>
    </row>
    <row r="1784" spans="1:11" hidden="1">
      <c r="A1784" s="148" t="s">
        <v>4764</v>
      </c>
      <c r="B1784" s="148" t="s">
        <v>4765</v>
      </c>
      <c r="C1784" s="148" t="s">
        <v>4506</v>
      </c>
      <c r="D1784" s="148" t="s">
        <v>2456</v>
      </c>
      <c r="E1784" s="148" t="s">
        <v>1009</v>
      </c>
      <c r="F1784" s="148" t="s">
        <v>4503</v>
      </c>
      <c r="G1784" s="148" t="s">
        <v>129</v>
      </c>
      <c r="H1784" s="148">
        <v>192749</v>
      </c>
      <c r="I1784" s="148">
        <v>0</v>
      </c>
      <c r="J1784" s="148">
        <v>0</v>
      </c>
      <c r="K1784" s="148" t="str">
        <f t="shared" si="27"/>
        <v>PROTECTIONBLDNG_AR</v>
      </c>
    </row>
    <row r="1785" spans="1:11" hidden="1">
      <c r="A1785" s="148" t="s">
        <v>4766</v>
      </c>
      <c r="B1785" s="148" t="s">
        <v>4767</v>
      </c>
      <c r="C1785" s="148" t="s">
        <v>4506</v>
      </c>
      <c r="D1785" s="148" t="s">
        <v>572</v>
      </c>
      <c r="E1785" s="148" t="s">
        <v>1009</v>
      </c>
      <c r="F1785" s="148" t="s">
        <v>4503</v>
      </c>
      <c r="G1785" s="148" t="s">
        <v>129</v>
      </c>
      <c r="H1785" s="148">
        <v>272377</v>
      </c>
      <c r="I1785" s="148">
        <v>0</v>
      </c>
      <c r="J1785" s="148">
        <v>0</v>
      </c>
      <c r="K1785" s="148" t="str">
        <f t="shared" si="27"/>
        <v>PROTECTIONLND_AR</v>
      </c>
    </row>
    <row r="1786" spans="1:11" hidden="1">
      <c r="A1786" s="148" t="s">
        <v>4768</v>
      </c>
      <c r="B1786" s="148" t="s">
        <v>4769</v>
      </c>
      <c r="C1786" s="148" t="s">
        <v>4506</v>
      </c>
      <c r="D1786" s="148" t="s">
        <v>572</v>
      </c>
      <c r="E1786" s="148" t="s">
        <v>1009</v>
      </c>
      <c r="F1786" s="148" t="s">
        <v>4503</v>
      </c>
      <c r="G1786" s="148" t="s">
        <v>129</v>
      </c>
      <c r="H1786" s="148">
        <v>192749</v>
      </c>
      <c r="I1786" s="148">
        <v>0</v>
      </c>
      <c r="J1786" s="148">
        <v>0</v>
      </c>
      <c r="K1786" s="148" t="str">
        <f t="shared" si="27"/>
        <v>PROTECTIONLND_AR</v>
      </c>
    </row>
    <row r="1787" spans="1:11" hidden="1">
      <c r="A1787" s="148" t="s">
        <v>4770</v>
      </c>
      <c r="B1787" s="148" t="s">
        <v>4771</v>
      </c>
      <c r="C1787" s="148" t="s">
        <v>4506</v>
      </c>
      <c r="D1787" s="148" t="s">
        <v>572</v>
      </c>
      <c r="E1787" s="148" t="s">
        <v>1009</v>
      </c>
      <c r="F1787" s="148" t="s">
        <v>4503</v>
      </c>
      <c r="G1787" s="148" t="s">
        <v>129</v>
      </c>
      <c r="H1787" s="148">
        <v>0</v>
      </c>
      <c r="I1787" s="148">
        <v>0</v>
      </c>
      <c r="J1787" s="148">
        <v>0</v>
      </c>
      <c r="K1787" s="148" t="str">
        <f t="shared" si="27"/>
        <v>PROTECTIONLND_AR</v>
      </c>
    </row>
    <row r="1788" spans="1:11" hidden="1">
      <c r="A1788" s="148" t="s">
        <v>4772</v>
      </c>
      <c r="B1788" s="148" t="s">
        <v>4773</v>
      </c>
      <c r="C1788" s="148" t="s">
        <v>4506</v>
      </c>
      <c r="D1788" s="148" t="s">
        <v>2463</v>
      </c>
      <c r="E1788" s="148" t="s">
        <v>1009</v>
      </c>
      <c r="F1788" s="148" t="s">
        <v>4503</v>
      </c>
      <c r="G1788" s="148" t="s">
        <v>129</v>
      </c>
      <c r="H1788" s="148">
        <v>272377</v>
      </c>
      <c r="I1788" s="148">
        <v>0</v>
      </c>
      <c r="J1788" s="148">
        <v>0</v>
      </c>
      <c r="K1788" s="148" t="str">
        <f t="shared" si="27"/>
        <v>PROTECTIONRL_ESTT_CRTFCTN</v>
      </c>
    </row>
    <row r="1789" spans="1:11" hidden="1">
      <c r="A1789" s="148" t="s">
        <v>4774</v>
      </c>
      <c r="B1789" s="148" t="s">
        <v>4775</v>
      </c>
      <c r="C1789" s="148" t="s">
        <v>4506</v>
      </c>
      <c r="D1789" s="148" t="s">
        <v>2463</v>
      </c>
      <c r="E1789" s="148" t="s">
        <v>1009</v>
      </c>
      <c r="F1789" s="148" t="s">
        <v>4503</v>
      </c>
      <c r="G1789" s="148" t="s">
        <v>129</v>
      </c>
      <c r="H1789" s="148">
        <v>192749</v>
      </c>
      <c r="I1789" s="148">
        <v>0</v>
      </c>
      <c r="J1789" s="148">
        <v>0</v>
      </c>
      <c r="K1789" s="148" t="str">
        <f t="shared" si="27"/>
        <v>PROTECTIONRL_ESTT_CRTFCTN</v>
      </c>
    </row>
    <row r="1790" spans="1:11" hidden="1">
      <c r="A1790" s="148" t="s">
        <v>4776</v>
      </c>
      <c r="B1790" s="148" t="s">
        <v>4777</v>
      </c>
      <c r="C1790" s="148" t="s">
        <v>4506</v>
      </c>
      <c r="D1790" s="148" t="s">
        <v>2466</v>
      </c>
      <c r="E1790" s="148" t="s">
        <v>1009</v>
      </c>
      <c r="F1790" s="148" t="s">
        <v>4503</v>
      </c>
      <c r="G1790" s="148" t="s">
        <v>129</v>
      </c>
      <c r="H1790" s="148">
        <v>20489</v>
      </c>
      <c r="I1790" s="148">
        <v>0</v>
      </c>
      <c r="J1790" s="148">
        <v>0</v>
      </c>
      <c r="K1790" s="148" t="str">
        <f t="shared" si="27"/>
        <v>PROTECTIONTYP_VHCL</v>
      </c>
    </row>
    <row r="1791" spans="1:11" hidden="1">
      <c r="A1791" s="148" t="s">
        <v>4778</v>
      </c>
      <c r="B1791" s="148" t="s">
        <v>4779</v>
      </c>
      <c r="C1791" s="148" t="s">
        <v>4506</v>
      </c>
      <c r="D1791" s="148" t="s">
        <v>2466</v>
      </c>
      <c r="E1791" s="148" t="s">
        <v>1009</v>
      </c>
      <c r="F1791" s="148" t="s">
        <v>4503</v>
      </c>
      <c r="G1791" s="148" t="s">
        <v>129</v>
      </c>
      <c r="H1791" s="148">
        <v>444637</v>
      </c>
      <c r="I1791" s="148">
        <v>0</v>
      </c>
      <c r="J1791" s="148">
        <v>0</v>
      </c>
      <c r="K1791" s="148" t="str">
        <f t="shared" si="27"/>
        <v>PROTECTIONTYP_VHCL</v>
      </c>
    </row>
    <row r="1792" spans="1:11" hidden="1">
      <c r="A1792" s="148" t="s">
        <v>4780</v>
      </c>
      <c r="B1792" s="148" t="s">
        <v>4781</v>
      </c>
      <c r="C1792" s="148" t="s">
        <v>4506</v>
      </c>
      <c r="D1792" s="148" t="s">
        <v>2469</v>
      </c>
      <c r="E1792" s="148" t="s">
        <v>1009</v>
      </c>
      <c r="F1792" s="148" t="s">
        <v>4503</v>
      </c>
      <c r="G1792" s="148" t="s">
        <v>129</v>
      </c>
      <c r="H1792" s="148">
        <v>20489</v>
      </c>
      <c r="I1792" s="148">
        <v>0</v>
      </c>
      <c r="J1792" s="148">
        <v>0</v>
      </c>
      <c r="K1792" s="148" t="str">
        <f t="shared" si="27"/>
        <v>PROTECTIONDT_RGSTRTN</v>
      </c>
    </row>
    <row r="1793" spans="1:11" hidden="1">
      <c r="A1793" s="148" t="s">
        <v>4782</v>
      </c>
      <c r="B1793" s="148" t="s">
        <v>4783</v>
      </c>
      <c r="C1793" s="148" t="s">
        <v>4506</v>
      </c>
      <c r="D1793" s="148" t="s">
        <v>2469</v>
      </c>
      <c r="E1793" s="148" t="s">
        <v>1009</v>
      </c>
      <c r="F1793" s="148" t="s">
        <v>4503</v>
      </c>
      <c r="G1793" s="148" t="s">
        <v>129</v>
      </c>
      <c r="H1793" s="148">
        <v>444637</v>
      </c>
      <c r="I1793" s="148">
        <v>0</v>
      </c>
      <c r="J1793" s="148">
        <v>0</v>
      </c>
      <c r="K1793" s="148" t="str">
        <f t="shared" si="27"/>
        <v>PROTECTIONDT_RGSTRTN</v>
      </c>
    </row>
    <row r="1794" spans="1:11" hidden="1">
      <c r="A1794" s="148" t="s">
        <v>4784</v>
      </c>
      <c r="B1794" s="148" t="s">
        <v>4785</v>
      </c>
      <c r="C1794" s="148" t="s">
        <v>4506</v>
      </c>
      <c r="D1794" s="148" t="s">
        <v>2469</v>
      </c>
      <c r="E1794" s="148" t="s">
        <v>1009</v>
      </c>
      <c r="F1794" s="148" t="s">
        <v>4503</v>
      </c>
      <c r="G1794" s="148" t="s">
        <v>129</v>
      </c>
      <c r="H1794" s="148">
        <v>0</v>
      </c>
      <c r="I1794" s="148">
        <v>0</v>
      </c>
      <c r="J1794" s="148">
        <v>0</v>
      </c>
      <c r="K1794" s="148" t="str">
        <f t="shared" si="27"/>
        <v>PROTECTIONDT_RGSTRTN</v>
      </c>
    </row>
    <row r="1795" spans="1:11" hidden="1">
      <c r="A1795" s="148" t="s">
        <v>4786</v>
      </c>
      <c r="B1795" s="148" t="s">
        <v>4787</v>
      </c>
      <c r="C1795" s="148" t="s">
        <v>4506</v>
      </c>
      <c r="D1795" s="148" t="s">
        <v>2472</v>
      </c>
      <c r="E1795" s="148" t="s">
        <v>1009</v>
      </c>
      <c r="F1795" s="148" t="s">
        <v>4503</v>
      </c>
      <c r="G1795" s="148" t="s">
        <v>129</v>
      </c>
      <c r="H1795" s="148">
        <v>465126</v>
      </c>
      <c r="I1795" s="148">
        <v>0</v>
      </c>
      <c r="J1795" s="148">
        <v>0</v>
      </c>
      <c r="K1795" s="148" t="str">
        <f t="shared" ref="K1795:K1839" si="28">_xlfn.CONCAT(_xlfn.IFS(ISNUMBER(SEARCH("EN",A1795)),"ENTITY",ISNUMBER(SEARCH("IN",A1795)),"INSTRUMENT",ISNUMBER(SEARCH("PR",A1795)),"PROTECTION",ISNUMBER(SEARCH("IP",A1795)),"INSTR_PROTECTION",ISNUMBER(SEARCH("IE",A1795)),"INSTR_ENTITY",ISNUMBER(SEARCH("AC",A1795)),"INSTR_ACTIVITY"),D1795)</f>
        <v>PROTECTIONPRMRY_ENRGY_DMND_NN_RNWBL</v>
      </c>
    </row>
    <row r="1796" spans="1:11" hidden="1">
      <c r="A1796" s="148" t="s">
        <v>4788</v>
      </c>
      <c r="B1796" s="148" t="s">
        <v>4789</v>
      </c>
      <c r="C1796" s="148" t="s">
        <v>4506</v>
      </c>
      <c r="D1796" s="148" t="s">
        <v>2472</v>
      </c>
      <c r="E1796" s="148" t="s">
        <v>1009</v>
      </c>
      <c r="F1796" s="148" t="s">
        <v>4503</v>
      </c>
      <c r="G1796" s="148" t="s">
        <v>129</v>
      </c>
      <c r="H1796" s="148">
        <v>0</v>
      </c>
      <c r="I1796" s="148">
        <v>0</v>
      </c>
      <c r="J1796" s="148">
        <v>0</v>
      </c>
      <c r="K1796" s="148" t="str">
        <f t="shared" si="28"/>
        <v>PROTECTIONPRMRY_ENRGY_DMND_NN_RNWBL</v>
      </c>
    </row>
    <row r="1797" spans="1:11" hidden="1">
      <c r="A1797" s="148" t="s">
        <v>4790</v>
      </c>
      <c r="B1797" s="148" t="s">
        <v>4791</v>
      </c>
      <c r="C1797" s="148" t="s">
        <v>4506</v>
      </c>
      <c r="D1797" s="148" t="s">
        <v>2475</v>
      </c>
      <c r="E1797" s="148" t="s">
        <v>1009</v>
      </c>
      <c r="F1797" s="148" t="s">
        <v>4503</v>
      </c>
      <c r="G1797" s="148" t="s">
        <v>129</v>
      </c>
      <c r="H1797" s="148">
        <v>0</v>
      </c>
      <c r="I1797" s="148">
        <v>0</v>
      </c>
      <c r="J1797" s="148">
        <v>0</v>
      </c>
      <c r="K1797" s="148" t="str">
        <f t="shared" si="28"/>
        <v>PROTECTIONPRMRY_ENRGY_DMND_TTL</v>
      </c>
    </row>
    <row r="1798" spans="1:11" hidden="1">
      <c r="A1798" s="148" t="s">
        <v>4792</v>
      </c>
      <c r="B1798" s="148" t="s">
        <v>4793</v>
      </c>
      <c r="C1798" s="148" t="s">
        <v>4506</v>
      </c>
      <c r="D1798" s="148" t="s">
        <v>2475</v>
      </c>
      <c r="E1798" s="148" t="s">
        <v>1009</v>
      </c>
      <c r="F1798" s="148" t="s">
        <v>4503</v>
      </c>
      <c r="G1798" s="148" t="s">
        <v>129</v>
      </c>
      <c r="H1798" s="148">
        <v>465126</v>
      </c>
      <c r="I1798" s="148">
        <v>0</v>
      </c>
      <c r="J1798" s="148">
        <v>0</v>
      </c>
      <c r="K1798" s="148" t="str">
        <f t="shared" si="28"/>
        <v>PROTECTIONPRMRY_ENRGY_DMND_TTL</v>
      </c>
    </row>
    <row r="1799" spans="1:11" hidden="1">
      <c r="A1799" s="148" t="s">
        <v>4794</v>
      </c>
      <c r="B1799" s="148" t="s">
        <v>4795</v>
      </c>
      <c r="C1799" s="148" t="s">
        <v>4506</v>
      </c>
      <c r="D1799" s="148" t="s">
        <v>2478</v>
      </c>
      <c r="E1799" s="148" t="s">
        <v>1009</v>
      </c>
      <c r="F1799" s="148" t="s">
        <v>4503</v>
      </c>
      <c r="G1799" s="148" t="s">
        <v>129</v>
      </c>
      <c r="H1799" s="148">
        <v>192749</v>
      </c>
      <c r="I1799" s="148">
        <v>0</v>
      </c>
      <c r="J1799" s="148">
        <v>0</v>
      </c>
      <c r="K1799" s="148" t="str">
        <f t="shared" si="28"/>
        <v>PROTECTIONPRMRY_ENRGY_DMND_RFRNC_VL</v>
      </c>
    </row>
    <row r="1800" spans="1:11" hidden="1">
      <c r="A1800" s="148" t="s">
        <v>4796</v>
      </c>
      <c r="B1800" s="148" t="s">
        <v>4797</v>
      </c>
      <c r="C1800" s="148" t="s">
        <v>4506</v>
      </c>
      <c r="D1800" s="148" t="s">
        <v>2478</v>
      </c>
      <c r="E1800" s="148" t="s">
        <v>1009</v>
      </c>
      <c r="F1800" s="148" t="s">
        <v>4503</v>
      </c>
      <c r="G1800" s="148" t="s">
        <v>129</v>
      </c>
      <c r="H1800" s="148">
        <v>272377</v>
      </c>
      <c r="I1800" s="148">
        <v>0</v>
      </c>
      <c r="J1800" s="148">
        <v>0</v>
      </c>
      <c r="K1800" s="148" t="str">
        <f t="shared" si="28"/>
        <v>PROTECTIONPRMRY_ENRGY_DMND_RFRNC_VL</v>
      </c>
    </row>
    <row r="1801" spans="1:11" hidden="1">
      <c r="A1801" s="148" t="s">
        <v>4798</v>
      </c>
      <c r="B1801" s="148" t="s">
        <v>4799</v>
      </c>
      <c r="C1801" s="148" t="s">
        <v>4506</v>
      </c>
      <c r="D1801" s="148" t="s">
        <v>2481</v>
      </c>
      <c r="E1801" s="148" t="s">
        <v>1009</v>
      </c>
      <c r="F1801" s="148" t="s">
        <v>4503</v>
      </c>
      <c r="G1801" s="148" t="s">
        <v>129</v>
      </c>
      <c r="H1801" s="148">
        <v>465126</v>
      </c>
      <c r="I1801" s="148">
        <v>0</v>
      </c>
      <c r="J1801" s="148">
        <v>0</v>
      </c>
      <c r="K1801" s="148" t="str">
        <f t="shared" si="28"/>
        <v>PROTECTIONRL_ESTT_CLMT_ZN</v>
      </c>
    </row>
    <row r="1802" spans="1:11" hidden="1">
      <c r="A1802" s="148" t="s">
        <v>4800</v>
      </c>
      <c r="B1802" s="148" t="s">
        <v>4801</v>
      </c>
      <c r="C1802" s="148" t="s">
        <v>4506</v>
      </c>
      <c r="D1802" s="148" t="s">
        <v>2481</v>
      </c>
      <c r="E1802" s="148" t="s">
        <v>1009</v>
      </c>
      <c r="F1802" s="148" t="s">
        <v>4503</v>
      </c>
      <c r="G1802" s="148" t="s">
        <v>129</v>
      </c>
      <c r="H1802" s="148">
        <v>0</v>
      </c>
      <c r="I1802" s="148">
        <v>0</v>
      </c>
      <c r="J1802" s="148">
        <v>0</v>
      </c>
      <c r="K1802" s="148" t="str">
        <f t="shared" si="28"/>
        <v>PROTECTIONRL_ESTT_CLMT_ZN</v>
      </c>
    </row>
    <row r="1803" spans="1:11" hidden="1">
      <c r="A1803" s="148" t="s">
        <v>4802</v>
      </c>
      <c r="B1803" s="148" t="s">
        <v>4803</v>
      </c>
      <c r="C1803" s="148" t="s">
        <v>4506</v>
      </c>
      <c r="D1803" s="148" t="s">
        <v>574</v>
      </c>
      <c r="E1803" s="148" t="s">
        <v>1009</v>
      </c>
      <c r="F1803" s="148" t="s">
        <v>4503</v>
      </c>
      <c r="G1803" s="148" t="s">
        <v>129</v>
      </c>
      <c r="H1803" s="148">
        <v>272377</v>
      </c>
      <c r="I1803" s="148">
        <v>0</v>
      </c>
      <c r="J1803" s="148">
        <v>0</v>
      </c>
      <c r="K1803" s="148" t="str">
        <f t="shared" si="28"/>
        <v>PROTECTIONRL_ESTT_LNGTD</v>
      </c>
    </row>
    <row r="1804" spans="1:11" hidden="1">
      <c r="A1804" s="148" t="s">
        <v>4804</v>
      </c>
      <c r="B1804" s="148" t="s">
        <v>4805</v>
      </c>
      <c r="C1804" s="148" t="s">
        <v>4506</v>
      </c>
      <c r="D1804" s="148" t="s">
        <v>574</v>
      </c>
      <c r="E1804" s="148" t="s">
        <v>1009</v>
      </c>
      <c r="F1804" s="148" t="s">
        <v>4503</v>
      </c>
      <c r="G1804" s="148" t="s">
        <v>129</v>
      </c>
      <c r="H1804" s="148">
        <v>192749</v>
      </c>
      <c r="I1804" s="148">
        <v>0</v>
      </c>
      <c r="J1804" s="148">
        <v>0</v>
      </c>
      <c r="K1804" s="148" t="str">
        <f t="shared" si="28"/>
        <v>PROTECTIONRL_ESTT_LNGTD</v>
      </c>
    </row>
    <row r="1805" spans="1:11" hidden="1">
      <c r="A1805" s="148" t="s">
        <v>4806</v>
      </c>
      <c r="B1805" s="148" t="s">
        <v>4807</v>
      </c>
      <c r="C1805" s="148" t="s">
        <v>4506</v>
      </c>
      <c r="D1805" s="148" t="s">
        <v>575</v>
      </c>
      <c r="E1805" s="148" t="s">
        <v>1009</v>
      </c>
      <c r="F1805" s="148" t="s">
        <v>4503</v>
      </c>
      <c r="G1805" s="148" t="s">
        <v>129</v>
      </c>
      <c r="H1805" s="148">
        <v>272377</v>
      </c>
      <c r="I1805" s="148">
        <v>0</v>
      </c>
      <c r="J1805" s="148">
        <v>0</v>
      </c>
      <c r="K1805" s="148" t="str">
        <f t="shared" si="28"/>
        <v>PROTECTIONRL_ESTT_LTTD</v>
      </c>
    </row>
    <row r="1806" spans="1:11" hidden="1">
      <c r="A1806" s="148" t="s">
        <v>4808</v>
      </c>
      <c r="B1806" s="148" t="s">
        <v>4809</v>
      </c>
      <c r="C1806" s="148" t="s">
        <v>4506</v>
      </c>
      <c r="D1806" s="148" t="s">
        <v>575</v>
      </c>
      <c r="E1806" s="148" t="s">
        <v>1009</v>
      </c>
      <c r="F1806" s="148" t="s">
        <v>4503</v>
      </c>
      <c r="G1806" s="148" t="s">
        <v>129</v>
      </c>
      <c r="H1806" s="148">
        <v>192749</v>
      </c>
      <c r="I1806" s="148">
        <v>0</v>
      </c>
      <c r="J1806" s="148">
        <v>0</v>
      </c>
      <c r="K1806" s="148" t="str">
        <f t="shared" si="28"/>
        <v>PROTECTIONRL_ESTT_LTTD</v>
      </c>
    </row>
    <row r="1807" spans="1:11" hidden="1">
      <c r="A1807" s="148" t="s">
        <v>4810</v>
      </c>
      <c r="B1807" s="148" t="s">
        <v>4811</v>
      </c>
      <c r="C1807" s="148" t="s">
        <v>4506</v>
      </c>
      <c r="D1807" s="148" t="s">
        <v>1361</v>
      </c>
      <c r="E1807" s="148" t="s">
        <v>1009</v>
      </c>
      <c r="F1807" s="148" t="s">
        <v>4503</v>
      </c>
      <c r="G1807" s="148" t="s">
        <v>129</v>
      </c>
      <c r="H1807" s="148">
        <v>20489</v>
      </c>
      <c r="I1807" s="148">
        <v>0</v>
      </c>
      <c r="J1807" s="148">
        <v>0</v>
      </c>
      <c r="K1807" s="148" t="str">
        <f t="shared" si="28"/>
        <v>PROTECTIONFLG_ELCTRC_VHCL</v>
      </c>
    </row>
    <row r="1808" spans="1:11" hidden="1">
      <c r="A1808" s="148" t="s">
        <v>4812</v>
      </c>
      <c r="B1808" s="148" t="s">
        <v>4813</v>
      </c>
      <c r="C1808" s="148" t="s">
        <v>4506</v>
      </c>
      <c r="D1808" s="148" t="s">
        <v>1361</v>
      </c>
      <c r="E1808" s="148" t="s">
        <v>1009</v>
      </c>
      <c r="F1808" s="148" t="s">
        <v>4503</v>
      </c>
      <c r="G1808" s="148" t="s">
        <v>129</v>
      </c>
      <c r="H1808" s="148">
        <v>444637</v>
      </c>
      <c r="I1808" s="148">
        <v>0</v>
      </c>
      <c r="J1808" s="148">
        <v>0</v>
      </c>
      <c r="K1808" s="148" t="str">
        <f t="shared" si="28"/>
        <v>PROTECTIONFLG_ELCTRC_VHCL</v>
      </c>
    </row>
    <row r="1809" spans="1:11" hidden="1">
      <c r="A1809" s="148" t="s">
        <v>4814</v>
      </c>
      <c r="B1809" s="148" t="s">
        <v>4815</v>
      </c>
      <c r="C1809" s="148" t="s">
        <v>576</v>
      </c>
      <c r="D1809" s="148" t="s">
        <v>10</v>
      </c>
      <c r="E1809" s="148" t="s">
        <v>4816</v>
      </c>
      <c r="F1809" s="148" t="s">
        <v>4817</v>
      </c>
      <c r="G1809" s="148" t="s">
        <v>129</v>
      </c>
      <c r="H1809" s="148">
        <v>4</v>
      </c>
      <c r="I1809" s="148">
        <v>0</v>
      </c>
      <c r="J1809" s="148">
        <v>0</v>
      </c>
      <c r="K1809" s="148" t="str">
        <f t="shared" si="28"/>
        <v>INSTR_ACTIVITY</v>
      </c>
    </row>
    <row r="1810" spans="1:11" hidden="1">
      <c r="A1810" s="148" t="s">
        <v>4818</v>
      </c>
      <c r="B1810" s="148" t="s">
        <v>4819</v>
      </c>
      <c r="C1810" s="148" t="s">
        <v>576</v>
      </c>
      <c r="D1810" s="148" t="s">
        <v>10</v>
      </c>
      <c r="E1810" s="148" t="s">
        <v>4816</v>
      </c>
      <c r="F1810" s="148" t="s">
        <v>4817</v>
      </c>
      <c r="G1810" s="148" t="s">
        <v>129</v>
      </c>
      <c r="H1810" s="148">
        <v>6</v>
      </c>
      <c r="I1810" s="148">
        <v>0</v>
      </c>
      <c r="J1810" s="148">
        <v>0</v>
      </c>
      <c r="K1810" s="148" t="str">
        <f t="shared" si="28"/>
        <v>INSTR_ACTIVITY</v>
      </c>
    </row>
    <row r="1811" spans="1:11" hidden="1">
      <c r="A1811" s="148" t="s">
        <v>4820</v>
      </c>
      <c r="B1811" s="148" t="s">
        <v>4821</v>
      </c>
      <c r="C1811" s="148" t="s">
        <v>576</v>
      </c>
      <c r="D1811" s="148" t="s">
        <v>10</v>
      </c>
      <c r="E1811" s="148" t="s">
        <v>4816</v>
      </c>
      <c r="F1811" s="148" t="s">
        <v>4817</v>
      </c>
      <c r="G1811" s="148" t="s">
        <v>1011</v>
      </c>
      <c r="H1811" s="148">
        <v>7</v>
      </c>
      <c r="I1811" s="148">
        <v>5</v>
      </c>
      <c r="J1811" s="148">
        <v>71.428600000000003</v>
      </c>
      <c r="K1811" s="148" t="str">
        <f t="shared" si="28"/>
        <v>INSTR_ACTIVITY</v>
      </c>
    </row>
    <row r="1812" spans="1:11" hidden="1">
      <c r="A1812" s="148" t="s">
        <v>4822</v>
      </c>
      <c r="B1812" s="148" t="s">
        <v>4823</v>
      </c>
      <c r="C1812" s="148" t="s">
        <v>576</v>
      </c>
      <c r="D1812" s="148" t="s">
        <v>186</v>
      </c>
      <c r="E1812" s="148" t="s">
        <v>4816</v>
      </c>
      <c r="F1812" s="148" t="s">
        <v>4817</v>
      </c>
      <c r="G1812" s="148" t="s">
        <v>129</v>
      </c>
      <c r="H1812" s="148">
        <v>2138988</v>
      </c>
      <c r="I1812" s="148">
        <v>0</v>
      </c>
      <c r="J1812" s="148">
        <v>0</v>
      </c>
      <c r="K1812" s="148" t="str">
        <f t="shared" si="28"/>
        <v>INSTR_ACTIVITYCOD_SOC</v>
      </c>
    </row>
    <row r="1813" spans="1:11" hidden="1">
      <c r="A1813" s="148" t="s">
        <v>4824</v>
      </c>
      <c r="B1813" s="148" t="s">
        <v>4825</v>
      </c>
      <c r="C1813" s="148" t="s">
        <v>576</v>
      </c>
      <c r="D1813" s="148" t="s">
        <v>283</v>
      </c>
      <c r="E1813" s="148" t="s">
        <v>4816</v>
      </c>
      <c r="F1813" s="148" t="s">
        <v>4817</v>
      </c>
      <c r="G1813" s="148" t="s">
        <v>129</v>
      </c>
      <c r="H1813" s="148">
        <v>2138988</v>
      </c>
      <c r="I1813" s="148">
        <v>0</v>
      </c>
      <c r="J1813" s="148">
        <v>0</v>
      </c>
      <c r="K1813" s="148" t="str">
        <f t="shared" si="28"/>
        <v>INSTR_ACTIVITYDT_RFRNC</v>
      </c>
    </row>
    <row r="1814" spans="1:11" hidden="1">
      <c r="A1814" s="148" t="s">
        <v>4826</v>
      </c>
      <c r="B1814" s="148" t="s">
        <v>4815</v>
      </c>
      <c r="C1814" s="148" t="s">
        <v>139</v>
      </c>
      <c r="D1814" s="148" t="s">
        <v>10</v>
      </c>
      <c r="E1814" s="148" t="s">
        <v>4816</v>
      </c>
      <c r="F1814" s="148" t="s">
        <v>4827</v>
      </c>
      <c r="G1814" s="148" t="s">
        <v>129</v>
      </c>
      <c r="H1814" s="148">
        <v>3</v>
      </c>
      <c r="I1814" s="148">
        <v>0</v>
      </c>
      <c r="J1814" s="148">
        <v>0</v>
      </c>
      <c r="K1814" s="148" t="str">
        <f t="shared" si="28"/>
        <v>ENTITY</v>
      </c>
    </row>
    <row r="1815" spans="1:11" hidden="1">
      <c r="A1815" s="148" t="s">
        <v>4828</v>
      </c>
      <c r="B1815" s="148" t="s">
        <v>4819</v>
      </c>
      <c r="C1815" s="148" t="s">
        <v>139</v>
      </c>
      <c r="D1815" s="148" t="s">
        <v>10</v>
      </c>
      <c r="E1815" s="148" t="s">
        <v>4816</v>
      </c>
      <c r="F1815" s="148" t="s">
        <v>4827</v>
      </c>
      <c r="G1815" s="148" t="s">
        <v>1011</v>
      </c>
      <c r="H1815" s="148">
        <v>105</v>
      </c>
      <c r="I1815" s="148">
        <v>1</v>
      </c>
      <c r="J1815" s="148">
        <v>0.95240000000000002</v>
      </c>
      <c r="K1815" s="148" t="str">
        <f t="shared" si="28"/>
        <v>ENTITY</v>
      </c>
    </row>
    <row r="1816" spans="1:11" hidden="1">
      <c r="A1816" s="148" t="s">
        <v>4829</v>
      </c>
      <c r="B1816" s="148" t="s">
        <v>4821</v>
      </c>
      <c r="C1816" s="148" t="s">
        <v>139</v>
      </c>
      <c r="D1816" s="148" t="s">
        <v>10</v>
      </c>
      <c r="E1816" s="148" t="s">
        <v>4816</v>
      </c>
      <c r="F1816" s="148" t="s">
        <v>4827</v>
      </c>
      <c r="G1816" s="148" t="s">
        <v>1011</v>
      </c>
      <c r="H1816" s="148">
        <v>164</v>
      </c>
      <c r="I1816" s="148">
        <v>63</v>
      </c>
      <c r="J1816" s="148">
        <v>38.4146</v>
      </c>
      <c r="K1816" s="148" t="str">
        <f t="shared" si="28"/>
        <v>ENTITY</v>
      </c>
    </row>
    <row r="1817" spans="1:11" hidden="1">
      <c r="A1817" s="148" t="s">
        <v>4830</v>
      </c>
      <c r="B1817" s="148" t="s">
        <v>4831</v>
      </c>
      <c r="C1817" s="148" t="s">
        <v>139</v>
      </c>
      <c r="D1817" s="148" t="s">
        <v>186</v>
      </c>
      <c r="E1817" s="148" t="s">
        <v>4816</v>
      </c>
      <c r="F1817" s="148" t="s">
        <v>4827</v>
      </c>
      <c r="G1817" s="148" t="s">
        <v>129</v>
      </c>
      <c r="H1817" s="148">
        <v>1140751</v>
      </c>
      <c r="I1817" s="148">
        <v>0</v>
      </c>
      <c r="J1817" s="148">
        <v>0</v>
      </c>
      <c r="K1817" s="148" t="str">
        <f t="shared" si="28"/>
        <v>ENTITYCOD_SOC</v>
      </c>
    </row>
    <row r="1818" spans="1:11" hidden="1">
      <c r="A1818" s="148" t="s">
        <v>4832</v>
      </c>
      <c r="B1818" s="148" t="s">
        <v>4833</v>
      </c>
      <c r="C1818" s="148" t="s">
        <v>139</v>
      </c>
      <c r="D1818" s="148" t="s">
        <v>283</v>
      </c>
      <c r="E1818" s="148" t="s">
        <v>4816</v>
      </c>
      <c r="F1818" s="148" t="s">
        <v>4827</v>
      </c>
      <c r="G1818" s="148" t="s">
        <v>129</v>
      </c>
      <c r="H1818" s="148">
        <v>1140751</v>
      </c>
      <c r="I1818" s="148">
        <v>0</v>
      </c>
      <c r="J1818" s="148">
        <v>0</v>
      </c>
      <c r="K1818" s="148" t="str">
        <f t="shared" si="28"/>
        <v>ENTITYDT_RFRNC</v>
      </c>
    </row>
    <row r="1819" spans="1:11" hidden="1">
      <c r="A1819" s="148" t="s">
        <v>4834</v>
      </c>
      <c r="B1819" s="148" t="s">
        <v>4815</v>
      </c>
      <c r="C1819" s="148" t="s">
        <v>187</v>
      </c>
      <c r="D1819" s="148" t="s">
        <v>10</v>
      </c>
      <c r="E1819" s="148" t="s">
        <v>4816</v>
      </c>
      <c r="F1819" s="148" t="s">
        <v>4835</v>
      </c>
      <c r="G1819" s="148" t="s">
        <v>129</v>
      </c>
      <c r="H1819" s="148">
        <v>4</v>
      </c>
      <c r="I1819" s="148">
        <v>0</v>
      </c>
      <c r="J1819" s="148">
        <v>0</v>
      </c>
      <c r="K1819" s="148" t="str">
        <f t="shared" si="28"/>
        <v>INSTR_ENTITY</v>
      </c>
    </row>
    <row r="1820" spans="1:11" hidden="1">
      <c r="A1820" s="148" t="s">
        <v>4836</v>
      </c>
      <c r="B1820" s="148" t="s">
        <v>4819</v>
      </c>
      <c r="C1820" s="148" t="s">
        <v>187</v>
      </c>
      <c r="D1820" s="148" t="s">
        <v>10</v>
      </c>
      <c r="E1820" s="148" t="s">
        <v>4816</v>
      </c>
      <c r="F1820" s="148" t="s">
        <v>4835</v>
      </c>
      <c r="G1820" s="148" t="s">
        <v>129</v>
      </c>
      <c r="H1820" s="148">
        <v>6</v>
      </c>
      <c r="I1820" s="148">
        <v>0</v>
      </c>
      <c r="J1820" s="148">
        <v>0</v>
      </c>
      <c r="K1820" s="148" t="str">
        <f t="shared" si="28"/>
        <v>INSTR_ENTITY</v>
      </c>
    </row>
    <row r="1821" spans="1:11" hidden="1">
      <c r="A1821" s="148" t="s">
        <v>4837</v>
      </c>
      <c r="B1821" s="148" t="s">
        <v>4821</v>
      </c>
      <c r="C1821" s="148" t="s">
        <v>187</v>
      </c>
      <c r="D1821" s="148" t="s">
        <v>10</v>
      </c>
      <c r="E1821" s="148" t="s">
        <v>4816</v>
      </c>
      <c r="F1821" s="148" t="s">
        <v>4835</v>
      </c>
      <c r="G1821" s="148" t="s">
        <v>129</v>
      </c>
      <c r="H1821" s="148">
        <v>2</v>
      </c>
      <c r="I1821" s="148">
        <v>0</v>
      </c>
      <c r="J1821" s="148">
        <v>0</v>
      </c>
      <c r="K1821" s="148" t="str">
        <f t="shared" si="28"/>
        <v>INSTR_ENTITY</v>
      </c>
    </row>
    <row r="1822" spans="1:11" hidden="1">
      <c r="A1822" s="148" t="s">
        <v>4838</v>
      </c>
      <c r="B1822" s="148" t="s">
        <v>4839</v>
      </c>
      <c r="C1822" s="148" t="s">
        <v>187</v>
      </c>
      <c r="D1822" s="148" t="s">
        <v>186</v>
      </c>
      <c r="E1822" s="148" t="s">
        <v>4816</v>
      </c>
      <c r="F1822" s="148" t="s">
        <v>4835</v>
      </c>
      <c r="G1822" s="148" t="s">
        <v>129</v>
      </c>
      <c r="H1822" s="148">
        <v>2655392</v>
      </c>
      <c r="I1822" s="148">
        <v>0</v>
      </c>
      <c r="J1822" s="148">
        <v>0</v>
      </c>
      <c r="K1822" s="148" t="str">
        <f t="shared" si="28"/>
        <v>INSTR_ENTITYCOD_SOC</v>
      </c>
    </row>
    <row r="1823" spans="1:11" hidden="1">
      <c r="A1823" s="148" t="s">
        <v>4840</v>
      </c>
      <c r="B1823" s="148" t="s">
        <v>4841</v>
      </c>
      <c r="C1823" s="148" t="s">
        <v>187</v>
      </c>
      <c r="D1823" s="148" t="s">
        <v>283</v>
      </c>
      <c r="E1823" s="148" t="s">
        <v>4816</v>
      </c>
      <c r="F1823" s="148" t="s">
        <v>4835</v>
      </c>
      <c r="G1823" s="148" t="s">
        <v>129</v>
      </c>
      <c r="H1823" s="148">
        <v>2655392</v>
      </c>
      <c r="I1823" s="148">
        <v>0</v>
      </c>
      <c r="J1823" s="148">
        <v>0</v>
      </c>
      <c r="K1823" s="148" t="str">
        <f t="shared" si="28"/>
        <v>INSTR_ENTITYDT_RFRNC</v>
      </c>
    </row>
    <row r="1824" spans="1:11" hidden="1">
      <c r="A1824" s="148" t="s">
        <v>4842</v>
      </c>
      <c r="B1824" s="148" t="s">
        <v>4815</v>
      </c>
      <c r="C1824" s="148" t="s">
        <v>127</v>
      </c>
      <c r="D1824" s="148" t="s">
        <v>10</v>
      </c>
      <c r="E1824" s="148" t="s">
        <v>4816</v>
      </c>
      <c r="F1824" s="148" t="s">
        <v>4843</v>
      </c>
      <c r="G1824" s="148" t="s">
        <v>129</v>
      </c>
      <c r="H1824" s="148">
        <v>5</v>
      </c>
      <c r="I1824" s="148">
        <v>0</v>
      </c>
      <c r="J1824" s="148">
        <v>0</v>
      </c>
      <c r="K1824" s="148" t="str">
        <f t="shared" si="28"/>
        <v>INSTRUMENT</v>
      </c>
    </row>
    <row r="1825" spans="1:11" hidden="1">
      <c r="A1825" s="148" t="s">
        <v>4844</v>
      </c>
      <c r="B1825" s="148" t="s">
        <v>4819</v>
      </c>
      <c r="C1825" s="148" t="s">
        <v>127</v>
      </c>
      <c r="D1825" s="148" t="s">
        <v>10</v>
      </c>
      <c r="E1825" s="148" t="s">
        <v>4816</v>
      </c>
      <c r="F1825" s="148" t="s">
        <v>4843</v>
      </c>
      <c r="G1825" s="148" t="s">
        <v>1011</v>
      </c>
      <c r="H1825" s="148">
        <v>244</v>
      </c>
      <c r="I1825" s="148">
        <v>16</v>
      </c>
      <c r="J1825" s="148">
        <v>6.5574000000000003</v>
      </c>
      <c r="K1825" s="148" t="str">
        <f t="shared" si="28"/>
        <v>INSTRUMENT</v>
      </c>
    </row>
    <row r="1826" spans="1:11" hidden="1">
      <c r="A1826" s="148" t="s">
        <v>4845</v>
      </c>
      <c r="B1826" s="148" t="s">
        <v>4821</v>
      </c>
      <c r="C1826" s="148" t="s">
        <v>127</v>
      </c>
      <c r="D1826" s="148" t="s">
        <v>10</v>
      </c>
      <c r="E1826" s="148" t="s">
        <v>4816</v>
      </c>
      <c r="F1826" s="148" t="s">
        <v>4843</v>
      </c>
      <c r="G1826" s="148" t="s">
        <v>1011</v>
      </c>
      <c r="H1826" s="148">
        <v>247</v>
      </c>
      <c r="I1826" s="148">
        <v>24</v>
      </c>
      <c r="J1826" s="148">
        <v>9.7165999999999997</v>
      </c>
      <c r="K1826" s="148" t="str">
        <f t="shared" si="28"/>
        <v>INSTRUMENT</v>
      </c>
    </row>
    <row r="1827" spans="1:11" hidden="1">
      <c r="A1827" s="148" t="s">
        <v>4846</v>
      </c>
      <c r="B1827" s="148" t="s">
        <v>4847</v>
      </c>
      <c r="C1827" s="148" t="s">
        <v>127</v>
      </c>
      <c r="D1827" s="148" t="s">
        <v>4848</v>
      </c>
      <c r="E1827" s="148" t="s">
        <v>4816</v>
      </c>
      <c r="F1827" s="148" t="s">
        <v>4843</v>
      </c>
      <c r="G1827" s="148" t="s">
        <v>129</v>
      </c>
      <c r="H1827" s="148">
        <v>2266163</v>
      </c>
      <c r="I1827" s="148">
        <v>0</v>
      </c>
      <c r="J1827" s="148">
        <v>0</v>
      </c>
      <c r="K1827" s="148" t="str">
        <f t="shared" si="28"/>
        <v>INSTRUMENTSUBPORTFOLIOID</v>
      </c>
    </row>
    <row r="1828" spans="1:11" hidden="1">
      <c r="A1828" s="148" t="s">
        <v>4849</v>
      </c>
      <c r="B1828" s="148" t="s">
        <v>4850</v>
      </c>
      <c r="C1828" s="148" t="s">
        <v>127</v>
      </c>
      <c r="D1828" s="148" t="s">
        <v>186</v>
      </c>
      <c r="E1828" s="148" t="s">
        <v>4816</v>
      </c>
      <c r="F1828" s="148" t="s">
        <v>4843</v>
      </c>
      <c r="G1828" s="148" t="s">
        <v>129</v>
      </c>
      <c r="H1828" s="148">
        <v>2266163</v>
      </c>
      <c r="I1828" s="148">
        <v>0</v>
      </c>
      <c r="J1828" s="148">
        <v>0</v>
      </c>
      <c r="K1828" s="148" t="str">
        <f t="shared" si="28"/>
        <v>INSTRUMENTCOD_SOC</v>
      </c>
    </row>
    <row r="1829" spans="1:11" hidden="1">
      <c r="A1829" s="148" t="s">
        <v>4851</v>
      </c>
      <c r="B1829" s="148" t="s">
        <v>4852</v>
      </c>
      <c r="C1829" s="148" t="s">
        <v>127</v>
      </c>
      <c r="D1829" s="148" t="s">
        <v>283</v>
      </c>
      <c r="E1829" s="148" t="s">
        <v>4816</v>
      </c>
      <c r="F1829" s="148" t="s">
        <v>4843</v>
      </c>
      <c r="G1829" s="148" t="s">
        <v>129</v>
      </c>
      <c r="H1829" s="148">
        <v>2266163</v>
      </c>
      <c r="I1829" s="148">
        <v>0</v>
      </c>
      <c r="J1829" s="148">
        <v>0</v>
      </c>
      <c r="K1829" s="148" t="str">
        <f t="shared" si="28"/>
        <v>INSTRUMENTDT_RFRNC</v>
      </c>
    </row>
    <row r="1830" spans="1:11" hidden="1">
      <c r="A1830" s="148" t="s">
        <v>4853</v>
      </c>
      <c r="B1830" s="148" t="s">
        <v>4815</v>
      </c>
      <c r="C1830" s="148" t="s">
        <v>188</v>
      </c>
      <c r="D1830" s="148" t="s">
        <v>10</v>
      </c>
      <c r="E1830" s="148" t="s">
        <v>4816</v>
      </c>
      <c r="F1830" s="148" t="s">
        <v>4854</v>
      </c>
      <c r="G1830" s="148" t="s">
        <v>129</v>
      </c>
      <c r="H1830" s="148">
        <v>4</v>
      </c>
      <c r="I1830" s="148">
        <v>0</v>
      </c>
      <c r="J1830" s="148">
        <v>0</v>
      </c>
      <c r="K1830" s="148" t="str">
        <f t="shared" si="28"/>
        <v>INSTR_PROTECTION</v>
      </c>
    </row>
    <row r="1831" spans="1:11" hidden="1">
      <c r="A1831" s="148" t="s">
        <v>4855</v>
      </c>
      <c r="B1831" s="148" t="s">
        <v>4819</v>
      </c>
      <c r="C1831" s="148" t="s">
        <v>188</v>
      </c>
      <c r="D1831" s="148" t="s">
        <v>10</v>
      </c>
      <c r="E1831" s="148" t="s">
        <v>4816</v>
      </c>
      <c r="F1831" s="148" t="s">
        <v>4854</v>
      </c>
      <c r="G1831" s="148" t="s">
        <v>129</v>
      </c>
      <c r="H1831" s="148">
        <v>8</v>
      </c>
      <c r="I1831" s="148">
        <v>0</v>
      </c>
      <c r="J1831" s="148">
        <v>0</v>
      </c>
      <c r="K1831" s="148" t="str">
        <f t="shared" si="28"/>
        <v>INSTR_PROTECTION</v>
      </c>
    </row>
    <row r="1832" spans="1:11" hidden="1">
      <c r="A1832" s="148" t="s">
        <v>4856</v>
      </c>
      <c r="B1832" s="148" t="s">
        <v>4821</v>
      </c>
      <c r="C1832" s="148" t="s">
        <v>188</v>
      </c>
      <c r="D1832" s="148" t="s">
        <v>10</v>
      </c>
      <c r="E1832" s="148" t="s">
        <v>4816</v>
      </c>
      <c r="F1832" s="148" t="s">
        <v>4854</v>
      </c>
      <c r="G1832" s="148" t="s">
        <v>129</v>
      </c>
      <c r="H1832" s="148">
        <v>4</v>
      </c>
      <c r="I1832" s="148">
        <v>0</v>
      </c>
      <c r="J1832" s="148">
        <v>0</v>
      </c>
      <c r="K1832" s="148" t="str">
        <f t="shared" si="28"/>
        <v>INSTR_PROTECTION</v>
      </c>
    </row>
    <row r="1833" spans="1:11" hidden="1">
      <c r="A1833" s="148" t="s">
        <v>4857</v>
      </c>
      <c r="B1833" s="148" t="s">
        <v>4858</v>
      </c>
      <c r="C1833" s="148" t="s">
        <v>188</v>
      </c>
      <c r="D1833" s="148" t="s">
        <v>186</v>
      </c>
      <c r="E1833" s="148" t="s">
        <v>4816</v>
      </c>
      <c r="F1833" s="148" t="s">
        <v>4854</v>
      </c>
      <c r="G1833" s="148" t="s">
        <v>129</v>
      </c>
      <c r="H1833" s="148">
        <v>783914</v>
      </c>
      <c r="I1833" s="148">
        <v>0</v>
      </c>
      <c r="J1833" s="148">
        <v>0</v>
      </c>
      <c r="K1833" s="148" t="str">
        <f t="shared" si="28"/>
        <v>INSTR_PROTECTIONCOD_SOC</v>
      </c>
    </row>
    <row r="1834" spans="1:11" hidden="1">
      <c r="A1834" s="148" t="s">
        <v>4859</v>
      </c>
      <c r="B1834" s="148" t="s">
        <v>4860</v>
      </c>
      <c r="C1834" s="148" t="s">
        <v>188</v>
      </c>
      <c r="D1834" s="148" t="s">
        <v>283</v>
      </c>
      <c r="E1834" s="148" t="s">
        <v>4816</v>
      </c>
      <c r="F1834" s="148" t="s">
        <v>4854</v>
      </c>
      <c r="G1834" s="148" t="s">
        <v>129</v>
      </c>
      <c r="H1834" s="148">
        <v>783914</v>
      </c>
      <c r="I1834" s="148">
        <v>0</v>
      </c>
      <c r="J1834" s="148">
        <v>0</v>
      </c>
      <c r="K1834" s="148" t="str">
        <f t="shared" si="28"/>
        <v>INSTR_PROTECTIONDT_RFRNC</v>
      </c>
    </row>
    <row r="1835" spans="1:11" hidden="1">
      <c r="A1835" s="148" t="s">
        <v>4861</v>
      </c>
      <c r="B1835" s="148" t="s">
        <v>4815</v>
      </c>
      <c r="C1835" s="148" t="s">
        <v>156</v>
      </c>
      <c r="D1835" s="148" t="s">
        <v>10</v>
      </c>
      <c r="E1835" s="148" t="s">
        <v>4816</v>
      </c>
      <c r="F1835" s="148" t="s">
        <v>4862</v>
      </c>
      <c r="G1835" s="148" t="s">
        <v>129</v>
      </c>
      <c r="H1835" s="148">
        <v>3</v>
      </c>
      <c r="I1835" s="148">
        <v>0</v>
      </c>
      <c r="J1835" s="148">
        <v>0</v>
      </c>
      <c r="K1835" s="148" t="str">
        <f t="shared" si="28"/>
        <v>PROTECTION</v>
      </c>
    </row>
    <row r="1836" spans="1:11" hidden="1">
      <c r="A1836" s="148" t="s">
        <v>4863</v>
      </c>
      <c r="B1836" s="148" t="s">
        <v>4819</v>
      </c>
      <c r="C1836" s="148" t="s">
        <v>156</v>
      </c>
      <c r="D1836" s="148" t="s">
        <v>10</v>
      </c>
      <c r="E1836" s="148" t="s">
        <v>4816</v>
      </c>
      <c r="F1836" s="148" t="s">
        <v>4862</v>
      </c>
      <c r="G1836" s="148" t="s">
        <v>1011</v>
      </c>
      <c r="H1836" s="148">
        <v>42</v>
      </c>
      <c r="I1836" s="148">
        <v>1</v>
      </c>
      <c r="J1836" s="148">
        <v>2.3809999999999998</v>
      </c>
      <c r="K1836" s="148" t="str">
        <f t="shared" si="28"/>
        <v>PROTECTION</v>
      </c>
    </row>
    <row r="1837" spans="1:11" hidden="1">
      <c r="A1837" s="148" t="s">
        <v>4864</v>
      </c>
      <c r="B1837" s="148" t="s">
        <v>4821</v>
      </c>
      <c r="C1837" s="148" t="s">
        <v>156</v>
      </c>
      <c r="D1837" s="148" t="s">
        <v>10</v>
      </c>
      <c r="E1837" s="148" t="s">
        <v>4816</v>
      </c>
      <c r="F1837" s="148" t="s">
        <v>4862</v>
      </c>
      <c r="G1837" s="148" t="s">
        <v>1011</v>
      </c>
      <c r="H1837" s="148">
        <v>72</v>
      </c>
      <c r="I1837" s="148">
        <v>34</v>
      </c>
      <c r="J1837" s="148">
        <v>47.222200000000001</v>
      </c>
      <c r="K1837" s="148" t="str">
        <f t="shared" si="28"/>
        <v>PROTECTION</v>
      </c>
    </row>
    <row r="1838" spans="1:11" hidden="1">
      <c r="A1838" s="148" t="s">
        <v>4865</v>
      </c>
      <c r="B1838" s="148" t="s">
        <v>4866</v>
      </c>
      <c r="C1838" s="148" t="s">
        <v>156</v>
      </c>
      <c r="D1838" s="148" t="s">
        <v>186</v>
      </c>
      <c r="E1838" s="148" t="s">
        <v>4816</v>
      </c>
      <c r="F1838" s="148" t="s">
        <v>4862</v>
      </c>
      <c r="G1838" s="148" t="s">
        <v>129</v>
      </c>
      <c r="H1838" s="148">
        <v>465126</v>
      </c>
      <c r="I1838" s="148">
        <v>0</v>
      </c>
      <c r="J1838" s="148">
        <v>0</v>
      </c>
      <c r="K1838" s="148" t="str">
        <f t="shared" si="28"/>
        <v>PROTECTIONCOD_SOC</v>
      </c>
    </row>
    <row r="1839" spans="1:11" hidden="1">
      <c r="A1839" s="148" t="s">
        <v>4867</v>
      </c>
      <c r="B1839" s="148" t="s">
        <v>4868</v>
      </c>
      <c r="C1839" s="148" t="s">
        <v>156</v>
      </c>
      <c r="D1839" s="148" t="s">
        <v>283</v>
      </c>
      <c r="E1839" s="148" t="s">
        <v>4816</v>
      </c>
      <c r="F1839" s="148" t="s">
        <v>4862</v>
      </c>
      <c r="G1839" s="148" t="s">
        <v>129</v>
      </c>
      <c r="H1839" s="148">
        <v>465126</v>
      </c>
      <c r="I1839" s="148">
        <v>0</v>
      </c>
      <c r="J1839" s="148">
        <v>0</v>
      </c>
      <c r="K1839" s="148" t="str">
        <f t="shared" si="28"/>
        <v>PROTECTIONDT_RFRNC</v>
      </c>
    </row>
  </sheetData>
  <autoFilter ref="A1:J1839" xr:uid="{00000000-0001-0000-0000-000000000000}">
    <filterColumn colId="3">
      <filters>
        <filter val="PRTCTN_VL_PRVS"/>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6D051AEB2C48B458F82B58F7F6D9A00" ma:contentTypeVersion="16" ma:contentTypeDescription="Create a new document." ma:contentTypeScope="" ma:versionID="88cd8caf08e228d7169510a2a1c5ce5f">
  <xsd:schema xmlns:xsd="http://www.w3.org/2001/XMLSchema" xmlns:xs="http://www.w3.org/2001/XMLSchema" xmlns:p="http://schemas.microsoft.com/office/2006/metadata/properties" xmlns:ns1="http://schemas.microsoft.com/sharepoint/v3" xmlns:ns2="a9b50dc7-8f72-473c-8b7e-4a8c46ecad32" xmlns:ns3="7b1ec8e5-5652-48eb-8550-a56a35f5f817" targetNamespace="http://schemas.microsoft.com/office/2006/metadata/properties" ma:root="true" ma:fieldsID="31e76686cff0c068c1212d3681d2fc0a" ns1:_="" ns2:_="" ns3:_="">
    <xsd:import namespace="http://schemas.microsoft.com/sharepoint/v3"/>
    <xsd:import namespace="a9b50dc7-8f72-473c-8b7e-4a8c46ecad32"/>
    <xsd:import namespace="7b1ec8e5-5652-48eb-8550-a56a35f5f8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b50dc7-8f72-473c-8b7e-4a8c46eca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descriptio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1ec8e5-5652-48eb-8550-a56a35f5f8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1a5ce08-dc66-4f05-9d75-293f82016f98}" ma:internalName="TaxCatchAll" ma:showField="CatchAllData" ma:web="7b1ec8e5-5652-48eb-8550-a56a35f5f8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a9b50dc7-8f72-473c-8b7e-4a8c46ecad32">
      <Terms xmlns="http://schemas.microsoft.com/office/infopath/2007/PartnerControls"/>
    </lcf76f155ced4ddcb4097134ff3c332f>
    <TaxCatchAll xmlns="7b1ec8e5-5652-48eb-8550-a56a35f5f817"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13A9D5AD-5A66-43CE-BB4D-0F048F16D84B}">
  <ds:schemaRefs>
    <ds:schemaRef ds:uri="http://schemas.microsoft.com/sharepoint/v3/contenttype/forms"/>
  </ds:schemaRefs>
</ds:datastoreItem>
</file>

<file path=customXml/itemProps2.xml><?xml version="1.0" encoding="utf-8"?>
<ds:datastoreItem xmlns:ds="http://schemas.openxmlformats.org/officeDocument/2006/customXml" ds:itemID="{68816CC8-C8C0-44DF-A641-747BA0B37CE5}"/>
</file>

<file path=customXml/itemProps3.xml><?xml version="1.0" encoding="utf-8"?>
<ds:datastoreItem xmlns:ds="http://schemas.openxmlformats.org/officeDocument/2006/customXml" ds:itemID="{BD08B9EA-78A1-402B-9A17-848E2AB9FB5A}">
  <ds:schemaRefs>
    <ds:schemaRef ds:uri="http://www.w3.org/XML/1998/namespace"/>
    <ds:schemaRef ds:uri="7b1ec8e5-5652-48eb-8550-a56a35f5f817"/>
    <ds:schemaRef ds:uri="http://purl.org/dc/terms/"/>
    <ds:schemaRef ds:uri="http://schemas.microsoft.com/office/2006/documentManagement/types"/>
    <ds:schemaRef ds:uri="a9b50dc7-8f72-473c-8b7e-4a8c46ecad32"/>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schemas.microsoft.com/sharepoint/v3"/>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Status</vt:lpstr>
      <vt:lpstr>PDS (old)</vt:lpstr>
      <vt:lpstr>Aux.</vt:lpstr>
      <vt:lpstr>PDS</vt:lpstr>
      <vt:lpstr>Detalhe</vt:lpstr>
      <vt:lpstr>Status PM (Campos)</vt:lpstr>
      <vt:lpstr>Caderno Testes</vt:lpstr>
      <vt:lpstr>Processo Juros Corridos</vt:lpstr>
      <vt:lpstr>Desenvolvimentos Futuros</vt:lpstr>
      <vt:lpstr>INPUT -&gt;</vt:lpstr>
      <vt:lpstr>Planeamento DEV VS PRO</vt:lpstr>
      <vt:lpstr>PRO_LT_SCORECARD_FLEX_VALIDATIO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Cristiana Serafim Stephani</dc:creator>
  <cp:keywords/>
  <dc:description/>
  <cp:lastModifiedBy>Dora da Silva Roxo</cp:lastModifiedBy>
  <cp:revision/>
  <dcterms:created xsi:type="dcterms:W3CDTF">2024-05-23T09:46:15Z</dcterms:created>
  <dcterms:modified xsi:type="dcterms:W3CDTF">2026-03-05T14:28:24Z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2024-05-23T13:22:07Z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31e3cbb2-9e6e-4b62-8d7d-92b28613781b</vt:lpwstr>
  </property>
  <property fmtid="{D5CDD505-2E9C-101B-9397-08002B2CF9AE}" pid="8" name="MSIP_Label_41b88ec2-a72b-4523-9e84-0458a1764731_ContentBits">
    <vt:lpwstr>0</vt:lpwstr>
  </property>
  <property fmtid="{D5CDD505-2E9C-101B-9397-08002B2CF9AE}" pid="9" name="ContentTypeId">
    <vt:lpwstr>0x010100C6D051AEB2C48B458F82B58F7F6D9A00</vt:lpwstr>
  </property>
  <property fmtid="{D5CDD505-2E9C-101B-9397-08002B2CF9AE}" pid="10" name="MediaServiceImageTags">
    <vt:lpwstr/>
  </property>
</Properties>
</file>