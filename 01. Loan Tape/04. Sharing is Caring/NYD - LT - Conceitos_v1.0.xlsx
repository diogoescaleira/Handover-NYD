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BSLoanTapeBCE/Shared Documents/General/03. Loan Tape/01. Documentação Final/01. Loan Tape/04. Sharing is Caring/"/>
    </mc:Choice>
  </mc:AlternateContent>
  <xr:revisionPtr revIDLastSave="0" documentId="13_ncr:1_{0A153112-5CDC-4962-81DC-183117A13176}" xr6:coauthVersionLast="47" xr6:coauthVersionMax="47" xr10:uidLastSave="{00000000-0000-0000-0000-000000000000}"/>
  <bookViews>
    <workbookView xWindow="-108" yWindow="-108" windowWidth="23256" windowHeight="12576" xr2:uid="{5C433F1C-DC5D-4917-B4D4-34032B03AA50}"/>
  </bookViews>
  <sheets>
    <sheet name="ind_def" sheetId="4" r:id="rId1"/>
    <sheet name="gest_sit" sheetId="9" r:id="rId2"/>
    <sheet name="utp_cli" sheetId="10" r:id="rId3"/>
    <sheet name="exemplo" sheetId="11" r:id="rId4"/>
    <sheet name="análise" sheetId="1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" i="11" l="1"/>
  <c r="D37" i="11"/>
  <c r="C37" i="11"/>
  <c r="D39" i="11"/>
  <c r="C39" i="11"/>
  <c r="D36" i="11"/>
  <c r="D35" i="11"/>
  <c r="C36" i="11"/>
  <c r="C35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Margarida Ferraz João</author>
  </authors>
  <commentList>
    <comment ref="E10" authorId="0" shapeId="0" xr:uid="{A48EBF21-B598-4075-A0C8-76027F2521CC}">
      <text>
        <r>
          <rPr>
            <b/>
            <sz val="9"/>
            <color indexed="81"/>
            <rFont val="Tahoma"/>
            <family val="2"/>
          </rPr>
          <t>Margarida Ferraz João:</t>
        </r>
        <r>
          <rPr>
            <sz val="9"/>
            <color indexed="81"/>
            <rFont val="Tahoma"/>
            <family val="2"/>
          </rPr>
          <t xml:space="preserve">
23 - Stage 1
24 - Stage 2
25 - Stage 3
dpd &gt; 30: at least stage 2
dpd &gt; 90: stage 3</t>
        </r>
      </text>
    </comment>
    <comment ref="F10" authorId="0" shapeId="0" xr:uid="{E76C987D-A14E-4EFF-9F7C-53AD86C8C312}">
      <text>
        <r>
          <rPr>
            <b/>
            <sz val="9"/>
            <color indexed="81"/>
            <rFont val="Tahoma"/>
            <family val="2"/>
          </rPr>
          <t>Margarida Ferraz João:</t>
        </r>
        <r>
          <rPr>
            <sz val="9"/>
            <color indexed="81"/>
            <rFont val="Tahoma"/>
            <family val="2"/>
          </rPr>
          <t xml:space="preserve">
11- Performing
1 - Non-performing</t>
        </r>
      </text>
    </comment>
  </commentList>
</comments>
</file>

<file path=xl/sharedStrings.xml><?xml version="1.0" encoding="utf-8"?>
<sst xmlns="http://schemas.openxmlformats.org/spreadsheetml/2006/main" count="211" uniqueCount="133">
  <si>
    <t>COD</t>
  </si>
  <si>
    <t>DESCRIPCIÓN</t>
  </si>
  <si>
    <t>No informado</t>
  </si>
  <si>
    <t>Normal</t>
  </si>
  <si>
    <t>Irregular 0-30</t>
  </si>
  <si>
    <t>Irregular 31-60</t>
  </si>
  <si>
    <t>Irregular 61-90</t>
  </si>
  <si>
    <t>Dudoso subjetivo - no reestructuración forzosa</t>
  </si>
  <si>
    <t>Moroso excepto arrastre</t>
  </si>
  <si>
    <t>Precontencioso</t>
  </si>
  <si>
    <t>Contencioso/no judicial en vigor</t>
  </si>
  <si>
    <t>Contencioso /judicial en vigor</t>
  </si>
  <si>
    <t>Regularización</t>
  </si>
  <si>
    <t>Adjudicación a terceras partes</t>
  </si>
  <si>
    <t>Adjudicación propia</t>
  </si>
  <si>
    <t xml:space="preserve">Fallido </t>
  </si>
  <si>
    <t xml:space="preserve"> Refinanciación</t>
  </si>
  <si>
    <t>Irregular mas de 90 días</t>
  </si>
  <si>
    <t>Dación en pago</t>
  </si>
  <si>
    <t>Reconducción</t>
  </si>
  <si>
    <t>Fraude</t>
  </si>
  <si>
    <t>Insolvencia</t>
  </si>
  <si>
    <t>Reestructuración Final</t>
  </si>
  <si>
    <t>Adjudicado y vendido</t>
  </si>
  <si>
    <t>Adjudicado y no vendido</t>
  </si>
  <si>
    <t>Impago probable</t>
  </si>
  <si>
    <t>Reestructuración forzosa</t>
  </si>
  <si>
    <t>Non-accrual</t>
  </si>
  <si>
    <t>Moroso por arrastre</t>
  </si>
  <si>
    <t>Indicador Stage 3 por Riesgo País</t>
  </si>
  <si>
    <t>Contrato fallido que debe ser identificado como default antes de ser filtrado</t>
  </si>
  <si>
    <t>UTP Alta Irregularidad</t>
  </si>
  <si>
    <t>Contrato fallido que no debe generar UTP cliente</t>
  </si>
  <si>
    <t>UTP Ejecución de Garantía/Colateral</t>
  </si>
  <si>
    <t>UTP por arrastre de Clientes Conectados</t>
  </si>
  <si>
    <t>UTP por adquisición de cartera deteriorada</t>
  </si>
  <si>
    <t>No aplica</t>
  </si>
  <si>
    <t>Otros</t>
  </si>
  <si>
    <t>Days past due</t>
  </si>
  <si>
    <t>UTP - Contrato</t>
  </si>
  <si>
    <t>UTP - Cliente</t>
  </si>
  <si>
    <t>UTP- Venta cartera</t>
  </si>
  <si>
    <t>Pulling</t>
  </si>
  <si>
    <t>Probation period</t>
  </si>
  <si>
    <t>Probation period - Pulling</t>
  </si>
  <si>
    <t>Cancelado - Days past due</t>
  </si>
  <si>
    <t>Cancelado - UTP - Contrato</t>
  </si>
  <si>
    <t>Cancelado - UTP - Cliente</t>
  </si>
  <si>
    <t>Cancelado - UTP- Venta cartera</t>
  </si>
  <si>
    <t>Cancelado - Pulling</t>
  </si>
  <si>
    <t>Cancelado - Probation period</t>
  </si>
  <si>
    <t>Cancelado - Probation period - Pulling</t>
  </si>
  <si>
    <t>Cancelado - Otros</t>
  </si>
  <si>
    <t>Cancel reestr - Days past due</t>
  </si>
  <si>
    <t>Cancel reestr - UTP - Contrato</t>
  </si>
  <si>
    <t>Cancel reestr - UTP - Cliente</t>
  </si>
  <si>
    <t>Cancel reestr - UTP- Venta cartera</t>
  </si>
  <si>
    <t>Cancel reestr - Pulling</t>
  </si>
  <si>
    <t>Cancel reestr - Probation period</t>
  </si>
  <si>
    <t>Cancel reestr - Probation - Pulling</t>
  </si>
  <si>
    <t>Cancel reestr - Otros</t>
  </si>
  <si>
    <t>Cancelado - Fallido - Days past due</t>
  </si>
  <si>
    <t xml:space="preserve">Cancelado - Fallido - UTP-Contrato </t>
  </si>
  <si>
    <t xml:space="preserve">Cancelado - Fallido - UTP- Cliente </t>
  </si>
  <si>
    <t xml:space="preserve">Cancelado - Fallido - Probation period </t>
  </si>
  <si>
    <t xml:space="preserve">Cancelado - Fallido - Pulling </t>
  </si>
  <si>
    <t xml:space="preserve">Cancelado - Fallido - UTP Venta de Cartera </t>
  </si>
  <si>
    <t>Cancelado - Fallido - Probation period - Pulling</t>
  </si>
  <si>
    <t xml:space="preserve">Cancelado - Fallido - Otros </t>
  </si>
  <si>
    <t>JCO</t>
  </si>
  <si>
    <t>Cancelado - JCO</t>
  </si>
  <si>
    <t>Cancelado por reestructura - JCO</t>
  </si>
  <si>
    <t>Cancelado - Fallido - JCO</t>
  </si>
  <si>
    <t>NPL - Stage 3</t>
  </si>
  <si>
    <t>NPL - Default</t>
  </si>
  <si>
    <t>NPL - Ambas</t>
  </si>
  <si>
    <t>NPL - Otros</t>
  </si>
  <si>
    <t>NPL - Cancelado</t>
  </si>
  <si>
    <t>UTP - Tratamiento Obligor</t>
  </si>
  <si>
    <t>Days Past Due - Otras Operaciones</t>
  </si>
  <si>
    <t>Cancelado - UTP Tratamiento Obligor</t>
  </si>
  <si>
    <t>Cancelado por reestructura - UTP Tratamiento Obligor</t>
  </si>
  <si>
    <t>Cancelado - Fallido - UTP Tratamiento Obligor</t>
  </si>
  <si>
    <t>Cancelado - Days Past Due - Otras Operaciones</t>
  </si>
  <si>
    <t>Cancelado por reestructura - Days Past Due - Otras Operaciones</t>
  </si>
  <si>
    <t>Cancelado - Fallido - Days Past Due - Otras Operaciones</t>
  </si>
  <si>
    <t>Sin Informar</t>
  </si>
  <si>
    <t>Bancarrota</t>
  </si>
  <si>
    <t>Gestión</t>
  </si>
  <si>
    <t>UTP por reducción del patrimonio neto o patrimonio neto negativo</t>
  </si>
  <si>
    <t>UTP por pérdidas continuadas o descenso significativo de la cifra de negocios</t>
  </si>
  <si>
    <t>UTP por retraso generalizado en los pagos o flujos de caja insuficientes</t>
  </si>
  <si>
    <t>UTP por imposibilidad de obtener financiaciones adicionales o estructura financiera inadecuada</t>
  </si>
  <si>
    <t>UTP por calificación crediticia (interna o externa) en situación de default</t>
  </si>
  <si>
    <t>UTP por compromisos significativos incumplidos a organismos públicos o empleados</t>
  </si>
  <si>
    <t>UTP por Ejecución de Garantías</t>
  </si>
  <si>
    <t>UTP por Garantías Concedidas</t>
  </si>
  <si>
    <t>UTP por Deep in Lieu</t>
  </si>
  <si>
    <t>UTP por Retrasos Significativos</t>
  </si>
  <si>
    <t>UTP por Crisis en el Sector</t>
  </si>
  <si>
    <t>UTP por Mercado no Activo</t>
  </si>
  <si>
    <t>UTP por Solicitud de Quiebra</t>
  </si>
  <si>
    <t>UTP por Incumplimiento de Clausulas</t>
  </si>
  <si>
    <t>1. ind_def</t>
  </si>
  <si>
    <t>2. gest_sit</t>
  </si>
  <si>
    <t>3. utp_cli</t>
  </si>
  <si>
    <t>4. Exemplos</t>
  </si>
  <si>
    <t>A</t>
  </si>
  <si>
    <t>B</t>
  </si>
  <si>
    <t>C</t>
  </si>
  <si>
    <t>D</t>
  </si>
  <si>
    <t>E</t>
  </si>
  <si>
    <t>F</t>
  </si>
  <si>
    <t>G</t>
  </si>
  <si>
    <t>dflt_stts_instrmnt</t>
  </si>
  <si>
    <t>dt_dflt_stts_instrmnt</t>
  </si>
  <si>
    <t>instrmnt_id</t>
  </si>
  <si>
    <t>entty_id</t>
  </si>
  <si>
    <t>H</t>
  </si>
  <si>
    <t>1. lt002</t>
  </si>
  <si>
    <t>hbm</t>
  </si>
  <si>
    <t>info</t>
  </si>
  <si>
    <t>2. lt003</t>
  </si>
  <si>
    <t>dflt_stts</t>
  </si>
  <si>
    <t>dt_dflt_stts</t>
  </si>
  <si>
    <t xml:space="preserve"> there are no instruments in default</t>
  </si>
  <si>
    <t xml:space="preserve"> only one instrument in default</t>
  </si>
  <si>
    <t xml:space="preserve"> more than one instrument in default with the same status</t>
  </si>
  <si>
    <t xml:space="preserve"> more than one instrument in default with different status</t>
  </si>
  <si>
    <t>I</t>
  </si>
  <si>
    <t>prfrmng_stts</t>
  </si>
  <si>
    <t>imprmnt_stts</t>
  </si>
  <si>
    <t>5. Análise (prfrmng_stts &amp; imprmnt_stts)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</si>
</sst>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Santander Text"/>
      <family val="2"/>
    </font>
    <font>
      <sz val="11"/>
      <color theme="1"/>
      <name val="Santander Text"/>
      <family val="2"/>
    </font>
    <font>
      <b/>
      <sz val="11"/>
      <color theme="0"/>
      <name val="Santander Text"/>
      <family val="2"/>
    </font>
    <font>
      <sz val="10"/>
      <color rgb="FF000000"/>
      <name val="Santander Text"/>
      <family val="2"/>
    </font>
    <font>
      <sz val="11"/>
      <color rgb="FF000000"/>
      <name val="Santander Text"/>
      <family val="2"/>
    </font>
    <font>
      <b/>
      <u/>
      <sz val="12"/>
      <color theme="1"/>
      <name val="Santander Text"/>
      <family val="2"/>
    </font>
    <font>
      <i/>
      <sz val="11"/>
      <color theme="1"/>
      <name val="Santander Text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0000"/>
        <bgColor rgb="FFFF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1499679555650502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14993743705557422"/>
      </left>
      <right style="thin">
        <color theme="0" tint="-0.14990691854609822"/>
      </right>
      <top/>
      <bottom style="thin">
        <color theme="0" tint="-0.14990691854609822"/>
      </bottom>
      <diagonal/>
    </border>
    <border>
      <left style="thin">
        <color theme="0" tint="-0.149937437055574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3" fillId="2" borderId="0" xfId="0" applyFont="1" applyFill="1"/>
    <xf numFmtId="9" fontId="3" fillId="2" borderId="0" xfId="1" applyFont="1" applyFill="1" applyBorder="1"/>
    <xf numFmtId="0" fontId="4" fillId="2" borderId="0" xfId="0" applyFont="1" applyFill="1"/>
    <xf numFmtId="0" fontId="3" fillId="3" borderId="0" xfId="0" applyFont="1" applyFill="1"/>
    <xf numFmtId="9" fontId="3" fillId="3" borderId="0" xfId="1" applyFont="1" applyFill="1" applyBorder="1"/>
    <xf numFmtId="0" fontId="5" fillId="4" borderId="0" xfId="0" applyFont="1" applyFill="1" applyAlignment="1">
      <alignment vertical="center"/>
    </xf>
    <xf numFmtId="0" fontId="0" fillId="4" borderId="0" xfId="0" applyFill="1"/>
    <xf numFmtId="0" fontId="5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left"/>
    </xf>
    <xf numFmtId="0" fontId="0" fillId="0" borderId="1" xfId="0" applyBorder="1"/>
    <xf numFmtId="0" fontId="0" fillId="0" borderId="2" xfId="0" applyBorder="1"/>
    <xf numFmtId="0" fontId="2" fillId="5" borderId="3" xfId="0" applyFont="1" applyFill="1" applyBorder="1"/>
    <xf numFmtId="0" fontId="2" fillId="5" borderId="4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0" xfId="0" applyFont="1"/>
    <xf numFmtId="14" fontId="0" fillId="0" borderId="5" xfId="0" quotePrefix="1" applyNumberFormat="1" applyBorder="1"/>
    <xf numFmtId="14" fontId="0" fillId="0" borderId="6" xfId="0" applyNumberFormat="1" applyBorder="1"/>
    <xf numFmtId="14" fontId="0" fillId="0" borderId="7" xfId="0" applyNumberFormat="1" applyBorder="1"/>
    <xf numFmtId="0" fontId="6" fillId="0" borderId="0" xfId="0" applyFont="1"/>
    <xf numFmtId="0" fontId="2" fillId="0" borderId="8" xfId="0" applyFont="1" applyBorder="1"/>
    <xf numFmtId="0" fontId="0" fillId="0" borderId="9" xfId="0" applyBorder="1"/>
    <xf numFmtId="14" fontId="0" fillId="0" borderId="8" xfId="0" quotePrefix="1" applyNumberFormat="1" applyBorder="1"/>
    <xf numFmtId="14" fontId="0" fillId="0" borderId="8" xfId="0" applyNumberFormat="1" applyBorder="1"/>
    <xf numFmtId="0" fontId="6" fillId="0" borderId="0" xfId="0" quotePrefix="1" applyFont="1"/>
    <xf numFmtId="14" fontId="0" fillId="0" borderId="0" xfId="0" applyNumberFormat="1"/>
    <xf numFmtId="0" fontId="0" fillId="0" borderId="10" xfId="0" applyBorder="1"/>
    <xf numFmtId="0" fontId="0" fillId="0" borderId="11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1160547</xdr:colOff>
      <xdr:row>1</xdr:row>
      <xdr:rowOff>0</xdr:rowOff>
    </xdr:from>
    <xdr:to>
      <xdr:col>1</xdr:col>
      <xdr:colOff>1731329</xdr:colOff>
      <xdr:row>2</xdr:row>
      <xdr:rowOff>145659</xdr:rowOff>
    </xdr:to>
    <xdr:pic>
      <xdr:nvPicPr>
        <xdr:cNvPr id="2" name="Graphic 267">
          <a:extLst>
            <a:ext uri="{FF2B5EF4-FFF2-40B4-BE49-F238E27FC236}">
              <a16:creationId xmlns:a16="http://schemas.microsoft.com/office/drawing/2014/main" id="{E26CCC09-797F-4502-B8B9-CD6EEB8293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42487" y="160020"/>
          <a:ext cx="570782" cy="313299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</xdr:row>
      <xdr:rowOff>59652</xdr:rowOff>
    </xdr:from>
    <xdr:to>
      <xdr:col>2</xdr:col>
      <xdr:colOff>188809</xdr:colOff>
      <xdr:row>2</xdr:row>
      <xdr:rowOff>70233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8536E90B-E3B3-4557-A22F-802AFC74A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81940" y="219672"/>
          <a:ext cx="859369" cy="178221"/>
        </a:xfrm>
        <a:prstGeom prst="rect">
          <a:avLst/>
        </a:prstGeom>
      </xdr:spPr>
    </xdr:pic>
    <xdr:clientData/>
  </xdr:twoCellAnchor>
  <xdr:twoCellAnchor>
    <xdr:from>
      <xdr:col>2</xdr:col>
      <xdr:colOff>489987</xdr:colOff>
      <xdr:row>1</xdr:row>
      <xdr:rowOff>0</xdr:rowOff>
    </xdr:from>
    <xdr:to>
      <xdr:col>2</xdr:col>
      <xdr:colOff>1060769</xdr:colOff>
      <xdr:row>2</xdr:row>
      <xdr:rowOff>141304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B77934DE-1AB6-4E1A-ABE5-B12AA0AAD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42487" y="160020"/>
          <a:ext cx="570782" cy="3089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1160547</xdr:colOff>
      <xdr:row>1</xdr:row>
      <xdr:rowOff>0</xdr:rowOff>
    </xdr:from>
    <xdr:to>
      <xdr:col>1</xdr:col>
      <xdr:colOff>1731329</xdr:colOff>
      <xdr:row>2</xdr:row>
      <xdr:rowOff>145659</xdr:rowOff>
    </xdr:to>
    <xdr:pic>
      <xdr:nvPicPr>
        <xdr:cNvPr id="2" name="Graphic 267">
          <a:extLst>
            <a:ext uri="{FF2B5EF4-FFF2-40B4-BE49-F238E27FC236}">
              <a16:creationId xmlns:a16="http://schemas.microsoft.com/office/drawing/2014/main" id="{40ED120B-8E19-46FA-82DE-14B9319E8A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54807" y="160020"/>
          <a:ext cx="0" cy="313299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</xdr:row>
      <xdr:rowOff>59652</xdr:rowOff>
    </xdr:from>
    <xdr:to>
      <xdr:col>2</xdr:col>
      <xdr:colOff>188809</xdr:colOff>
      <xdr:row>2</xdr:row>
      <xdr:rowOff>70233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7198F36C-6D0B-4DAC-93D8-51D2BAF49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81940" y="219672"/>
          <a:ext cx="859369" cy="178221"/>
        </a:xfrm>
        <a:prstGeom prst="rect">
          <a:avLst/>
        </a:prstGeom>
      </xdr:spPr>
    </xdr:pic>
    <xdr:clientData/>
  </xdr:twoCellAnchor>
  <xdr:twoCellAnchor>
    <xdr:from>
      <xdr:col>2</xdr:col>
      <xdr:colOff>489987</xdr:colOff>
      <xdr:row>1</xdr:row>
      <xdr:rowOff>0</xdr:rowOff>
    </xdr:from>
    <xdr:to>
      <xdr:col>2</xdr:col>
      <xdr:colOff>1060769</xdr:colOff>
      <xdr:row>2</xdr:row>
      <xdr:rowOff>141304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66B59311-E7D7-4514-AF36-87AA0D10B4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42487" y="160020"/>
          <a:ext cx="570782" cy="30894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1160547</xdr:colOff>
      <xdr:row>1</xdr:row>
      <xdr:rowOff>0</xdr:rowOff>
    </xdr:from>
    <xdr:to>
      <xdr:col>1</xdr:col>
      <xdr:colOff>1731329</xdr:colOff>
      <xdr:row>2</xdr:row>
      <xdr:rowOff>145659</xdr:rowOff>
    </xdr:to>
    <xdr:pic>
      <xdr:nvPicPr>
        <xdr:cNvPr id="2" name="Graphic 267">
          <a:extLst>
            <a:ext uri="{FF2B5EF4-FFF2-40B4-BE49-F238E27FC236}">
              <a16:creationId xmlns:a16="http://schemas.microsoft.com/office/drawing/2014/main" id="{397919A9-00EB-4F49-A166-A188A3D27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54807" y="160020"/>
          <a:ext cx="0" cy="313299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</xdr:row>
      <xdr:rowOff>59652</xdr:rowOff>
    </xdr:from>
    <xdr:to>
      <xdr:col>2</xdr:col>
      <xdr:colOff>188809</xdr:colOff>
      <xdr:row>2</xdr:row>
      <xdr:rowOff>70233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52DBC090-35E4-4973-BC8A-9EB966212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81940" y="219672"/>
          <a:ext cx="859369" cy="178221"/>
        </a:xfrm>
        <a:prstGeom prst="rect">
          <a:avLst/>
        </a:prstGeom>
      </xdr:spPr>
    </xdr:pic>
    <xdr:clientData/>
  </xdr:twoCellAnchor>
  <xdr:twoCellAnchor>
    <xdr:from>
      <xdr:col>2</xdr:col>
      <xdr:colOff>489987</xdr:colOff>
      <xdr:row>1</xdr:row>
      <xdr:rowOff>0</xdr:rowOff>
    </xdr:from>
    <xdr:to>
      <xdr:col>2</xdr:col>
      <xdr:colOff>1060769</xdr:colOff>
      <xdr:row>2</xdr:row>
      <xdr:rowOff>141304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6F0B56C9-597C-48C5-9A69-A98FA6F907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42487" y="160020"/>
          <a:ext cx="570782" cy="30894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1160547</xdr:colOff>
      <xdr:row>1</xdr:row>
      <xdr:rowOff>0</xdr:rowOff>
    </xdr:from>
    <xdr:to>
      <xdr:col>1</xdr:col>
      <xdr:colOff>1731329</xdr:colOff>
      <xdr:row>2</xdr:row>
      <xdr:rowOff>145659</xdr:rowOff>
    </xdr:to>
    <xdr:pic>
      <xdr:nvPicPr>
        <xdr:cNvPr id="2" name="Graphic 267">
          <a:extLst>
            <a:ext uri="{FF2B5EF4-FFF2-40B4-BE49-F238E27FC236}">
              <a16:creationId xmlns:a16="http://schemas.microsoft.com/office/drawing/2014/main" id="{1E7C8556-B68C-4909-8A03-8557BD597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54807" y="160020"/>
          <a:ext cx="0" cy="313299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</xdr:row>
      <xdr:rowOff>59652</xdr:rowOff>
    </xdr:from>
    <xdr:to>
      <xdr:col>1</xdr:col>
      <xdr:colOff>859369</xdr:colOff>
      <xdr:row>2</xdr:row>
      <xdr:rowOff>70233</xdr:rowOff>
    </xdr:to>
    <xdr:pic>
      <xdr:nvPicPr>
        <xdr:cNvPr id="5" name="Gráfico 10">
          <a:extLst>
            <a:ext uri="{FF2B5EF4-FFF2-40B4-BE49-F238E27FC236}">
              <a16:creationId xmlns:a16="http://schemas.microsoft.com/office/drawing/2014/main" id="{1AC91B48-A2A6-49C6-9C4C-DE7D2ABE1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81940" y="219672"/>
          <a:ext cx="859369" cy="178221"/>
        </a:xfrm>
        <a:prstGeom prst="rect">
          <a:avLst/>
        </a:prstGeom>
      </xdr:spPr>
    </xdr:pic>
    <xdr:clientData/>
  </xdr:twoCellAnchor>
  <xdr:twoCellAnchor>
    <xdr:from>
      <xdr:col>2</xdr:col>
      <xdr:colOff>284247</xdr:colOff>
      <xdr:row>1</xdr:row>
      <xdr:rowOff>0</xdr:rowOff>
    </xdr:from>
    <xdr:to>
      <xdr:col>2</xdr:col>
      <xdr:colOff>855029</xdr:colOff>
      <xdr:row>2</xdr:row>
      <xdr:rowOff>141304</xdr:rowOff>
    </xdr:to>
    <xdr:pic>
      <xdr:nvPicPr>
        <xdr:cNvPr id="6" name="Graphic 267">
          <a:extLst>
            <a:ext uri="{FF2B5EF4-FFF2-40B4-BE49-F238E27FC236}">
              <a16:creationId xmlns:a16="http://schemas.microsoft.com/office/drawing/2014/main" id="{CBFF3CC5-C0EF-412E-8E91-459569DF6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42487" y="160020"/>
          <a:ext cx="570782" cy="30894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1160547</xdr:colOff>
      <xdr:row>1</xdr:row>
      <xdr:rowOff>0</xdr:rowOff>
    </xdr:from>
    <xdr:to>
      <xdr:col>1</xdr:col>
      <xdr:colOff>1731329</xdr:colOff>
      <xdr:row>2</xdr:row>
      <xdr:rowOff>145659</xdr:rowOff>
    </xdr:to>
    <xdr:pic>
      <xdr:nvPicPr>
        <xdr:cNvPr id="2" name="Graphic 267">
          <a:extLst>
            <a:ext uri="{FF2B5EF4-FFF2-40B4-BE49-F238E27FC236}">
              <a16:creationId xmlns:a16="http://schemas.microsoft.com/office/drawing/2014/main" id="{941A7139-CF45-4C64-ABE9-F80B02144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60547" y="160020"/>
          <a:ext cx="0" cy="313299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</xdr:row>
      <xdr:rowOff>59652</xdr:rowOff>
    </xdr:from>
    <xdr:to>
      <xdr:col>1</xdr:col>
      <xdr:colOff>859369</xdr:colOff>
      <xdr:row>2</xdr:row>
      <xdr:rowOff>70233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F8EA6904-0C5E-4E94-944B-728B6504D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81940" y="219672"/>
          <a:ext cx="859369" cy="178221"/>
        </a:xfrm>
        <a:prstGeom prst="rect">
          <a:avLst/>
        </a:prstGeom>
      </xdr:spPr>
    </xdr:pic>
    <xdr:clientData/>
  </xdr:twoCellAnchor>
  <xdr:twoCellAnchor>
    <xdr:from>
      <xdr:col>2</xdr:col>
      <xdr:colOff>284247</xdr:colOff>
      <xdr:row>1</xdr:row>
      <xdr:rowOff>0</xdr:rowOff>
    </xdr:from>
    <xdr:to>
      <xdr:col>2</xdr:col>
      <xdr:colOff>855029</xdr:colOff>
      <xdr:row>2</xdr:row>
      <xdr:rowOff>141304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740E9F6F-1ED8-4F50-9F88-780BC3DB4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42487" y="160020"/>
          <a:ext cx="570782" cy="3089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8F89-EF22-4622-8560-DC87DA9D857E}">
  <dimension ref="A1:I60"/>
  <sheetViews>
    <sheetView showGridLines="0" tabSelected="1" workbookViewId="0"/>
  </sheetViews>
  <sheetFormatPr defaultColWidth="0" defaultRowHeight="17.399999999999999" zeroHeight="1" x14ac:dyDescent="0.45"/>
  <cols>
    <col min="1" max="1" width="3.69921875" customWidth="1"/>
    <col min="2" max="2" width="8.796875" customWidth="1"/>
    <col min="3" max="3" width="50.59765625" bestFit="1" customWidth="1"/>
    <col min="4" max="4" width="3.69921875" customWidth="1"/>
    <col min="5" max="9" width="0" hidden="1" customWidth="1"/>
    <col min="10" max="16384" width="8.796875" hidden="1"/>
  </cols>
  <sheetData>
    <row r="1" spans="1:8" ht="13.05" customHeight="1" x14ac:dyDescent="0.45">
      <c r="A1" s="1"/>
      <c r="B1" s="2"/>
      <c r="C1" s="2"/>
      <c r="D1" s="1"/>
      <c r="E1" s="9"/>
      <c r="F1" s="9"/>
      <c r="G1" s="9"/>
      <c r="H1" s="10"/>
    </row>
    <row r="2" spans="1:8" ht="13.35" customHeight="1" x14ac:dyDescent="0.45">
      <c r="A2" s="1"/>
      <c r="B2" s="2"/>
      <c r="C2" s="2"/>
      <c r="D2" s="3"/>
      <c r="E2" s="11"/>
      <c r="F2" s="11"/>
      <c r="G2" s="11"/>
      <c r="H2" s="12"/>
    </row>
    <row r="3" spans="1:8" ht="15" customHeight="1" x14ac:dyDescent="0.45">
      <c r="A3" s="1"/>
      <c r="B3" s="2"/>
      <c r="C3" s="2"/>
      <c r="D3" s="3"/>
      <c r="E3" s="11"/>
      <c r="F3" s="11"/>
      <c r="G3" s="11"/>
      <c r="H3" s="12"/>
    </row>
    <row r="4" spans="1:8" ht="13.35" customHeight="1" x14ac:dyDescent="0.45">
      <c r="A4" s="1"/>
      <c r="B4" s="2"/>
      <c r="C4" s="2"/>
      <c r="D4" s="1"/>
      <c r="E4" s="9"/>
      <c r="F4" s="9"/>
      <c r="G4" s="9"/>
      <c r="H4" s="10"/>
    </row>
    <row r="5" spans="1:8" ht="2.25" customHeight="1" x14ac:dyDescent="0.45">
      <c r="A5" s="4"/>
      <c r="B5" s="5"/>
      <c r="C5" s="5"/>
      <c r="D5" s="4"/>
      <c r="E5" s="9"/>
      <c r="F5" s="9"/>
      <c r="G5" s="9"/>
      <c r="H5" s="10"/>
    </row>
    <row r="6" spans="1:8" x14ac:dyDescent="0.45"/>
    <row r="7" spans="1:8" ht="19.8" x14ac:dyDescent="0.45">
      <c r="B7" s="6" t="s">
        <v>103</v>
      </c>
      <c r="C7" s="7"/>
    </row>
    <row r="8" spans="1:8" ht="19.8" x14ac:dyDescent="0.45">
      <c r="B8" s="8"/>
    </row>
    <row r="9" spans="1:8" x14ac:dyDescent="0.45">
      <c r="B9" s="15" t="s">
        <v>0</v>
      </c>
      <c r="C9" s="15" t="s">
        <v>1</v>
      </c>
    </row>
    <row r="10" spans="1:8" x14ac:dyDescent="0.45">
      <c r="B10" s="13">
        <v>0</v>
      </c>
      <c r="C10" s="13" t="s">
        <v>37</v>
      </c>
    </row>
    <row r="11" spans="1:8" x14ac:dyDescent="0.45">
      <c r="B11" s="14">
        <v>1</v>
      </c>
      <c r="C11" s="14" t="s">
        <v>38</v>
      </c>
    </row>
    <row r="12" spans="1:8" x14ac:dyDescent="0.45">
      <c r="B12" s="14">
        <v>2</v>
      </c>
      <c r="C12" s="14" t="s">
        <v>39</v>
      </c>
    </row>
    <row r="13" spans="1:8" x14ac:dyDescent="0.45">
      <c r="B13" s="14">
        <v>3</v>
      </c>
      <c r="C13" s="14" t="s">
        <v>40</v>
      </c>
    </row>
    <row r="14" spans="1:8" x14ac:dyDescent="0.45">
      <c r="B14" s="14">
        <v>4</v>
      </c>
      <c r="C14" s="14" t="s">
        <v>41</v>
      </c>
    </row>
    <row r="15" spans="1:8" x14ac:dyDescent="0.45">
      <c r="B15" s="14">
        <v>5</v>
      </c>
      <c r="C15" s="14" t="s">
        <v>42</v>
      </c>
    </row>
    <row r="16" spans="1:8" x14ac:dyDescent="0.45">
      <c r="B16" s="14">
        <v>6</v>
      </c>
      <c r="C16" s="14" t="s">
        <v>43</v>
      </c>
    </row>
    <row r="17" spans="2:3" x14ac:dyDescent="0.45">
      <c r="B17" s="14">
        <v>7</v>
      </c>
      <c r="C17" s="14" t="s">
        <v>44</v>
      </c>
    </row>
    <row r="18" spans="2:3" x14ac:dyDescent="0.45">
      <c r="B18" s="14">
        <v>8</v>
      </c>
      <c r="C18" s="14" t="s">
        <v>45</v>
      </c>
    </row>
    <row r="19" spans="2:3" x14ac:dyDescent="0.45">
      <c r="B19" s="14">
        <v>9</v>
      </c>
      <c r="C19" s="14" t="s">
        <v>46</v>
      </c>
    </row>
    <row r="20" spans="2:3" x14ac:dyDescent="0.45">
      <c r="B20" s="14">
        <v>10</v>
      </c>
      <c r="C20" s="14" t="s">
        <v>47</v>
      </c>
    </row>
    <row r="21" spans="2:3" x14ac:dyDescent="0.45">
      <c r="B21" s="14">
        <v>11</v>
      </c>
      <c r="C21" s="14" t="s">
        <v>48</v>
      </c>
    </row>
    <row r="22" spans="2:3" x14ac:dyDescent="0.45">
      <c r="B22" s="14">
        <v>12</v>
      </c>
      <c r="C22" s="14" t="s">
        <v>49</v>
      </c>
    </row>
    <row r="23" spans="2:3" x14ac:dyDescent="0.45">
      <c r="B23" s="14">
        <v>13</v>
      </c>
      <c r="C23" s="14" t="s">
        <v>50</v>
      </c>
    </row>
    <row r="24" spans="2:3" x14ac:dyDescent="0.45">
      <c r="B24" s="14">
        <v>14</v>
      </c>
      <c r="C24" s="14" t="s">
        <v>51</v>
      </c>
    </row>
    <row r="25" spans="2:3" x14ac:dyDescent="0.45">
      <c r="B25" s="14">
        <v>15</v>
      </c>
      <c r="C25" s="14" t="s">
        <v>52</v>
      </c>
    </row>
    <row r="26" spans="2:3" x14ac:dyDescent="0.45">
      <c r="B26" s="14">
        <v>16</v>
      </c>
      <c r="C26" s="14" t="s">
        <v>53</v>
      </c>
    </row>
    <row r="27" spans="2:3" x14ac:dyDescent="0.45">
      <c r="B27" s="14">
        <v>17</v>
      </c>
      <c r="C27" s="14" t="s">
        <v>54</v>
      </c>
    </row>
    <row r="28" spans="2:3" x14ac:dyDescent="0.45">
      <c r="B28" s="14">
        <v>18</v>
      </c>
      <c r="C28" s="14" t="s">
        <v>55</v>
      </c>
    </row>
    <row r="29" spans="2:3" x14ac:dyDescent="0.45">
      <c r="B29" s="14">
        <v>19</v>
      </c>
      <c r="C29" s="14" t="s">
        <v>56</v>
      </c>
    </row>
    <row r="30" spans="2:3" x14ac:dyDescent="0.45">
      <c r="B30" s="14">
        <v>20</v>
      </c>
      <c r="C30" s="14" t="s">
        <v>57</v>
      </c>
    </row>
    <row r="31" spans="2:3" x14ac:dyDescent="0.45">
      <c r="B31" s="14">
        <v>21</v>
      </c>
      <c r="C31" s="14" t="s">
        <v>58</v>
      </c>
    </row>
    <row r="32" spans="2:3" x14ac:dyDescent="0.45">
      <c r="B32" s="14">
        <v>22</v>
      </c>
      <c r="C32" s="14" t="s">
        <v>59</v>
      </c>
    </row>
    <row r="33" spans="2:3" x14ac:dyDescent="0.45">
      <c r="B33" s="14">
        <v>23</v>
      </c>
      <c r="C33" s="14" t="s">
        <v>60</v>
      </c>
    </row>
    <row r="34" spans="2:3" x14ac:dyDescent="0.45">
      <c r="B34" s="14">
        <v>24</v>
      </c>
      <c r="C34" s="14" t="s">
        <v>61</v>
      </c>
    </row>
    <row r="35" spans="2:3" x14ac:dyDescent="0.45">
      <c r="B35" s="14">
        <v>25</v>
      </c>
      <c r="C35" s="14" t="s">
        <v>62</v>
      </c>
    </row>
    <row r="36" spans="2:3" x14ac:dyDescent="0.45">
      <c r="B36" s="14">
        <v>26</v>
      </c>
      <c r="C36" s="14" t="s">
        <v>63</v>
      </c>
    </row>
    <row r="37" spans="2:3" x14ac:dyDescent="0.45">
      <c r="B37" s="14">
        <v>27</v>
      </c>
      <c r="C37" s="14" t="s">
        <v>64</v>
      </c>
    </row>
    <row r="38" spans="2:3" x14ac:dyDescent="0.45">
      <c r="B38" s="14">
        <v>28</v>
      </c>
      <c r="C38" s="14" t="s">
        <v>65</v>
      </c>
    </row>
    <row r="39" spans="2:3" x14ac:dyDescent="0.45">
      <c r="B39" s="14">
        <v>29</v>
      </c>
      <c r="C39" s="14" t="s">
        <v>66</v>
      </c>
    </row>
    <row r="40" spans="2:3" x14ac:dyDescent="0.45">
      <c r="B40" s="14">
        <v>30</v>
      </c>
      <c r="C40" s="14" t="s">
        <v>67</v>
      </c>
    </row>
    <row r="41" spans="2:3" x14ac:dyDescent="0.45">
      <c r="B41" s="14">
        <v>31</v>
      </c>
      <c r="C41" s="14" t="s">
        <v>68</v>
      </c>
    </row>
    <row r="42" spans="2:3" x14ac:dyDescent="0.45">
      <c r="B42" s="14">
        <v>32</v>
      </c>
      <c r="C42" s="14" t="s">
        <v>69</v>
      </c>
    </row>
    <row r="43" spans="2:3" x14ac:dyDescent="0.45">
      <c r="B43" s="14">
        <v>33</v>
      </c>
      <c r="C43" s="14" t="s">
        <v>70</v>
      </c>
    </row>
    <row r="44" spans="2:3" x14ac:dyDescent="0.45">
      <c r="B44" s="14">
        <v>34</v>
      </c>
      <c r="C44" s="14" t="s">
        <v>71</v>
      </c>
    </row>
    <row r="45" spans="2:3" x14ac:dyDescent="0.45">
      <c r="B45" s="14">
        <v>35</v>
      </c>
      <c r="C45" s="14" t="s">
        <v>72</v>
      </c>
    </row>
    <row r="46" spans="2:3" x14ac:dyDescent="0.45">
      <c r="B46" s="14">
        <v>36</v>
      </c>
      <c r="C46" s="14" t="s">
        <v>73</v>
      </c>
    </row>
    <row r="47" spans="2:3" x14ac:dyDescent="0.45">
      <c r="B47" s="14">
        <v>37</v>
      </c>
      <c r="C47" s="14" t="s">
        <v>74</v>
      </c>
    </row>
    <row r="48" spans="2:3" x14ac:dyDescent="0.45">
      <c r="B48" s="14">
        <v>38</v>
      </c>
      <c r="C48" s="14" t="s">
        <v>75</v>
      </c>
    </row>
    <row r="49" spans="2:3" x14ac:dyDescent="0.45">
      <c r="B49" s="14">
        <v>39</v>
      </c>
      <c r="C49" s="14" t="s">
        <v>76</v>
      </c>
    </row>
    <row r="50" spans="2:3" x14ac:dyDescent="0.45">
      <c r="B50" s="14">
        <v>40</v>
      </c>
      <c r="C50" s="14" t="s">
        <v>77</v>
      </c>
    </row>
    <row r="51" spans="2:3" x14ac:dyDescent="0.45">
      <c r="B51" s="14">
        <v>41</v>
      </c>
      <c r="C51" s="14" t="s">
        <v>78</v>
      </c>
    </row>
    <row r="52" spans="2:3" x14ac:dyDescent="0.45">
      <c r="B52" s="14">
        <v>42</v>
      </c>
      <c r="C52" s="14" t="s">
        <v>79</v>
      </c>
    </row>
    <row r="53" spans="2:3" x14ac:dyDescent="0.45">
      <c r="B53" s="14">
        <v>43</v>
      </c>
      <c r="C53" s="14" t="s">
        <v>80</v>
      </c>
    </row>
    <row r="54" spans="2:3" x14ac:dyDescent="0.45">
      <c r="B54" s="14">
        <v>44</v>
      </c>
      <c r="C54" s="14" t="s">
        <v>81</v>
      </c>
    </row>
    <row r="55" spans="2:3" x14ac:dyDescent="0.45">
      <c r="B55" s="14">
        <v>45</v>
      </c>
      <c r="C55" s="14" t="s">
        <v>82</v>
      </c>
    </row>
    <row r="56" spans="2:3" x14ac:dyDescent="0.45">
      <c r="B56" s="14">
        <v>46</v>
      </c>
      <c r="C56" s="14" t="s">
        <v>83</v>
      </c>
    </row>
    <row r="57" spans="2:3" x14ac:dyDescent="0.45">
      <c r="B57" s="14">
        <v>47</v>
      </c>
      <c r="C57" s="14" t="s">
        <v>84</v>
      </c>
    </row>
    <row r="58" spans="2:3" x14ac:dyDescent="0.45">
      <c r="B58" s="14">
        <v>48</v>
      </c>
      <c r="C58" s="14" t="s">
        <v>85</v>
      </c>
    </row>
    <row r="59" spans="2:3" x14ac:dyDescent="0.45">
      <c r="B59" s="14">
        <v>99999</v>
      </c>
      <c r="C59" s="14" t="s">
        <v>36</v>
      </c>
    </row>
    <row r="60" spans="2:3" x14ac:dyDescent="0.45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C74D0-4B20-4368-9374-585089BC67A8}">
  <dimension ref="A1:I60"/>
  <sheetViews>
    <sheetView showGridLines="0" workbookViewId="0"/>
  </sheetViews>
  <sheetFormatPr defaultColWidth="0" defaultRowHeight="17.399999999999999" zeroHeight="1" x14ac:dyDescent="0.45"/>
  <cols>
    <col min="1" max="1" width="3.69921875" customWidth="1"/>
    <col min="2" max="2" width="8.796875" customWidth="1"/>
    <col min="3" max="3" width="59.8984375" bestFit="1" customWidth="1"/>
    <col min="4" max="4" width="3.69921875" customWidth="1"/>
    <col min="5" max="9" width="0" hidden="1" customWidth="1"/>
    <col min="10" max="16384" width="8.796875" hidden="1"/>
  </cols>
  <sheetData>
    <row r="1" spans="1:8" ht="13.05" customHeight="1" x14ac:dyDescent="0.45">
      <c r="A1" s="1"/>
      <c r="B1" s="2"/>
      <c r="C1" s="2"/>
      <c r="D1" s="1"/>
      <c r="E1" s="9"/>
      <c r="F1" s="9"/>
      <c r="G1" s="9"/>
      <c r="H1" s="10"/>
    </row>
    <row r="2" spans="1:8" ht="13.35" customHeight="1" x14ac:dyDescent="0.45">
      <c r="A2" s="1"/>
      <c r="B2" s="2"/>
      <c r="C2" s="2"/>
      <c r="D2" s="3"/>
      <c r="E2" s="11"/>
      <c r="F2" s="11"/>
      <c r="G2" s="11"/>
      <c r="H2" s="12"/>
    </row>
    <row r="3" spans="1:8" ht="15" customHeight="1" x14ac:dyDescent="0.45">
      <c r="A3" s="1"/>
      <c r="B3" s="2"/>
      <c r="C3" s="2"/>
      <c r="D3" s="3"/>
      <c r="E3" s="11"/>
      <c r="F3" s="11"/>
      <c r="G3" s="11"/>
      <c r="H3" s="12"/>
    </row>
    <row r="4" spans="1:8" ht="13.35" customHeight="1" x14ac:dyDescent="0.45">
      <c r="A4" s="1"/>
      <c r="B4" s="2"/>
      <c r="C4" s="2"/>
      <c r="D4" s="1"/>
      <c r="E4" s="9"/>
      <c r="F4" s="9"/>
      <c r="G4" s="9"/>
      <c r="H4" s="10"/>
    </row>
    <row r="5" spans="1:8" ht="2.25" customHeight="1" x14ac:dyDescent="0.45">
      <c r="A5" s="4"/>
      <c r="B5" s="5"/>
      <c r="C5" s="5"/>
      <c r="D5" s="4"/>
      <c r="E5" s="9"/>
      <c r="F5" s="9"/>
      <c r="G5" s="9"/>
      <c r="H5" s="10"/>
    </row>
    <row r="6" spans="1:8" x14ac:dyDescent="0.45"/>
    <row r="7" spans="1:8" ht="19.8" x14ac:dyDescent="0.45">
      <c r="B7" s="6" t="s">
        <v>104</v>
      </c>
      <c r="C7" s="7"/>
    </row>
    <row r="8" spans="1:8" ht="19.8" x14ac:dyDescent="0.45">
      <c r="B8" s="8"/>
    </row>
    <row r="9" spans="1:8" x14ac:dyDescent="0.45">
      <c r="B9" s="15" t="s">
        <v>0</v>
      </c>
      <c r="C9" s="15" t="s">
        <v>1</v>
      </c>
    </row>
    <row r="10" spans="1:8" x14ac:dyDescent="0.45">
      <c r="B10" s="13">
        <v>0</v>
      </c>
      <c r="C10" s="13" t="s">
        <v>2</v>
      </c>
    </row>
    <row r="11" spans="1:8" x14ac:dyDescent="0.45">
      <c r="B11" s="14">
        <v>1</v>
      </c>
      <c r="C11" s="14" t="s">
        <v>3</v>
      </c>
    </row>
    <row r="12" spans="1:8" x14ac:dyDescent="0.45">
      <c r="B12" s="14">
        <v>2</v>
      </c>
      <c r="C12" s="14" t="s">
        <v>4</v>
      </c>
    </row>
    <row r="13" spans="1:8" x14ac:dyDescent="0.45">
      <c r="B13" s="14">
        <v>3</v>
      </c>
      <c r="C13" s="14" t="s">
        <v>5</v>
      </c>
    </row>
    <row r="14" spans="1:8" x14ac:dyDescent="0.45">
      <c r="B14" s="14">
        <v>4</v>
      </c>
      <c r="C14" s="14" t="s">
        <v>6</v>
      </c>
    </row>
    <row r="15" spans="1:8" x14ac:dyDescent="0.45">
      <c r="B15" s="14">
        <v>5</v>
      </c>
      <c r="C15" s="14" t="s">
        <v>7</v>
      </c>
    </row>
    <row r="16" spans="1:8" x14ac:dyDescent="0.45">
      <c r="B16" s="14">
        <v>6</v>
      </c>
      <c r="C16" s="14" t="s">
        <v>8</v>
      </c>
    </row>
    <row r="17" spans="2:3" x14ac:dyDescent="0.45">
      <c r="B17" s="14">
        <v>7</v>
      </c>
      <c r="C17" s="14" t="s">
        <v>9</v>
      </c>
    </row>
    <row r="18" spans="2:3" x14ac:dyDescent="0.45">
      <c r="B18" s="14">
        <v>8</v>
      </c>
      <c r="C18" s="14" t="s">
        <v>10</v>
      </c>
    </row>
    <row r="19" spans="2:3" x14ac:dyDescent="0.45">
      <c r="B19" s="14">
        <v>9</v>
      </c>
      <c r="C19" s="14" t="s">
        <v>11</v>
      </c>
    </row>
    <row r="20" spans="2:3" x14ac:dyDescent="0.45">
      <c r="B20" s="14">
        <v>10</v>
      </c>
      <c r="C20" s="14" t="s">
        <v>12</v>
      </c>
    </row>
    <row r="21" spans="2:3" x14ac:dyDescent="0.45">
      <c r="B21" s="14">
        <v>11</v>
      </c>
      <c r="C21" s="14" t="s">
        <v>13</v>
      </c>
    </row>
    <row r="22" spans="2:3" x14ac:dyDescent="0.45">
      <c r="B22" s="14">
        <v>12</v>
      </c>
      <c r="C22" s="14" t="s">
        <v>14</v>
      </c>
    </row>
    <row r="23" spans="2:3" x14ac:dyDescent="0.45">
      <c r="B23" s="14">
        <v>13</v>
      </c>
      <c r="C23" s="14" t="s">
        <v>15</v>
      </c>
    </row>
    <row r="24" spans="2:3" x14ac:dyDescent="0.45">
      <c r="B24" s="14">
        <v>14</v>
      </c>
      <c r="C24" s="14" t="s">
        <v>16</v>
      </c>
    </row>
    <row r="25" spans="2:3" x14ac:dyDescent="0.45">
      <c r="B25" s="14">
        <v>15</v>
      </c>
      <c r="C25" s="14" t="s">
        <v>17</v>
      </c>
    </row>
    <row r="26" spans="2:3" x14ac:dyDescent="0.45">
      <c r="B26" s="14">
        <v>16</v>
      </c>
      <c r="C26" s="14" t="s">
        <v>18</v>
      </c>
    </row>
    <row r="27" spans="2:3" x14ac:dyDescent="0.45">
      <c r="B27" s="14">
        <v>17</v>
      </c>
      <c r="C27" s="14" t="s">
        <v>19</v>
      </c>
    </row>
    <row r="28" spans="2:3" x14ac:dyDescent="0.45">
      <c r="B28" s="14">
        <v>18</v>
      </c>
      <c r="C28" s="14" t="s">
        <v>20</v>
      </c>
    </row>
    <row r="29" spans="2:3" x14ac:dyDescent="0.45">
      <c r="B29" s="14">
        <v>19</v>
      </c>
      <c r="C29" s="14" t="s">
        <v>21</v>
      </c>
    </row>
    <row r="30" spans="2:3" x14ac:dyDescent="0.45">
      <c r="B30" s="14">
        <v>20</v>
      </c>
      <c r="C30" s="14" t="s">
        <v>22</v>
      </c>
    </row>
    <row r="31" spans="2:3" x14ac:dyDescent="0.45">
      <c r="B31" s="14">
        <v>21</v>
      </c>
      <c r="C31" s="14" t="s">
        <v>23</v>
      </c>
    </row>
    <row r="32" spans="2:3" x14ac:dyDescent="0.45">
      <c r="B32" s="14">
        <v>22</v>
      </c>
      <c r="C32" s="14" t="s">
        <v>24</v>
      </c>
    </row>
    <row r="33" spans="2:3" x14ac:dyDescent="0.45">
      <c r="B33" s="14">
        <v>23</v>
      </c>
      <c r="C33" s="14" t="s">
        <v>25</v>
      </c>
    </row>
    <row r="34" spans="2:3" x14ac:dyDescent="0.45">
      <c r="B34" s="14">
        <v>24</v>
      </c>
      <c r="C34" s="14" t="s">
        <v>26</v>
      </c>
    </row>
    <row r="35" spans="2:3" x14ac:dyDescent="0.45">
      <c r="B35" s="14">
        <v>25</v>
      </c>
      <c r="C35" s="14" t="s">
        <v>27</v>
      </c>
    </row>
    <row r="36" spans="2:3" x14ac:dyDescent="0.45">
      <c r="B36" s="14">
        <v>26</v>
      </c>
      <c r="C36" s="14" t="s">
        <v>28</v>
      </c>
    </row>
    <row r="37" spans="2:3" x14ac:dyDescent="0.45">
      <c r="B37" s="14">
        <v>27</v>
      </c>
      <c r="C37" s="14" t="s">
        <v>29</v>
      </c>
    </row>
    <row r="38" spans="2:3" x14ac:dyDescent="0.45">
      <c r="B38" s="14">
        <v>28</v>
      </c>
      <c r="C38" s="14" t="s">
        <v>30</v>
      </c>
    </row>
    <row r="39" spans="2:3" x14ac:dyDescent="0.45">
      <c r="B39" s="14">
        <v>35</v>
      </c>
      <c r="C39" s="14" t="s">
        <v>31</v>
      </c>
    </row>
    <row r="40" spans="2:3" x14ac:dyDescent="0.45">
      <c r="B40" s="14">
        <v>36</v>
      </c>
      <c r="C40" s="14" t="s">
        <v>32</v>
      </c>
    </row>
    <row r="41" spans="2:3" x14ac:dyDescent="0.45">
      <c r="B41" s="14">
        <v>37</v>
      </c>
      <c r="C41" s="14" t="s">
        <v>33</v>
      </c>
    </row>
    <row r="42" spans="2:3" x14ac:dyDescent="0.45">
      <c r="B42" s="14">
        <v>38</v>
      </c>
      <c r="C42" s="14" t="s">
        <v>34</v>
      </c>
    </row>
    <row r="43" spans="2:3" x14ac:dyDescent="0.45">
      <c r="B43" s="14">
        <v>39</v>
      </c>
      <c r="C43" s="14" t="s">
        <v>35</v>
      </c>
    </row>
    <row r="44" spans="2:3" x14ac:dyDescent="0.45">
      <c r="B44" s="14">
        <v>99999</v>
      </c>
      <c r="C44" s="14" t="s">
        <v>36</v>
      </c>
    </row>
    <row r="45" spans="2:3" x14ac:dyDescent="0.45">
      <c r="B45" s="14">
        <v>35</v>
      </c>
      <c r="C45" s="14" t="s">
        <v>72</v>
      </c>
    </row>
    <row r="46" spans="2:3" x14ac:dyDescent="0.45">
      <c r="B46" s="14">
        <v>36</v>
      </c>
      <c r="C46" s="14" t="s">
        <v>73</v>
      </c>
    </row>
    <row r="47" spans="2:3" x14ac:dyDescent="0.45">
      <c r="B47" s="14">
        <v>37</v>
      </c>
      <c r="C47" s="14" t="s">
        <v>74</v>
      </c>
    </row>
    <row r="48" spans="2:3" x14ac:dyDescent="0.45">
      <c r="B48" s="14">
        <v>38</v>
      </c>
      <c r="C48" s="14" t="s">
        <v>75</v>
      </c>
    </row>
    <row r="49" spans="2:3" x14ac:dyDescent="0.45">
      <c r="B49" s="14">
        <v>39</v>
      </c>
      <c r="C49" s="14" t="s">
        <v>76</v>
      </c>
    </row>
    <row r="50" spans="2:3" x14ac:dyDescent="0.45">
      <c r="B50" s="14">
        <v>40</v>
      </c>
      <c r="C50" s="14" t="s">
        <v>77</v>
      </c>
    </row>
    <row r="51" spans="2:3" x14ac:dyDescent="0.45">
      <c r="B51" s="14">
        <v>41</v>
      </c>
      <c r="C51" s="14" t="s">
        <v>78</v>
      </c>
    </row>
    <row r="52" spans="2:3" x14ac:dyDescent="0.45">
      <c r="B52" s="14">
        <v>42</v>
      </c>
      <c r="C52" s="14" t="s">
        <v>79</v>
      </c>
    </row>
    <row r="53" spans="2:3" x14ac:dyDescent="0.45">
      <c r="B53" s="14">
        <v>43</v>
      </c>
      <c r="C53" s="14" t="s">
        <v>80</v>
      </c>
    </row>
    <row r="54" spans="2:3" x14ac:dyDescent="0.45">
      <c r="B54" s="14">
        <v>44</v>
      </c>
      <c r="C54" s="14" t="s">
        <v>81</v>
      </c>
    </row>
    <row r="55" spans="2:3" x14ac:dyDescent="0.45">
      <c r="B55" s="14">
        <v>45</v>
      </c>
      <c r="C55" s="14" t="s">
        <v>82</v>
      </c>
    </row>
    <row r="56" spans="2:3" x14ac:dyDescent="0.45">
      <c r="B56" s="14">
        <v>46</v>
      </c>
      <c r="C56" s="14" t="s">
        <v>83</v>
      </c>
    </row>
    <row r="57" spans="2:3" x14ac:dyDescent="0.45">
      <c r="B57" s="14">
        <v>47</v>
      </c>
      <c r="C57" s="14" t="s">
        <v>84</v>
      </c>
    </row>
    <row r="58" spans="2:3" x14ac:dyDescent="0.45">
      <c r="B58" s="14">
        <v>48</v>
      </c>
      <c r="C58" s="14" t="s">
        <v>85</v>
      </c>
    </row>
    <row r="59" spans="2:3" x14ac:dyDescent="0.45">
      <c r="B59" s="14">
        <v>99999</v>
      </c>
      <c r="C59" s="14" t="s">
        <v>36</v>
      </c>
    </row>
    <row r="60" spans="2:3" x14ac:dyDescent="0.4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86CAF-ACC6-474C-B3D3-9AA1054C9B45}">
  <dimension ref="A1:I60"/>
  <sheetViews>
    <sheetView showGridLines="0" workbookViewId="0"/>
  </sheetViews>
  <sheetFormatPr defaultColWidth="0" defaultRowHeight="17.399999999999999" zeroHeight="1" x14ac:dyDescent="0.45"/>
  <cols>
    <col min="1" max="1" width="3.69921875" customWidth="1"/>
    <col min="2" max="2" width="8.796875" customWidth="1"/>
    <col min="3" max="3" width="75" bestFit="1" customWidth="1"/>
    <col min="4" max="4" width="3.69921875" customWidth="1"/>
    <col min="5" max="9" width="0" hidden="1" customWidth="1"/>
    <col min="10" max="16384" width="8.796875" hidden="1"/>
  </cols>
  <sheetData>
    <row r="1" spans="1:8" ht="13.05" customHeight="1" x14ac:dyDescent="0.45">
      <c r="A1" s="1"/>
      <c r="B1" s="2"/>
      <c r="C1" s="2"/>
      <c r="D1" s="1"/>
      <c r="E1" s="9"/>
      <c r="F1" s="9"/>
      <c r="G1" s="9"/>
      <c r="H1" s="10"/>
    </row>
    <row r="2" spans="1:8" ht="13.35" customHeight="1" x14ac:dyDescent="0.45">
      <c r="A2" s="1"/>
      <c r="B2" s="2"/>
      <c r="C2" s="2"/>
      <c r="D2" s="3"/>
      <c r="E2" s="11"/>
      <c r="F2" s="11"/>
      <c r="G2" s="11"/>
      <c r="H2" s="12"/>
    </row>
    <row r="3" spans="1:8" ht="15" customHeight="1" x14ac:dyDescent="0.45">
      <c r="A3" s="1"/>
      <c r="B3" s="2"/>
      <c r="C3" s="2"/>
      <c r="D3" s="3"/>
      <c r="E3" s="11"/>
      <c r="F3" s="11"/>
      <c r="G3" s="11"/>
      <c r="H3" s="12"/>
    </row>
    <row r="4" spans="1:8" ht="13.35" customHeight="1" x14ac:dyDescent="0.45">
      <c r="A4" s="1"/>
      <c r="B4" s="2"/>
      <c r="C4" s="2"/>
      <c r="D4" s="1"/>
      <c r="E4" s="9"/>
      <c r="F4" s="9"/>
      <c r="G4" s="9"/>
      <c r="H4" s="10"/>
    </row>
    <row r="5" spans="1:8" ht="2.25" customHeight="1" x14ac:dyDescent="0.45">
      <c r="A5" s="4"/>
      <c r="B5" s="5"/>
      <c r="C5" s="5"/>
      <c r="D5" s="4"/>
      <c r="E5" s="9"/>
      <c r="F5" s="9"/>
      <c r="G5" s="9"/>
      <c r="H5" s="10"/>
    </row>
    <row r="6" spans="1:8" x14ac:dyDescent="0.45"/>
    <row r="7" spans="1:8" ht="19.8" x14ac:dyDescent="0.45">
      <c r="B7" s="6" t="s">
        <v>105</v>
      </c>
      <c r="C7" s="7"/>
    </row>
    <row r="8" spans="1:8" ht="19.8" x14ac:dyDescent="0.45">
      <c r="B8" s="8"/>
    </row>
    <row r="9" spans="1:8" x14ac:dyDescent="0.45">
      <c r="B9" s="15" t="s">
        <v>0</v>
      </c>
      <c r="C9" s="15" t="s">
        <v>1</v>
      </c>
    </row>
    <row r="10" spans="1:8" x14ac:dyDescent="0.45">
      <c r="B10" s="13">
        <v>0</v>
      </c>
      <c r="C10" s="13" t="s">
        <v>86</v>
      </c>
    </row>
    <row r="11" spans="1:8" x14ac:dyDescent="0.45">
      <c r="B11" s="14">
        <v>1</v>
      </c>
      <c r="C11" s="14" t="s">
        <v>87</v>
      </c>
    </row>
    <row r="12" spans="1:8" x14ac:dyDescent="0.45">
      <c r="B12" s="14">
        <v>3</v>
      </c>
      <c r="C12" s="14" t="s">
        <v>88</v>
      </c>
    </row>
    <row r="13" spans="1:8" x14ac:dyDescent="0.45">
      <c r="B13" s="14">
        <v>5</v>
      </c>
      <c r="C13" s="14" t="s">
        <v>89</v>
      </c>
    </row>
    <row r="14" spans="1:8" x14ac:dyDescent="0.45">
      <c r="B14" s="14">
        <v>6</v>
      </c>
      <c r="C14" s="14" t="s">
        <v>90</v>
      </c>
    </row>
    <row r="15" spans="1:8" x14ac:dyDescent="0.45">
      <c r="B15" s="14">
        <v>7</v>
      </c>
      <c r="C15" s="14" t="s">
        <v>91</v>
      </c>
    </row>
    <row r="16" spans="1:8" x14ac:dyDescent="0.45">
      <c r="B16" s="14">
        <v>8</v>
      </c>
      <c r="C16" s="14" t="s">
        <v>92</v>
      </c>
    </row>
    <row r="17" spans="2:3" x14ac:dyDescent="0.45">
      <c r="B17" s="14">
        <v>9</v>
      </c>
      <c r="C17" s="14" t="s">
        <v>93</v>
      </c>
    </row>
    <row r="18" spans="2:3" x14ac:dyDescent="0.45">
      <c r="B18" s="14">
        <v>10</v>
      </c>
      <c r="C18" s="14" t="s">
        <v>94</v>
      </c>
    </row>
    <row r="19" spans="2:3" x14ac:dyDescent="0.45">
      <c r="B19" s="14">
        <v>11</v>
      </c>
      <c r="C19" s="14" t="s">
        <v>95</v>
      </c>
    </row>
    <row r="20" spans="2:3" x14ac:dyDescent="0.45">
      <c r="B20" s="14">
        <v>12</v>
      </c>
      <c r="C20" s="14" t="s">
        <v>96</v>
      </c>
    </row>
    <row r="21" spans="2:3" x14ac:dyDescent="0.45">
      <c r="B21" s="14">
        <v>13</v>
      </c>
      <c r="C21" s="14" t="s">
        <v>97</v>
      </c>
    </row>
    <row r="22" spans="2:3" x14ac:dyDescent="0.45">
      <c r="B22" s="14">
        <v>14</v>
      </c>
      <c r="C22" s="14" t="s">
        <v>98</v>
      </c>
    </row>
    <row r="23" spans="2:3" x14ac:dyDescent="0.45">
      <c r="B23" s="14">
        <v>15</v>
      </c>
      <c r="C23" s="14" t="s">
        <v>99</v>
      </c>
    </row>
    <row r="24" spans="2:3" x14ac:dyDescent="0.45">
      <c r="B24" s="14">
        <v>16</v>
      </c>
      <c r="C24" s="14" t="s">
        <v>100</v>
      </c>
    </row>
    <row r="25" spans="2:3" x14ac:dyDescent="0.45">
      <c r="B25" s="14">
        <v>17</v>
      </c>
      <c r="C25" s="14" t="s">
        <v>101</v>
      </c>
    </row>
    <row r="26" spans="2:3" x14ac:dyDescent="0.45">
      <c r="B26" s="14">
        <v>18</v>
      </c>
      <c r="C26" s="14" t="s">
        <v>102</v>
      </c>
    </row>
    <row r="27" spans="2:3" x14ac:dyDescent="0.45">
      <c r="B27" s="14">
        <v>99999</v>
      </c>
      <c r="C27" s="14" t="s">
        <v>36</v>
      </c>
    </row>
    <row r="28" spans="2:3" x14ac:dyDescent="0.45">
      <c r="B28" s="14">
        <v>18</v>
      </c>
      <c r="C28" s="14" t="s">
        <v>55</v>
      </c>
    </row>
    <row r="29" spans="2:3" x14ac:dyDescent="0.45">
      <c r="B29" s="14">
        <v>19</v>
      </c>
      <c r="C29" s="14" t="s">
        <v>56</v>
      </c>
    </row>
    <row r="30" spans="2:3" x14ac:dyDescent="0.45">
      <c r="B30" s="14">
        <v>20</v>
      </c>
      <c r="C30" s="14" t="s">
        <v>57</v>
      </c>
    </row>
    <row r="31" spans="2:3" x14ac:dyDescent="0.45">
      <c r="B31" s="14">
        <v>21</v>
      </c>
      <c r="C31" s="14" t="s">
        <v>58</v>
      </c>
    </row>
    <row r="32" spans="2:3" x14ac:dyDescent="0.45">
      <c r="B32" s="14">
        <v>22</v>
      </c>
      <c r="C32" s="14" t="s">
        <v>59</v>
      </c>
    </row>
    <row r="33" spans="2:3" x14ac:dyDescent="0.45">
      <c r="B33" s="14">
        <v>23</v>
      </c>
      <c r="C33" s="14" t="s">
        <v>60</v>
      </c>
    </row>
    <row r="34" spans="2:3" x14ac:dyDescent="0.45">
      <c r="B34" s="14">
        <v>24</v>
      </c>
      <c r="C34" s="14" t="s">
        <v>61</v>
      </c>
    </row>
    <row r="35" spans="2:3" x14ac:dyDescent="0.45">
      <c r="B35" s="14">
        <v>25</v>
      </c>
      <c r="C35" s="14" t="s">
        <v>62</v>
      </c>
    </row>
    <row r="36" spans="2:3" x14ac:dyDescent="0.45">
      <c r="B36" s="14">
        <v>26</v>
      </c>
      <c r="C36" s="14" t="s">
        <v>63</v>
      </c>
    </row>
    <row r="37" spans="2:3" x14ac:dyDescent="0.45">
      <c r="B37" s="14">
        <v>27</v>
      </c>
      <c r="C37" s="14" t="s">
        <v>64</v>
      </c>
    </row>
    <row r="38" spans="2:3" x14ac:dyDescent="0.45">
      <c r="B38" s="14">
        <v>28</v>
      </c>
      <c r="C38" s="14" t="s">
        <v>65</v>
      </c>
    </row>
    <row r="39" spans="2:3" x14ac:dyDescent="0.45">
      <c r="B39" s="14">
        <v>29</v>
      </c>
      <c r="C39" s="14" t="s">
        <v>66</v>
      </c>
    </row>
    <row r="40" spans="2:3" x14ac:dyDescent="0.45">
      <c r="B40" s="14">
        <v>30</v>
      </c>
      <c r="C40" s="14" t="s">
        <v>67</v>
      </c>
    </row>
    <row r="41" spans="2:3" x14ac:dyDescent="0.45">
      <c r="B41" s="14">
        <v>31</v>
      </c>
      <c r="C41" s="14" t="s">
        <v>68</v>
      </c>
    </row>
    <row r="42" spans="2:3" x14ac:dyDescent="0.45">
      <c r="B42" s="14">
        <v>32</v>
      </c>
      <c r="C42" s="14" t="s">
        <v>69</v>
      </c>
    </row>
    <row r="43" spans="2:3" x14ac:dyDescent="0.45">
      <c r="B43" s="14">
        <v>33</v>
      </c>
      <c r="C43" s="14" t="s">
        <v>70</v>
      </c>
    </row>
    <row r="44" spans="2:3" x14ac:dyDescent="0.45">
      <c r="B44" s="14">
        <v>34</v>
      </c>
      <c r="C44" s="14" t="s">
        <v>71</v>
      </c>
    </row>
    <row r="45" spans="2:3" x14ac:dyDescent="0.45">
      <c r="B45" s="14">
        <v>35</v>
      </c>
      <c r="C45" s="14" t="s">
        <v>72</v>
      </c>
    </row>
    <row r="46" spans="2:3" x14ac:dyDescent="0.45">
      <c r="B46" s="14">
        <v>36</v>
      </c>
      <c r="C46" s="14" t="s">
        <v>73</v>
      </c>
    </row>
    <row r="47" spans="2:3" x14ac:dyDescent="0.45">
      <c r="B47" s="14">
        <v>37</v>
      </c>
      <c r="C47" s="14" t="s">
        <v>74</v>
      </c>
    </row>
    <row r="48" spans="2:3" x14ac:dyDescent="0.45">
      <c r="B48" s="14">
        <v>38</v>
      </c>
      <c r="C48" s="14" t="s">
        <v>75</v>
      </c>
    </row>
    <row r="49" spans="2:3" x14ac:dyDescent="0.45">
      <c r="B49" s="14">
        <v>39</v>
      </c>
      <c r="C49" s="14" t="s">
        <v>76</v>
      </c>
    </row>
    <row r="50" spans="2:3" x14ac:dyDescent="0.45">
      <c r="B50" s="14">
        <v>40</v>
      </c>
      <c r="C50" s="14" t="s">
        <v>77</v>
      </c>
    </row>
    <row r="51" spans="2:3" x14ac:dyDescent="0.45">
      <c r="B51" s="14">
        <v>41</v>
      </c>
      <c r="C51" s="14" t="s">
        <v>78</v>
      </c>
    </row>
    <row r="52" spans="2:3" x14ac:dyDescent="0.45">
      <c r="B52" s="14">
        <v>42</v>
      </c>
      <c r="C52" s="14" t="s">
        <v>79</v>
      </c>
    </row>
    <row r="53" spans="2:3" x14ac:dyDescent="0.45">
      <c r="B53" s="14">
        <v>43</v>
      </c>
      <c r="C53" s="14" t="s">
        <v>80</v>
      </c>
    </row>
    <row r="54" spans="2:3" x14ac:dyDescent="0.45">
      <c r="B54" s="14">
        <v>44</v>
      </c>
      <c r="C54" s="14" t="s">
        <v>81</v>
      </c>
    </row>
    <row r="55" spans="2:3" x14ac:dyDescent="0.45">
      <c r="B55" s="14">
        <v>45</v>
      </c>
      <c r="C55" s="14" t="s">
        <v>82</v>
      </c>
    </row>
    <row r="56" spans="2:3" x14ac:dyDescent="0.45">
      <c r="B56" s="14">
        <v>46</v>
      </c>
      <c r="C56" s="14" t="s">
        <v>83</v>
      </c>
    </row>
    <row r="57" spans="2:3" x14ac:dyDescent="0.45">
      <c r="B57" s="14">
        <v>47</v>
      </c>
      <c r="C57" s="14" t="s">
        <v>84</v>
      </c>
    </row>
    <row r="58" spans="2:3" x14ac:dyDescent="0.45">
      <c r="B58" s="14">
        <v>48</v>
      </c>
      <c r="C58" s="14" t="s">
        <v>85</v>
      </c>
    </row>
    <row r="59" spans="2:3" x14ac:dyDescent="0.45">
      <c r="B59" s="14">
        <v>99999</v>
      </c>
      <c r="C59" s="14" t="s">
        <v>36</v>
      </c>
    </row>
    <row r="60" spans="2:3" x14ac:dyDescent="0.45"/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5D98A-0174-4219-BB3A-0BDF87857A4C}">
  <dimension ref="A1:K40"/>
  <sheetViews>
    <sheetView showGridLines="0" zoomScaleNormal="100" workbookViewId="0"/>
  </sheetViews>
  <sheetFormatPr defaultColWidth="0" defaultRowHeight="17.399999999999999" zeroHeight="1" x14ac:dyDescent="0.45"/>
  <cols>
    <col min="1" max="1" width="3.69921875" customWidth="1"/>
    <col min="2" max="2" width="11.5" bestFit="1" customWidth="1"/>
    <col min="3" max="3" width="15" bestFit="1" customWidth="1"/>
    <col min="4" max="4" width="17.59765625" bestFit="1" customWidth="1"/>
    <col min="5" max="5" width="46.5" bestFit="1" customWidth="1"/>
    <col min="6" max="6" width="3.69921875" customWidth="1"/>
    <col min="7" max="7" width="17.59765625" hidden="1" customWidth="1"/>
    <col min="8" max="11" width="0" hidden="1" customWidth="1"/>
    <col min="12" max="16384" width="8.796875" hidden="1"/>
  </cols>
  <sheetData>
    <row r="1" spans="1:10" ht="13.05" customHeight="1" x14ac:dyDescent="0.45">
      <c r="A1" s="1"/>
      <c r="B1" s="2"/>
      <c r="C1" s="2"/>
      <c r="D1" s="2"/>
      <c r="E1" s="2"/>
      <c r="F1" s="1"/>
      <c r="G1" s="9"/>
      <c r="H1" s="9"/>
      <c r="I1" s="9"/>
      <c r="J1" s="10"/>
    </row>
    <row r="2" spans="1:10" ht="13.35" customHeight="1" x14ac:dyDescent="0.45">
      <c r="A2" s="1"/>
      <c r="B2" s="2"/>
      <c r="C2" s="2"/>
      <c r="D2" s="2"/>
      <c r="E2" s="2"/>
      <c r="F2" s="3"/>
      <c r="G2" s="11"/>
      <c r="H2" s="11"/>
      <c r="I2" s="11"/>
      <c r="J2" s="12"/>
    </row>
    <row r="3" spans="1:10" ht="15" customHeight="1" x14ac:dyDescent="0.45">
      <c r="A3" s="1"/>
      <c r="B3" s="2"/>
      <c r="C3" s="2"/>
      <c r="D3" s="2"/>
      <c r="E3" s="2"/>
      <c r="F3" s="3"/>
      <c r="G3" s="11"/>
      <c r="H3" s="11"/>
      <c r="I3" s="11"/>
      <c r="J3" s="12"/>
    </row>
    <row r="4" spans="1:10" ht="13.35" customHeight="1" x14ac:dyDescent="0.45">
      <c r="A4" s="1"/>
      <c r="B4" s="2"/>
      <c r="C4" s="2"/>
      <c r="D4" s="2"/>
      <c r="E4" s="2"/>
      <c r="F4" s="1"/>
      <c r="G4" s="9"/>
      <c r="H4" s="9"/>
      <c r="I4" s="9"/>
      <c r="J4" s="10"/>
    </row>
    <row r="5" spans="1:10" ht="2.25" customHeight="1" x14ac:dyDescent="0.45">
      <c r="A5" s="4"/>
      <c r="B5" s="5"/>
      <c r="C5" s="5"/>
      <c r="D5" s="5"/>
      <c r="E5" s="5"/>
      <c r="F5" s="4"/>
      <c r="G5" s="9"/>
      <c r="H5" s="9"/>
      <c r="I5" s="9"/>
      <c r="J5" s="10"/>
    </row>
    <row r="6" spans="1:10" x14ac:dyDescent="0.45"/>
    <row r="7" spans="1:10" ht="19.8" x14ac:dyDescent="0.45">
      <c r="B7" s="6" t="s">
        <v>106</v>
      </c>
      <c r="C7" s="6"/>
      <c r="D7" s="6"/>
      <c r="E7" s="6"/>
    </row>
    <row r="8" spans="1:10" ht="19.8" x14ac:dyDescent="0.45">
      <c r="B8" s="8"/>
      <c r="C8" s="8"/>
      <c r="D8" s="8"/>
      <c r="E8" s="8"/>
    </row>
    <row r="9" spans="1:10" x14ac:dyDescent="0.45">
      <c r="B9" s="24" t="s">
        <v>121</v>
      </c>
    </row>
    <row r="10" spans="1:10" x14ac:dyDescent="0.45">
      <c r="B10" s="16" t="s">
        <v>116</v>
      </c>
      <c r="C10" s="16" t="s">
        <v>117</v>
      </c>
      <c r="D10" s="25" t="s">
        <v>120</v>
      </c>
      <c r="E10" s="25"/>
    </row>
    <row r="11" spans="1:10" x14ac:dyDescent="0.45">
      <c r="B11" s="17" t="s">
        <v>107</v>
      </c>
      <c r="C11" s="17">
        <v>1</v>
      </c>
      <c r="D11" s="26"/>
      <c r="E11" s="27"/>
    </row>
    <row r="12" spans="1:10" x14ac:dyDescent="0.45">
      <c r="B12" s="18" t="s">
        <v>108</v>
      </c>
      <c r="C12" s="18">
        <v>2</v>
      </c>
      <c r="D12" s="26"/>
      <c r="E12" s="27"/>
    </row>
    <row r="13" spans="1:10" x14ac:dyDescent="0.45">
      <c r="B13" s="18" t="s">
        <v>109</v>
      </c>
      <c r="C13" s="18">
        <v>3</v>
      </c>
      <c r="D13" s="26"/>
      <c r="E13" s="28"/>
    </row>
    <row r="14" spans="1:10" x14ac:dyDescent="0.45">
      <c r="B14" s="18" t="s">
        <v>110</v>
      </c>
      <c r="C14" s="18">
        <v>3</v>
      </c>
      <c r="D14" s="26"/>
      <c r="E14" s="28"/>
    </row>
    <row r="15" spans="1:10" x14ac:dyDescent="0.45">
      <c r="B15" s="18" t="s">
        <v>111</v>
      </c>
      <c r="C15" s="18">
        <v>1</v>
      </c>
      <c r="D15" s="26"/>
      <c r="E15" s="28"/>
    </row>
    <row r="16" spans="1:10" x14ac:dyDescent="0.45">
      <c r="B16" s="18" t="s">
        <v>112</v>
      </c>
      <c r="C16" s="18">
        <v>4</v>
      </c>
      <c r="D16" s="26"/>
      <c r="E16" s="28"/>
    </row>
    <row r="17" spans="2:5" x14ac:dyDescent="0.45">
      <c r="B17" s="19" t="s">
        <v>113</v>
      </c>
      <c r="C17" s="19">
        <v>5</v>
      </c>
      <c r="D17" s="26"/>
      <c r="E17" s="28"/>
    </row>
    <row r="18" spans="2:5" x14ac:dyDescent="0.45">
      <c r="B18" s="19" t="s">
        <v>118</v>
      </c>
      <c r="C18" s="19">
        <v>5</v>
      </c>
      <c r="D18" s="26"/>
      <c r="E18" s="28"/>
    </row>
    <row r="19" spans="2:5" x14ac:dyDescent="0.45">
      <c r="B19" s="19" t="s">
        <v>129</v>
      </c>
      <c r="C19" s="19">
        <v>4</v>
      </c>
      <c r="E19" s="30"/>
    </row>
    <row r="20" spans="2:5" x14ac:dyDescent="0.45">
      <c r="B20" s="20"/>
      <c r="C20" s="20"/>
      <c r="E20" s="20"/>
    </row>
    <row r="21" spans="2:5" x14ac:dyDescent="0.45">
      <c r="B21" s="24" t="s">
        <v>119</v>
      </c>
    </row>
    <row r="22" spans="2:5" x14ac:dyDescent="0.45">
      <c r="B22" s="16" t="s">
        <v>116</v>
      </c>
      <c r="C22" s="15" t="s">
        <v>114</v>
      </c>
      <c r="D22" s="16" t="s">
        <v>115</v>
      </c>
    </row>
    <row r="23" spans="2:5" x14ac:dyDescent="0.45">
      <c r="B23" s="17" t="s">
        <v>107</v>
      </c>
      <c r="C23" s="17">
        <v>14</v>
      </c>
      <c r="D23" s="21">
        <v>43227</v>
      </c>
    </row>
    <row r="24" spans="2:5" x14ac:dyDescent="0.45">
      <c r="B24" s="18" t="s">
        <v>108</v>
      </c>
      <c r="C24" s="18">
        <v>14</v>
      </c>
      <c r="D24" s="21">
        <v>43227</v>
      </c>
    </row>
    <row r="25" spans="2:5" x14ac:dyDescent="0.45">
      <c r="B25" s="18" t="s">
        <v>109</v>
      </c>
      <c r="C25" s="18">
        <v>18</v>
      </c>
      <c r="D25" s="22">
        <v>43716</v>
      </c>
    </row>
    <row r="26" spans="2:5" x14ac:dyDescent="0.45">
      <c r="B26" s="18" t="s">
        <v>110</v>
      </c>
      <c r="C26" s="18">
        <v>19</v>
      </c>
      <c r="D26" s="22">
        <v>45119</v>
      </c>
    </row>
    <row r="27" spans="2:5" x14ac:dyDescent="0.45">
      <c r="B27" s="18" t="s">
        <v>111</v>
      </c>
      <c r="C27" s="18">
        <v>20</v>
      </c>
      <c r="D27" s="22">
        <v>44845</v>
      </c>
    </row>
    <row r="28" spans="2:5" x14ac:dyDescent="0.45">
      <c r="B28" s="18" t="s">
        <v>112</v>
      </c>
      <c r="C28" s="18">
        <v>20</v>
      </c>
      <c r="D28" s="22">
        <v>42181</v>
      </c>
    </row>
    <row r="29" spans="2:5" x14ac:dyDescent="0.45">
      <c r="B29" s="19" t="s">
        <v>113</v>
      </c>
      <c r="C29" s="19">
        <v>18</v>
      </c>
      <c r="D29" s="23">
        <v>43688</v>
      </c>
    </row>
    <row r="30" spans="2:5" x14ac:dyDescent="0.45">
      <c r="B30" s="19" t="s">
        <v>118</v>
      </c>
      <c r="C30" s="19">
        <v>18</v>
      </c>
      <c r="D30" s="23">
        <v>44058</v>
      </c>
    </row>
    <row r="31" spans="2:5" x14ac:dyDescent="0.45">
      <c r="B31" s="19" t="s">
        <v>129</v>
      </c>
      <c r="C31" s="19">
        <v>19</v>
      </c>
      <c r="D31" s="23">
        <v>44058</v>
      </c>
    </row>
    <row r="32" spans="2:5" x14ac:dyDescent="0.45"/>
    <row r="33" spans="2:5" x14ac:dyDescent="0.45">
      <c r="B33" s="24" t="s">
        <v>122</v>
      </c>
    </row>
    <row r="34" spans="2:5" x14ac:dyDescent="0.45">
      <c r="B34" s="16" t="s">
        <v>117</v>
      </c>
      <c r="C34" s="15" t="s">
        <v>123</v>
      </c>
      <c r="D34" s="16" t="s">
        <v>124</v>
      </c>
    </row>
    <row r="35" spans="2:5" x14ac:dyDescent="0.45">
      <c r="B35" s="17">
        <v>1</v>
      </c>
      <c r="C35" s="17">
        <f>+MAX(C23,C27)</f>
        <v>20</v>
      </c>
      <c r="D35" s="21">
        <f>+D27</f>
        <v>44845</v>
      </c>
      <c r="E35" s="29" t="s">
        <v>126</v>
      </c>
    </row>
    <row r="36" spans="2:5" x14ac:dyDescent="0.45">
      <c r="B36" s="18">
        <v>2</v>
      </c>
      <c r="C36" s="18">
        <f>+C24</f>
        <v>14</v>
      </c>
      <c r="D36" s="21">
        <f>+D24</f>
        <v>43227</v>
      </c>
      <c r="E36" s="29" t="s">
        <v>125</v>
      </c>
    </row>
    <row r="37" spans="2:5" x14ac:dyDescent="0.45">
      <c r="B37" s="18">
        <v>3</v>
      </c>
      <c r="C37" s="18">
        <f>+MIN(C25:C26)</f>
        <v>18</v>
      </c>
      <c r="D37" s="22">
        <f>+D25</f>
        <v>43716</v>
      </c>
      <c r="E37" s="29" t="s">
        <v>128</v>
      </c>
    </row>
    <row r="38" spans="2:5" x14ac:dyDescent="0.45">
      <c r="B38" s="18">
        <v>4</v>
      </c>
      <c r="C38" s="18">
        <v>18</v>
      </c>
      <c r="D38" s="22">
        <f>+MIN(D28,D31)</f>
        <v>42181</v>
      </c>
      <c r="E38" s="29" t="s">
        <v>128</v>
      </c>
    </row>
    <row r="39" spans="2:5" x14ac:dyDescent="0.45">
      <c r="B39" s="18">
        <v>5</v>
      </c>
      <c r="C39" s="18">
        <f>+MAX(C29:C30)</f>
        <v>18</v>
      </c>
      <c r="D39" s="22">
        <f>+MAX(D29:D30)</f>
        <v>44058</v>
      </c>
      <c r="E39" s="29" t="s">
        <v>127</v>
      </c>
    </row>
    <row r="40" spans="2:5" x14ac:dyDescent="0.45"/>
  </sheetData>
  <pageMargins left="0.7" right="0.7" top="0.75" bottom="0.75" header="0.3" footer="0.3"/>
  <ignoredErrors>
    <ignoredError sqref="C39:D39 C37" formulaRange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32572-B64C-4F87-9CA5-2ECDE07934B0}">
  <dimension ref="A1:M21"/>
  <sheetViews>
    <sheetView showGridLines="0" zoomScaleNormal="100" workbookViewId="0"/>
  </sheetViews>
  <sheetFormatPr defaultColWidth="0" defaultRowHeight="17.399999999999999" customHeight="1" zeroHeight="1" x14ac:dyDescent="0.45"/>
  <cols>
    <col min="1" max="1" width="3.69921875" customWidth="1"/>
    <col min="2" max="2" width="11.5" bestFit="1" customWidth="1"/>
    <col min="3" max="3" width="15" bestFit="1" customWidth="1"/>
    <col min="4" max="4" width="17.59765625" bestFit="1" customWidth="1"/>
    <col min="5" max="5" width="11.3984375" bestFit="1" customWidth="1"/>
    <col min="6" max="6" width="11.09765625" bestFit="1" customWidth="1"/>
    <col min="8" max="8" width="3.69921875" customWidth="1"/>
    <col min="9" max="9" width="17.59765625" hidden="1" customWidth="1"/>
    <col min="10" max="13" width="0" hidden="1" customWidth="1"/>
    <col min="14" max="16384" width="8.796875" hidden="1"/>
  </cols>
  <sheetData>
    <row r="1" spans="1:12" ht="13.05" customHeight="1" x14ac:dyDescent="0.45">
      <c r="A1" s="1"/>
      <c r="B1" s="2"/>
      <c r="C1" s="2"/>
      <c r="D1" s="2"/>
      <c r="E1" s="2"/>
      <c r="F1" s="2"/>
      <c r="H1" s="1"/>
      <c r="I1" s="9"/>
      <c r="J1" s="9"/>
      <c r="K1" s="9"/>
      <c r="L1" s="10"/>
    </row>
    <row r="2" spans="1:12" ht="13.35" customHeight="1" x14ac:dyDescent="0.45">
      <c r="A2" s="1"/>
      <c r="B2" s="2"/>
      <c r="C2" s="2"/>
      <c r="D2" s="2"/>
      <c r="E2" s="2"/>
      <c r="F2" s="2"/>
      <c r="H2" s="3"/>
      <c r="I2" s="11"/>
      <c r="J2" s="11"/>
      <c r="K2" s="11"/>
      <c r="L2" s="12"/>
    </row>
    <row r="3" spans="1:12" ht="15" customHeight="1" x14ac:dyDescent="0.45">
      <c r="A3" s="1"/>
      <c r="B3" s="2"/>
      <c r="C3" s="2"/>
      <c r="D3" s="2"/>
      <c r="E3" s="2"/>
      <c r="F3" s="2"/>
      <c r="H3" s="3"/>
      <c r="I3" s="11"/>
      <c r="J3" s="11"/>
      <c r="K3" s="11"/>
      <c r="L3" s="12"/>
    </row>
    <row r="4" spans="1:12" ht="13.35" customHeight="1" x14ac:dyDescent="0.45">
      <c r="A4" s="1"/>
      <c r="B4" s="2"/>
      <c r="C4" s="2"/>
      <c r="D4" s="2"/>
      <c r="E4" s="2"/>
      <c r="F4" s="2"/>
      <c r="H4" s="1"/>
      <c r="I4" s="9"/>
      <c r="J4" s="9"/>
      <c r="K4" s="9"/>
      <c r="L4" s="10"/>
    </row>
    <row r="5" spans="1:12" ht="2.25" customHeight="1" x14ac:dyDescent="0.45">
      <c r="A5" s="4"/>
      <c r="B5" s="5"/>
      <c r="C5" s="5"/>
      <c r="D5" s="5"/>
      <c r="E5" s="5"/>
      <c r="F5" s="5"/>
      <c r="H5" s="4"/>
      <c r="I5" s="9"/>
      <c r="J5" s="9"/>
      <c r="K5" s="9"/>
      <c r="L5" s="10"/>
    </row>
    <row r="6" spans="1:12" x14ac:dyDescent="0.45"/>
    <row r="7" spans="1:12" ht="19.8" x14ac:dyDescent="0.45">
      <c r="B7" s="6" t="s">
        <v>132</v>
      </c>
      <c r="C7" s="6"/>
      <c r="D7" s="6"/>
      <c r="E7" s="6"/>
      <c r="F7" s="6"/>
    </row>
    <row r="8" spans="1:12" ht="19.8" x14ac:dyDescent="0.45">
      <c r="B8" s="8"/>
      <c r="C8" s="8"/>
      <c r="D8" s="8"/>
      <c r="E8" s="8"/>
      <c r="F8" s="8"/>
    </row>
    <row r="9" spans="1:12" x14ac:dyDescent="0.45">
      <c r="B9" s="24" t="s">
        <v>119</v>
      </c>
    </row>
    <row r="10" spans="1:12" x14ac:dyDescent="0.45">
      <c r="B10" s="16" t="s">
        <v>116</v>
      </c>
      <c r="C10" s="15" t="s">
        <v>114</v>
      </c>
      <c r="D10" s="16" t="s">
        <v>115</v>
      </c>
      <c r="E10" s="16" t="s">
        <v>131</v>
      </c>
      <c r="F10" s="16" t="s">
        <v>130</v>
      </c>
    </row>
    <row r="11" spans="1:12" x14ac:dyDescent="0.45">
      <c r="B11" s="17" t="s">
        <v>107</v>
      </c>
      <c r="C11" s="17">
        <v>14</v>
      </c>
      <c r="D11" s="21">
        <v>43227</v>
      </c>
      <c r="E11" s="31">
        <v>23</v>
      </c>
      <c r="F11" s="17">
        <v>11</v>
      </c>
    </row>
    <row r="12" spans="1:12" x14ac:dyDescent="0.45">
      <c r="B12" s="18" t="s">
        <v>108</v>
      </c>
      <c r="C12" s="18">
        <v>14</v>
      </c>
      <c r="D12" s="21">
        <v>43227</v>
      </c>
      <c r="E12" s="31">
        <v>24</v>
      </c>
      <c r="F12" s="17">
        <v>1</v>
      </c>
    </row>
    <row r="13" spans="1:12" x14ac:dyDescent="0.45">
      <c r="B13" s="18" t="s">
        <v>109</v>
      </c>
      <c r="C13" s="18">
        <v>18</v>
      </c>
      <c r="D13" s="22">
        <v>43716</v>
      </c>
      <c r="E13" s="32">
        <v>25</v>
      </c>
      <c r="F13" s="17">
        <v>1</v>
      </c>
    </row>
    <row r="14" spans="1:12" x14ac:dyDescent="0.45">
      <c r="B14" s="18" t="s">
        <v>110</v>
      </c>
      <c r="C14" s="18">
        <v>19</v>
      </c>
      <c r="D14" s="22">
        <v>45119</v>
      </c>
      <c r="E14" s="32">
        <v>25</v>
      </c>
      <c r="F14" s="17">
        <v>1</v>
      </c>
    </row>
    <row r="15" spans="1:12" x14ac:dyDescent="0.45">
      <c r="B15" s="18" t="s">
        <v>111</v>
      </c>
      <c r="C15" s="18">
        <v>20</v>
      </c>
      <c r="D15" s="22">
        <v>44845</v>
      </c>
      <c r="E15" s="32">
        <v>25</v>
      </c>
      <c r="F15" s="17">
        <v>1</v>
      </c>
    </row>
    <row r="16" spans="1:12" x14ac:dyDescent="0.45">
      <c r="B16" s="18" t="s">
        <v>112</v>
      </c>
      <c r="C16" s="18">
        <v>20</v>
      </c>
      <c r="D16" s="22">
        <v>42181</v>
      </c>
      <c r="E16" s="32">
        <v>25</v>
      </c>
      <c r="F16" s="17">
        <v>1</v>
      </c>
    </row>
    <row r="17" spans="2:6" x14ac:dyDescent="0.45">
      <c r="B17" s="19" t="s">
        <v>113</v>
      </c>
      <c r="C17" s="19">
        <v>18</v>
      </c>
      <c r="D17" s="23">
        <v>43688</v>
      </c>
      <c r="E17" s="32">
        <v>25</v>
      </c>
      <c r="F17" s="17">
        <v>1</v>
      </c>
    </row>
    <row r="18" spans="2:6" x14ac:dyDescent="0.45">
      <c r="B18" s="19" t="s">
        <v>118</v>
      </c>
      <c r="C18" s="19">
        <v>18</v>
      </c>
      <c r="D18" s="23">
        <v>44058</v>
      </c>
      <c r="E18" s="32">
        <v>25</v>
      </c>
      <c r="F18" s="17">
        <v>1</v>
      </c>
    </row>
    <row r="19" spans="2:6" x14ac:dyDescent="0.45">
      <c r="B19" s="19" t="s">
        <v>129</v>
      </c>
      <c r="C19" s="19">
        <v>19</v>
      </c>
      <c r="D19" s="23">
        <v>44058</v>
      </c>
      <c r="E19" s="32">
        <v>25</v>
      </c>
      <c r="F19" s="17">
        <v>1</v>
      </c>
    </row>
    <row r="20" spans="2:6" x14ac:dyDescent="0.45"/>
    <row r="21" spans="2:6" hidden="1" x14ac:dyDescent="0.45"/>
  </sheetData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D051AEB2C48B458F82B58F7F6D9A00" ma:contentTypeVersion="15" ma:contentTypeDescription="Create a new document." ma:contentTypeScope="" ma:versionID="227ef61e06442c04571c71c62bc066b5">
  <xsd:schema xmlns:xsd="http://www.w3.org/2001/XMLSchema" xmlns:xs="http://www.w3.org/2001/XMLSchema" xmlns:p="http://schemas.microsoft.com/office/2006/metadata/properties" xmlns:ns1="http://schemas.microsoft.com/sharepoint/v3" xmlns:ns2="a9b50dc7-8f72-473c-8b7e-4a8c46ecad32" xmlns:ns3="7b1ec8e5-5652-48eb-8550-a56a35f5f817" targetNamespace="http://schemas.microsoft.com/office/2006/metadata/properties" ma:root="true" ma:fieldsID="664ccac259a9ef08632df25fa10eaa8b" ns1:_="" ns2:_="" ns3:_="">
    <xsd:import namespace="http://schemas.microsoft.com/sharepoint/v3"/>
    <xsd:import namespace="a9b50dc7-8f72-473c-8b7e-4a8c46ecad32"/>
    <xsd:import namespace="7b1ec8e5-5652-48eb-8550-a56a35f5f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b50dc7-8f72-473c-8b7e-4a8c46ecad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1ec8e5-5652-48eb-8550-a56a35f5f81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1a5ce08-dc66-4f05-9d75-293f82016f98}" ma:internalName="TaxCatchAll" ma:showField="CatchAllData" ma:web="7b1ec8e5-5652-48eb-8550-a56a35f5f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a9b50dc7-8f72-473c-8b7e-4a8c46ecad32">
      <Terms xmlns="http://schemas.microsoft.com/office/infopath/2007/PartnerControls"/>
    </lcf76f155ced4ddcb4097134ff3c332f>
    <TaxCatchAll xmlns="7b1ec8e5-5652-48eb-8550-a56a35f5f817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F109B67-61A4-4BCF-BE2D-77EAEB82A3F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95D1AEE-C49B-4EBF-AA0C-31641AAA57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9b50dc7-8f72-473c-8b7e-4a8c46ecad32"/>
    <ds:schemaRef ds:uri="7b1ec8e5-5652-48eb-8550-a56a35f5f8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979964C-49C0-421D-80C3-B4AFBA23DEF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a9b50dc7-8f72-473c-8b7e-4a8c46ecad32"/>
    <ds:schemaRef ds:uri="7b1ec8e5-5652-48eb-8550-a56a35f5f81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ind_def</vt:lpstr>
      <vt:lpstr>gest_sit</vt:lpstr>
      <vt:lpstr>utp_cli</vt:lpstr>
      <vt:lpstr>exemplo</vt:lpstr>
      <vt:lpstr>análise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Margarida Ferraz João</dc:creator>
  <cp:lastModifiedBy>Margarida Ferraz João</cp:lastModifiedBy>
  <dcterms:created xsi:type="dcterms:W3CDTF">2025-05-07T16:58:45Z</dcterms:created>
  <dcterms:modified xsi:type="dcterms:W3CDTF">2025-05-08T15:02:57Z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2025-05-07T17:10:16Z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3eb62631-215d-4660-8fc3-f28eed8317e3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0x010100C6D051AEB2C48B458F82B58F7F6D9A00</vt:lpwstr>
  </property>
  <property fmtid="{D5CDD505-2E9C-101B-9397-08002B2CF9AE}" pid="11" name="MediaServiceImageTags">
    <vt:lpwstr/>
  </property>
</Properties>
</file>